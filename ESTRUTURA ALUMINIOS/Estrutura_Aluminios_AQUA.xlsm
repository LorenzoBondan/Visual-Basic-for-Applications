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I:\Engenharia de Produto\Programas VBA\ESTRUTURA ALUMINIOS\"/>
    </mc:Choice>
  </mc:AlternateContent>
  <xr:revisionPtr revIDLastSave="0" documentId="13_ncr:1_{4AA48343-DA06-4894-8F89-97F758ADCF09}" xr6:coauthVersionLast="47" xr6:coauthVersionMax="47" xr10:uidLastSave="{00000000-0000-0000-0000-000000000000}"/>
  <bookViews>
    <workbookView xWindow="-120" yWindow="-120" windowWidth="29040" windowHeight="15720" xr2:uid="{4B197AE7-8007-4556-A903-21953989B3CD}"/>
  </bookViews>
  <sheets>
    <sheet name="FICHAS" sheetId="1" r:id="rId1"/>
    <sheet name="ESTRUTURA PAI" sheetId="4" r:id="rId2"/>
    <sheet name="ESTRUTURA" sheetId="2" r:id="rId3"/>
    <sheet name="FITA" sheetId="3" r:id="rId4"/>
    <sheet name="EXEMPLO DE FICHA" sheetId="5" r:id="rId5"/>
  </sheets>
  <externalReferences>
    <externalReference r:id="rId6"/>
    <externalReference r:id="rId7"/>
  </externalReferences>
  <definedNames>
    <definedName name="_xlnm._FilterDatabase" localSheetId="2" hidden="1">ESTRUTURA!$A$1:$X$1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57" i="1" l="1"/>
  <c r="B41" i="1"/>
  <c r="R40" i="1"/>
  <c r="Q40" i="1"/>
  <c r="P40" i="1"/>
  <c r="N40" i="1"/>
  <c r="N41" i="1" s="1"/>
  <c r="B36" i="1"/>
  <c r="R35" i="1"/>
  <c r="Q35" i="1"/>
  <c r="P35" i="1"/>
  <c r="N35" i="1"/>
  <c r="N36" i="1" s="1"/>
  <c r="B31" i="1"/>
  <c r="R30" i="1"/>
  <c r="Q30" i="1"/>
  <c r="P30" i="1"/>
  <c r="N30" i="1"/>
  <c r="N31" i="1" s="1"/>
  <c r="B26" i="1"/>
  <c r="R25" i="1"/>
  <c r="Q25" i="1"/>
  <c r="P25" i="1"/>
  <c r="N25" i="1"/>
  <c r="N26" i="1" s="1"/>
  <c r="Q5" i="1"/>
  <c r="P5" i="1"/>
  <c r="P57" i="1" s="1"/>
  <c r="N5" i="1"/>
  <c r="B5" i="1"/>
  <c r="N73" i="1" l="1"/>
  <c r="N67" i="1"/>
  <c r="N61" i="1"/>
  <c r="N72" i="1"/>
  <c r="N66" i="1"/>
  <c r="N60" i="1"/>
  <c r="N57" i="1"/>
  <c r="N71" i="1"/>
  <c r="N65" i="1"/>
  <c r="B60" i="1"/>
  <c r="B57" i="1"/>
  <c r="N62" i="1"/>
  <c r="N70" i="1"/>
  <c r="N64" i="1"/>
  <c r="N59" i="1"/>
  <c r="N68" i="1"/>
  <c r="N69" i="1"/>
  <c r="N63" i="1"/>
  <c r="N58" i="1"/>
  <c r="B41" i="5" l="1"/>
  <c r="R40" i="5"/>
  <c r="Q40" i="5"/>
  <c r="P40" i="5"/>
  <c r="N40" i="5"/>
  <c r="N41" i="5" s="1"/>
  <c r="B36" i="5"/>
  <c r="R35" i="5"/>
  <c r="Q35" i="5"/>
  <c r="P35" i="5"/>
  <c r="N35" i="5"/>
  <c r="N36" i="5" s="1"/>
  <c r="B31" i="5"/>
  <c r="R30" i="5"/>
  <c r="Q30" i="5"/>
  <c r="P30" i="5"/>
  <c r="N30" i="5"/>
  <c r="N31" i="5" s="1"/>
  <c r="B26" i="5"/>
  <c r="R25" i="5"/>
  <c r="Q25" i="5"/>
  <c r="P25" i="5"/>
  <c r="N25" i="5"/>
  <c r="N26" i="5" s="1"/>
  <c r="Q5" i="5"/>
  <c r="Q57" i="5" s="1"/>
  <c r="P5" i="5"/>
  <c r="P57" i="5" s="1"/>
  <c r="N72" i="5" s="1"/>
  <c r="N5" i="5"/>
  <c r="B5" i="5"/>
  <c r="N68" i="5" l="1"/>
  <c r="N62" i="5"/>
  <c r="N58" i="5"/>
  <c r="N63" i="5"/>
  <c r="N69" i="5"/>
  <c r="N59" i="5"/>
  <c r="N64" i="5"/>
  <c r="N70" i="5"/>
  <c r="N61" i="5"/>
  <c r="N67" i="5"/>
  <c r="N73" i="5"/>
  <c r="B57" i="5"/>
  <c r="B60" i="5"/>
  <c r="N65" i="5"/>
  <c r="N71" i="5"/>
  <c r="N57" i="5"/>
  <c r="N60" i="5"/>
  <c r="N66" i="5"/>
</calcChain>
</file>

<file path=xl/sharedStrings.xml><?xml version="1.0" encoding="utf-8"?>
<sst xmlns="http://schemas.openxmlformats.org/spreadsheetml/2006/main" count="3824" uniqueCount="122">
  <si>
    <t>CÓD COMERCIAL</t>
  </si>
  <si>
    <t>CÓD INTERNO</t>
  </si>
  <si>
    <t>CORES</t>
  </si>
  <si>
    <t>DESCRIÇÃO</t>
  </si>
  <si>
    <t>DIMENSÃO</t>
  </si>
  <si>
    <t xml:space="preserve"> PINT GRAFITE</t>
  </si>
  <si>
    <t xml:space="preserve"> PINT PRATA</t>
  </si>
  <si>
    <t xml:space="preserve"> PINT DOURADO</t>
  </si>
  <si>
    <t>ALT</t>
  </si>
  <si>
    <t>LARG</t>
  </si>
  <si>
    <t>ESP</t>
  </si>
  <si>
    <t>-</t>
  </si>
  <si>
    <t>CÓDIGO PINTURA</t>
  </si>
  <si>
    <t>CÓD MAT PRIMA</t>
  </si>
  <si>
    <t>QDADE</t>
  </si>
  <si>
    <t>MEDIDAS</t>
  </si>
  <si>
    <t>COMP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</si>
  <si>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</si>
  <si>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</si>
  <si>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</si>
  <si>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</si>
  <si>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</si>
  <si>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</si>
  <si>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</si>
  <si>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</si>
  <si>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</si>
  <si>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ML</t>
  </si>
  <si>
    <t>TIPO</t>
  </si>
  <si>
    <t>CÓDIGO VIDRO</t>
  </si>
  <si>
    <t>COR VIDRO</t>
  </si>
  <si>
    <t>QTD (UN)</t>
  </si>
  <si>
    <t>DIMENSÕES</t>
  </si>
  <si>
    <t>Código</t>
  </si>
  <si>
    <t>Modelo</t>
  </si>
  <si>
    <t>AQUA</t>
  </si>
  <si>
    <t>VITTRO</t>
  </si>
  <si>
    <t>SLIM</t>
  </si>
  <si>
    <t>REFLEX</t>
  </si>
  <si>
    <t>QUARTZO</t>
  </si>
  <si>
    <t>FILO</t>
  </si>
  <si>
    <t>n</t>
  </si>
  <si>
    <t>?</t>
  </si>
  <si>
    <t>N</t>
  </si>
  <si>
    <t>Formula: Perímetro - 'Valor Abaixo'</t>
  </si>
  <si>
    <t>c-tran</t>
  </si>
  <si>
    <t>c-item</t>
  </si>
  <si>
    <t>c-sequ</t>
  </si>
  <si>
    <t>c-comp</t>
  </si>
  <si>
    <t>c-revi</t>
  </si>
  <si>
    <t>c-fant</t>
  </si>
  <si>
    <t>c-perd</t>
  </si>
  <si>
    <t>c-prop</t>
  </si>
  <si>
    <t>c-seri</t>
  </si>
  <si>
    <t>c-serf</t>
  </si>
  <si>
    <t>c-qtde</t>
  </si>
  <si>
    <t>c-resv</t>
  </si>
  <si>
    <t>c-dtin</t>
  </si>
  <si>
    <t>c-dtfi</t>
  </si>
  <si>
    <t>c-rote</t>
  </si>
  <si>
    <t>c-oper</t>
  </si>
  <si>
    <t>c-mont</t>
  </si>
  <si>
    <t>c-obse</t>
  </si>
  <si>
    <t>c-refp</t>
  </si>
  <si>
    <t>c-reff</t>
  </si>
  <si>
    <t>c-sobr</t>
  </si>
  <si>
    <t>c-qtit</t>
  </si>
  <si>
    <t>c-veic</t>
  </si>
  <si>
    <t>c-disv</t>
  </si>
  <si>
    <t>s</t>
  </si>
  <si>
    <t>***PIANO</t>
  </si>
  <si>
    <t>medida2 - 0,05</t>
  </si>
  <si>
    <t>FRENTE FALSA GAV H=355</t>
  </si>
  <si>
    <t>MET GRAFITE</t>
  </si>
  <si>
    <t>MET PRATA</t>
  </si>
  <si>
    <t>MET DOURADO</t>
  </si>
  <si>
    <t>MET PÉROLA</t>
  </si>
  <si>
    <t>BIANCO</t>
  </si>
  <si>
    <t>GELO</t>
  </si>
  <si>
    <t>NATA</t>
  </si>
  <si>
    <t>BASALTO</t>
  </si>
  <si>
    <t>AREIA</t>
  </si>
  <si>
    <t>PETRÓLEO</t>
  </si>
  <si>
    <t>FENDI</t>
  </si>
  <si>
    <t>SISAL</t>
  </si>
  <si>
    <t>FRENTE</t>
  </si>
  <si>
    <t>COR DA MÁSCARA</t>
  </si>
  <si>
    <t>VIDROS</t>
  </si>
  <si>
    <t>VIDRO VITRUM</t>
  </si>
  <si>
    <t>VIDRO LAPIVIDROS</t>
  </si>
  <si>
    <t>29/05/2022</t>
  </si>
  <si>
    <t>FRENTES ALUMÍNIO AQUA</t>
  </si>
  <si>
    <t>PINT BRANCO</t>
  </si>
  <si>
    <t>PINT CHAMP</t>
  </si>
  <si>
    <t>PINT INOX</t>
  </si>
  <si>
    <t>PINT BRONZE</t>
  </si>
  <si>
    <t>PINT PRETO</t>
  </si>
  <si>
    <t>PINT SISAL</t>
  </si>
  <si>
    <t>PINT AREIA</t>
  </si>
  <si>
    <t>ESP PRATA</t>
  </si>
  <si>
    <t>ESP CHAMP</t>
  </si>
  <si>
    <t>ESP FUME</t>
  </si>
  <si>
    <t>ONIX</t>
  </si>
  <si>
    <t>ARDOSIA</t>
  </si>
  <si>
    <t>PERFIL ALUMINIO TERRA - 6M</t>
  </si>
  <si>
    <t>PINTURA ALUMINIO PL TERRA/ULTRA + COR</t>
  </si>
  <si>
    <t>PERFIL ALUMINIO AQUA - 6M</t>
  </si>
  <si>
    <t>PINTURA ALUMINIO PL AQUA + COR</t>
  </si>
  <si>
    <t>TAMPA D/E AQUA WOOD + COR</t>
  </si>
  <si>
    <t>TAMPA D/E PERFIL AQUA WOOD</t>
  </si>
  <si>
    <t>PINTURA TAMPA PL AQUA WOOD + COR</t>
  </si>
  <si>
    <t>FITA DUPLA FACE 0,4X11MM  X 20M</t>
  </si>
  <si>
    <t>M</t>
  </si>
  <si>
    <t>ADESIVO FIXA ESPELHO 0892 - ALUMINIOS</t>
  </si>
  <si>
    <t>g/M</t>
  </si>
  <si>
    <t>KIT P/ PORTA AQUA</t>
  </si>
  <si>
    <t>ESQUADRETA P/ ALUM 4 FUROS</t>
  </si>
  <si>
    <t>PARAFUSOS M4x8 ZB</t>
  </si>
  <si>
    <t>49</t>
  </si>
  <si>
    <t>50</t>
  </si>
  <si>
    <t>51</t>
  </si>
  <si>
    <t>52</t>
  </si>
  <si>
    <t>FRENTE FALSA GAV H=713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</si>
</sst>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2060"/>
      <name val="Verdana"/>
      <family val="2"/>
    </font>
    <font>
      <b/>
      <sz val="10"/>
      <name val="Verdana"/>
      <family val="2"/>
    </font>
    <font>
      <sz val="10"/>
      <color rgb="FFFF0000"/>
      <name val="Verdana"/>
      <family val="2"/>
    </font>
    <font>
      <sz val="10"/>
      <name val="Arial"/>
      <family val="2"/>
    </font>
    <font>
      <b/>
      <sz val="16"/>
      <color theme="0"/>
      <name val="Verdana"/>
      <family val="2"/>
    </font>
    <font>
      <sz val="10"/>
      <color rgb="FF0000FF"/>
      <name val="Verdana"/>
      <family val="2"/>
    </font>
    <font>
      <sz val="10"/>
      <name val="Verdana"/>
      <family val="2"/>
    </font>
    <font>
      <b/>
      <sz val="12"/>
      <color rgb="FFFF0000"/>
      <name val="Verdana"/>
      <family val="2"/>
    </font>
    <font>
      <b/>
      <sz val="10"/>
      <color rgb="FFFF0000"/>
      <name val="Verdana"/>
      <family val="2"/>
    </font>
    <font>
      <sz val="8"/>
      <name val="Calibri"/>
      <family val="2"/>
      <scheme val="minor"/>
    </font>
    <font>
      <b/>
      <sz val="11"/>
      <color theme="0"/>
      <name val="Bahnschrift Light SemiCondensed"/>
      <family val="2"/>
    </font>
    <font>
      <sz val="12"/>
      <name val="Verdana"/>
      <family val="2"/>
    </font>
    <font>
      <b/>
      <sz val="18"/>
      <name val="Verdana"/>
      <family val="2"/>
    </font>
    <font>
      <u/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104">
    <xf numFmtId="0" fontId="0" fillId="0" borderId="0" xfId="0"/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vertical="center"/>
    </xf>
    <xf numFmtId="49" fontId="7" fillId="0" borderId="4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0" fontId="4" fillId="3" borderId="4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1" fontId="0" fillId="0" borderId="0" xfId="0" applyNumberFormat="1"/>
    <xf numFmtId="14" fontId="0" fillId="0" borderId="0" xfId="0" applyNumberFormat="1"/>
    <xf numFmtId="0" fontId="12" fillId="5" borderId="4" xfId="0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19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6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49" fontId="8" fillId="0" borderId="4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3" fillId="6" borderId="8" xfId="0" applyFont="1" applyFill="1" applyBorder="1" applyAlignment="1">
      <alignment horizontal="center" vertical="center" wrapText="1"/>
    </xf>
    <xf numFmtId="49" fontId="8" fillId="6" borderId="4" xfId="0" applyNumberFormat="1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left" vertical="center"/>
    </xf>
    <xf numFmtId="0" fontId="3" fillId="6" borderId="15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 wrapText="1"/>
    </xf>
    <xf numFmtId="49" fontId="8" fillId="0" borderId="4" xfId="0" quotePrefix="1" applyNumberFormat="1" applyFont="1" applyBorder="1" applyAlignment="1">
      <alignment horizontal="center" vertical="center"/>
    </xf>
    <xf numFmtId="0" fontId="8" fillId="0" borderId="0" xfId="0" applyFont="1"/>
    <xf numFmtId="0" fontId="10" fillId="3" borderId="8" xfId="0" applyFont="1" applyFill="1" applyBorder="1" applyAlignment="1">
      <alignment horizontal="center" vertical="center" wrapText="1"/>
    </xf>
    <xf numFmtId="49" fontId="4" fillId="3" borderId="4" xfId="0" applyNumberFormat="1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 wrapText="1"/>
    </xf>
    <xf numFmtId="0" fontId="10" fillId="3" borderId="9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23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3" fillId="2" borderId="25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13" fillId="2" borderId="27" xfId="0" applyFont="1" applyFill="1" applyBorder="1" applyAlignment="1">
      <alignment horizontal="center" vertical="center"/>
    </xf>
    <xf numFmtId="0" fontId="13" fillId="2" borderId="2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7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vertical="center"/>
    </xf>
    <xf numFmtId="0" fontId="9" fillId="8" borderId="6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10" fillId="3" borderId="11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</cellXfs>
  <cellStyles count="3">
    <cellStyle name="Normal" xfId="0" builtinId="0"/>
    <cellStyle name="Normal 2 2 2" xfId="2" xr:uid="{4FD528BC-93E0-4578-899B-3CA5A751E781}"/>
    <cellStyle name="Normal 8 2" xfId="1" xr:uid="{AF4320A5-7199-472B-87E6-EAC56AF5F3C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59870</xdr:colOff>
      <xdr:row>10</xdr:row>
      <xdr:rowOff>95248</xdr:rowOff>
    </xdr:from>
    <xdr:to>
      <xdr:col>22</xdr:col>
      <xdr:colOff>361948</xdr:colOff>
      <xdr:row>15</xdr:row>
      <xdr:rowOff>190232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DD9312B-A618-4134-8CDD-B07CB13E7AF4}"/>
            </a:ext>
          </a:extLst>
        </xdr:cNvPr>
        <xdr:cNvGrpSpPr/>
      </xdr:nvGrpSpPr>
      <xdr:grpSpPr>
        <a:xfrm>
          <a:off x="22906263" y="2367641"/>
          <a:ext cx="914399" cy="1047484"/>
          <a:chOff x="14039850" y="381000"/>
          <a:chExt cx="914400" cy="1115520"/>
        </a:xfrm>
      </xdr:grpSpPr>
      <xdr:pic macro="[0]!Limpar1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5174ED3E-1F66-8BAC-F339-E326A5F6AF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1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CEA5E1C-479E-295E-D357-5E86F737C9B5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20</xdr:col>
      <xdr:colOff>503464</xdr:colOff>
      <xdr:row>1</xdr:row>
      <xdr:rowOff>258535</xdr:rowOff>
    </xdr:from>
    <xdr:to>
      <xdr:col>22</xdr:col>
      <xdr:colOff>427263</xdr:colOff>
      <xdr:row>10</xdr:row>
      <xdr:rowOff>54427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19B67E8-3199-4001-AA25-55E31D4A3D9A}"/>
            </a:ext>
          </a:extLst>
        </xdr:cNvPr>
        <xdr:cNvGrpSpPr/>
      </xdr:nvGrpSpPr>
      <xdr:grpSpPr>
        <a:xfrm>
          <a:off x="22737535" y="557892"/>
          <a:ext cx="1148442" cy="1768928"/>
          <a:chOff x="22487165" y="421822"/>
          <a:chExt cx="1148442" cy="1524000"/>
        </a:xfrm>
      </xdr:grpSpPr>
      <xdr:sp macro="[0]!Montar_Estrutura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A7962A66-245F-7453-987F-2594B4B7F54D}"/>
              </a:ext>
            </a:extLst>
          </xdr:cNvPr>
          <xdr:cNvSpPr txBox="1"/>
        </xdr:nvSpPr>
        <xdr:spPr>
          <a:xfrm>
            <a:off x="22487165" y="1341665"/>
            <a:ext cx="1148442" cy="6041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Montar</a:t>
            </a:r>
            <a:endParaRPr lang="pt-BR" sz="1200" b="1" baseline="0">
              <a:latin typeface="Century" panose="02040604050505020304" pitchFamily="18" charset="0"/>
            </a:endParaRPr>
          </a:p>
          <a:p>
            <a:pPr algn="ctr"/>
            <a:r>
              <a:rPr lang="pt-BR" sz="1200" b="1" baseline="0">
                <a:latin typeface="Century" panose="02040604050505020304" pitchFamily="18" charset="0"/>
              </a:rPr>
              <a:t>Estrutura</a:t>
            </a:r>
            <a:endParaRPr lang="pt-BR" sz="1200" b="1">
              <a:latin typeface="Century" panose="02040604050505020304" pitchFamily="18" charset="0"/>
            </a:endParaRPr>
          </a:p>
        </xdr:txBody>
      </xdr:sp>
      <xdr:pic macro="[0]!Montar_Estrutura">
        <xdr:nvPicPr>
          <xdr:cNvPr id="7" name="Gráfico 6" descr="Ferramentas">
            <a:extLst>
              <a:ext uri="{FF2B5EF4-FFF2-40B4-BE49-F238E27FC236}">
                <a16:creationId xmlns:a16="http://schemas.microsoft.com/office/drawing/2014/main" id="{93B86D57-B08C-06C6-D418-C4AB71BB22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42286" y="421822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180975</xdr:colOff>
      <xdr:row>9</xdr:row>
      <xdr:rowOff>47625</xdr:rowOff>
    </xdr:from>
    <xdr:to>
      <xdr:col>26</xdr:col>
      <xdr:colOff>485775</xdr:colOff>
      <xdr:row>15</xdr:row>
      <xdr:rowOff>20145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1E56368-0C4E-4183-AF3F-AFF5C54D762C}"/>
            </a:ext>
          </a:extLst>
        </xdr:cNvPr>
        <xdr:cNvGrpSpPr/>
      </xdr:nvGrpSpPr>
      <xdr:grpSpPr>
        <a:xfrm>
          <a:off x="16430625" y="1762125"/>
          <a:ext cx="914400" cy="1115520"/>
          <a:chOff x="14039850" y="381000"/>
          <a:chExt cx="914400" cy="1115520"/>
        </a:xfrm>
      </xdr:grpSpPr>
      <xdr:pic macro="[0]!Limpar2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DFB83DB4-9059-6411-A42C-D1829E70CE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2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95561273-801F-FE31-6E41-74E9DB2052A2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25</xdr:col>
      <xdr:colOff>171450</xdr:colOff>
      <xdr:row>1</xdr:row>
      <xdr:rowOff>180975</xdr:rowOff>
    </xdr:from>
    <xdr:to>
      <xdr:col>26</xdr:col>
      <xdr:colOff>476250</xdr:colOff>
      <xdr:row>8</xdr:row>
      <xdr:rowOff>1095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97F57FD-AD65-40AB-A1B6-B71F1848D00D}"/>
            </a:ext>
          </a:extLst>
        </xdr:cNvPr>
        <xdr:cNvGrpSpPr/>
      </xdr:nvGrpSpPr>
      <xdr:grpSpPr>
        <a:xfrm>
          <a:off x="16421100" y="371475"/>
          <a:ext cx="914400" cy="1153620"/>
          <a:chOff x="13430250" y="3429000"/>
          <a:chExt cx="914400" cy="1153620"/>
        </a:xfrm>
      </xdr:grpSpPr>
      <xdr:pic macro="[0]!Exportar">
        <xdr:nvPicPr>
          <xdr:cNvPr id="6" name="Gráfico 5" descr="Disco">
            <a:extLst>
              <a:ext uri="{FF2B5EF4-FFF2-40B4-BE49-F238E27FC236}">
                <a16:creationId xmlns:a16="http://schemas.microsoft.com/office/drawing/2014/main" id="{F5587BB7-5610-DF91-927B-2227FC9847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430250" y="3429000"/>
            <a:ext cx="914400" cy="914400"/>
          </a:xfrm>
          <a:prstGeom prst="rect">
            <a:avLst/>
          </a:prstGeom>
        </xdr:spPr>
      </xdr:pic>
      <xdr:sp macro="[0]!Exportar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710B7C4D-CFCE-104B-0E30-90DA10138E39}"/>
              </a:ext>
            </a:extLst>
          </xdr:cNvPr>
          <xdr:cNvSpPr txBox="1"/>
        </xdr:nvSpPr>
        <xdr:spPr>
          <a:xfrm>
            <a:off x="13525500" y="43053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Exportar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238125</xdr:colOff>
      <xdr:row>8</xdr:row>
      <xdr:rowOff>114300</xdr:rowOff>
    </xdr:from>
    <xdr:to>
      <xdr:col>26</xdr:col>
      <xdr:colOff>542925</xdr:colOff>
      <xdr:row>14</xdr:row>
      <xdr:rowOff>86820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C6360C3-A96E-4FB0-84CC-48E8D133D4F4}"/>
            </a:ext>
          </a:extLst>
        </xdr:cNvPr>
        <xdr:cNvGrpSpPr/>
      </xdr:nvGrpSpPr>
      <xdr:grpSpPr>
        <a:xfrm>
          <a:off x="16325850" y="1638300"/>
          <a:ext cx="914400" cy="1115520"/>
          <a:chOff x="14039850" y="381000"/>
          <a:chExt cx="914400" cy="1115520"/>
        </a:xfrm>
      </xdr:grpSpPr>
      <xdr:pic macro="[0]!Limpar3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8F68D9A4-DF46-77C6-B6F6-59FC241508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3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35980140-0A6D-4A39-0142-BEF22BFBC59A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25</xdr:col>
      <xdr:colOff>228600</xdr:colOff>
      <xdr:row>1</xdr:row>
      <xdr:rowOff>47625</xdr:rowOff>
    </xdr:from>
    <xdr:to>
      <xdr:col>26</xdr:col>
      <xdr:colOff>533400</xdr:colOff>
      <xdr:row>7</xdr:row>
      <xdr:rowOff>58245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B92974E-90B6-4CD9-8CE7-566E9F774EFF}"/>
            </a:ext>
          </a:extLst>
        </xdr:cNvPr>
        <xdr:cNvGrpSpPr/>
      </xdr:nvGrpSpPr>
      <xdr:grpSpPr>
        <a:xfrm>
          <a:off x="16316325" y="238125"/>
          <a:ext cx="914400" cy="1153620"/>
          <a:chOff x="13430250" y="3429000"/>
          <a:chExt cx="914400" cy="1153620"/>
        </a:xfrm>
      </xdr:grpSpPr>
      <xdr:pic macro="[0]!Exportar2">
        <xdr:nvPicPr>
          <xdr:cNvPr id="6" name="Gráfico 5" descr="Disco">
            <a:extLst>
              <a:ext uri="{FF2B5EF4-FFF2-40B4-BE49-F238E27FC236}">
                <a16:creationId xmlns:a16="http://schemas.microsoft.com/office/drawing/2014/main" id="{DC5EEE88-5A85-D604-1CE1-CAC32F8E5F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430250" y="3429000"/>
            <a:ext cx="914400" cy="914400"/>
          </a:xfrm>
          <a:prstGeom prst="rect">
            <a:avLst/>
          </a:prstGeom>
        </xdr:spPr>
      </xdr:pic>
      <xdr:sp macro="[0]!Exportar2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8CB76DF2-A1E5-B5C4-2D5C-B4C264935837}"/>
              </a:ext>
            </a:extLst>
          </xdr:cNvPr>
          <xdr:cNvSpPr txBox="1"/>
        </xdr:nvSpPr>
        <xdr:spPr>
          <a:xfrm>
            <a:off x="13525500" y="43053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Exportar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2)%20DOCUMENTOS%20LAN&#199;AMENTOS\LAN&#199;AMENTOS%202022\LAN&#199;AMENTOS%202022-2\FRENTES%20-%202022\FRENTES%20ALUM&#205;NIO%202022-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14%20-%20FICHAS%20T&#201;CNICAS%20LAN&#199;AMENTOS%202022\LAN&#199;AMENTOS%202022-2\FICHAS%20T&#201;CNICAS%20-%202022\FTES%20E%20PRAT%20ALUM%20-%202022\AQUA%20-%202022\FRENTES%20AQUA%20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G COZ ALUM"/>
      <sheetName val="CG COZ ALUM ESP"/>
      <sheetName val="SLIM COZ ALUM"/>
      <sheetName val="SLIM COZ ALUM ESP"/>
      <sheetName val="AQUA COZ ALUM"/>
      <sheetName val="FILO COZ ALUM"/>
      <sheetName val="FILO COZ ALUM ESP"/>
      <sheetName val="CG DORM"/>
      <sheetName val="CG DORM ESP"/>
      <sheetName val="SLIM DORM"/>
      <sheetName val="SLIM DORM ESP"/>
      <sheetName val="FILO DORM ALUM"/>
      <sheetName val="FILO DORM ALUM ESP"/>
      <sheetName val="ARCH DORM ALUM"/>
      <sheetName val="ARCH DORM ALUM ESP"/>
      <sheetName val="PIANO DORM ALUM"/>
      <sheetName val="PIANO DORM ALUM ESP"/>
      <sheetName val="PIANO DORM ALUM-BP"/>
      <sheetName val="PIANO DORM ALUM-BP ESP"/>
      <sheetName val="PRAT ALUM FRAME"/>
      <sheetName val="Plan1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9">
          <cell r="B9">
            <v>223000</v>
          </cell>
          <cell r="C9">
            <v>590000</v>
          </cell>
          <cell r="D9" t="str">
            <v>FRENTE ARTIC 355X596X19+COR</v>
          </cell>
          <cell r="E9">
            <v>355</v>
          </cell>
          <cell r="F9">
            <v>596</v>
          </cell>
        </row>
        <row r="10">
          <cell r="B10">
            <v>223001</v>
          </cell>
          <cell r="C10">
            <v>590001</v>
          </cell>
          <cell r="D10" t="str">
            <v>FRENTE ARTIC 355X696X19+COR</v>
          </cell>
          <cell r="E10">
            <v>355</v>
          </cell>
          <cell r="F10">
            <v>696</v>
          </cell>
        </row>
        <row r="11">
          <cell r="B11">
            <v>223002</v>
          </cell>
          <cell r="C11">
            <v>590002</v>
          </cell>
          <cell r="D11" t="str">
            <v>FRENTE ARTIC 355X796X19+COR</v>
          </cell>
          <cell r="E11">
            <v>355</v>
          </cell>
          <cell r="F11">
            <v>796</v>
          </cell>
        </row>
        <row r="12">
          <cell r="B12">
            <v>223003</v>
          </cell>
          <cell r="C12">
            <v>590003</v>
          </cell>
          <cell r="D12" t="str">
            <v>FRENTE ARTIC 355X896X19+COR</v>
          </cell>
          <cell r="E12">
            <v>355</v>
          </cell>
          <cell r="F12">
            <v>896</v>
          </cell>
        </row>
        <row r="13">
          <cell r="B13">
            <v>223004</v>
          </cell>
          <cell r="C13">
            <v>590004</v>
          </cell>
          <cell r="D13" t="str">
            <v>FRENTE ARTIC 355X996X19+COR</v>
          </cell>
          <cell r="E13">
            <v>355</v>
          </cell>
          <cell r="F13">
            <v>996</v>
          </cell>
        </row>
        <row r="14">
          <cell r="B14">
            <v>223005</v>
          </cell>
          <cell r="C14">
            <v>590005</v>
          </cell>
          <cell r="D14" t="str">
            <v>FRENTE ARTIC 355X1096X19+COR</v>
          </cell>
          <cell r="E14">
            <v>355</v>
          </cell>
          <cell r="F14">
            <v>1096</v>
          </cell>
        </row>
        <row r="15">
          <cell r="B15">
            <v>223006</v>
          </cell>
          <cell r="C15">
            <v>590006</v>
          </cell>
          <cell r="D15" t="str">
            <v>FRENTE ARTIC 355X1196X19+COR</v>
          </cell>
          <cell r="E15">
            <v>355</v>
          </cell>
          <cell r="F15">
            <v>1196</v>
          </cell>
        </row>
        <row r="16">
          <cell r="B16">
            <v>223007</v>
          </cell>
          <cell r="C16">
            <v>590007</v>
          </cell>
          <cell r="D16" t="str">
            <v>FRENTE ARTIC 355X1396X19+COR</v>
          </cell>
          <cell r="E16">
            <v>355</v>
          </cell>
          <cell r="F16">
            <v>1396</v>
          </cell>
        </row>
        <row r="17">
          <cell r="B17"/>
          <cell r="C17"/>
          <cell r="D17"/>
          <cell r="E17"/>
          <cell r="F17"/>
        </row>
        <row r="18">
          <cell r="B18">
            <v>223010</v>
          </cell>
          <cell r="C18">
            <v>590008</v>
          </cell>
          <cell r="D18" t="str">
            <v>FRENTE ARTIC S/ DOB 355X596X19+COR</v>
          </cell>
          <cell r="E18">
            <v>355</v>
          </cell>
          <cell r="F18">
            <v>596</v>
          </cell>
        </row>
        <row r="19">
          <cell r="B19">
            <v>223011</v>
          </cell>
          <cell r="C19">
            <v>590009</v>
          </cell>
          <cell r="D19" t="str">
            <v>FRENTE ARTIC S/ DOB 355X696X19+COR</v>
          </cell>
          <cell r="E19">
            <v>355</v>
          </cell>
          <cell r="F19">
            <v>696</v>
          </cell>
        </row>
        <row r="20">
          <cell r="B20">
            <v>223012</v>
          </cell>
          <cell r="C20">
            <v>590010</v>
          </cell>
          <cell r="D20" t="str">
            <v>FRENTE ARTIC S/ DOB 355X796X19+COR</v>
          </cell>
          <cell r="E20">
            <v>355</v>
          </cell>
          <cell r="F20">
            <v>796</v>
          </cell>
        </row>
        <row r="21">
          <cell r="B21">
            <v>223013</v>
          </cell>
          <cell r="C21">
            <v>590011</v>
          </cell>
          <cell r="D21" t="str">
            <v>FRENTE ARTIC S/ DOB 355X896X19+COR</v>
          </cell>
          <cell r="E21">
            <v>355</v>
          </cell>
          <cell r="F21">
            <v>896</v>
          </cell>
        </row>
        <row r="22">
          <cell r="B22">
            <v>223014</v>
          </cell>
          <cell r="C22">
            <v>590012</v>
          </cell>
          <cell r="D22" t="str">
            <v>FRENTE ARTIC S/ DOB 355X996X19+COR</v>
          </cell>
          <cell r="E22">
            <v>355</v>
          </cell>
          <cell r="F22">
            <v>996</v>
          </cell>
        </row>
        <row r="23">
          <cell r="B23">
            <v>223015</v>
          </cell>
          <cell r="C23">
            <v>590013</v>
          </cell>
          <cell r="D23" t="str">
            <v>FRENTE ARTIC S/ DOB 355X1096X19+COR</v>
          </cell>
          <cell r="E23">
            <v>355</v>
          </cell>
          <cell r="F23">
            <v>1096</v>
          </cell>
        </row>
        <row r="24">
          <cell r="B24">
            <v>223016</v>
          </cell>
          <cell r="C24">
            <v>590014</v>
          </cell>
          <cell r="D24" t="str">
            <v>FRENTE ARTIC S/ DOB 355X1196X19+COR</v>
          </cell>
          <cell r="E24">
            <v>355</v>
          </cell>
          <cell r="F24">
            <v>1196</v>
          </cell>
        </row>
        <row r="25">
          <cell r="B25">
            <v>223017</v>
          </cell>
          <cell r="C25">
            <v>590015</v>
          </cell>
          <cell r="D25" t="str">
            <v>FRENTE ARTIC S/ DOB 355X1396X19+COR</v>
          </cell>
          <cell r="E25">
            <v>355</v>
          </cell>
          <cell r="F25">
            <v>1396</v>
          </cell>
        </row>
        <row r="26">
          <cell r="B26"/>
          <cell r="C26"/>
          <cell r="D26"/>
          <cell r="E26"/>
          <cell r="F26"/>
        </row>
        <row r="27">
          <cell r="B27">
            <v>223038</v>
          </cell>
          <cell r="C27">
            <v>590510</v>
          </cell>
          <cell r="D27" t="str">
            <v>FRENTE ARTIC AVT 355X596X19+COR</v>
          </cell>
          <cell r="E27">
            <v>355</v>
          </cell>
          <cell r="F27">
            <v>596</v>
          </cell>
        </row>
        <row r="28">
          <cell r="B28">
            <v>223039</v>
          </cell>
          <cell r="C28">
            <v>590511</v>
          </cell>
          <cell r="D28" t="str">
            <v>FRENTE ARTIC AVT 355X696X19+COR</v>
          </cell>
          <cell r="E28">
            <v>355</v>
          </cell>
          <cell r="F28">
            <v>696</v>
          </cell>
        </row>
        <row r="29">
          <cell r="B29">
            <v>223040</v>
          </cell>
          <cell r="C29">
            <v>590512</v>
          </cell>
          <cell r="D29" t="str">
            <v>FRENTE ARTIC AVT 355X796X19+COR</v>
          </cell>
          <cell r="E29">
            <v>355</v>
          </cell>
          <cell r="F29">
            <v>796</v>
          </cell>
        </row>
        <row r="30">
          <cell r="B30">
            <v>223041</v>
          </cell>
          <cell r="C30">
            <v>590513</v>
          </cell>
          <cell r="D30" t="str">
            <v>FRENTE ARTIC AVT 355X896X19+COR</v>
          </cell>
          <cell r="E30">
            <v>355</v>
          </cell>
          <cell r="F30">
            <v>896</v>
          </cell>
        </row>
        <row r="31">
          <cell r="B31">
            <v>223042</v>
          </cell>
          <cell r="C31">
            <v>590514</v>
          </cell>
          <cell r="D31" t="str">
            <v>FRENTE ARTIC AVT 355X996X19+COR</v>
          </cell>
          <cell r="E31">
            <v>355</v>
          </cell>
          <cell r="F31">
            <v>996</v>
          </cell>
        </row>
        <row r="32">
          <cell r="B32">
            <v>223043</v>
          </cell>
          <cell r="C32">
            <v>590515</v>
          </cell>
          <cell r="D32" t="str">
            <v>FRENTE ARTIC AVT 355X1096X19+COR</v>
          </cell>
          <cell r="E32">
            <v>355</v>
          </cell>
          <cell r="F32">
            <v>1096</v>
          </cell>
        </row>
        <row r="33">
          <cell r="B33">
            <v>223044</v>
          </cell>
          <cell r="C33">
            <v>590516</v>
          </cell>
          <cell r="D33" t="str">
            <v>FRENTE ARTIC AVT 355X1196X19+COR</v>
          </cell>
          <cell r="E33">
            <v>355</v>
          </cell>
          <cell r="F33">
            <v>1196</v>
          </cell>
        </row>
        <row r="34">
          <cell r="B34">
            <v>223045</v>
          </cell>
          <cell r="C34">
            <v>590517</v>
          </cell>
          <cell r="D34" t="str">
            <v>FRENTE ARTIC AVT 355X1396X19+COR</v>
          </cell>
          <cell r="E34">
            <v>355</v>
          </cell>
          <cell r="F34">
            <v>1396</v>
          </cell>
        </row>
        <row r="35">
          <cell r="B35"/>
          <cell r="C35"/>
          <cell r="D35"/>
          <cell r="E35"/>
          <cell r="F35"/>
        </row>
        <row r="36">
          <cell r="B36">
            <v>223830</v>
          </cell>
          <cell r="C36">
            <v>590680</v>
          </cell>
          <cell r="D36" t="str">
            <v>FRENTE ARTIC 445X596X19+COR</v>
          </cell>
          <cell r="E36">
            <v>445</v>
          </cell>
          <cell r="F36">
            <v>596</v>
          </cell>
        </row>
        <row r="37">
          <cell r="B37">
            <v>223831</v>
          </cell>
          <cell r="C37">
            <v>590681</v>
          </cell>
          <cell r="D37" t="str">
            <v>FRENTE ARTIC 445X696X19+COR</v>
          </cell>
          <cell r="E37">
            <v>445</v>
          </cell>
          <cell r="F37">
            <v>696</v>
          </cell>
        </row>
        <row r="38">
          <cell r="B38">
            <v>223832</v>
          </cell>
          <cell r="C38">
            <v>590682</v>
          </cell>
          <cell r="D38" t="str">
            <v>FRENTE ARTIC 445X796X19+COR</v>
          </cell>
          <cell r="E38">
            <v>445</v>
          </cell>
          <cell r="F38">
            <v>796</v>
          </cell>
        </row>
        <row r="39">
          <cell r="B39">
            <v>223833</v>
          </cell>
          <cell r="C39">
            <v>590683</v>
          </cell>
          <cell r="D39" t="str">
            <v>FRENTE ARTIC 445X896X19+COR</v>
          </cell>
          <cell r="E39">
            <v>445</v>
          </cell>
          <cell r="F39">
            <v>896</v>
          </cell>
        </row>
        <row r="40">
          <cell r="B40">
            <v>223834</v>
          </cell>
          <cell r="C40">
            <v>590684</v>
          </cell>
          <cell r="D40" t="str">
            <v>FRENTE ARTIC 445X996X19+COR</v>
          </cell>
          <cell r="E40">
            <v>445</v>
          </cell>
          <cell r="F40">
            <v>996</v>
          </cell>
        </row>
        <row r="41">
          <cell r="B41">
            <v>223835</v>
          </cell>
          <cell r="C41">
            <v>590685</v>
          </cell>
          <cell r="D41" t="str">
            <v>FRENTE ARTIC 445X1096X19+COR</v>
          </cell>
          <cell r="E41">
            <v>445</v>
          </cell>
          <cell r="F41">
            <v>1096</v>
          </cell>
        </row>
        <row r="42">
          <cell r="B42">
            <v>223836</v>
          </cell>
          <cell r="C42">
            <v>590686</v>
          </cell>
          <cell r="D42" t="str">
            <v>FRENTE ARTIC 445X1196X19+COR</v>
          </cell>
          <cell r="E42">
            <v>445</v>
          </cell>
          <cell r="F42">
            <v>1196</v>
          </cell>
        </row>
        <row r="43">
          <cell r="B43">
            <v>223837</v>
          </cell>
          <cell r="C43">
            <v>590687</v>
          </cell>
          <cell r="D43" t="str">
            <v>FRENTE ARTIC 445X1396X19+COR</v>
          </cell>
          <cell r="E43">
            <v>445</v>
          </cell>
          <cell r="F43">
            <v>1396</v>
          </cell>
        </row>
        <row r="44">
          <cell r="B44"/>
          <cell r="C44"/>
          <cell r="D44"/>
          <cell r="E44"/>
          <cell r="F44"/>
        </row>
        <row r="45">
          <cell r="B45">
            <v>223840</v>
          </cell>
          <cell r="C45">
            <v>590688</v>
          </cell>
          <cell r="D45" t="str">
            <v>FRENTE ARTIC S/ DOB 445X596X19+COR</v>
          </cell>
          <cell r="E45">
            <v>445</v>
          </cell>
          <cell r="F45">
            <v>596</v>
          </cell>
        </row>
        <row r="46">
          <cell r="B46">
            <v>223841</v>
          </cell>
          <cell r="C46">
            <v>590689</v>
          </cell>
          <cell r="D46" t="str">
            <v>FRENTE ARTIC S/ DOB 445X696X19+COR</v>
          </cell>
          <cell r="E46">
            <v>445</v>
          </cell>
          <cell r="F46">
            <v>696</v>
          </cell>
        </row>
        <row r="47">
          <cell r="B47">
            <v>223842</v>
          </cell>
          <cell r="C47">
            <v>590690</v>
          </cell>
          <cell r="D47" t="str">
            <v>FRENTE ARTIC S/ DOB 445X796X19+COR</v>
          </cell>
          <cell r="E47">
            <v>445</v>
          </cell>
          <cell r="F47">
            <v>796</v>
          </cell>
        </row>
        <row r="48">
          <cell r="B48">
            <v>223843</v>
          </cell>
          <cell r="C48">
            <v>590691</v>
          </cell>
          <cell r="D48" t="str">
            <v>FRENTE ARTIC S/ DOB 445X896X19+COR</v>
          </cell>
          <cell r="E48">
            <v>445</v>
          </cell>
          <cell r="F48">
            <v>896</v>
          </cell>
        </row>
        <row r="49">
          <cell r="B49">
            <v>223844</v>
          </cell>
          <cell r="C49">
            <v>590692</v>
          </cell>
          <cell r="D49" t="str">
            <v>FRENTE ARTIC S/ DOB 445X996X19+COR</v>
          </cell>
          <cell r="E49">
            <v>445</v>
          </cell>
          <cell r="F49">
            <v>996</v>
          </cell>
        </row>
        <row r="50">
          <cell r="B50">
            <v>223845</v>
          </cell>
          <cell r="C50">
            <v>590693</v>
          </cell>
          <cell r="D50" t="str">
            <v>FRENTE ARTIC S/ DOB 445X1096X19+COR</v>
          </cell>
          <cell r="E50">
            <v>445</v>
          </cell>
          <cell r="F50">
            <v>1096</v>
          </cell>
        </row>
        <row r="51">
          <cell r="B51">
            <v>223846</v>
          </cell>
          <cell r="C51">
            <v>590694</v>
          </cell>
          <cell r="D51" t="str">
            <v>FRENTE ARTIC S/ DOB 445X1196X19+COR</v>
          </cell>
          <cell r="E51">
            <v>445</v>
          </cell>
          <cell r="F51">
            <v>1196</v>
          </cell>
        </row>
        <row r="52">
          <cell r="B52">
            <v>223847</v>
          </cell>
          <cell r="C52">
            <v>590695</v>
          </cell>
          <cell r="D52" t="str">
            <v>FRENTE ARTIC S/ DOB 445X1396X19+COR</v>
          </cell>
          <cell r="E52">
            <v>445</v>
          </cell>
          <cell r="F52">
            <v>1396</v>
          </cell>
        </row>
        <row r="53">
          <cell r="B53"/>
          <cell r="C53"/>
          <cell r="D53"/>
          <cell r="E53"/>
          <cell r="F53"/>
        </row>
        <row r="54">
          <cell r="B54">
            <v>223870</v>
          </cell>
          <cell r="C54">
            <v>590696</v>
          </cell>
          <cell r="D54" t="str">
            <v>FRENTE ARTIC AVT 445X596X19+COR</v>
          </cell>
          <cell r="E54">
            <v>445</v>
          </cell>
          <cell r="F54">
            <v>596</v>
          </cell>
        </row>
        <row r="55">
          <cell r="B55">
            <v>223871</v>
          </cell>
          <cell r="C55">
            <v>590697</v>
          </cell>
          <cell r="D55" t="str">
            <v>FRENTE ARTIC AVT 445X696X19+COR</v>
          </cell>
          <cell r="E55">
            <v>445</v>
          </cell>
          <cell r="F55">
            <v>696</v>
          </cell>
        </row>
        <row r="56">
          <cell r="B56">
            <v>223872</v>
          </cell>
          <cell r="C56">
            <v>590698</v>
          </cell>
          <cell r="D56" t="str">
            <v>FRENTE ARTIC AVT 445X796X19+COR</v>
          </cell>
          <cell r="E56">
            <v>445</v>
          </cell>
          <cell r="F56">
            <v>796</v>
          </cell>
        </row>
        <row r="57">
          <cell r="B57">
            <v>223873</v>
          </cell>
          <cell r="C57">
            <v>590699</v>
          </cell>
          <cell r="D57" t="str">
            <v>FRENTE ARTIC AVT 445X896X19+COR</v>
          </cell>
          <cell r="E57">
            <v>445</v>
          </cell>
          <cell r="F57">
            <v>896</v>
          </cell>
        </row>
        <row r="58">
          <cell r="B58">
            <v>223874</v>
          </cell>
          <cell r="C58">
            <v>590700</v>
          </cell>
          <cell r="D58" t="str">
            <v>FRENTE ARTIC AVT 445X996X19+COR</v>
          </cell>
          <cell r="E58">
            <v>445</v>
          </cell>
          <cell r="F58">
            <v>996</v>
          </cell>
        </row>
        <row r="59">
          <cell r="B59">
            <v>223875</v>
          </cell>
          <cell r="C59">
            <v>590701</v>
          </cell>
          <cell r="D59" t="str">
            <v>FRENTE ARTIC AVT 445X1096X19+COR</v>
          </cell>
          <cell r="E59">
            <v>445</v>
          </cell>
          <cell r="F59">
            <v>1096</v>
          </cell>
        </row>
        <row r="60">
          <cell r="B60">
            <v>223876</v>
          </cell>
          <cell r="C60">
            <v>590702</v>
          </cell>
          <cell r="D60" t="str">
            <v>FRENTE ARTIC AVT 445X1196X19+COR</v>
          </cell>
          <cell r="E60">
            <v>445</v>
          </cell>
          <cell r="F60">
            <v>1196</v>
          </cell>
        </row>
        <row r="61">
          <cell r="B61">
            <v>223877</v>
          </cell>
          <cell r="C61">
            <v>590703</v>
          </cell>
          <cell r="D61" t="str">
            <v>FRENTE ARTIC AVT 445X1396X19+COR</v>
          </cell>
          <cell r="E61">
            <v>445</v>
          </cell>
          <cell r="F61">
            <v>1396</v>
          </cell>
        </row>
        <row r="62">
          <cell r="B62"/>
          <cell r="C62"/>
          <cell r="D62"/>
          <cell r="E62"/>
          <cell r="F62"/>
        </row>
        <row r="63">
          <cell r="B63">
            <v>223020</v>
          </cell>
          <cell r="C63">
            <v>590016</v>
          </cell>
          <cell r="D63" t="str">
            <v>FRENTE ARTIC 535X596X19+COR</v>
          </cell>
          <cell r="E63">
            <v>535</v>
          </cell>
          <cell r="F63">
            <v>596</v>
          </cell>
        </row>
        <row r="64">
          <cell r="B64">
            <v>223021</v>
          </cell>
          <cell r="C64">
            <v>590017</v>
          </cell>
          <cell r="D64" t="str">
            <v>FRENTE ARTIC 535X696X19+COR</v>
          </cell>
          <cell r="E64">
            <v>535</v>
          </cell>
          <cell r="F64">
            <v>696</v>
          </cell>
        </row>
        <row r="65">
          <cell r="B65">
            <v>223022</v>
          </cell>
          <cell r="C65">
            <v>590018</v>
          </cell>
          <cell r="D65" t="str">
            <v>FRENTE ARTIC 535X796X19+COR</v>
          </cell>
          <cell r="E65">
            <v>535</v>
          </cell>
          <cell r="F65">
            <v>796</v>
          </cell>
        </row>
        <row r="66">
          <cell r="B66">
            <v>223023</v>
          </cell>
          <cell r="C66">
            <v>590019</v>
          </cell>
          <cell r="D66" t="str">
            <v>FRENTE ARTIC 535X896X19+COR</v>
          </cell>
          <cell r="E66">
            <v>535</v>
          </cell>
          <cell r="F66">
            <v>896</v>
          </cell>
        </row>
        <row r="67">
          <cell r="B67">
            <v>223024</v>
          </cell>
          <cell r="C67">
            <v>590020</v>
          </cell>
          <cell r="D67" t="str">
            <v>FRENTE ARTIC 535X996X19+COR</v>
          </cell>
          <cell r="E67">
            <v>535</v>
          </cell>
          <cell r="F67">
            <v>996</v>
          </cell>
        </row>
        <row r="68">
          <cell r="B68">
            <v>223025</v>
          </cell>
          <cell r="C68">
            <v>590021</v>
          </cell>
          <cell r="D68" t="str">
            <v>FRENTE ARTIC 535X1096X19+COR</v>
          </cell>
          <cell r="E68">
            <v>535</v>
          </cell>
          <cell r="F68">
            <v>1096</v>
          </cell>
        </row>
        <row r="69">
          <cell r="B69">
            <v>223026</v>
          </cell>
          <cell r="C69">
            <v>590022</v>
          </cell>
          <cell r="D69" t="str">
            <v>FRENTE ARTIC 535X1196X19+COR</v>
          </cell>
          <cell r="E69">
            <v>535</v>
          </cell>
          <cell r="F69">
            <v>1196</v>
          </cell>
        </row>
        <row r="70">
          <cell r="B70">
            <v>223027</v>
          </cell>
          <cell r="C70">
            <v>590023</v>
          </cell>
          <cell r="D70" t="str">
            <v>FRENTE ARTIC 535X1396X19+COR</v>
          </cell>
          <cell r="E70">
            <v>535</v>
          </cell>
          <cell r="F70">
            <v>1396</v>
          </cell>
        </row>
        <row r="71">
          <cell r="B71"/>
          <cell r="C71"/>
          <cell r="D71"/>
          <cell r="E71"/>
          <cell r="F71"/>
        </row>
        <row r="72">
          <cell r="B72">
            <v>223030</v>
          </cell>
          <cell r="C72">
            <v>590024</v>
          </cell>
          <cell r="D72" t="str">
            <v>FRENTE ARTIC S/ DOB 535X596X19+COR</v>
          </cell>
          <cell r="E72">
            <v>535</v>
          </cell>
          <cell r="F72">
            <v>596</v>
          </cell>
        </row>
        <row r="73">
          <cell r="B73">
            <v>223031</v>
          </cell>
          <cell r="C73">
            <v>590025</v>
          </cell>
          <cell r="D73" t="str">
            <v>FRENTE ARTIC S/ DOB 535X696X19+COR</v>
          </cell>
          <cell r="E73">
            <v>535</v>
          </cell>
          <cell r="F73">
            <v>696</v>
          </cell>
        </row>
        <row r="74">
          <cell r="B74">
            <v>223032</v>
          </cell>
          <cell r="C74">
            <v>590026</v>
          </cell>
          <cell r="D74" t="str">
            <v>FRENTE ARTIC S/ DOB 535X796X19+COR</v>
          </cell>
          <cell r="E74">
            <v>535</v>
          </cell>
          <cell r="F74">
            <v>796</v>
          </cell>
        </row>
        <row r="75">
          <cell r="B75">
            <v>223033</v>
          </cell>
          <cell r="C75">
            <v>590027</v>
          </cell>
          <cell r="D75" t="str">
            <v>FRENTE ARTIC S/ DOB 535X896X19+COR</v>
          </cell>
          <cell r="E75">
            <v>535</v>
          </cell>
          <cell r="F75">
            <v>896</v>
          </cell>
        </row>
        <row r="76">
          <cell r="B76">
            <v>223034</v>
          </cell>
          <cell r="C76">
            <v>590028</v>
          </cell>
          <cell r="D76" t="str">
            <v>FRENTE ARTIC S/ DOB 535X996X19+COR</v>
          </cell>
          <cell r="E76">
            <v>535</v>
          </cell>
          <cell r="F76">
            <v>996</v>
          </cell>
        </row>
        <row r="77">
          <cell r="B77">
            <v>223035</v>
          </cell>
          <cell r="C77">
            <v>590029</v>
          </cell>
          <cell r="D77" t="str">
            <v>FRENTE ARTIC S/ DOB 535X1096X19+COR</v>
          </cell>
          <cell r="E77">
            <v>535</v>
          </cell>
          <cell r="F77">
            <v>1096</v>
          </cell>
        </row>
        <row r="78">
          <cell r="B78">
            <v>223036</v>
          </cell>
          <cell r="C78">
            <v>590030</v>
          </cell>
          <cell r="D78" t="str">
            <v>FRENTE ARTIC S/ DOB 535X1196X19+COR</v>
          </cell>
          <cell r="E78">
            <v>535</v>
          </cell>
          <cell r="F78">
            <v>1196</v>
          </cell>
        </row>
        <row r="79">
          <cell r="B79">
            <v>223037</v>
          </cell>
          <cell r="C79">
            <v>590031</v>
          </cell>
          <cell r="D79" t="str">
            <v>FRENTE ARTIC S/ DOB 535X1396X19+COR</v>
          </cell>
          <cell r="E79">
            <v>535</v>
          </cell>
          <cell r="F79">
            <v>1396</v>
          </cell>
        </row>
        <row r="80">
          <cell r="B80"/>
          <cell r="C80"/>
          <cell r="D80"/>
          <cell r="E80"/>
          <cell r="F80"/>
        </row>
        <row r="81">
          <cell r="B81">
            <v>223100</v>
          </cell>
          <cell r="C81">
            <v>590032</v>
          </cell>
          <cell r="D81" t="str">
            <v>FRENTE DIR 535X296X19+COR</v>
          </cell>
          <cell r="E81">
            <v>535</v>
          </cell>
          <cell r="F81">
            <v>296</v>
          </cell>
        </row>
        <row r="82">
          <cell r="B82">
            <v>223120</v>
          </cell>
          <cell r="C82">
            <v>590518</v>
          </cell>
          <cell r="D82" t="str">
            <v>FRENTE ESQ 535X296X19+COR</v>
          </cell>
          <cell r="E82">
            <v>535</v>
          </cell>
          <cell r="F82">
            <v>296</v>
          </cell>
        </row>
        <row r="83">
          <cell r="B83">
            <v>223101</v>
          </cell>
          <cell r="C83">
            <v>590033</v>
          </cell>
          <cell r="D83" t="str">
            <v>FRENTE DIR 535X346X19+COR</v>
          </cell>
          <cell r="E83">
            <v>535</v>
          </cell>
          <cell r="F83">
            <v>346</v>
          </cell>
        </row>
        <row r="84">
          <cell r="B84">
            <v>223121</v>
          </cell>
          <cell r="C84">
            <v>590519</v>
          </cell>
          <cell r="D84" t="str">
            <v>FRENTE ESQ 535X346X19+COR</v>
          </cell>
          <cell r="E84">
            <v>535</v>
          </cell>
          <cell r="F84">
            <v>346</v>
          </cell>
        </row>
        <row r="85">
          <cell r="B85">
            <v>223102</v>
          </cell>
          <cell r="C85">
            <v>590034</v>
          </cell>
          <cell r="D85" t="str">
            <v>FRENTE DIR 535X396X19+COR</v>
          </cell>
          <cell r="E85">
            <v>535</v>
          </cell>
          <cell r="F85">
            <v>396</v>
          </cell>
        </row>
        <row r="86">
          <cell r="B86">
            <v>223122</v>
          </cell>
          <cell r="C86">
            <v>590520</v>
          </cell>
          <cell r="D86" t="str">
            <v>FRENTE ESQ 535X396X19+COR</v>
          </cell>
          <cell r="E86">
            <v>535</v>
          </cell>
          <cell r="F86">
            <v>396</v>
          </cell>
        </row>
        <row r="87">
          <cell r="B87">
            <v>223103</v>
          </cell>
          <cell r="C87">
            <v>590035</v>
          </cell>
          <cell r="D87" t="str">
            <v>FRENTE DIR 535X446X19+COR</v>
          </cell>
          <cell r="E87">
            <v>535</v>
          </cell>
          <cell r="F87">
            <v>446</v>
          </cell>
        </row>
        <row r="88">
          <cell r="B88">
            <v>223123</v>
          </cell>
          <cell r="C88">
            <v>590521</v>
          </cell>
          <cell r="D88" t="str">
            <v>FRENTE ESQ 535X446X19+COR</v>
          </cell>
          <cell r="E88">
            <v>535</v>
          </cell>
          <cell r="F88">
            <v>446</v>
          </cell>
        </row>
        <row r="89">
          <cell r="B89">
            <v>223104</v>
          </cell>
          <cell r="C89">
            <v>590036</v>
          </cell>
          <cell r="D89" t="str">
            <v>FRENTE DIR 535X496X19+COR</v>
          </cell>
          <cell r="E89">
            <v>535</v>
          </cell>
          <cell r="F89">
            <v>496</v>
          </cell>
        </row>
        <row r="90">
          <cell r="B90">
            <v>223124</v>
          </cell>
          <cell r="C90">
            <v>590522</v>
          </cell>
          <cell r="D90" t="str">
            <v>FRENTE ESQ 535X496X19+COR</v>
          </cell>
          <cell r="E90">
            <v>535</v>
          </cell>
          <cell r="F90">
            <v>496</v>
          </cell>
        </row>
        <row r="91">
          <cell r="B91">
            <v>223106</v>
          </cell>
          <cell r="C91">
            <v>590038</v>
          </cell>
          <cell r="D91" t="str">
            <v>FRENTE DIR CTO RETO/CTO 90 535X521X19+COR</v>
          </cell>
          <cell r="E91">
            <v>535</v>
          </cell>
          <cell r="F91">
            <v>521</v>
          </cell>
        </row>
        <row r="92">
          <cell r="B92">
            <v>223126</v>
          </cell>
          <cell r="C92">
            <v>590523</v>
          </cell>
          <cell r="D92" t="str">
            <v>FRENTE ESQ CTO RETO 535X521X19+COR</v>
          </cell>
          <cell r="E92">
            <v>535</v>
          </cell>
          <cell r="F92">
            <v>521</v>
          </cell>
        </row>
        <row r="93">
          <cell r="B93">
            <v>223107</v>
          </cell>
          <cell r="C93">
            <v>590039</v>
          </cell>
          <cell r="D93" t="str">
            <v>FRENTE CTO 90 535X542X19+COR</v>
          </cell>
          <cell r="E93">
            <v>535</v>
          </cell>
          <cell r="F93">
            <v>542</v>
          </cell>
        </row>
        <row r="94">
          <cell r="B94">
            <v>223108</v>
          </cell>
          <cell r="C94">
            <v>590040</v>
          </cell>
          <cell r="D94" t="str">
            <v>FRENTE DIR 535X546X19+COR</v>
          </cell>
          <cell r="E94">
            <v>535</v>
          </cell>
          <cell r="F94">
            <v>546</v>
          </cell>
        </row>
        <row r="95">
          <cell r="B95">
            <v>223128</v>
          </cell>
          <cell r="C95">
            <v>590524</v>
          </cell>
          <cell r="D95" t="str">
            <v>FRENTE ESQ 535X546X19+COR</v>
          </cell>
          <cell r="E95">
            <v>535</v>
          </cell>
          <cell r="F95">
            <v>546</v>
          </cell>
        </row>
        <row r="96">
          <cell r="B96">
            <v>223109</v>
          </cell>
          <cell r="C96">
            <v>590041</v>
          </cell>
          <cell r="D96" t="str">
            <v>FRENTE DIR 535X596X19+COR</v>
          </cell>
          <cell r="E96">
            <v>535</v>
          </cell>
          <cell r="F96">
            <v>596</v>
          </cell>
        </row>
        <row r="97">
          <cell r="B97">
            <v>223129</v>
          </cell>
          <cell r="C97">
            <v>590525</v>
          </cell>
          <cell r="D97" t="str">
            <v>FRENTE ESQ 535X596X19+COR</v>
          </cell>
          <cell r="E97">
            <v>535</v>
          </cell>
          <cell r="F97">
            <v>596</v>
          </cell>
        </row>
        <row r="98">
          <cell r="B98">
            <v>223110</v>
          </cell>
          <cell r="C98">
            <v>590903</v>
          </cell>
          <cell r="D98" t="str">
            <v>FRENTE S/DOB 535X596X19+COR</v>
          </cell>
          <cell r="E98">
            <v>535</v>
          </cell>
          <cell r="F98">
            <v>596</v>
          </cell>
        </row>
        <row r="99">
          <cell r="B99"/>
          <cell r="C99"/>
          <cell r="D99"/>
          <cell r="E99"/>
          <cell r="F99"/>
        </row>
        <row r="100">
          <cell r="B100">
            <v>223213</v>
          </cell>
          <cell r="C100">
            <v>590042</v>
          </cell>
          <cell r="D100" t="str">
            <v>FRENTE PTA TEMPERO TDBOX 713X196X19+COR</v>
          </cell>
          <cell r="E100">
            <v>713</v>
          </cell>
          <cell r="F100">
            <v>196</v>
          </cell>
        </row>
        <row r="101">
          <cell r="B101">
            <v>223214</v>
          </cell>
          <cell r="C101">
            <v>590247</v>
          </cell>
          <cell r="D101" t="str">
            <v>FRENTE PTA TEMPERO 713X196X19+COR</v>
          </cell>
          <cell r="E101">
            <v>713</v>
          </cell>
          <cell r="F101">
            <v>196</v>
          </cell>
        </row>
        <row r="102">
          <cell r="B102">
            <v>223200</v>
          </cell>
          <cell r="C102">
            <v>590043</v>
          </cell>
          <cell r="D102" t="str">
            <v>FRENTE DIR 713X196X19+COR</v>
          </cell>
          <cell r="E102">
            <v>713</v>
          </cell>
          <cell r="F102">
            <v>196</v>
          </cell>
        </row>
        <row r="103">
          <cell r="B103">
            <v>223220</v>
          </cell>
          <cell r="C103">
            <v>590526</v>
          </cell>
          <cell r="D103" t="str">
            <v>FRENTE ESQ 713X196X19+COR</v>
          </cell>
          <cell r="E103">
            <v>713</v>
          </cell>
          <cell r="F103">
            <v>196</v>
          </cell>
        </row>
        <row r="104">
          <cell r="B104">
            <v>223201</v>
          </cell>
          <cell r="C104">
            <v>590044</v>
          </cell>
          <cell r="D104" t="str">
            <v>FRENTE DIR 713X296X19+COR</v>
          </cell>
          <cell r="E104">
            <v>713</v>
          </cell>
          <cell r="F104">
            <v>296</v>
          </cell>
        </row>
        <row r="105">
          <cell r="B105">
            <v>223221</v>
          </cell>
          <cell r="C105">
            <v>590527</v>
          </cell>
          <cell r="D105" t="str">
            <v>FRENTE ESQ 713X296X19+COR</v>
          </cell>
          <cell r="E105">
            <v>713</v>
          </cell>
          <cell r="F105">
            <v>296</v>
          </cell>
        </row>
        <row r="106">
          <cell r="B106">
            <v>223202</v>
          </cell>
          <cell r="C106">
            <v>590045</v>
          </cell>
          <cell r="D106" t="str">
            <v>FRENTE DIR 713X346X19+COR</v>
          </cell>
          <cell r="E106">
            <v>713</v>
          </cell>
          <cell r="F106">
            <v>346</v>
          </cell>
        </row>
        <row r="107">
          <cell r="B107">
            <v>223222</v>
          </cell>
          <cell r="C107">
            <v>590528</v>
          </cell>
          <cell r="D107" t="str">
            <v>FRENTE ESQ 713X346X19+COR</v>
          </cell>
          <cell r="E107">
            <v>713</v>
          </cell>
          <cell r="F107">
            <v>346</v>
          </cell>
        </row>
        <row r="108">
          <cell r="B108">
            <v>223203</v>
          </cell>
          <cell r="C108">
            <v>590046</v>
          </cell>
          <cell r="D108" t="str">
            <v>FRENTE DIR 713X396X19+COR</v>
          </cell>
          <cell r="E108">
            <v>713</v>
          </cell>
          <cell r="F108">
            <v>396</v>
          </cell>
        </row>
        <row r="109">
          <cell r="B109">
            <v>223223</v>
          </cell>
          <cell r="C109">
            <v>590529</v>
          </cell>
          <cell r="D109" t="str">
            <v>FRENTE ESQ 713X396X19+COR</v>
          </cell>
          <cell r="E109">
            <v>713</v>
          </cell>
          <cell r="F109">
            <v>396</v>
          </cell>
        </row>
        <row r="110">
          <cell r="B110">
            <v>223204</v>
          </cell>
          <cell r="C110">
            <v>590047</v>
          </cell>
          <cell r="D110" t="str">
            <v>FRENTE DIR 713X446X19+COR</v>
          </cell>
          <cell r="E110">
            <v>713</v>
          </cell>
          <cell r="F110">
            <v>446</v>
          </cell>
        </row>
        <row r="111">
          <cell r="B111">
            <v>223224</v>
          </cell>
          <cell r="C111">
            <v>590530</v>
          </cell>
          <cell r="D111" t="str">
            <v>FRENTE ESQ 713X446X19+COR</v>
          </cell>
          <cell r="E111">
            <v>713</v>
          </cell>
          <cell r="F111">
            <v>446</v>
          </cell>
        </row>
        <row r="112">
          <cell r="B112">
            <v>223205</v>
          </cell>
          <cell r="C112">
            <v>590048</v>
          </cell>
          <cell r="D112" t="str">
            <v>FRENTE CTO 90 713X482X19+COR</v>
          </cell>
          <cell r="E112">
            <v>713</v>
          </cell>
          <cell r="F112">
            <v>482</v>
          </cell>
        </row>
        <row r="113">
          <cell r="B113">
            <v>223206</v>
          </cell>
          <cell r="C113">
            <v>590049</v>
          </cell>
          <cell r="D113" t="str">
            <v>FRENTE CTO 90 713X502X19+COR</v>
          </cell>
          <cell r="E113">
            <v>713</v>
          </cell>
          <cell r="F113">
            <v>502</v>
          </cell>
        </row>
        <row r="114">
          <cell r="B114">
            <v>223207</v>
          </cell>
          <cell r="C114">
            <v>590050</v>
          </cell>
          <cell r="D114" t="str">
            <v>FRENTE DIR 713X496X19+COR</v>
          </cell>
          <cell r="E114">
            <v>713</v>
          </cell>
          <cell r="F114">
            <v>496</v>
          </cell>
        </row>
        <row r="115">
          <cell r="B115">
            <v>223227</v>
          </cell>
          <cell r="C115">
            <v>590531</v>
          </cell>
          <cell r="D115" t="str">
            <v>FRENTE ESQ 713X496X19+COR</v>
          </cell>
          <cell r="E115">
            <v>713</v>
          </cell>
          <cell r="F115">
            <v>496</v>
          </cell>
        </row>
        <row r="116">
          <cell r="B116">
            <v>223209</v>
          </cell>
          <cell r="C116">
            <v>590052</v>
          </cell>
          <cell r="D116" t="str">
            <v>FRENTE DIR CTO RETO/CTO 90 713X521X19+COR</v>
          </cell>
          <cell r="E116">
            <v>713</v>
          </cell>
          <cell r="F116">
            <v>521</v>
          </cell>
        </row>
        <row r="117">
          <cell r="B117">
            <v>223229</v>
          </cell>
          <cell r="C117">
            <v>590532</v>
          </cell>
          <cell r="D117" t="str">
            <v>FRENTE ESQ CTO RETO 713X521X19+COR</v>
          </cell>
          <cell r="E117">
            <v>713</v>
          </cell>
          <cell r="F117">
            <v>521</v>
          </cell>
        </row>
        <row r="118">
          <cell r="B118">
            <v>223210</v>
          </cell>
          <cell r="C118">
            <v>590053</v>
          </cell>
          <cell r="D118" t="str">
            <v>FRENTE CTO 90 713X542X19+COR</v>
          </cell>
          <cell r="E118">
            <v>713</v>
          </cell>
          <cell r="F118">
            <v>542</v>
          </cell>
        </row>
        <row r="119">
          <cell r="B119">
            <v>223211</v>
          </cell>
          <cell r="C119">
            <v>590054</v>
          </cell>
          <cell r="D119" t="str">
            <v>FRENTE DIR 713X546X19+COR</v>
          </cell>
          <cell r="E119">
            <v>713</v>
          </cell>
          <cell r="F119">
            <v>546</v>
          </cell>
        </row>
        <row r="120">
          <cell r="B120">
            <v>223231</v>
          </cell>
          <cell r="C120">
            <v>590533</v>
          </cell>
          <cell r="D120" t="str">
            <v>FRENTE ESQ 713X546X19+COR</v>
          </cell>
          <cell r="E120">
            <v>713</v>
          </cell>
          <cell r="F120">
            <v>546</v>
          </cell>
        </row>
        <row r="121">
          <cell r="B121">
            <v>223212</v>
          </cell>
          <cell r="C121">
            <v>590055</v>
          </cell>
          <cell r="D121" t="str">
            <v>FRENTE DIR 713X596X19+COR</v>
          </cell>
          <cell r="E121">
            <v>713</v>
          </cell>
          <cell r="F121">
            <v>596</v>
          </cell>
        </row>
        <row r="122">
          <cell r="B122">
            <v>223232</v>
          </cell>
          <cell r="C122">
            <v>590534</v>
          </cell>
          <cell r="D122" t="str">
            <v>FRENTE ESQ 713X596X19+COR</v>
          </cell>
          <cell r="E122">
            <v>713</v>
          </cell>
          <cell r="F122">
            <v>596</v>
          </cell>
        </row>
        <row r="123">
          <cell r="B123">
            <v>223215</v>
          </cell>
          <cell r="C123">
            <v>590904</v>
          </cell>
          <cell r="D123" t="str">
            <v>FRENTE S/DOB 713X596X19+COR</v>
          </cell>
          <cell r="E123">
            <v>713</v>
          </cell>
          <cell r="F123">
            <v>596</v>
          </cell>
        </row>
        <row r="124">
          <cell r="B124"/>
          <cell r="C124"/>
          <cell r="D124"/>
          <cell r="E124"/>
          <cell r="F124"/>
        </row>
        <row r="125">
          <cell r="B125">
            <v>223300</v>
          </cell>
          <cell r="C125">
            <v>590056</v>
          </cell>
          <cell r="D125" t="str">
            <v>FRENTE DIR 895X296X19+COR</v>
          </cell>
          <cell r="E125">
            <v>895</v>
          </cell>
          <cell r="F125">
            <v>296</v>
          </cell>
        </row>
        <row r="126">
          <cell r="B126">
            <v>223320</v>
          </cell>
          <cell r="C126">
            <v>590535</v>
          </cell>
          <cell r="D126" t="str">
            <v>FRENTE ESQ 895X296X19+COR</v>
          </cell>
          <cell r="E126">
            <v>895</v>
          </cell>
          <cell r="F126">
            <v>296</v>
          </cell>
        </row>
        <row r="127">
          <cell r="B127">
            <v>223301</v>
          </cell>
          <cell r="C127">
            <v>590057</v>
          </cell>
          <cell r="D127" t="str">
            <v>FRENTE DIR 895X346X19+COR</v>
          </cell>
          <cell r="E127">
            <v>895</v>
          </cell>
          <cell r="F127">
            <v>346</v>
          </cell>
        </row>
        <row r="128">
          <cell r="B128">
            <v>223321</v>
          </cell>
          <cell r="C128">
            <v>590536</v>
          </cell>
          <cell r="D128" t="str">
            <v>FRENTE ESQ 895X346X19+COR</v>
          </cell>
          <cell r="E128">
            <v>895</v>
          </cell>
          <cell r="F128">
            <v>346</v>
          </cell>
        </row>
        <row r="129">
          <cell r="B129">
            <v>223302</v>
          </cell>
          <cell r="C129">
            <v>590058</v>
          </cell>
          <cell r="D129" t="str">
            <v>FRENTE DIR 895X396X19+COR</v>
          </cell>
          <cell r="E129">
            <v>895</v>
          </cell>
          <cell r="F129">
            <v>396</v>
          </cell>
        </row>
        <row r="130">
          <cell r="B130">
            <v>223322</v>
          </cell>
          <cell r="C130">
            <v>590537</v>
          </cell>
          <cell r="D130" t="str">
            <v>FRENTE ESQ 895X396X19+COR</v>
          </cell>
          <cell r="E130">
            <v>895</v>
          </cell>
          <cell r="F130">
            <v>396</v>
          </cell>
        </row>
        <row r="131">
          <cell r="B131">
            <v>223303</v>
          </cell>
          <cell r="C131">
            <v>590059</v>
          </cell>
          <cell r="D131" t="str">
            <v>FRENTE DIR 895X446X19+COR</v>
          </cell>
          <cell r="E131">
            <v>895</v>
          </cell>
          <cell r="F131">
            <v>446</v>
          </cell>
        </row>
        <row r="132">
          <cell r="B132">
            <v>223323</v>
          </cell>
          <cell r="C132">
            <v>590538</v>
          </cell>
          <cell r="D132" t="str">
            <v>FRENTE ESQ 895X446X19+COR</v>
          </cell>
          <cell r="E132">
            <v>895</v>
          </cell>
          <cell r="F132">
            <v>446</v>
          </cell>
        </row>
        <row r="133">
          <cell r="B133">
            <v>223304</v>
          </cell>
          <cell r="C133">
            <v>590060</v>
          </cell>
          <cell r="D133" t="str">
            <v>FRENTE DIR 895X496X19+COR</v>
          </cell>
          <cell r="E133">
            <v>895</v>
          </cell>
          <cell r="F133">
            <v>496</v>
          </cell>
        </row>
        <row r="134">
          <cell r="B134">
            <v>223324</v>
          </cell>
          <cell r="C134">
            <v>590539</v>
          </cell>
          <cell r="D134" t="str">
            <v>FRENTE ESQ 895X496X19+COR</v>
          </cell>
          <cell r="E134">
            <v>895</v>
          </cell>
          <cell r="F134">
            <v>496</v>
          </cell>
        </row>
        <row r="135">
          <cell r="B135">
            <v>223306</v>
          </cell>
          <cell r="C135">
            <v>590062</v>
          </cell>
          <cell r="D135" t="str">
            <v>FRENTE DIR CTO RETO/CTO 90 895X521X19+COR</v>
          </cell>
          <cell r="E135">
            <v>895</v>
          </cell>
          <cell r="F135">
            <v>521</v>
          </cell>
        </row>
        <row r="136">
          <cell r="B136">
            <v>223326</v>
          </cell>
          <cell r="C136">
            <v>590540</v>
          </cell>
          <cell r="D136" t="str">
            <v>FRENTE ESQ CTO RETO 895X521X19+COR</v>
          </cell>
          <cell r="E136">
            <v>895</v>
          </cell>
          <cell r="F136">
            <v>521</v>
          </cell>
        </row>
        <row r="137">
          <cell r="B137">
            <v>223307</v>
          </cell>
          <cell r="C137">
            <v>590063</v>
          </cell>
          <cell r="D137" t="str">
            <v>FRENTE CTO 90 895X542X19+COR</v>
          </cell>
          <cell r="E137">
            <v>895</v>
          </cell>
          <cell r="F137">
            <v>542</v>
          </cell>
        </row>
        <row r="138">
          <cell r="B138">
            <v>223308</v>
          </cell>
          <cell r="C138">
            <v>590064</v>
          </cell>
          <cell r="D138" t="str">
            <v>FRENTE DIR 895X546X19+COR</v>
          </cell>
          <cell r="E138">
            <v>895</v>
          </cell>
          <cell r="F138">
            <v>546</v>
          </cell>
        </row>
        <row r="139">
          <cell r="B139">
            <v>223328</v>
          </cell>
          <cell r="C139">
            <v>590541</v>
          </cell>
          <cell r="D139" t="str">
            <v>FRENTE ESQ 895X546X19+COR</v>
          </cell>
          <cell r="E139">
            <v>895</v>
          </cell>
          <cell r="F139">
            <v>546</v>
          </cell>
        </row>
        <row r="140">
          <cell r="B140">
            <v>223309</v>
          </cell>
          <cell r="C140">
            <v>590065</v>
          </cell>
          <cell r="D140" t="str">
            <v>FRENTE DIR 895X596X19+COR</v>
          </cell>
          <cell r="E140">
            <v>895</v>
          </cell>
          <cell r="F140">
            <v>596</v>
          </cell>
        </row>
        <row r="141">
          <cell r="B141">
            <v>223329</v>
          </cell>
          <cell r="C141">
            <v>590542</v>
          </cell>
          <cell r="D141" t="str">
            <v>FRENTE ESQ 895X596X19+COR</v>
          </cell>
          <cell r="E141">
            <v>895</v>
          </cell>
          <cell r="F141">
            <v>596</v>
          </cell>
        </row>
        <row r="142">
          <cell r="B142">
            <v>223310</v>
          </cell>
          <cell r="C142">
            <v>590905</v>
          </cell>
          <cell r="D142" t="str">
            <v>FRENTE S/DOB 895X596X19+COR</v>
          </cell>
          <cell r="E142">
            <v>895</v>
          </cell>
          <cell r="F142">
            <v>596</v>
          </cell>
        </row>
        <row r="143">
          <cell r="B143"/>
          <cell r="C143"/>
          <cell r="D143"/>
          <cell r="E143"/>
          <cell r="F143"/>
        </row>
        <row r="144">
          <cell r="B144">
            <v>223400</v>
          </cell>
          <cell r="C144">
            <v>590066</v>
          </cell>
          <cell r="D144" t="str">
            <v>FRENTE DIR 1075X296X19+COR</v>
          </cell>
          <cell r="E144">
            <v>1075</v>
          </cell>
          <cell r="F144">
            <v>296</v>
          </cell>
        </row>
        <row r="145">
          <cell r="B145">
            <v>223420</v>
          </cell>
          <cell r="C145">
            <v>590543</v>
          </cell>
          <cell r="D145" t="str">
            <v>FRENTE ESQ 1075X296X19+COR</v>
          </cell>
          <cell r="E145">
            <v>1075</v>
          </cell>
          <cell r="F145">
            <v>296</v>
          </cell>
        </row>
        <row r="146">
          <cell r="B146">
            <v>223401</v>
          </cell>
          <cell r="C146">
            <v>590067</v>
          </cell>
          <cell r="D146" t="str">
            <v>FRENTE DIR 1075X346X19+COR</v>
          </cell>
          <cell r="E146">
            <v>1075</v>
          </cell>
          <cell r="F146">
            <v>346</v>
          </cell>
        </row>
        <row r="147">
          <cell r="B147">
            <v>223421</v>
          </cell>
          <cell r="C147">
            <v>590544</v>
          </cell>
          <cell r="D147" t="str">
            <v>FRENTE ESQ 1075X346X19+COR</v>
          </cell>
          <cell r="E147">
            <v>1075</v>
          </cell>
          <cell r="F147">
            <v>346</v>
          </cell>
        </row>
        <row r="148">
          <cell r="B148">
            <v>223402</v>
          </cell>
          <cell r="C148">
            <v>590068</v>
          </cell>
          <cell r="D148" t="str">
            <v>FRENTE DIR 1075X396X19+COR</v>
          </cell>
          <cell r="E148">
            <v>1075</v>
          </cell>
          <cell r="F148">
            <v>396</v>
          </cell>
        </row>
        <row r="149">
          <cell r="B149">
            <v>223422</v>
          </cell>
          <cell r="C149">
            <v>590545</v>
          </cell>
          <cell r="D149" t="str">
            <v>FRENTE ESQ 1075X396X19+COR</v>
          </cell>
          <cell r="E149">
            <v>1075</v>
          </cell>
          <cell r="F149">
            <v>396</v>
          </cell>
        </row>
        <row r="150">
          <cell r="B150">
            <v>223403</v>
          </cell>
          <cell r="C150">
            <v>590069</v>
          </cell>
          <cell r="D150" t="str">
            <v>FRENTE DIR 1075X446X19+COR</v>
          </cell>
          <cell r="E150">
            <v>1075</v>
          </cell>
          <cell r="F150">
            <v>446</v>
          </cell>
        </row>
        <row r="151">
          <cell r="B151">
            <v>223423</v>
          </cell>
          <cell r="C151">
            <v>590546</v>
          </cell>
          <cell r="D151" t="str">
            <v>FRENTE ESQ 1075X446X19+COR</v>
          </cell>
          <cell r="E151">
            <v>1075</v>
          </cell>
          <cell r="F151">
            <v>446</v>
          </cell>
        </row>
        <row r="152">
          <cell r="B152">
            <v>223404</v>
          </cell>
          <cell r="C152">
            <v>590070</v>
          </cell>
          <cell r="D152" t="str">
            <v>FRENTE DIR 1075X496X19+COR</v>
          </cell>
          <cell r="E152">
            <v>1075</v>
          </cell>
          <cell r="F152">
            <v>496</v>
          </cell>
        </row>
        <row r="153">
          <cell r="B153">
            <v>223424</v>
          </cell>
          <cell r="C153">
            <v>590547</v>
          </cell>
          <cell r="D153" t="str">
            <v>FRENTE ESQ 1075X496X19+COR</v>
          </cell>
          <cell r="E153">
            <v>1075</v>
          </cell>
          <cell r="F153">
            <v>496</v>
          </cell>
        </row>
        <row r="154">
          <cell r="B154">
            <v>223406</v>
          </cell>
          <cell r="C154">
            <v>590072</v>
          </cell>
          <cell r="D154" t="str">
            <v>FRENTE DIR CTO RETO/CTO 90 1075X521X19+COR</v>
          </cell>
          <cell r="E154">
            <v>1075</v>
          </cell>
          <cell r="F154">
            <v>521</v>
          </cell>
        </row>
        <row r="155">
          <cell r="B155">
            <v>223426</v>
          </cell>
          <cell r="C155">
            <v>590548</v>
          </cell>
          <cell r="D155" t="str">
            <v>FRENTE ESQ CTO RETO 1075X521X19+COR</v>
          </cell>
          <cell r="E155">
            <v>1075</v>
          </cell>
          <cell r="F155">
            <v>521</v>
          </cell>
        </row>
        <row r="156">
          <cell r="B156">
            <v>223407</v>
          </cell>
          <cell r="C156">
            <v>590073</v>
          </cell>
          <cell r="D156" t="str">
            <v>FRENTE CTO 90 1075X542X19+COR</v>
          </cell>
          <cell r="E156">
            <v>1075</v>
          </cell>
          <cell r="F156">
            <v>542</v>
          </cell>
        </row>
        <row r="157">
          <cell r="B157">
            <v>223408</v>
          </cell>
          <cell r="C157">
            <v>590074</v>
          </cell>
          <cell r="D157" t="str">
            <v>FRENTE DIR 1075X546X19+COR</v>
          </cell>
          <cell r="E157">
            <v>1075</v>
          </cell>
          <cell r="F157">
            <v>546</v>
          </cell>
        </row>
        <row r="158">
          <cell r="B158">
            <v>223428</v>
          </cell>
          <cell r="C158">
            <v>590549</v>
          </cell>
          <cell r="D158" t="str">
            <v>FRENTE ESQ 1075X546X19+COR</v>
          </cell>
          <cell r="E158">
            <v>1075</v>
          </cell>
          <cell r="F158">
            <v>546</v>
          </cell>
        </row>
        <row r="159">
          <cell r="B159">
            <v>223409</v>
          </cell>
          <cell r="C159">
            <v>590075</v>
          </cell>
          <cell r="D159" t="str">
            <v>FRENTE DIR 1075X596X19+COR</v>
          </cell>
          <cell r="E159">
            <v>1075</v>
          </cell>
          <cell r="F159">
            <v>596</v>
          </cell>
        </row>
        <row r="160">
          <cell r="B160">
            <v>223429</v>
          </cell>
          <cell r="C160">
            <v>590550</v>
          </cell>
          <cell r="D160" t="str">
            <v>FRENTE ESQ 1075X596X19+COR</v>
          </cell>
          <cell r="E160">
            <v>1075</v>
          </cell>
          <cell r="F160">
            <v>596</v>
          </cell>
        </row>
        <row r="161">
          <cell r="B161">
            <v>223410</v>
          </cell>
          <cell r="C161">
            <v>590906</v>
          </cell>
          <cell r="D161" t="str">
            <v>FRENTE S/DOB 1075X596X19+COR</v>
          </cell>
          <cell r="E161">
            <v>1075</v>
          </cell>
          <cell r="F161">
            <v>596</v>
          </cell>
        </row>
        <row r="162">
          <cell r="B162"/>
          <cell r="C162"/>
          <cell r="D162"/>
          <cell r="E162"/>
          <cell r="F162"/>
        </row>
        <row r="163">
          <cell r="B163">
            <v>223513</v>
          </cell>
          <cell r="C163">
            <v>590139</v>
          </cell>
          <cell r="D163" t="str">
            <v>FRENTE DIR BALC 1255X346X19+COR</v>
          </cell>
          <cell r="E163">
            <v>1255</v>
          </cell>
          <cell r="F163">
            <v>346</v>
          </cell>
        </row>
        <row r="164">
          <cell r="B164">
            <v>223555</v>
          </cell>
          <cell r="C164">
            <v>590892</v>
          </cell>
          <cell r="D164" t="str">
            <v>FRENTE ESQ  BALC 1255X346X19+COR</v>
          </cell>
          <cell r="E164">
            <v>1255</v>
          </cell>
          <cell r="F164">
            <v>346</v>
          </cell>
        </row>
        <row r="165">
          <cell r="B165">
            <v>223500</v>
          </cell>
          <cell r="C165">
            <v>590076</v>
          </cell>
          <cell r="D165" t="str">
            <v>FRENTE DIR BALC 1255X396X19+COR</v>
          </cell>
          <cell r="E165">
            <v>1255</v>
          </cell>
          <cell r="F165">
            <v>396</v>
          </cell>
        </row>
        <row r="166">
          <cell r="B166">
            <v>223520</v>
          </cell>
          <cell r="C166">
            <v>590551</v>
          </cell>
          <cell r="D166" t="str">
            <v>FRENTE ESQ  BALC 1255X396X19+COR</v>
          </cell>
          <cell r="E166">
            <v>1255</v>
          </cell>
          <cell r="F166">
            <v>396</v>
          </cell>
        </row>
        <row r="167">
          <cell r="B167">
            <v>223514</v>
          </cell>
          <cell r="C167">
            <v>590140</v>
          </cell>
          <cell r="D167" t="str">
            <v>FRENTE DIR BALC 1255X446X19+COR</v>
          </cell>
          <cell r="E167">
            <v>1255</v>
          </cell>
          <cell r="F167">
            <v>446</v>
          </cell>
        </row>
        <row r="168">
          <cell r="B168">
            <v>223556</v>
          </cell>
          <cell r="C168">
            <v>590893</v>
          </cell>
          <cell r="D168" t="str">
            <v>FRENTE ESQ  BALC 1255X446X19+COR</v>
          </cell>
          <cell r="E168">
            <v>1255</v>
          </cell>
          <cell r="F168">
            <v>446</v>
          </cell>
        </row>
        <row r="169">
          <cell r="B169">
            <v>223501</v>
          </cell>
          <cell r="C169">
            <v>590077</v>
          </cell>
          <cell r="D169" t="str">
            <v>FRENTE DIR BALC 1255X496X19+COR</v>
          </cell>
          <cell r="E169">
            <v>1255</v>
          </cell>
          <cell r="F169">
            <v>496</v>
          </cell>
        </row>
        <row r="170">
          <cell r="B170">
            <v>223521</v>
          </cell>
          <cell r="C170">
            <v>590552</v>
          </cell>
          <cell r="D170" t="str">
            <v>FRENTE ESQ BALC 1255X496X19+COR</v>
          </cell>
          <cell r="E170">
            <v>1255</v>
          </cell>
          <cell r="F170">
            <v>496</v>
          </cell>
        </row>
        <row r="171">
          <cell r="B171">
            <v>223502</v>
          </cell>
          <cell r="C171">
            <v>590078</v>
          </cell>
          <cell r="D171" t="str">
            <v>FRENTE DIR BALC 1255X596X19+COR</v>
          </cell>
          <cell r="E171">
            <v>1255</v>
          </cell>
          <cell r="F171">
            <v>596</v>
          </cell>
        </row>
        <row r="172">
          <cell r="B172">
            <v>223522</v>
          </cell>
          <cell r="C172">
            <v>590553</v>
          </cell>
          <cell r="D172" t="str">
            <v>FRENTE ESQ BALC 1255X596X19+COR</v>
          </cell>
          <cell r="E172">
            <v>1255</v>
          </cell>
          <cell r="F172">
            <v>596</v>
          </cell>
        </row>
        <row r="173">
          <cell r="B173">
            <v>223512</v>
          </cell>
          <cell r="C173">
            <v>590907</v>
          </cell>
          <cell r="D173" t="str">
            <v>FRENTE S/DOB BALC 1255X596X19+COR</v>
          </cell>
          <cell r="E173">
            <v>1255</v>
          </cell>
          <cell r="F173">
            <v>596</v>
          </cell>
        </row>
        <row r="174">
          <cell r="B174"/>
          <cell r="C174"/>
          <cell r="D174"/>
          <cell r="E174"/>
          <cell r="F174"/>
        </row>
        <row r="175">
          <cell r="B175">
            <v>223515</v>
          </cell>
          <cell r="C175">
            <v>590141</v>
          </cell>
          <cell r="D175" t="str">
            <v>FRENTE 1795X346X19+COR</v>
          </cell>
          <cell r="E175">
            <v>1795</v>
          </cell>
          <cell r="F175">
            <v>346</v>
          </cell>
        </row>
        <row r="176">
          <cell r="B176">
            <v>223503</v>
          </cell>
          <cell r="C176">
            <v>590079</v>
          </cell>
          <cell r="D176" t="str">
            <v>FRENTE 1795X361X19+COR</v>
          </cell>
          <cell r="E176">
            <v>1795</v>
          </cell>
          <cell r="F176">
            <v>396</v>
          </cell>
        </row>
        <row r="177">
          <cell r="B177">
            <v>223516</v>
          </cell>
          <cell r="C177">
            <v>590142</v>
          </cell>
          <cell r="D177" t="str">
            <v>FRENTE 1795X446X19+COR</v>
          </cell>
          <cell r="E177">
            <v>1795</v>
          </cell>
          <cell r="F177">
            <v>446</v>
          </cell>
        </row>
        <row r="178">
          <cell r="B178">
            <v>223504</v>
          </cell>
          <cell r="C178">
            <v>590080</v>
          </cell>
          <cell r="D178" t="str">
            <v>FRENTE 1795X496X19+COR</v>
          </cell>
          <cell r="E178">
            <v>1795</v>
          </cell>
          <cell r="F178">
            <v>496</v>
          </cell>
        </row>
        <row r="179">
          <cell r="B179">
            <v>223505</v>
          </cell>
          <cell r="C179">
            <v>590081</v>
          </cell>
          <cell r="D179" t="str">
            <v>FRENTE 1795X596X19+COR</v>
          </cell>
          <cell r="E179">
            <v>1795</v>
          </cell>
          <cell r="F179">
            <v>596</v>
          </cell>
        </row>
        <row r="180">
          <cell r="B180">
            <v>223583</v>
          </cell>
          <cell r="C180">
            <v>590908</v>
          </cell>
          <cell r="D180" t="str">
            <v>FRENTE S/DOB 1795X596X19+COR</v>
          </cell>
          <cell r="E180">
            <v>1795</v>
          </cell>
          <cell r="F180">
            <v>596</v>
          </cell>
        </row>
        <row r="181">
          <cell r="B181"/>
          <cell r="C181"/>
          <cell r="D181"/>
          <cell r="E181"/>
          <cell r="F181"/>
        </row>
        <row r="182">
          <cell r="B182">
            <v>223517</v>
          </cell>
          <cell r="C182">
            <v>590885</v>
          </cell>
          <cell r="D182" t="str">
            <v>FRENTE 1975X346X19+COR</v>
          </cell>
          <cell r="E182">
            <v>1975</v>
          </cell>
          <cell r="F182">
            <v>346</v>
          </cell>
        </row>
        <row r="183">
          <cell r="B183">
            <v>223506</v>
          </cell>
          <cell r="C183">
            <v>590082</v>
          </cell>
          <cell r="D183" t="str">
            <v>FRENTE 1975X396X19+COR</v>
          </cell>
          <cell r="E183">
            <v>1975</v>
          </cell>
          <cell r="F183">
            <v>396</v>
          </cell>
        </row>
        <row r="184">
          <cell r="B184">
            <v>223518</v>
          </cell>
          <cell r="C184">
            <v>590886</v>
          </cell>
          <cell r="D184" t="str">
            <v>FRENTE 1975X446X19+COR</v>
          </cell>
          <cell r="E184">
            <v>1975</v>
          </cell>
          <cell r="F184">
            <v>446</v>
          </cell>
        </row>
        <row r="185">
          <cell r="B185">
            <v>223507</v>
          </cell>
          <cell r="C185">
            <v>590083</v>
          </cell>
          <cell r="D185" t="str">
            <v>FRENTE 1975X496X19+COR</v>
          </cell>
          <cell r="E185">
            <v>1975</v>
          </cell>
          <cell r="F185">
            <v>496</v>
          </cell>
        </row>
        <row r="186">
          <cell r="B186">
            <v>223508</v>
          </cell>
          <cell r="C186">
            <v>590084</v>
          </cell>
          <cell r="D186" t="str">
            <v>FRENTE 1975X596X19+COR</v>
          </cell>
          <cell r="E186">
            <v>1975</v>
          </cell>
          <cell r="F186">
            <v>596</v>
          </cell>
        </row>
        <row r="187">
          <cell r="B187">
            <v>223584</v>
          </cell>
          <cell r="C187">
            <v>590909</v>
          </cell>
          <cell r="D187" t="str">
            <v>FRENTE S/DOB 1975X596X19+COR</v>
          </cell>
          <cell r="E187">
            <v>1975</v>
          </cell>
          <cell r="F187">
            <v>596</v>
          </cell>
        </row>
        <row r="188">
          <cell r="B188"/>
          <cell r="C188"/>
          <cell r="D188"/>
          <cell r="E188"/>
          <cell r="F188"/>
        </row>
        <row r="189">
          <cell r="B189">
            <v>223547</v>
          </cell>
          <cell r="C189">
            <v>590887</v>
          </cell>
          <cell r="D189" t="str">
            <v>FRENTE 2155X346X19+COR</v>
          </cell>
          <cell r="E189">
            <v>2155</v>
          </cell>
          <cell r="F189">
            <v>346</v>
          </cell>
        </row>
        <row r="190">
          <cell r="B190">
            <v>223509</v>
          </cell>
          <cell r="C190">
            <v>590085</v>
          </cell>
          <cell r="D190" t="str">
            <v>FRENTE 2155X396X19+COR</v>
          </cell>
          <cell r="E190">
            <v>2155</v>
          </cell>
          <cell r="F190">
            <v>396</v>
          </cell>
        </row>
        <row r="191">
          <cell r="B191">
            <v>223548</v>
          </cell>
          <cell r="C191">
            <v>590888</v>
          </cell>
          <cell r="D191" t="str">
            <v>FRENTE 2155X446X19+COR</v>
          </cell>
          <cell r="E191">
            <v>2155</v>
          </cell>
          <cell r="F191">
            <v>446</v>
          </cell>
        </row>
        <row r="192">
          <cell r="B192">
            <v>223510</v>
          </cell>
          <cell r="C192">
            <v>590086</v>
          </cell>
          <cell r="D192" t="str">
            <v>FRENTE 2155X496X19+COR</v>
          </cell>
          <cell r="E192">
            <v>2155</v>
          </cell>
          <cell r="F192">
            <v>496</v>
          </cell>
        </row>
        <row r="193">
          <cell r="B193">
            <v>223511</v>
          </cell>
          <cell r="C193">
            <v>590087</v>
          </cell>
          <cell r="D193" t="str">
            <v>FRENTE 2155X596X19+COR</v>
          </cell>
          <cell r="E193">
            <v>2155</v>
          </cell>
          <cell r="F193">
            <v>596</v>
          </cell>
        </row>
        <row r="194">
          <cell r="B194">
            <v>223585</v>
          </cell>
          <cell r="C194">
            <v>590910</v>
          </cell>
          <cell r="D194" t="str">
            <v>FRENTE S/DOB 2155X596X19+COR</v>
          </cell>
          <cell r="E194">
            <v>2155</v>
          </cell>
          <cell r="F194">
            <v>596</v>
          </cell>
        </row>
        <row r="195">
          <cell r="B195"/>
          <cell r="C195"/>
          <cell r="D195"/>
          <cell r="E195"/>
          <cell r="F195"/>
        </row>
        <row r="196">
          <cell r="B196">
            <v>223550</v>
          </cell>
          <cell r="C196">
            <v>590174</v>
          </cell>
          <cell r="D196" t="str">
            <v>FRENTE 2335X346X19+COR</v>
          </cell>
          <cell r="E196">
            <v>2335</v>
          </cell>
          <cell r="F196">
            <v>346</v>
          </cell>
        </row>
        <row r="197">
          <cell r="B197">
            <v>223551</v>
          </cell>
          <cell r="C197">
            <v>590889</v>
          </cell>
          <cell r="D197" t="str">
            <v>FRENTE 2335X396X19+COR</v>
          </cell>
          <cell r="E197">
            <v>2335</v>
          </cell>
          <cell r="F197">
            <v>396</v>
          </cell>
        </row>
        <row r="198">
          <cell r="B198">
            <v>223552</v>
          </cell>
          <cell r="C198">
            <v>590176</v>
          </cell>
          <cell r="D198" t="str">
            <v>FRENTE 2335X446X19+COR</v>
          </cell>
          <cell r="E198">
            <v>2335</v>
          </cell>
          <cell r="F198">
            <v>446</v>
          </cell>
        </row>
        <row r="199">
          <cell r="B199">
            <v>223553</v>
          </cell>
          <cell r="C199">
            <v>590890</v>
          </cell>
          <cell r="D199" t="str">
            <v>FRENTE 2335X496X19+COR</v>
          </cell>
          <cell r="E199">
            <v>2335</v>
          </cell>
          <cell r="F199">
            <v>496</v>
          </cell>
        </row>
        <row r="200">
          <cell r="B200">
            <v>223554</v>
          </cell>
          <cell r="C200">
            <v>590891</v>
          </cell>
          <cell r="D200" t="str">
            <v>FRENTE 2335X596X19+COR</v>
          </cell>
          <cell r="E200">
            <v>2335</v>
          </cell>
          <cell r="F200">
            <v>596</v>
          </cell>
        </row>
        <row r="201">
          <cell r="B201">
            <v>223586</v>
          </cell>
          <cell r="C201">
            <v>590911</v>
          </cell>
          <cell r="D201" t="str">
            <v>FRENTE S/DOB 2335X596X19+COR</v>
          </cell>
          <cell r="E201">
            <v>2335</v>
          </cell>
          <cell r="F201">
            <v>596</v>
          </cell>
        </row>
        <row r="202">
          <cell r="B202"/>
          <cell r="C202"/>
          <cell r="D202"/>
          <cell r="E202"/>
          <cell r="F202"/>
        </row>
        <row r="203">
          <cell r="B203">
            <v>223610</v>
          </cell>
          <cell r="C203">
            <v>590088</v>
          </cell>
          <cell r="D203" t="str">
            <v>FRENTE GAV 175X296X19+COR</v>
          </cell>
          <cell r="E203">
            <v>175</v>
          </cell>
          <cell r="F203">
            <v>296</v>
          </cell>
        </row>
        <row r="204">
          <cell r="B204">
            <v>223611</v>
          </cell>
          <cell r="C204">
            <v>590089</v>
          </cell>
          <cell r="D204" t="str">
            <v>FRENTE GAV 175X396X19+COR</v>
          </cell>
          <cell r="E204">
            <v>175</v>
          </cell>
          <cell r="F204">
            <v>396</v>
          </cell>
        </row>
        <row r="205">
          <cell r="B205">
            <v>223612</v>
          </cell>
          <cell r="C205">
            <v>590090</v>
          </cell>
          <cell r="D205" t="str">
            <v>FRENTE GAV 175X446X19+COR</v>
          </cell>
          <cell r="E205">
            <v>175</v>
          </cell>
          <cell r="F205">
            <v>446</v>
          </cell>
        </row>
        <row r="206">
          <cell r="B206">
            <v>223613</v>
          </cell>
          <cell r="C206">
            <v>590091</v>
          </cell>
          <cell r="D206" t="str">
            <v>FRENTE GAV 175X496X19+COR</v>
          </cell>
          <cell r="E206">
            <v>175</v>
          </cell>
          <cell r="F206">
            <v>496</v>
          </cell>
        </row>
        <row r="207">
          <cell r="B207">
            <v>223614</v>
          </cell>
          <cell r="C207">
            <v>590092</v>
          </cell>
          <cell r="D207" t="str">
            <v>FRENTE GAV 175X546X19+COR</v>
          </cell>
          <cell r="E207">
            <v>175</v>
          </cell>
          <cell r="F207">
            <v>546</v>
          </cell>
        </row>
        <row r="208">
          <cell r="B208">
            <v>223615</v>
          </cell>
          <cell r="C208">
            <v>590093</v>
          </cell>
          <cell r="D208" t="str">
            <v>FRENTE GAV 175X596X19+COR</v>
          </cell>
          <cell r="E208">
            <v>175</v>
          </cell>
          <cell r="F208">
            <v>596</v>
          </cell>
        </row>
        <row r="209">
          <cell r="B209">
            <v>223616</v>
          </cell>
          <cell r="C209">
            <v>590094</v>
          </cell>
          <cell r="D209" t="str">
            <v>FRENTE GAV 175X696X19+COR</v>
          </cell>
          <cell r="E209">
            <v>175</v>
          </cell>
          <cell r="F209">
            <v>696</v>
          </cell>
        </row>
        <row r="210">
          <cell r="B210">
            <v>223617</v>
          </cell>
          <cell r="C210">
            <v>590095</v>
          </cell>
          <cell r="D210" t="str">
            <v>FRENTE GAV 175X796X19+COR</v>
          </cell>
          <cell r="E210">
            <v>175</v>
          </cell>
          <cell r="F210">
            <v>796</v>
          </cell>
        </row>
        <row r="211">
          <cell r="B211">
            <v>223618</v>
          </cell>
          <cell r="C211">
            <v>590096</v>
          </cell>
          <cell r="D211" t="str">
            <v>FRENTE GAV 175X896X19+COR</v>
          </cell>
          <cell r="E211">
            <v>175</v>
          </cell>
          <cell r="F211">
            <v>896</v>
          </cell>
        </row>
        <row r="212">
          <cell r="B212">
            <v>223619</v>
          </cell>
          <cell r="C212">
            <v>590097</v>
          </cell>
          <cell r="D212" t="str">
            <v>FRENTE GAV 175X996X19+COR</v>
          </cell>
          <cell r="E212">
            <v>175</v>
          </cell>
          <cell r="F212">
            <v>996</v>
          </cell>
        </row>
        <row r="213">
          <cell r="B213">
            <v>223620</v>
          </cell>
          <cell r="C213">
            <v>590098</v>
          </cell>
          <cell r="D213" t="str">
            <v>FRENTE GAV 175X1096X19+COR</v>
          </cell>
          <cell r="E213">
            <v>175</v>
          </cell>
          <cell r="F213">
            <v>1096</v>
          </cell>
        </row>
        <row r="214">
          <cell r="B214">
            <v>223621</v>
          </cell>
          <cell r="C214">
            <v>590099</v>
          </cell>
          <cell r="D214" t="str">
            <v>FRENTE GAV 175X1196X19+COR</v>
          </cell>
          <cell r="E214">
            <v>175</v>
          </cell>
          <cell r="F214">
            <v>1196</v>
          </cell>
        </row>
        <row r="215">
          <cell r="B215"/>
          <cell r="C215"/>
          <cell r="D215"/>
          <cell r="E215"/>
          <cell r="F215"/>
        </row>
        <row r="216">
          <cell r="B216">
            <v>223630</v>
          </cell>
          <cell r="C216">
            <v>590101</v>
          </cell>
          <cell r="D216" t="str">
            <v>FRENTE GAV TDBOX 175X296X19+COR</v>
          </cell>
          <cell r="E216">
            <v>175</v>
          </cell>
          <cell r="F216">
            <v>296</v>
          </cell>
        </row>
        <row r="217">
          <cell r="B217">
            <v>223631</v>
          </cell>
          <cell r="C217">
            <v>590102</v>
          </cell>
          <cell r="D217" t="str">
            <v>FRENTE GAV TDBOX 175X396X19+COR</v>
          </cell>
          <cell r="E217">
            <v>175</v>
          </cell>
          <cell r="F217">
            <v>396</v>
          </cell>
        </row>
        <row r="218">
          <cell r="B218">
            <v>223632</v>
          </cell>
          <cell r="C218">
            <v>590103</v>
          </cell>
          <cell r="D218" t="str">
            <v>FRENTE GAV TDBOX 175X446X19+COR</v>
          </cell>
          <cell r="E218">
            <v>175</v>
          </cell>
          <cell r="F218">
            <v>446</v>
          </cell>
        </row>
        <row r="219">
          <cell r="B219">
            <v>223633</v>
          </cell>
          <cell r="C219">
            <v>590104</v>
          </cell>
          <cell r="D219" t="str">
            <v>FRENTE GAV TDBOX 175X496X19+COR</v>
          </cell>
          <cell r="E219">
            <v>175</v>
          </cell>
          <cell r="F219">
            <v>496</v>
          </cell>
        </row>
        <row r="220">
          <cell r="B220">
            <v>223634</v>
          </cell>
          <cell r="C220">
            <v>590105</v>
          </cell>
          <cell r="D220" t="str">
            <v>FRENTE GAV TDBOX 175X546X19+COR</v>
          </cell>
          <cell r="E220">
            <v>175</v>
          </cell>
          <cell r="F220">
            <v>546</v>
          </cell>
        </row>
        <row r="221">
          <cell r="B221">
            <v>223635</v>
          </cell>
          <cell r="C221">
            <v>590106</v>
          </cell>
          <cell r="D221" t="str">
            <v>FRENTE GAV TDBOX 175X596X19+COR</v>
          </cell>
          <cell r="E221">
            <v>175</v>
          </cell>
          <cell r="F221">
            <v>596</v>
          </cell>
        </row>
        <row r="222">
          <cell r="B222">
            <v>223636</v>
          </cell>
          <cell r="C222">
            <v>590107</v>
          </cell>
          <cell r="D222" t="str">
            <v>FRENTE GAV TDBOX 175X696X19+COR</v>
          </cell>
          <cell r="E222">
            <v>175</v>
          </cell>
          <cell r="F222">
            <v>696</v>
          </cell>
        </row>
        <row r="223">
          <cell r="B223">
            <v>223637</v>
          </cell>
          <cell r="C223">
            <v>590108</v>
          </cell>
          <cell r="D223" t="str">
            <v>FRENTE GAV TDBOX 175X796X19+COR</v>
          </cell>
          <cell r="E223">
            <v>175</v>
          </cell>
          <cell r="F223">
            <v>796</v>
          </cell>
        </row>
        <row r="224">
          <cell r="B224">
            <v>223638</v>
          </cell>
          <cell r="C224">
            <v>590109</v>
          </cell>
          <cell r="D224" t="str">
            <v>FRENTE GAV TDBOX 175X896X19+COR</v>
          </cell>
          <cell r="E224">
            <v>175</v>
          </cell>
          <cell r="F224">
            <v>896</v>
          </cell>
        </row>
        <row r="225">
          <cell r="B225">
            <v>223639</v>
          </cell>
          <cell r="C225">
            <v>590110</v>
          </cell>
          <cell r="D225" t="str">
            <v>FRENTE GAV TDBOX 175X996X19+COR</v>
          </cell>
          <cell r="E225">
            <v>175</v>
          </cell>
          <cell r="F225">
            <v>996</v>
          </cell>
        </row>
        <row r="226">
          <cell r="B226">
            <v>223640</v>
          </cell>
          <cell r="C226">
            <v>590111</v>
          </cell>
          <cell r="D226" t="str">
            <v>FRENTE GAV TDBOX 175X1096X19+COR</v>
          </cell>
          <cell r="E226">
            <v>175</v>
          </cell>
          <cell r="F226">
            <v>1096</v>
          </cell>
        </row>
        <row r="227">
          <cell r="B227">
            <v>223641</v>
          </cell>
          <cell r="C227">
            <v>590112</v>
          </cell>
          <cell r="D227" t="str">
            <v>FRENTE GAV TDBOX 175X1196X19+COR</v>
          </cell>
          <cell r="E227">
            <v>175</v>
          </cell>
          <cell r="F227">
            <v>1196</v>
          </cell>
        </row>
        <row r="228">
          <cell r="B228"/>
          <cell r="C228"/>
          <cell r="D228"/>
          <cell r="E228"/>
          <cell r="F228"/>
        </row>
        <row r="229">
          <cell r="B229">
            <v>223650</v>
          </cell>
          <cell r="C229">
            <v>590114</v>
          </cell>
          <cell r="D229" t="str">
            <v>FRENTE GAV 355X396X19+COR</v>
          </cell>
          <cell r="E229">
            <v>355</v>
          </cell>
          <cell r="F229">
            <v>396</v>
          </cell>
        </row>
        <row r="230">
          <cell r="B230">
            <v>223651</v>
          </cell>
          <cell r="C230">
            <v>590115</v>
          </cell>
          <cell r="D230" t="str">
            <v>FRENTE GAV 355X446X19+COR</v>
          </cell>
          <cell r="E230">
            <v>355</v>
          </cell>
          <cell r="F230">
            <v>446</v>
          </cell>
        </row>
        <row r="231">
          <cell r="B231">
            <v>223652</v>
          </cell>
          <cell r="C231">
            <v>590116</v>
          </cell>
          <cell r="D231" t="str">
            <v>FRENTE GAV 355X496X19+COR</v>
          </cell>
          <cell r="E231">
            <v>355</v>
          </cell>
          <cell r="F231">
            <v>496</v>
          </cell>
        </row>
        <row r="232">
          <cell r="B232">
            <v>223653</v>
          </cell>
          <cell r="C232">
            <v>590117</v>
          </cell>
          <cell r="D232" t="str">
            <v>FRENTE GAV 355X546X19+COR</v>
          </cell>
          <cell r="E232">
            <v>355</v>
          </cell>
          <cell r="F232">
            <v>546</v>
          </cell>
        </row>
        <row r="233">
          <cell r="B233">
            <v>223654</v>
          </cell>
          <cell r="C233">
            <v>590118</v>
          </cell>
          <cell r="D233" t="str">
            <v>FRENTE GAV 355X596X19+COR</v>
          </cell>
          <cell r="E233">
            <v>355</v>
          </cell>
          <cell r="F233">
            <v>596</v>
          </cell>
        </row>
        <row r="234">
          <cell r="B234">
            <v>223655</v>
          </cell>
          <cell r="C234">
            <v>590119</v>
          </cell>
          <cell r="D234" t="str">
            <v>FRENTE GAV 355X696X19+COR</v>
          </cell>
          <cell r="E234">
            <v>355</v>
          </cell>
          <cell r="F234">
            <v>696</v>
          </cell>
        </row>
        <row r="235">
          <cell r="B235">
            <v>223656</v>
          </cell>
          <cell r="C235">
            <v>590120</v>
          </cell>
          <cell r="D235" t="str">
            <v>FRENTE GAV 355X796X19+COR</v>
          </cell>
          <cell r="E235">
            <v>355</v>
          </cell>
          <cell r="F235">
            <v>796</v>
          </cell>
        </row>
        <row r="236">
          <cell r="B236">
            <v>223657</v>
          </cell>
          <cell r="C236">
            <v>590121</v>
          </cell>
          <cell r="D236" t="str">
            <v>FRENTE GAV 355X896X19+COR</v>
          </cell>
          <cell r="E236">
            <v>355</v>
          </cell>
          <cell r="F236">
            <v>896</v>
          </cell>
        </row>
        <row r="237">
          <cell r="B237">
            <v>223658</v>
          </cell>
          <cell r="C237">
            <v>590122</v>
          </cell>
          <cell r="D237" t="str">
            <v>FRENTE GAV 355X996X19+COR</v>
          </cell>
          <cell r="E237">
            <v>355</v>
          </cell>
          <cell r="F237">
            <v>996</v>
          </cell>
        </row>
        <row r="238">
          <cell r="B238">
            <v>223659</v>
          </cell>
          <cell r="C238">
            <v>590123</v>
          </cell>
          <cell r="D238" t="str">
            <v>FRENTE GAV 355X1096X19+COR</v>
          </cell>
          <cell r="E238">
            <v>355</v>
          </cell>
          <cell r="F238">
            <v>1096</v>
          </cell>
        </row>
        <row r="239">
          <cell r="B239">
            <v>223660</v>
          </cell>
          <cell r="C239">
            <v>590124</v>
          </cell>
          <cell r="D239" t="str">
            <v>FRENTE GAV 355X1196X19+COR</v>
          </cell>
          <cell r="E239">
            <v>355</v>
          </cell>
          <cell r="F239">
            <v>1196</v>
          </cell>
        </row>
        <row r="240">
          <cell r="B240"/>
          <cell r="C240"/>
          <cell r="D240"/>
          <cell r="E240"/>
          <cell r="F240"/>
        </row>
        <row r="241">
          <cell r="B241">
            <v>223670</v>
          </cell>
          <cell r="C241">
            <v>590126</v>
          </cell>
          <cell r="D241" t="str">
            <v>FRENTE GAV TDBOX 355X396X19+COR</v>
          </cell>
          <cell r="E241">
            <v>355</v>
          </cell>
          <cell r="F241">
            <v>396</v>
          </cell>
        </row>
        <row r="242">
          <cell r="B242">
            <v>223671</v>
          </cell>
          <cell r="C242">
            <v>590127</v>
          </cell>
          <cell r="D242" t="str">
            <v>FRENTE GAV TDBOX 355X446X19+COR</v>
          </cell>
          <cell r="E242">
            <v>355</v>
          </cell>
          <cell r="F242">
            <v>446</v>
          </cell>
        </row>
        <row r="243">
          <cell r="B243">
            <v>223672</v>
          </cell>
          <cell r="C243">
            <v>590128</v>
          </cell>
          <cell r="D243" t="str">
            <v>FRENTE GAV TDBOX 355X496X19+COR</v>
          </cell>
          <cell r="E243">
            <v>355</v>
          </cell>
          <cell r="F243">
            <v>496</v>
          </cell>
        </row>
        <row r="244">
          <cell r="B244">
            <v>223673</v>
          </cell>
          <cell r="C244">
            <v>590129</v>
          </cell>
          <cell r="D244" t="str">
            <v>FRENTE GAV TDBOX 355X546X19+COR</v>
          </cell>
          <cell r="E244">
            <v>355</v>
          </cell>
          <cell r="F244">
            <v>546</v>
          </cell>
        </row>
        <row r="245">
          <cell r="B245">
            <v>223674</v>
          </cell>
          <cell r="C245">
            <v>590130</v>
          </cell>
          <cell r="D245" t="str">
            <v>FRENTE GAV TDBOX 355X596X19+COR</v>
          </cell>
          <cell r="E245">
            <v>355</v>
          </cell>
          <cell r="F245">
            <v>596</v>
          </cell>
        </row>
        <row r="246">
          <cell r="B246">
            <v>223675</v>
          </cell>
          <cell r="C246">
            <v>590131</v>
          </cell>
          <cell r="D246" t="str">
            <v>FRENTE GAV TDBOX 355X696X19+COR</v>
          </cell>
          <cell r="E246">
            <v>355</v>
          </cell>
          <cell r="F246">
            <v>696</v>
          </cell>
        </row>
        <row r="247">
          <cell r="B247">
            <v>223676</v>
          </cell>
          <cell r="C247">
            <v>590132</v>
          </cell>
          <cell r="D247" t="str">
            <v>FRENTE GAV TDBOX 355X796X19+COR</v>
          </cell>
          <cell r="E247">
            <v>355</v>
          </cell>
          <cell r="F247">
            <v>796</v>
          </cell>
        </row>
        <row r="248">
          <cell r="B248">
            <v>223677</v>
          </cell>
          <cell r="C248">
            <v>590133</v>
          </cell>
          <cell r="D248" t="str">
            <v>FRENTE GAV TDBOX 355X896X19+COR</v>
          </cell>
          <cell r="E248">
            <v>355</v>
          </cell>
          <cell r="F248">
            <v>896</v>
          </cell>
        </row>
        <row r="249">
          <cell r="B249">
            <v>223678</v>
          </cell>
          <cell r="C249">
            <v>590134</v>
          </cell>
          <cell r="D249" t="str">
            <v>FRENTE GAV TDBOX 355X996X19+COR</v>
          </cell>
          <cell r="E249">
            <v>355</v>
          </cell>
          <cell r="F249">
            <v>996</v>
          </cell>
        </row>
        <row r="250">
          <cell r="B250">
            <v>223679</v>
          </cell>
          <cell r="C250">
            <v>590135</v>
          </cell>
          <cell r="D250" t="str">
            <v>FRENTE GAV TDBOX 355X1096X19+COR</v>
          </cell>
          <cell r="E250">
            <v>355</v>
          </cell>
          <cell r="F250">
            <v>1096</v>
          </cell>
        </row>
        <row r="251">
          <cell r="B251">
            <v>223680</v>
          </cell>
          <cell r="C251">
            <v>590136</v>
          </cell>
          <cell r="D251" t="str">
            <v>FRENTE GAV TDBOX 355X1196X19+COR</v>
          </cell>
          <cell r="E251">
            <v>355</v>
          </cell>
          <cell r="F251">
            <v>1196</v>
          </cell>
        </row>
        <row r="252">
          <cell r="B252"/>
          <cell r="C252"/>
          <cell r="D252"/>
          <cell r="E252"/>
          <cell r="F252"/>
        </row>
        <row r="253">
          <cell r="B253">
            <v>223690</v>
          </cell>
          <cell r="C253">
            <v>590138</v>
          </cell>
          <cell r="D253" t="str">
            <v>FRENTE TÁBUA DE PASSAR 175X396X19+COR</v>
          </cell>
          <cell r="E253">
            <v>175</v>
          </cell>
          <cell r="F253">
            <v>396</v>
          </cell>
        </row>
        <row r="254">
          <cell r="B254"/>
          <cell r="C254"/>
          <cell r="D254"/>
          <cell r="E254"/>
          <cell r="F254"/>
        </row>
        <row r="255">
          <cell r="B255">
            <v>223695</v>
          </cell>
          <cell r="C255">
            <v>591080</v>
          </cell>
          <cell r="D255" t="str">
            <v>FRENTE FALSA GAV 355X396X18+COR</v>
          </cell>
          <cell r="E255">
            <v>355</v>
          </cell>
          <cell r="F255">
            <v>396</v>
          </cell>
        </row>
        <row r="256">
          <cell r="B256">
            <v>223696</v>
          </cell>
          <cell r="C256">
            <v>591081</v>
          </cell>
          <cell r="D256" t="str">
            <v>FRENTE FALSA GAV 355X446X18+COR</v>
          </cell>
          <cell r="E256">
            <v>355</v>
          </cell>
          <cell r="F256">
            <v>446</v>
          </cell>
        </row>
        <row r="257">
          <cell r="B257">
            <v>223697</v>
          </cell>
          <cell r="C257">
            <v>591082</v>
          </cell>
          <cell r="D257" t="str">
            <v>FRENTE FALSA GAV 355X496X18+COR</v>
          </cell>
          <cell r="E257">
            <v>355</v>
          </cell>
          <cell r="F257">
            <v>496</v>
          </cell>
        </row>
        <row r="258">
          <cell r="B258">
            <v>223698</v>
          </cell>
          <cell r="C258">
            <v>591083</v>
          </cell>
          <cell r="D258" t="str">
            <v>FRENTE FALSA GAV 355X546X18+COR</v>
          </cell>
          <cell r="E258">
            <v>355</v>
          </cell>
          <cell r="F258">
            <v>546</v>
          </cell>
        </row>
        <row r="259">
          <cell r="B259">
            <v>223699</v>
          </cell>
          <cell r="C259">
            <v>591084</v>
          </cell>
          <cell r="D259" t="str">
            <v>FRENTE FALSA GAV 355X596X18+COR</v>
          </cell>
          <cell r="E259">
            <v>355</v>
          </cell>
          <cell r="F259">
            <v>596</v>
          </cell>
        </row>
        <row r="260">
          <cell r="B260">
            <v>223708</v>
          </cell>
          <cell r="C260">
            <v>591085</v>
          </cell>
          <cell r="D260" t="str">
            <v>FRENTE FALSA GAV 355X696X18+COR</v>
          </cell>
          <cell r="E260">
            <v>355</v>
          </cell>
          <cell r="F260">
            <v>696</v>
          </cell>
        </row>
        <row r="261">
          <cell r="B261">
            <v>223709</v>
          </cell>
          <cell r="C261">
            <v>591086</v>
          </cell>
          <cell r="D261" t="str">
            <v>FRENTE FALSA GAV 355X796X18+COR</v>
          </cell>
          <cell r="E261">
            <v>355</v>
          </cell>
          <cell r="F261">
            <v>796</v>
          </cell>
        </row>
        <row r="262">
          <cell r="B262">
            <v>223714</v>
          </cell>
          <cell r="C262">
            <v>591087</v>
          </cell>
          <cell r="D262" t="str">
            <v>FRENTE FALSA GAV 355X896X18+COR</v>
          </cell>
          <cell r="E262">
            <v>355</v>
          </cell>
          <cell r="F262">
            <v>896</v>
          </cell>
        </row>
        <row r="263">
          <cell r="B263">
            <v>223718</v>
          </cell>
          <cell r="C263">
            <v>591088</v>
          </cell>
          <cell r="D263" t="str">
            <v>FRENTE FALSA GAV 355X996X18+COR</v>
          </cell>
          <cell r="E263">
            <v>355</v>
          </cell>
          <cell r="F263">
            <v>996</v>
          </cell>
        </row>
        <row r="264">
          <cell r="B264">
            <v>223748</v>
          </cell>
          <cell r="C264">
            <v>591089</v>
          </cell>
          <cell r="D264" t="str">
            <v>FRENTE FALSA GAV 355X1096X18+COR</v>
          </cell>
          <cell r="E264">
            <v>355</v>
          </cell>
          <cell r="F264">
            <v>1096</v>
          </cell>
        </row>
        <row r="265">
          <cell r="B265">
            <v>223749</v>
          </cell>
          <cell r="C265">
            <v>591090</v>
          </cell>
          <cell r="D265" t="str">
            <v>FRENTE FALSA GAV 355X1196X18+COR</v>
          </cell>
          <cell r="E265">
            <v>355</v>
          </cell>
          <cell r="F265">
            <v>1196</v>
          </cell>
        </row>
        <row r="266">
          <cell r="B266"/>
          <cell r="C266"/>
          <cell r="D266"/>
          <cell r="E266"/>
          <cell r="F266"/>
        </row>
        <row r="267">
          <cell r="B267">
            <v>223778</v>
          </cell>
          <cell r="C267">
            <v>591091</v>
          </cell>
          <cell r="D267" t="str">
            <v>FRENTE FALSA GAV 535X396X18+COR</v>
          </cell>
          <cell r="E267">
            <v>535</v>
          </cell>
          <cell r="F267">
            <v>396</v>
          </cell>
        </row>
        <row r="268">
          <cell r="B268">
            <v>223779</v>
          </cell>
          <cell r="C268">
            <v>591092</v>
          </cell>
          <cell r="D268" t="str">
            <v>FRENTE FALSA GAV 535X446X18+COR</v>
          </cell>
          <cell r="E268">
            <v>535</v>
          </cell>
          <cell r="F268">
            <v>446</v>
          </cell>
        </row>
        <row r="269">
          <cell r="B269">
            <v>223780</v>
          </cell>
          <cell r="C269">
            <v>591093</v>
          </cell>
          <cell r="D269" t="str">
            <v>FRENTE FALSA GAV 535X496X18+COR</v>
          </cell>
          <cell r="E269">
            <v>535</v>
          </cell>
          <cell r="F269">
            <v>496</v>
          </cell>
        </row>
        <row r="270">
          <cell r="B270">
            <v>223781</v>
          </cell>
          <cell r="C270">
            <v>591094</v>
          </cell>
          <cell r="D270" t="str">
            <v>FRENTE FALSA GAV 535X546X18+COR</v>
          </cell>
          <cell r="E270">
            <v>535</v>
          </cell>
          <cell r="F270">
            <v>546</v>
          </cell>
        </row>
        <row r="271">
          <cell r="B271">
            <v>223782</v>
          </cell>
          <cell r="C271">
            <v>591095</v>
          </cell>
          <cell r="D271" t="str">
            <v>FRENTE FALSA GAV 535X596X18+COR</v>
          </cell>
          <cell r="E271">
            <v>535</v>
          </cell>
          <cell r="F271">
            <v>596</v>
          </cell>
        </row>
        <row r="272">
          <cell r="B272">
            <v>223783</v>
          </cell>
          <cell r="C272">
            <v>591096</v>
          </cell>
          <cell r="D272" t="str">
            <v>FRENTE FALSA GAV 535X696X18+COR</v>
          </cell>
          <cell r="E272">
            <v>535</v>
          </cell>
          <cell r="F272">
            <v>696</v>
          </cell>
        </row>
        <row r="273">
          <cell r="B273">
            <v>223784</v>
          </cell>
          <cell r="C273">
            <v>591097</v>
          </cell>
          <cell r="D273" t="str">
            <v>FRENTE FALSA GAV 535X796X18+COR</v>
          </cell>
          <cell r="E273">
            <v>535</v>
          </cell>
          <cell r="F273">
            <v>796</v>
          </cell>
        </row>
        <row r="274">
          <cell r="B274">
            <v>223785</v>
          </cell>
          <cell r="C274">
            <v>591098</v>
          </cell>
          <cell r="D274" t="str">
            <v>FRENTE FALSA GAV 535X896X18+COR</v>
          </cell>
          <cell r="E274">
            <v>535</v>
          </cell>
          <cell r="F274">
            <v>896</v>
          </cell>
        </row>
        <row r="275">
          <cell r="B275">
            <v>223786</v>
          </cell>
          <cell r="C275">
            <v>591099</v>
          </cell>
          <cell r="D275" t="str">
            <v>FRENTE FALSA GAV 535X996X18+COR</v>
          </cell>
          <cell r="E275">
            <v>535</v>
          </cell>
          <cell r="F275">
            <v>996</v>
          </cell>
        </row>
        <row r="276">
          <cell r="B276"/>
          <cell r="C276"/>
          <cell r="D276"/>
          <cell r="E276"/>
          <cell r="F276"/>
        </row>
        <row r="277">
          <cell r="B277">
            <v>223787</v>
          </cell>
          <cell r="C277">
            <v>591100</v>
          </cell>
          <cell r="D277" t="str">
            <v>FRENTE FALSA GAV 713X396X18+COR</v>
          </cell>
          <cell r="E277">
            <v>713</v>
          </cell>
          <cell r="F277">
            <v>396</v>
          </cell>
        </row>
        <row r="278">
          <cell r="B278">
            <v>223788</v>
          </cell>
          <cell r="C278">
            <v>591101</v>
          </cell>
          <cell r="D278" t="str">
            <v>FRENTE FALSA GAV 713X446X18+COR</v>
          </cell>
          <cell r="E278">
            <v>713</v>
          </cell>
          <cell r="F278">
            <v>446</v>
          </cell>
        </row>
        <row r="279">
          <cell r="B279">
            <v>223789</v>
          </cell>
          <cell r="C279">
            <v>591102</v>
          </cell>
          <cell r="D279" t="str">
            <v>FRENTE FALSA GAV 713X496X18+COR</v>
          </cell>
          <cell r="E279">
            <v>713</v>
          </cell>
          <cell r="F279">
            <v>496</v>
          </cell>
        </row>
        <row r="280">
          <cell r="B280">
            <v>223790</v>
          </cell>
          <cell r="C280">
            <v>591103</v>
          </cell>
          <cell r="D280" t="str">
            <v>FRENTE FALSA GAV 713X546X18+COR</v>
          </cell>
          <cell r="E280">
            <v>713</v>
          </cell>
          <cell r="F280">
            <v>546</v>
          </cell>
        </row>
        <row r="281">
          <cell r="B281">
            <v>223791</v>
          </cell>
          <cell r="C281">
            <v>591104</v>
          </cell>
          <cell r="D281" t="str">
            <v>FRENTE FALSA GAV 713X596X18+COR</v>
          </cell>
          <cell r="E281">
            <v>713</v>
          </cell>
          <cell r="F281">
            <v>596</v>
          </cell>
        </row>
        <row r="282">
          <cell r="B282">
            <v>223792</v>
          </cell>
          <cell r="C282">
            <v>591105</v>
          </cell>
          <cell r="D282" t="str">
            <v>FRENTE FALSA GAV 713X696X18+COR</v>
          </cell>
          <cell r="E282">
            <v>713</v>
          </cell>
          <cell r="F282">
            <v>696</v>
          </cell>
        </row>
        <row r="283">
          <cell r="B283">
            <v>223793</v>
          </cell>
          <cell r="C283">
            <v>591106</v>
          </cell>
          <cell r="D283" t="str">
            <v>FRENTE FALSA GAV 713X796X18+COR</v>
          </cell>
          <cell r="E283">
            <v>713</v>
          </cell>
          <cell r="F283">
            <v>796</v>
          </cell>
        </row>
        <row r="284">
          <cell r="B284">
            <v>223794</v>
          </cell>
          <cell r="C284">
            <v>591107</v>
          </cell>
          <cell r="D284" t="str">
            <v>FRENTE FALSA GAV 713X896X18+COR</v>
          </cell>
          <cell r="E284">
            <v>713</v>
          </cell>
          <cell r="F284">
            <v>896</v>
          </cell>
        </row>
        <row r="285">
          <cell r="B285">
            <v>223795</v>
          </cell>
          <cell r="C285">
            <v>591108</v>
          </cell>
          <cell r="D285" t="str">
            <v>FRENTE FALSA GAV 713X996X18+COR</v>
          </cell>
          <cell r="E285">
            <v>713</v>
          </cell>
          <cell r="F285">
            <v>996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FIL ALUM COZ"/>
      <sheetName val="VIDROS AQUA"/>
      <sheetName val="VIDRO AQUA"/>
      <sheetName val="FRENTES AQUA 2022"/>
    </sheetNames>
    <sheetDataSet>
      <sheetData sheetId="0">
        <row r="6">
          <cell r="A6">
            <v>595230</v>
          </cell>
          <cell r="B6">
            <v>2101</v>
          </cell>
          <cell r="C6">
            <v>2102</v>
          </cell>
          <cell r="D6">
            <v>2103</v>
          </cell>
          <cell r="E6">
            <v>2104</v>
          </cell>
          <cell r="F6">
            <v>2105</v>
          </cell>
          <cell r="G6">
            <v>2106</v>
          </cell>
          <cell r="H6">
            <v>2107</v>
          </cell>
          <cell r="I6">
            <v>2108</v>
          </cell>
          <cell r="J6">
            <v>2109</v>
          </cell>
          <cell r="K6">
            <v>2110</v>
          </cell>
          <cell r="L6">
            <v>2100</v>
          </cell>
          <cell r="M6" t="str">
            <v>CABECEIRA S/DOB PL TERRA 196X45,2X14 + COR</v>
          </cell>
          <cell r="N6">
            <v>196</v>
          </cell>
          <cell r="O6">
            <v>45.2</v>
          </cell>
          <cell r="P6">
            <v>14</v>
          </cell>
        </row>
        <row r="7">
          <cell r="A7">
            <v>595231</v>
          </cell>
          <cell r="B7">
            <v>2101</v>
          </cell>
          <cell r="C7">
            <v>2102</v>
          </cell>
          <cell r="D7">
            <v>2103</v>
          </cell>
          <cell r="E7">
            <v>2104</v>
          </cell>
          <cell r="F7">
            <v>2105</v>
          </cell>
          <cell r="G7">
            <v>2106</v>
          </cell>
          <cell r="H7">
            <v>2107</v>
          </cell>
          <cell r="I7">
            <v>2108</v>
          </cell>
          <cell r="J7">
            <v>2109</v>
          </cell>
          <cell r="K7">
            <v>2110</v>
          </cell>
          <cell r="L7">
            <v>2100</v>
          </cell>
          <cell r="M7" t="str">
            <v>CABECEIRA S/DOB PL TERRA 296X45,2X14 + COR</v>
          </cell>
          <cell r="N7">
            <v>296</v>
          </cell>
          <cell r="O7">
            <v>45.2</v>
          </cell>
          <cell r="P7">
            <v>14</v>
          </cell>
        </row>
        <row r="8">
          <cell r="A8">
            <v>595378</v>
          </cell>
          <cell r="B8">
            <v>2101</v>
          </cell>
          <cell r="C8">
            <v>2102</v>
          </cell>
          <cell r="D8">
            <v>2103</v>
          </cell>
          <cell r="E8">
            <v>2104</v>
          </cell>
          <cell r="F8">
            <v>2105</v>
          </cell>
          <cell r="G8">
            <v>2106</v>
          </cell>
          <cell r="H8">
            <v>2107</v>
          </cell>
          <cell r="I8">
            <v>2108</v>
          </cell>
          <cell r="J8">
            <v>2109</v>
          </cell>
          <cell r="K8">
            <v>2110</v>
          </cell>
          <cell r="L8">
            <v>2100</v>
          </cell>
          <cell r="M8" t="str">
            <v>CABECEIRA S/DOB PL TERRA 311X45,2X14 + COR</v>
          </cell>
          <cell r="N8">
            <v>311</v>
          </cell>
          <cell r="O8">
            <v>45.2</v>
          </cell>
          <cell r="P8">
            <v>14</v>
          </cell>
        </row>
        <row r="9">
          <cell r="A9">
            <v>595232</v>
          </cell>
          <cell r="B9">
            <v>2101</v>
          </cell>
          <cell r="C9">
            <v>2102</v>
          </cell>
          <cell r="D9">
            <v>2103</v>
          </cell>
          <cell r="E9">
            <v>2104</v>
          </cell>
          <cell r="F9">
            <v>2105</v>
          </cell>
          <cell r="G9">
            <v>2106</v>
          </cell>
          <cell r="H9">
            <v>2107</v>
          </cell>
          <cell r="I9">
            <v>2108</v>
          </cell>
          <cell r="J9">
            <v>2109</v>
          </cell>
          <cell r="K9">
            <v>2110</v>
          </cell>
          <cell r="L9">
            <v>2100</v>
          </cell>
          <cell r="M9" t="str">
            <v>CABECEIRA S/DOB PL TERRA 346X45,2X14 + COR</v>
          </cell>
          <cell r="N9">
            <v>346</v>
          </cell>
          <cell r="O9">
            <v>45.2</v>
          </cell>
          <cell r="P9">
            <v>14</v>
          </cell>
        </row>
        <row r="10">
          <cell r="A10">
            <v>595233</v>
          </cell>
          <cell r="B10">
            <v>2101</v>
          </cell>
          <cell r="C10">
            <v>2102</v>
          </cell>
          <cell r="D10">
            <v>2103</v>
          </cell>
          <cell r="E10">
            <v>2104</v>
          </cell>
          <cell r="F10">
            <v>2105</v>
          </cell>
          <cell r="G10">
            <v>2106</v>
          </cell>
          <cell r="H10">
            <v>2107</v>
          </cell>
          <cell r="I10">
            <v>2108</v>
          </cell>
          <cell r="J10">
            <v>2109</v>
          </cell>
          <cell r="K10">
            <v>2110</v>
          </cell>
          <cell r="L10">
            <v>2100</v>
          </cell>
          <cell r="M10" t="str">
            <v>CABECEIRA S/DOB PL TERRA 361X45,2X14 + COR</v>
          </cell>
          <cell r="N10">
            <v>361</v>
          </cell>
          <cell r="O10">
            <v>45.2</v>
          </cell>
          <cell r="P10">
            <v>14</v>
          </cell>
        </row>
        <row r="11">
          <cell r="A11">
            <v>595234</v>
          </cell>
          <cell r="B11">
            <v>2101</v>
          </cell>
          <cell r="C11">
            <v>2102</v>
          </cell>
          <cell r="D11">
            <v>2103</v>
          </cell>
          <cell r="E11">
            <v>2104</v>
          </cell>
          <cell r="F11">
            <v>2105</v>
          </cell>
          <cell r="G11">
            <v>2106</v>
          </cell>
          <cell r="H11">
            <v>2107</v>
          </cell>
          <cell r="I11">
            <v>2108</v>
          </cell>
          <cell r="J11">
            <v>2109</v>
          </cell>
          <cell r="K11">
            <v>2110</v>
          </cell>
          <cell r="L11">
            <v>2100</v>
          </cell>
          <cell r="M11" t="str">
            <v>CABECEIRA S/DOB PL TERRA 396X45,2X14 + COR</v>
          </cell>
          <cell r="N11">
            <v>396</v>
          </cell>
          <cell r="O11">
            <v>45.2</v>
          </cell>
          <cell r="P11">
            <v>14</v>
          </cell>
        </row>
        <row r="12">
          <cell r="A12">
            <v>595379</v>
          </cell>
          <cell r="B12">
            <v>2101</v>
          </cell>
          <cell r="C12">
            <v>2102</v>
          </cell>
          <cell r="D12">
            <v>2103</v>
          </cell>
          <cell r="E12">
            <v>2104</v>
          </cell>
          <cell r="F12">
            <v>2105</v>
          </cell>
          <cell r="G12">
            <v>2106</v>
          </cell>
          <cell r="H12">
            <v>2107</v>
          </cell>
          <cell r="I12">
            <v>2108</v>
          </cell>
          <cell r="J12">
            <v>2109</v>
          </cell>
          <cell r="K12">
            <v>2110</v>
          </cell>
          <cell r="L12">
            <v>2100</v>
          </cell>
          <cell r="M12" t="str">
            <v>CABECEIRA S/DOB PL TERRA 411X45,2X14 + COR</v>
          </cell>
          <cell r="N12">
            <v>411</v>
          </cell>
          <cell r="O12">
            <v>45.2</v>
          </cell>
          <cell r="P12">
            <v>14</v>
          </cell>
        </row>
        <row r="13">
          <cell r="A13">
            <v>595235</v>
          </cell>
          <cell r="B13">
            <v>2101</v>
          </cell>
          <cell r="C13">
            <v>2102</v>
          </cell>
          <cell r="D13">
            <v>2103</v>
          </cell>
          <cell r="E13">
            <v>2104</v>
          </cell>
          <cell r="F13">
            <v>2105</v>
          </cell>
          <cell r="G13">
            <v>2106</v>
          </cell>
          <cell r="H13">
            <v>2107</v>
          </cell>
          <cell r="I13">
            <v>2108</v>
          </cell>
          <cell r="J13">
            <v>2109</v>
          </cell>
          <cell r="K13">
            <v>2110</v>
          </cell>
          <cell r="L13">
            <v>2100</v>
          </cell>
          <cell r="M13" t="str">
            <v>CABECEIRA S/DOB PL TERRA 446X45,2X14 + COR</v>
          </cell>
          <cell r="N13">
            <v>446</v>
          </cell>
          <cell r="O13">
            <v>45.2</v>
          </cell>
          <cell r="P13">
            <v>14</v>
          </cell>
        </row>
        <row r="14">
          <cell r="A14">
            <v>595236</v>
          </cell>
          <cell r="B14">
            <v>2101</v>
          </cell>
          <cell r="C14">
            <v>2102</v>
          </cell>
          <cell r="D14">
            <v>2103</v>
          </cell>
          <cell r="E14">
            <v>2104</v>
          </cell>
          <cell r="F14">
            <v>2105</v>
          </cell>
          <cell r="G14">
            <v>2106</v>
          </cell>
          <cell r="H14">
            <v>2107</v>
          </cell>
          <cell r="I14">
            <v>2108</v>
          </cell>
          <cell r="J14">
            <v>2109</v>
          </cell>
          <cell r="K14">
            <v>2110</v>
          </cell>
          <cell r="L14">
            <v>2100</v>
          </cell>
          <cell r="M14" t="str">
            <v>CABECEIRA S/DOB PL TERRA 461X45,2X14 + COR</v>
          </cell>
          <cell r="N14">
            <v>461</v>
          </cell>
          <cell r="O14">
            <v>45.2</v>
          </cell>
          <cell r="P14">
            <v>14</v>
          </cell>
        </row>
        <row r="15">
          <cell r="A15">
            <v>595237</v>
          </cell>
          <cell r="B15">
            <v>2101</v>
          </cell>
          <cell r="C15">
            <v>2102</v>
          </cell>
          <cell r="D15">
            <v>2103</v>
          </cell>
          <cell r="E15">
            <v>2104</v>
          </cell>
          <cell r="F15">
            <v>2105</v>
          </cell>
          <cell r="G15">
            <v>2106</v>
          </cell>
          <cell r="H15">
            <v>2107</v>
          </cell>
          <cell r="I15">
            <v>2108</v>
          </cell>
          <cell r="J15">
            <v>2109</v>
          </cell>
          <cell r="K15">
            <v>2110</v>
          </cell>
          <cell r="L15">
            <v>2100</v>
          </cell>
          <cell r="M15" t="str">
            <v>CABECEIRA S/DOB PL TERRA 482X45,2X14 + COR</v>
          </cell>
          <cell r="N15">
            <v>482</v>
          </cell>
          <cell r="O15">
            <v>45.2</v>
          </cell>
          <cell r="P15">
            <v>14</v>
          </cell>
        </row>
        <row r="16">
          <cell r="A16">
            <v>595238</v>
          </cell>
          <cell r="B16">
            <v>2101</v>
          </cell>
          <cell r="C16">
            <v>2102</v>
          </cell>
          <cell r="D16">
            <v>2103</v>
          </cell>
          <cell r="E16">
            <v>2104</v>
          </cell>
          <cell r="F16">
            <v>2105</v>
          </cell>
          <cell r="G16">
            <v>2106</v>
          </cell>
          <cell r="H16">
            <v>2107</v>
          </cell>
          <cell r="I16">
            <v>2108</v>
          </cell>
          <cell r="J16">
            <v>2109</v>
          </cell>
          <cell r="K16">
            <v>2110</v>
          </cell>
          <cell r="L16">
            <v>2100</v>
          </cell>
          <cell r="M16" t="str">
            <v>CABECEIRA S/DOB PL TERRA 496X45,2X14 + COR</v>
          </cell>
          <cell r="N16">
            <v>496</v>
          </cell>
          <cell r="O16">
            <v>45.2</v>
          </cell>
          <cell r="P16">
            <v>14</v>
          </cell>
        </row>
        <row r="17">
          <cell r="A17">
            <v>595239</v>
          </cell>
          <cell r="B17">
            <v>2101</v>
          </cell>
          <cell r="C17">
            <v>2102</v>
          </cell>
          <cell r="D17">
            <v>2103</v>
          </cell>
          <cell r="E17">
            <v>2104</v>
          </cell>
          <cell r="F17">
            <v>2105</v>
          </cell>
          <cell r="G17">
            <v>2106</v>
          </cell>
          <cell r="H17">
            <v>2107</v>
          </cell>
          <cell r="I17">
            <v>2108</v>
          </cell>
          <cell r="J17">
            <v>2109</v>
          </cell>
          <cell r="K17">
            <v>2110</v>
          </cell>
          <cell r="L17">
            <v>2100</v>
          </cell>
          <cell r="M17" t="str">
            <v>CABECEIRA S/DOB PL TERRA 502X45,2X14 + COR</v>
          </cell>
          <cell r="N17">
            <v>502</v>
          </cell>
          <cell r="O17">
            <v>45.2</v>
          </cell>
          <cell r="P17">
            <v>14</v>
          </cell>
        </row>
        <row r="18">
          <cell r="A18">
            <v>595240</v>
          </cell>
          <cell r="B18">
            <v>2101</v>
          </cell>
          <cell r="C18">
            <v>2102</v>
          </cell>
          <cell r="D18">
            <v>2103</v>
          </cell>
          <cell r="E18">
            <v>2104</v>
          </cell>
          <cell r="F18">
            <v>2105</v>
          </cell>
          <cell r="G18">
            <v>2106</v>
          </cell>
          <cell r="H18">
            <v>2107</v>
          </cell>
          <cell r="I18">
            <v>2108</v>
          </cell>
          <cell r="J18">
            <v>2109</v>
          </cell>
          <cell r="K18">
            <v>2110</v>
          </cell>
          <cell r="L18">
            <v>2100</v>
          </cell>
          <cell r="M18" t="str">
            <v>CABECEIRA S/DOB PL TERRA 521X45,2X14 + COR</v>
          </cell>
          <cell r="N18">
            <v>521</v>
          </cell>
          <cell r="O18">
            <v>45.2</v>
          </cell>
          <cell r="P18">
            <v>14</v>
          </cell>
        </row>
        <row r="19">
          <cell r="A19">
            <v>595241</v>
          </cell>
          <cell r="B19">
            <v>2101</v>
          </cell>
          <cell r="C19">
            <v>2102</v>
          </cell>
          <cell r="D19">
            <v>2103</v>
          </cell>
          <cell r="E19">
            <v>2104</v>
          </cell>
          <cell r="F19">
            <v>2105</v>
          </cell>
          <cell r="G19">
            <v>2106</v>
          </cell>
          <cell r="H19">
            <v>2107</v>
          </cell>
          <cell r="I19">
            <v>2108</v>
          </cell>
          <cell r="J19">
            <v>2109</v>
          </cell>
          <cell r="K19">
            <v>2110</v>
          </cell>
          <cell r="L19">
            <v>2100</v>
          </cell>
          <cell r="M19" t="str">
            <v>CABECEIRA S/DOB PL TERRA 542X45,2X14 + COR</v>
          </cell>
          <cell r="N19">
            <v>542</v>
          </cell>
          <cell r="O19">
            <v>45.2</v>
          </cell>
          <cell r="P19">
            <v>14</v>
          </cell>
        </row>
        <row r="20">
          <cell r="A20">
            <v>595242</v>
          </cell>
          <cell r="B20">
            <v>2101</v>
          </cell>
          <cell r="C20">
            <v>2102</v>
          </cell>
          <cell r="D20">
            <v>2103</v>
          </cell>
          <cell r="E20">
            <v>2104</v>
          </cell>
          <cell r="F20">
            <v>2105</v>
          </cell>
          <cell r="G20">
            <v>2106</v>
          </cell>
          <cell r="H20">
            <v>2107</v>
          </cell>
          <cell r="I20">
            <v>2108</v>
          </cell>
          <cell r="J20">
            <v>2109</v>
          </cell>
          <cell r="K20">
            <v>2110</v>
          </cell>
          <cell r="L20">
            <v>2100</v>
          </cell>
          <cell r="M20" t="str">
            <v>CABECEIRA S/DOB PL TERRA 546X45,2X14 + COR</v>
          </cell>
          <cell r="N20">
            <v>546</v>
          </cell>
          <cell r="O20">
            <v>45.2</v>
          </cell>
          <cell r="P20">
            <v>14</v>
          </cell>
        </row>
        <row r="21">
          <cell r="A21">
            <v>595243</v>
          </cell>
          <cell r="B21">
            <v>2101</v>
          </cell>
          <cell r="C21">
            <v>2102</v>
          </cell>
          <cell r="D21">
            <v>2103</v>
          </cell>
          <cell r="E21">
            <v>2104</v>
          </cell>
          <cell r="F21">
            <v>2105</v>
          </cell>
          <cell r="G21">
            <v>2106</v>
          </cell>
          <cell r="H21">
            <v>2107</v>
          </cell>
          <cell r="I21">
            <v>2108</v>
          </cell>
          <cell r="J21">
            <v>2109</v>
          </cell>
          <cell r="K21">
            <v>2110</v>
          </cell>
          <cell r="L21">
            <v>2100</v>
          </cell>
          <cell r="M21" t="str">
            <v>CABECEIRA S/DOB PL TERRA 561X45,2X14 + COR</v>
          </cell>
          <cell r="N21">
            <v>561</v>
          </cell>
          <cell r="O21">
            <v>45.2</v>
          </cell>
          <cell r="P21">
            <v>14</v>
          </cell>
        </row>
        <row r="22">
          <cell r="A22">
            <v>595244</v>
          </cell>
          <cell r="B22">
            <v>2101</v>
          </cell>
          <cell r="C22">
            <v>2102</v>
          </cell>
          <cell r="D22">
            <v>2103</v>
          </cell>
          <cell r="E22">
            <v>2104</v>
          </cell>
          <cell r="F22">
            <v>2105</v>
          </cell>
          <cell r="G22">
            <v>2106</v>
          </cell>
          <cell r="H22">
            <v>2107</v>
          </cell>
          <cell r="I22">
            <v>2108</v>
          </cell>
          <cell r="J22">
            <v>2109</v>
          </cell>
          <cell r="K22">
            <v>2110</v>
          </cell>
          <cell r="L22">
            <v>2100</v>
          </cell>
          <cell r="M22" t="str">
            <v>CABECEIRA S/DOB PL TERRA 596X45,2X14 + COR</v>
          </cell>
          <cell r="N22">
            <v>596</v>
          </cell>
          <cell r="O22">
            <v>45.2</v>
          </cell>
          <cell r="P22">
            <v>14</v>
          </cell>
        </row>
        <row r="23">
          <cell r="A23">
            <v>595245</v>
          </cell>
          <cell r="B23">
            <v>2101</v>
          </cell>
          <cell r="C23">
            <v>2102</v>
          </cell>
          <cell r="D23">
            <v>2103</v>
          </cell>
          <cell r="E23">
            <v>2104</v>
          </cell>
          <cell r="F23">
            <v>2105</v>
          </cell>
          <cell r="G23">
            <v>2106</v>
          </cell>
          <cell r="H23">
            <v>2107</v>
          </cell>
          <cell r="I23">
            <v>2108</v>
          </cell>
          <cell r="J23">
            <v>2109</v>
          </cell>
          <cell r="K23">
            <v>2110</v>
          </cell>
          <cell r="L23">
            <v>2100</v>
          </cell>
          <cell r="M23" t="str">
            <v>CABECEIRA S/DOB PL TERRA 696X45,2X14 + COR</v>
          </cell>
          <cell r="N23">
            <v>696</v>
          </cell>
          <cell r="O23">
            <v>45.2</v>
          </cell>
          <cell r="P23">
            <v>14</v>
          </cell>
        </row>
        <row r="24">
          <cell r="A24">
            <v>595246</v>
          </cell>
          <cell r="B24">
            <v>2101</v>
          </cell>
          <cell r="C24">
            <v>2102</v>
          </cell>
          <cell r="D24">
            <v>2103</v>
          </cell>
          <cell r="E24">
            <v>2104</v>
          </cell>
          <cell r="F24">
            <v>2105</v>
          </cell>
          <cell r="G24">
            <v>2106</v>
          </cell>
          <cell r="H24">
            <v>2107</v>
          </cell>
          <cell r="I24">
            <v>2108</v>
          </cell>
          <cell r="J24">
            <v>2109</v>
          </cell>
          <cell r="K24">
            <v>2110</v>
          </cell>
          <cell r="L24">
            <v>2100</v>
          </cell>
          <cell r="M24" t="str">
            <v>CABECEIRA S/DOB PL TERRA 796X45,2X14 + COR</v>
          </cell>
          <cell r="N24">
            <v>796</v>
          </cell>
          <cell r="O24">
            <v>45.2</v>
          </cell>
          <cell r="P24">
            <v>14</v>
          </cell>
        </row>
        <row r="25">
          <cell r="A25">
            <v>595247</v>
          </cell>
          <cell r="B25">
            <v>2101</v>
          </cell>
          <cell r="C25">
            <v>2102</v>
          </cell>
          <cell r="D25">
            <v>2103</v>
          </cell>
          <cell r="E25">
            <v>2104</v>
          </cell>
          <cell r="F25">
            <v>2105</v>
          </cell>
          <cell r="G25">
            <v>2106</v>
          </cell>
          <cell r="H25">
            <v>2107</v>
          </cell>
          <cell r="I25">
            <v>2108</v>
          </cell>
          <cell r="J25">
            <v>2109</v>
          </cell>
          <cell r="K25">
            <v>2110</v>
          </cell>
          <cell r="L25">
            <v>2100</v>
          </cell>
          <cell r="M25" t="str">
            <v>CABECEIRA S/DOB PL TERRA 896X45,2X14 + COR</v>
          </cell>
          <cell r="N25">
            <v>896</v>
          </cell>
          <cell r="O25">
            <v>45.2</v>
          </cell>
          <cell r="P25">
            <v>14</v>
          </cell>
        </row>
        <row r="26">
          <cell r="A26">
            <v>595248</v>
          </cell>
          <cell r="B26">
            <v>2101</v>
          </cell>
          <cell r="C26">
            <v>2102</v>
          </cell>
          <cell r="D26">
            <v>2103</v>
          </cell>
          <cell r="E26">
            <v>2104</v>
          </cell>
          <cell r="F26">
            <v>2105</v>
          </cell>
          <cell r="G26">
            <v>2106</v>
          </cell>
          <cell r="H26">
            <v>2107</v>
          </cell>
          <cell r="I26">
            <v>2108</v>
          </cell>
          <cell r="J26">
            <v>2109</v>
          </cell>
          <cell r="K26">
            <v>2110</v>
          </cell>
          <cell r="L26">
            <v>2100</v>
          </cell>
          <cell r="M26" t="str">
            <v>CABECEIRA S/DOB PL TERRA 996X45,2X14 + COR</v>
          </cell>
          <cell r="N26">
            <v>996</v>
          </cell>
          <cell r="O26">
            <v>45.2</v>
          </cell>
          <cell r="P26">
            <v>14</v>
          </cell>
        </row>
        <row r="27">
          <cell r="A27">
            <v>595249</v>
          </cell>
          <cell r="B27">
            <v>2101</v>
          </cell>
          <cell r="C27">
            <v>2102</v>
          </cell>
          <cell r="D27">
            <v>2103</v>
          </cell>
          <cell r="E27">
            <v>2104</v>
          </cell>
          <cell r="F27">
            <v>2105</v>
          </cell>
          <cell r="G27">
            <v>2106</v>
          </cell>
          <cell r="H27">
            <v>2107</v>
          </cell>
          <cell r="I27">
            <v>2108</v>
          </cell>
          <cell r="J27">
            <v>2109</v>
          </cell>
          <cell r="K27">
            <v>2110</v>
          </cell>
          <cell r="L27">
            <v>2100</v>
          </cell>
          <cell r="M27" t="str">
            <v>CABECEIRA S/DOB PL TERRA 1096X45,2X14 + COR</v>
          </cell>
          <cell r="N27">
            <v>1096</v>
          </cell>
          <cell r="O27">
            <v>45.2</v>
          </cell>
          <cell r="P27">
            <v>14</v>
          </cell>
        </row>
        <row r="28">
          <cell r="A28">
            <v>595250</v>
          </cell>
          <cell r="B28">
            <v>2101</v>
          </cell>
          <cell r="C28">
            <v>2102</v>
          </cell>
          <cell r="D28">
            <v>2103</v>
          </cell>
          <cell r="E28">
            <v>2104</v>
          </cell>
          <cell r="F28">
            <v>2105</v>
          </cell>
          <cell r="G28">
            <v>2106</v>
          </cell>
          <cell r="H28">
            <v>2107</v>
          </cell>
          <cell r="I28">
            <v>2108</v>
          </cell>
          <cell r="J28">
            <v>2109</v>
          </cell>
          <cell r="K28">
            <v>2110</v>
          </cell>
          <cell r="L28">
            <v>2100</v>
          </cell>
          <cell r="M28" t="str">
            <v>CABECEIRA S/DOB PL TERRA 1196X45,2X14 + COR</v>
          </cell>
          <cell r="N28">
            <v>1196</v>
          </cell>
          <cell r="O28">
            <v>45.2</v>
          </cell>
          <cell r="P28">
            <v>14</v>
          </cell>
        </row>
        <row r="29">
          <cell r="A29">
            <v>595251</v>
          </cell>
          <cell r="B29">
            <v>2101</v>
          </cell>
          <cell r="C29">
            <v>2102</v>
          </cell>
          <cell r="D29">
            <v>2103</v>
          </cell>
          <cell r="E29">
            <v>2104</v>
          </cell>
          <cell r="F29">
            <v>2105</v>
          </cell>
          <cell r="G29">
            <v>2106</v>
          </cell>
          <cell r="H29">
            <v>2107</v>
          </cell>
          <cell r="I29">
            <v>2108</v>
          </cell>
          <cell r="J29">
            <v>2109</v>
          </cell>
          <cell r="K29">
            <v>2110</v>
          </cell>
          <cell r="L29">
            <v>2100</v>
          </cell>
          <cell r="M29" t="str">
            <v>CABECEIRA S/DOB PL TERRA 1396X45,2X14 + COR</v>
          </cell>
          <cell r="N29">
            <v>1396</v>
          </cell>
          <cell r="O29">
            <v>45.2</v>
          </cell>
          <cell r="P29">
            <v>14</v>
          </cell>
        </row>
        <row r="30">
          <cell r="A30"/>
          <cell r="B30"/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</row>
        <row r="31">
          <cell r="A31">
            <v>595252</v>
          </cell>
          <cell r="B31">
            <v>2101</v>
          </cell>
          <cell r="C31">
            <v>2102</v>
          </cell>
          <cell r="D31">
            <v>2103</v>
          </cell>
          <cell r="E31">
            <v>2104</v>
          </cell>
          <cell r="F31">
            <v>2105</v>
          </cell>
          <cell r="G31">
            <v>2106</v>
          </cell>
          <cell r="H31">
            <v>2107</v>
          </cell>
          <cell r="I31">
            <v>2108</v>
          </cell>
          <cell r="J31">
            <v>2109</v>
          </cell>
          <cell r="K31">
            <v>2110</v>
          </cell>
          <cell r="L31">
            <v>2100</v>
          </cell>
          <cell r="M31" t="str">
            <v>CABECEIRA C/DOB PL TERRA 396X45,2X14 + COR</v>
          </cell>
          <cell r="N31">
            <v>396</v>
          </cell>
          <cell r="O31">
            <v>45.2</v>
          </cell>
          <cell r="P31">
            <v>14</v>
          </cell>
        </row>
        <row r="32">
          <cell r="A32">
            <v>595253</v>
          </cell>
          <cell r="B32">
            <v>2101</v>
          </cell>
          <cell r="C32">
            <v>2102</v>
          </cell>
          <cell r="D32">
            <v>2103</v>
          </cell>
          <cell r="E32">
            <v>2104</v>
          </cell>
          <cell r="F32">
            <v>2105</v>
          </cell>
          <cell r="G32">
            <v>2106</v>
          </cell>
          <cell r="H32">
            <v>2107</v>
          </cell>
          <cell r="I32">
            <v>2108</v>
          </cell>
          <cell r="J32">
            <v>2109</v>
          </cell>
          <cell r="K32">
            <v>2110</v>
          </cell>
          <cell r="L32">
            <v>2100</v>
          </cell>
          <cell r="M32" t="str">
            <v>CABECEIRA C/DOB PL TERRA 596X45,2X14 + COR</v>
          </cell>
          <cell r="N32">
            <v>596</v>
          </cell>
          <cell r="O32">
            <v>45.2</v>
          </cell>
          <cell r="P32">
            <v>14</v>
          </cell>
        </row>
        <row r="33">
          <cell r="A33">
            <v>595254</v>
          </cell>
          <cell r="B33">
            <v>2101</v>
          </cell>
          <cell r="C33">
            <v>2102</v>
          </cell>
          <cell r="D33">
            <v>2103</v>
          </cell>
          <cell r="E33">
            <v>2104</v>
          </cell>
          <cell r="F33">
            <v>2105</v>
          </cell>
          <cell r="G33">
            <v>2106</v>
          </cell>
          <cell r="H33">
            <v>2107</v>
          </cell>
          <cell r="I33">
            <v>2108</v>
          </cell>
          <cell r="J33">
            <v>2109</v>
          </cell>
          <cell r="K33">
            <v>2110</v>
          </cell>
          <cell r="L33">
            <v>2100</v>
          </cell>
          <cell r="M33" t="str">
            <v>CABECEIRA C/DOB PL TERRA 696X45,2X14 + COR</v>
          </cell>
          <cell r="N33">
            <v>696</v>
          </cell>
          <cell r="O33">
            <v>45.2</v>
          </cell>
          <cell r="P33">
            <v>14</v>
          </cell>
        </row>
        <row r="34">
          <cell r="A34">
            <v>595255</v>
          </cell>
          <cell r="B34">
            <v>2101</v>
          </cell>
          <cell r="C34">
            <v>2102</v>
          </cell>
          <cell r="D34">
            <v>2103</v>
          </cell>
          <cell r="E34">
            <v>2104</v>
          </cell>
          <cell r="F34">
            <v>2105</v>
          </cell>
          <cell r="G34">
            <v>2106</v>
          </cell>
          <cell r="H34">
            <v>2107</v>
          </cell>
          <cell r="I34">
            <v>2108</v>
          </cell>
          <cell r="J34">
            <v>2109</v>
          </cell>
          <cell r="K34">
            <v>2110</v>
          </cell>
          <cell r="L34">
            <v>2100</v>
          </cell>
          <cell r="M34" t="str">
            <v>CABECEIRA C/DOB PL TERRA 76X45,2X14 + COR</v>
          </cell>
          <cell r="N34">
            <v>796</v>
          </cell>
          <cell r="O34">
            <v>45.2</v>
          </cell>
          <cell r="P34">
            <v>14</v>
          </cell>
        </row>
        <row r="35">
          <cell r="A35">
            <v>595256</v>
          </cell>
          <cell r="B35">
            <v>2101</v>
          </cell>
          <cell r="C35">
            <v>2102</v>
          </cell>
          <cell r="D35">
            <v>2103</v>
          </cell>
          <cell r="E35">
            <v>2104</v>
          </cell>
          <cell r="F35">
            <v>2105</v>
          </cell>
          <cell r="G35">
            <v>2106</v>
          </cell>
          <cell r="H35">
            <v>2107</v>
          </cell>
          <cell r="I35">
            <v>2108</v>
          </cell>
          <cell r="J35">
            <v>2109</v>
          </cell>
          <cell r="K35">
            <v>2110</v>
          </cell>
          <cell r="L35">
            <v>2100</v>
          </cell>
          <cell r="M35" t="str">
            <v>CABECEIRA C/DOB PL TERRA 896X45,2X14 + COR</v>
          </cell>
          <cell r="N35">
            <v>896</v>
          </cell>
          <cell r="O35">
            <v>45.2</v>
          </cell>
          <cell r="P35">
            <v>14</v>
          </cell>
        </row>
        <row r="36">
          <cell r="A36">
            <v>595257</v>
          </cell>
          <cell r="B36">
            <v>2101</v>
          </cell>
          <cell r="C36">
            <v>2102</v>
          </cell>
          <cell r="D36">
            <v>2103</v>
          </cell>
          <cell r="E36">
            <v>2104</v>
          </cell>
          <cell r="F36">
            <v>2105</v>
          </cell>
          <cell r="G36">
            <v>2106</v>
          </cell>
          <cell r="H36">
            <v>2107</v>
          </cell>
          <cell r="I36">
            <v>2108</v>
          </cell>
          <cell r="J36">
            <v>2109</v>
          </cell>
          <cell r="K36">
            <v>2110</v>
          </cell>
          <cell r="L36">
            <v>2100</v>
          </cell>
          <cell r="M36" t="str">
            <v>CABECEIRA C/DOB PL TERRA 996X45,2X14 + COR</v>
          </cell>
          <cell r="N36">
            <v>996</v>
          </cell>
          <cell r="O36">
            <v>45.2</v>
          </cell>
          <cell r="P36">
            <v>14</v>
          </cell>
        </row>
        <row r="37">
          <cell r="A37">
            <v>595258</v>
          </cell>
          <cell r="B37">
            <v>2101</v>
          </cell>
          <cell r="C37">
            <v>2102</v>
          </cell>
          <cell r="D37">
            <v>2103</v>
          </cell>
          <cell r="E37">
            <v>2104</v>
          </cell>
          <cell r="F37">
            <v>2105</v>
          </cell>
          <cell r="G37">
            <v>2106</v>
          </cell>
          <cell r="H37">
            <v>2107</v>
          </cell>
          <cell r="I37">
            <v>2108</v>
          </cell>
          <cell r="J37">
            <v>2109</v>
          </cell>
          <cell r="K37">
            <v>2110</v>
          </cell>
          <cell r="L37">
            <v>2100</v>
          </cell>
          <cell r="M37" t="str">
            <v>CABECEIRA C/DOB PL TERRA 1096X45,2X14 + COR</v>
          </cell>
          <cell r="N37">
            <v>1096</v>
          </cell>
          <cell r="O37">
            <v>45.2</v>
          </cell>
          <cell r="P37">
            <v>14</v>
          </cell>
        </row>
        <row r="38">
          <cell r="A38">
            <v>595259</v>
          </cell>
          <cell r="B38">
            <v>2101</v>
          </cell>
          <cell r="C38">
            <v>2102</v>
          </cell>
          <cell r="D38">
            <v>2103</v>
          </cell>
          <cell r="E38">
            <v>2104</v>
          </cell>
          <cell r="F38">
            <v>2105</v>
          </cell>
          <cell r="G38">
            <v>2106</v>
          </cell>
          <cell r="H38">
            <v>2107</v>
          </cell>
          <cell r="I38">
            <v>2108</v>
          </cell>
          <cell r="J38">
            <v>2109</v>
          </cell>
          <cell r="K38">
            <v>2110</v>
          </cell>
          <cell r="L38">
            <v>2100</v>
          </cell>
          <cell r="M38" t="str">
            <v>CABECEIRA C/DOB PL TERRA 1196X45,2X14 + COR</v>
          </cell>
          <cell r="N38">
            <v>1196</v>
          </cell>
          <cell r="O38">
            <v>45.2</v>
          </cell>
          <cell r="P38">
            <v>14</v>
          </cell>
        </row>
        <row r="39">
          <cell r="A39">
            <v>595260</v>
          </cell>
          <cell r="B39">
            <v>2101</v>
          </cell>
          <cell r="C39">
            <v>2102</v>
          </cell>
          <cell r="D39">
            <v>2103</v>
          </cell>
          <cell r="E39">
            <v>2104</v>
          </cell>
          <cell r="F39">
            <v>2105</v>
          </cell>
          <cell r="G39">
            <v>2106</v>
          </cell>
          <cell r="H39">
            <v>2107</v>
          </cell>
          <cell r="I39">
            <v>2108</v>
          </cell>
          <cell r="J39">
            <v>2109</v>
          </cell>
          <cell r="K39">
            <v>2110</v>
          </cell>
          <cell r="L39">
            <v>2100</v>
          </cell>
          <cell r="M39" t="str">
            <v>CABECEIRA C/DOB PL TERRA 1396X45,2X14 + COR</v>
          </cell>
          <cell r="N39">
            <v>1396</v>
          </cell>
          <cell r="O39">
            <v>45.2</v>
          </cell>
          <cell r="P39">
            <v>14</v>
          </cell>
        </row>
        <row r="40">
          <cell r="A40"/>
          <cell r="B40"/>
          <cell r="C40"/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</row>
        <row r="41">
          <cell r="A41">
            <v>595261</v>
          </cell>
          <cell r="B41">
            <v>2401</v>
          </cell>
          <cell r="C41">
            <v>2402</v>
          </cell>
          <cell r="D41">
            <v>2403</v>
          </cell>
          <cell r="E41">
            <v>2404</v>
          </cell>
          <cell r="F41">
            <v>2405</v>
          </cell>
          <cell r="G41">
            <v>2406</v>
          </cell>
          <cell r="H41">
            <v>2407</v>
          </cell>
          <cell r="I41">
            <v>2408</v>
          </cell>
          <cell r="J41">
            <v>2409</v>
          </cell>
          <cell r="K41">
            <v>2410</v>
          </cell>
          <cell r="L41">
            <v>2400</v>
          </cell>
          <cell r="M41" t="str">
            <v>CABECEIRA S/DOB PL AQUA 194X80,2X19 + COR</v>
          </cell>
          <cell r="N41">
            <v>194</v>
          </cell>
          <cell r="O41">
            <v>80.2</v>
          </cell>
          <cell r="P41">
            <v>19</v>
          </cell>
        </row>
        <row r="42">
          <cell r="A42">
            <v>595262</v>
          </cell>
          <cell r="B42">
            <v>2401</v>
          </cell>
          <cell r="C42">
            <v>2402</v>
          </cell>
          <cell r="D42">
            <v>2403</v>
          </cell>
          <cell r="E42">
            <v>2404</v>
          </cell>
          <cell r="F42">
            <v>2405</v>
          </cell>
          <cell r="G42">
            <v>2406</v>
          </cell>
          <cell r="H42">
            <v>2407</v>
          </cell>
          <cell r="I42">
            <v>2408</v>
          </cell>
          <cell r="J42">
            <v>2409</v>
          </cell>
          <cell r="K42">
            <v>2410</v>
          </cell>
          <cell r="L42">
            <v>2400</v>
          </cell>
          <cell r="M42" t="str">
            <v>CABECEIRA S/DOB PL AQUA 294X80,2X19 + COR</v>
          </cell>
          <cell r="N42">
            <v>294</v>
          </cell>
          <cell r="O42">
            <v>80.2</v>
          </cell>
          <cell r="P42">
            <v>19</v>
          </cell>
        </row>
        <row r="43">
          <cell r="A43">
            <v>595263</v>
          </cell>
          <cell r="B43">
            <v>2401</v>
          </cell>
          <cell r="C43">
            <v>2402</v>
          </cell>
          <cell r="D43">
            <v>2403</v>
          </cell>
          <cell r="E43">
            <v>2404</v>
          </cell>
          <cell r="F43">
            <v>2405</v>
          </cell>
          <cell r="G43">
            <v>2406</v>
          </cell>
          <cell r="H43">
            <v>2407</v>
          </cell>
          <cell r="I43">
            <v>2408</v>
          </cell>
          <cell r="J43">
            <v>2409</v>
          </cell>
          <cell r="K43">
            <v>2410</v>
          </cell>
          <cell r="L43">
            <v>2400</v>
          </cell>
          <cell r="M43" t="str">
            <v>CABECEIRA S/DOB PL AQUA 344X80,2X19 + COR</v>
          </cell>
          <cell r="N43">
            <v>344</v>
          </cell>
          <cell r="O43">
            <v>80.2</v>
          </cell>
          <cell r="P43">
            <v>19</v>
          </cell>
        </row>
        <row r="44">
          <cell r="A44">
            <v>595264</v>
          </cell>
          <cell r="B44">
            <v>2401</v>
          </cell>
          <cell r="C44">
            <v>2402</v>
          </cell>
          <cell r="D44">
            <v>2403</v>
          </cell>
          <cell r="E44">
            <v>2404</v>
          </cell>
          <cell r="F44">
            <v>2405</v>
          </cell>
          <cell r="G44">
            <v>2406</v>
          </cell>
          <cell r="H44">
            <v>2407</v>
          </cell>
          <cell r="I44">
            <v>2408</v>
          </cell>
          <cell r="J44">
            <v>2409</v>
          </cell>
          <cell r="K44">
            <v>2410</v>
          </cell>
          <cell r="L44">
            <v>2400</v>
          </cell>
          <cell r="M44" t="str">
            <v>CABECEIRA S/DOB PL AQUA 359X80,2X19 + COR</v>
          </cell>
          <cell r="N44">
            <v>359</v>
          </cell>
          <cell r="O44">
            <v>80.2</v>
          </cell>
          <cell r="P44">
            <v>19</v>
          </cell>
        </row>
        <row r="45">
          <cell r="A45">
            <v>595265</v>
          </cell>
          <cell r="B45">
            <v>2401</v>
          </cell>
          <cell r="C45">
            <v>2402</v>
          </cell>
          <cell r="D45">
            <v>2403</v>
          </cell>
          <cell r="E45">
            <v>2404</v>
          </cell>
          <cell r="F45">
            <v>2405</v>
          </cell>
          <cell r="G45">
            <v>2406</v>
          </cell>
          <cell r="H45">
            <v>2407</v>
          </cell>
          <cell r="I45">
            <v>2408</v>
          </cell>
          <cell r="J45">
            <v>2409</v>
          </cell>
          <cell r="K45">
            <v>2410</v>
          </cell>
          <cell r="L45">
            <v>2400</v>
          </cell>
          <cell r="M45" t="str">
            <v>CABECEIRA S/DOB PL AQUA 394X80,2X19 + COR</v>
          </cell>
          <cell r="N45">
            <v>394</v>
          </cell>
          <cell r="O45">
            <v>80.2</v>
          </cell>
          <cell r="P45">
            <v>19</v>
          </cell>
        </row>
        <row r="46">
          <cell r="A46">
            <v>595266</v>
          </cell>
          <cell r="B46">
            <v>2401</v>
          </cell>
          <cell r="C46">
            <v>2402</v>
          </cell>
          <cell r="D46">
            <v>2403</v>
          </cell>
          <cell r="E46">
            <v>2404</v>
          </cell>
          <cell r="F46">
            <v>2405</v>
          </cell>
          <cell r="G46">
            <v>2406</v>
          </cell>
          <cell r="H46">
            <v>2407</v>
          </cell>
          <cell r="I46">
            <v>2408</v>
          </cell>
          <cell r="J46">
            <v>2409</v>
          </cell>
          <cell r="K46">
            <v>2410</v>
          </cell>
          <cell r="L46">
            <v>2400</v>
          </cell>
          <cell r="M46" t="str">
            <v>CABECEIRA S/DOB PL AQUA 444X80,2X19 + COR</v>
          </cell>
          <cell r="N46">
            <v>444</v>
          </cell>
          <cell r="O46">
            <v>80.2</v>
          </cell>
          <cell r="P46">
            <v>19</v>
          </cell>
        </row>
        <row r="47">
          <cell r="A47">
            <v>595267</v>
          </cell>
          <cell r="B47">
            <v>2401</v>
          </cell>
          <cell r="C47">
            <v>2402</v>
          </cell>
          <cell r="D47">
            <v>2403</v>
          </cell>
          <cell r="E47">
            <v>2404</v>
          </cell>
          <cell r="F47">
            <v>2405</v>
          </cell>
          <cell r="G47">
            <v>2406</v>
          </cell>
          <cell r="H47">
            <v>2407</v>
          </cell>
          <cell r="I47">
            <v>2408</v>
          </cell>
          <cell r="J47">
            <v>2409</v>
          </cell>
          <cell r="K47">
            <v>2410</v>
          </cell>
          <cell r="L47">
            <v>2400</v>
          </cell>
          <cell r="M47" t="str">
            <v>CABECEIRA S/DOB PL AQUA 459X80,2X19 + COR</v>
          </cell>
          <cell r="N47">
            <v>459</v>
          </cell>
          <cell r="O47">
            <v>80.2</v>
          </cell>
          <cell r="P47">
            <v>19</v>
          </cell>
        </row>
        <row r="48">
          <cell r="A48">
            <v>595268</v>
          </cell>
          <cell r="B48">
            <v>2401</v>
          </cell>
          <cell r="C48">
            <v>2402</v>
          </cell>
          <cell r="D48">
            <v>2403</v>
          </cell>
          <cell r="E48">
            <v>2404</v>
          </cell>
          <cell r="F48">
            <v>2405</v>
          </cell>
          <cell r="G48">
            <v>2406</v>
          </cell>
          <cell r="H48">
            <v>2407</v>
          </cell>
          <cell r="I48">
            <v>2408</v>
          </cell>
          <cell r="J48">
            <v>2409</v>
          </cell>
          <cell r="K48">
            <v>2410</v>
          </cell>
          <cell r="L48">
            <v>2400</v>
          </cell>
          <cell r="M48" t="str">
            <v>CABECEIRA S/DOB PL AQUA 480X80,2X19 + COR</v>
          </cell>
          <cell r="N48">
            <v>480</v>
          </cell>
          <cell r="O48">
            <v>80.2</v>
          </cell>
          <cell r="P48">
            <v>19</v>
          </cell>
        </row>
        <row r="49">
          <cell r="A49">
            <v>595269</v>
          </cell>
          <cell r="B49">
            <v>2401</v>
          </cell>
          <cell r="C49">
            <v>2402</v>
          </cell>
          <cell r="D49">
            <v>2403</v>
          </cell>
          <cell r="E49">
            <v>2404</v>
          </cell>
          <cell r="F49">
            <v>2405</v>
          </cell>
          <cell r="G49">
            <v>2406</v>
          </cell>
          <cell r="H49">
            <v>2407</v>
          </cell>
          <cell r="I49">
            <v>2408</v>
          </cell>
          <cell r="J49">
            <v>2409</v>
          </cell>
          <cell r="K49">
            <v>2410</v>
          </cell>
          <cell r="L49">
            <v>2400</v>
          </cell>
          <cell r="M49" t="str">
            <v>CABECEIRA S/DOB PL AQUA 494X80,2X19 + COR</v>
          </cell>
          <cell r="N49">
            <v>494</v>
          </cell>
          <cell r="O49">
            <v>80.2</v>
          </cell>
          <cell r="P49">
            <v>19</v>
          </cell>
        </row>
        <row r="50">
          <cell r="A50">
            <v>595270</v>
          </cell>
          <cell r="B50">
            <v>2401</v>
          </cell>
          <cell r="C50">
            <v>2402</v>
          </cell>
          <cell r="D50">
            <v>2403</v>
          </cell>
          <cell r="E50">
            <v>2404</v>
          </cell>
          <cell r="F50">
            <v>2405</v>
          </cell>
          <cell r="G50">
            <v>2406</v>
          </cell>
          <cell r="H50">
            <v>2407</v>
          </cell>
          <cell r="I50">
            <v>2408</v>
          </cell>
          <cell r="J50">
            <v>2409</v>
          </cell>
          <cell r="K50">
            <v>2410</v>
          </cell>
          <cell r="L50">
            <v>2400</v>
          </cell>
          <cell r="M50" t="str">
            <v>CABECEIRA S/DOB PL AQUA 500X80,2X19 + COR</v>
          </cell>
          <cell r="N50">
            <v>500</v>
          </cell>
          <cell r="O50">
            <v>80.2</v>
          </cell>
          <cell r="P50">
            <v>19</v>
          </cell>
        </row>
        <row r="51">
          <cell r="A51">
            <v>595271</v>
          </cell>
          <cell r="B51">
            <v>2401</v>
          </cell>
          <cell r="C51">
            <v>2402</v>
          </cell>
          <cell r="D51">
            <v>2403</v>
          </cell>
          <cell r="E51">
            <v>2404</v>
          </cell>
          <cell r="F51">
            <v>2405</v>
          </cell>
          <cell r="G51">
            <v>2406</v>
          </cell>
          <cell r="H51">
            <v>2407</v>
          </cell>
          <cell r="I51">
            <v>2408</v>
          </cell>
          <cell r="J51">
            <v>2409</v>
          </cell>
          <cell r="K51">
            <v>2410</v>
          </cell>
          <cell r="L51">
            <v>2400</v>
          </cell>
          <cell r="M51" t="str">
            <v>CABECEIRA S/DOB PL AQUA 519X80,2X19 + COR</v>
          </cell>
          <cell r="N51">
            <v>519</v>
          </cell>
          <cell r="O51">
            <v>80.2</v>
          </cell>
          <cell r="P51">
            <v>19</v>
          </cell>
        </row>
        <row r="52">
          <cell r="A52">
            <v>595272</v>
          </cell>
          <cell r="B52">
            <v>2401</v>
          </cell>
          <cell r="C52">
            <v>2402</v>
          </cell>
          <cell r="D52">
            <v>2403</v>
          </cell>
          <cell r="E52">
            <v>2404</v>
          </cell>
          <cell r="F52">
            <v>2405</v>
          </cell>
          <cell r="G52">
            <v>2406</v>
          </cell>
          <cell r="H52">
            <v>2407</v>
          </cell>
          <cell r="I52">
            <v>2408</v>
          </cell>
          <cell r="J52">
            <v>2409</v>
          </cell>
          <cell r="K52">
            <v>2410</v>
          </cell>
          <cell r="L52">
            <v>2400</v>
          </cell>
          <cell r="M52" t="str">
            <v>CABECEIRA S/DOB PL AQUA 540X80,2X19 + COR</v>
          </cell>
          <cell r="N52">
            <v>540</v>
          </cell>
          <cell r="O52">
            <v>80.2</v>
          </cell>
          <cell r="P52">
            <v>19</v>
          </cell>
        </row>
        <row r="53">
          <cell r="A53">
            <v>595273</v>
          </cell>
          <cell r="B53">
            <v>2401</v>
          </cell>
          <cell r="C53">
            <v>2402</v>
          </cell>
          <cell r="D53">
            <v>2403</v>
          </cell>
          <cell r="E53">
            <v>2404</v>
          </cell>
          <cell r="F53">
            <v>2405</v>
          </cell>
          <cell r="G53">
            <v>2406</v>
          </cell>
          <cell r="H53">
            <v>2407</v>
          </cell>
          <cell r="I53">
            <v>2408</v>
          </cell>
          <cell r="J53">
            <v>2409</v>
          </cell>
          <cell r="K53">
            <v>2410</v>
          </cell>
          <cell r="L53">
            <v>2400</v>
          </cell>
          <cell r="M53" t="str">
            <v>CABECEIRA S/DOB PL AQUA 544X80,2X19 + COR</v>
          </cell>
          <cell r="N53">
            <v>544</v>
          </cell>
          <cell r="O53">
            <v>80.2</v>
          </cell>
          <cell r="P53">
            <v>19</v>
          </cell>
        </row>
        <row r="54">
          <cell r="A54">
            <v>595274</v>
          </cell>
          <cell r="B54">
            <v>2401</v>
          </cell>
          <cell r="C54">
            <v>2402</v>
          </cell>
          <cell r="D54">
            <v>2403</v>
          </cell>
          <cell r="E54">
            <v>2404</v>
          </cell>
          <cell r="F54">
            <v>2405</v>
          </cell>
          <cell r="G54">
            <v>2406</v>
          </cell>
          <cell r="H54">
            <v>2407</v>
          </cell>
          <cell r="I54">
            <v>2408</v>
          </cell>
          <cell r="J54">
            <v>2409</v>
          </cell>
          <cell r="K54">
            <v>2410</v>
          </cell>
          <cell r="L54">
            <v>2400</v>
          </cell>
          <cell r="M54" t="str">
            <v>CABECEIRA S/DOB PL AQUA 559X80,2X19 + COR</v>
          </cell>
          <cell r="N54">
            <v>559</v>
          </cell>
          <cell r="O54">
            <v>80.2</v>
          </cell>
          <cell r="P54">
            <v>19</v>
          </cell>
        </row>
        <row r="55">
          <cell r="A55">
            <v>595275</v>
          </cell>
          <cell r="B55">
            <v>2401</v>
          </cell>
          <cell r="C55">
            <v>2402</v>
          </cell>
          <cell r="D55">
            <v>2403</v>
          </cell>
          <cell r="E55">
            <v>2404</v>
          </cell>
          <cell r="F55">
            <v>2405</v>
          </cell>
          <cell r="G55">
            <v>2406</v>
          </cell>
          <cell r="H55">
            <v>2407</v>
          </cell>
          <cell r="I55">
            <v>2408</v>
          </cell>
          <cell r="J55">
            <v>2409</v>
          </cell>
          <cell r="K55">
            <v>2410</v>
          </cell>
          <cell r="L55">
            <v>2400</v>
          </cell>
          <cell r="M55" t="str">
            <v>CABECEIRA S/DOB PL AQUA 594X80,2X19 + COR</v>
          </cell>
          <cell r="N55">
            <v>594</v>
          </cell>
          <cell r="O55">
            <v>80.2</v>
          </cell>
          <cell r="P55">
            <v>19</v>
          </cell>
        </row>
        <row r="56">
          <cell r="A56">
            <v>595276</v>
          </cell>
          <cell r="B56">
            <v>2401</v>
          </cell>
          <cell r="C56">
            <v>2402</v>
          </cell>
          <cell r="D56">
            <v>2403</v>
          </cell>
          <cell r="E56">
            <v>2404</v>
          </cell>
          <cell r="F56">
            <v>2405</v>
          </cell>
          <cell r="G56">
            <v>2406</v>
          </cell>
          <cell r="H56">
            <v>2407</v>
          </cell>
          <cell r="I56">
            <v>2408</v>
          </cell>
          <cell r="J56">
            <v>2409</v>
          </cell>
          <cell r="K56">
            <v>2410</v>
          </cell>
          <cell r="L56">
            <v>2400</v>
          </cell>
          <cell r="M56" t="str">
            <v>CABECEIRA S/DOB PL AQUA 694X80,2X19 + COR</v>
          </cell>
          <cell r="N56">
            <v>694</v>
          </cell>
          <cell r="O56">
            <v>80.2</v>
          </cell>
          <cell r="P56">
            <v>19</v>
          </cell>
        </row>
        <row r="57">
          <cell r="A57">
            <v>595277</v>
          </cell>
          <cell r="B57">
            <v>2401</v>
          </cell>
          <cell r="C57">
            <v>2402</v>
          </cell>
          <cell r="D57">
            <v>2403</v>
          </cell>
          <cell r="E57">
            <v>2404</v>
          </cell>
          <cell r="F57">
            <v>2405</v>
          </cell>
          <cell r="G57">
            <v>2406</v>
          </cell>
          <cell r="H57">
            <v>2407</v>
          </cell>
          <cell r="I57">
            <v>2408</v>
          </cell>
          <cell r="J57">
            <v>2409</v>
          </cell>
          <cell r="K57">
            <v>2410</v>
          </cell>
          <cell r="L57">
            <v>2400</v>
          </cell>
          <cell r="M57" t="str">
            <v>CABECEIRA S/DOB PL AQUA 794X80,2X19 + COR</v>
          </cell>
          <cell r="N57">
            <v>794</v>
          </cell>
          <cell r="O57">
            <v>80.2</v>
          </cell>
          <cell r="P57">
            <v>19</v>
          </cell>
        </row>
        <row r="58">
          <cell r="A58">
            <v>595278</v>
          </cell>
          <cell r="B58">
            <v>2401</v>
          </cell>
          <cell r="C58">
            <v>2402</v>
          </cell>
          <cell r="D58">
            <v>2403</v>
          </cell>
          <cell r="E58">
            <v>2404</v>
          </cell>
          <cell r="F58">
            <v>2405</v>
          </cell>
          <cell r="G58">
            <v>2406</v>
          </cell>
          <cell r="H58">
            <v>2407</v>
          </cell>
          <cell r="I58">
            <v>2408</v>
          </cell>
          <cell r="J58">
            <v>2409</v>
          </cell>
          <cell r="K58">
            <v>2410</v>
          </cell>
          <cell r="L58">
            <v>2400</v>
          </cell>
          <cell r="M58" t="str">
            <v>CABECEIRA S/DOB PL AQUA 894X80,2X19 + COR</v>
          </cell>
          <cell r="N58">
            <v>894</v>
          </cell>
          <cell r="O58">
            <v>80.2</v>
          </cell>
          <cell r="P58">
            <v>19</v>
          </cell>
        </row>
        <row r="59">
          <cell r="A59">
            <v>595279</v>
          </cell>
          <cell r="B59">
            <v>2401</v>
          </cell>
          <cell r="C59">
            <v>2402</v>
          </cell>
          <cell r="D59">
            <v>2403</v>
          </cell>
          <cell r="E59">
            <v>2404</v>
          </cell>
          <cell r="F59">
            <v>2405</v>
          </cell>
          <cell r="G59">
            <v>2406</v>
          </cell>
          <cell r="H59">
            <v>2407</v>
          </cell>
          <cell r="I59">
            <v>2408</v>
          </cell>
          <cell r="J59">
            <v>2409</v>
          </cell>
          <cell r="K59">
            <v>2410</v>
          </cell>
          <cell r="L59">
            <v>2400</v>
          </cell>
          <cell r="M59" t="str">
            <v>CABECEIRA S/DOB PL AQUA 994X80,2X19 + COR</v>
          </cell>
          <cell r="N59">
            <v>994</v>
          </cell>
          <cell r="O59">
            <v>80.2</v>
          </cell>
          <cell r="P59">
            <v>19</v>
          </cell>
        </row>
        <row r="60">
          <cell r="A60">
            <v>595280</v>
          </cell>
          <cell r="B60">
            <v>2401</v>
          </cell>
          <cell r="C60">
            <v>2402</v>
          </cell>
          <cell r="D60">
            <v>2403</v>
          </cell>
          <cell r="E60">
            <v>2404</v>
          </cell>
          <cell r="F60">
            <v>2405</v>
          </cell>
          <cell r="G60">
            <v>2406</v>
          </cell>
          <cell r="H60">
            <v>2407</v>
          </cell>
          <cell r="I60">
            <v>2408</v>
          </cell>
          <cell r="J60">
            <v>2409</v>
          </cell>
          <cell r="K60">
            <v>2410</v>
          </cell>
          <cell r="L60">
            <v>2400</v>
          </cell>
          <cell r="M60" t="str">
            <v>CABECEIRA S/DOB PL AQUA 1094X80,2X19 + COR</v>
          </cell>
          <cell r="N60">
            <v>1094</v>
          </cell>
          <cell r="O60">
            <v>80.2</v>
          </cell>
          <cell r="P60">
            <v>19</v>
          </cell>
        </row>
        <row r="61">
          <cell r="A61">
            <v>595281</v>
          </cell>
          <cell r="B61">
            <v>2401</v>
          </cell>
          <cell r="C61">
            <v>2402</v>
          </cell>
          <cell r="D61">
            <v>2403</v>
          </cell>
          <cell r="E61">
            <v>2404</v>
          </cell>
          <cell r="F61">
            <v>2405</v>
          </cell>
          <cell r="G61">
            <v>2406</v>
          </cell>
          <cell r="H61">
            <v>2407</v>
          </cell>
          <cell r="I61">
            <v>2408</v>
          </cell>
          <cell r="J61">
            <v>2409</v>
          </cell>
          <cell r="K61">
            <v>2410</v>
          </cell>
          <cell r="L61">
            <v>2400</v>
          </cell>
          <cell r="M61" t="str">
            <v>CABECEIRA S/DOB PL AQUA 1194X80,2X19 + COR</v>
          </cell>
          <cell r="N61">
            <v>1194</v>
          </cell>
          <cell r="O61">
            <v>80.2</v>
          </cell>
          <cell r="P61">
            <v>19</v>
          </cell>
        </row>
        <row r="62">
          <cell r="A62">
            <v>595282</v>
          </cell>
          <cell r="B62">
            <v>2401</v>
          </cell>
          <cell r="C62">
            <v>2402</v>
          </cell>
          <cell r="D62">
            <v>2403</v>
          </cell>
          <cell r="E62">
            <v>2404</v>
          </cell>
          <cell r="F62">
            <v>2405</v>
          </cell>
          <cell r="G62">
            <v>2406</v>
          </cell>
          <cell r="H62">
            <v>2407</v>
          </cell>
          <cell r="I62">
            <v>2408</v>
          </cell>
          <cell r="J62">
            <v>2409</v>
          </cell>
          <cell r="K62">
            <v>2410</v>
          </cell>
          <cell r="L62">
            <v>2400</v>
          </cell>
          <cell r="M62" t="str">
            <v>CABECEIRA S/DOB PL AQUA 1394X80,2X19 + COR</v>
          </cell>
          <cell r="N62">
            <v>1394</v>
          </cell>
          <cell r="O62">
            <v>80.2</v>
          </cell>
          <cell r="P62">
            <v>19</v>
          </cell>
        </row>
        <row r="63">
          <cell r="A63"/>
          <cell r="B63"/>
          <cell r="C63"/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</row>
        <row r="64">
          <cell r="A64">
            <v>595283</v>
          </cell>
          <cell r="B64">
            <v>2101</v>
          </cell>
          <cell r="C64">
            <v>2102</v>
          </cell>
          <cell r="D64">
            <v>2103</v>
          </cell>
          <cell r="E64">
            <v>2104</v>
          </cell>
          <cell r="F64">
            <v>2105</v>
          </cell>
          <cell r="G64">
            <v>2106</v>
          </cell>
          <cell r="H64">
            <v>2107</v>
          </cell>
          <cell r="I64">
            <v>2108</v>
          </cell>
          <cell r="J64">
            <v>2109</v>
          </cell>
          <cell r="K64">
            <v>2110</v>
          </cell>
          <cell r="L64">
            <v>2100</v>
          </cell>
          <cell r="M64" t="str">
            <v>LATERAL DIR C/MARC PL TERRA 320X45,2X14 + COR</v>
          </cell>
          <cell r="N64">
            <v>320</v>
          </cell>
          <cell r="O64">
            <v>45.2</v>
          </cell>
          <cell r="P64">
            <v>14</v>
          </cell>
        </row>
        <row r="65">
          <cell r="A65">
            <v>595284</v>
          </cell>
          <cell r="B65">
            <v>2101</v>
          </cell>
          <cell r="C65">
            <v>2102</v>
          </cell>
          <cell r="D65">
            <v>2103</v>
          </cell>
          <cell r="E65">
            <v>2104</v>
          </cell>
          <cell r="F65">
            <v>2105</v>
          </cell>
          <cell r="G65">
            <v>2106</v>
          </cell>
          <cell r="H65">
            <v>2107</v>
          </cell>
          <cell r="I65">
            <v>2108</v>
          </cell>
          <cell r="J65">
            <v>2109</v>
          </cell>
          <cell r="K65">
            <v>2110</v>
          </cell>
          <cell r="L65">
            <v>2100</v>
          </cell>
          <cell r="M65" t="str">
            <v>LATERAL ESQ C/MARC PL TERRA 320X45,2X14 + COR</v>
          </cell>
          <cell r="N65">
            <v>320</v>
          </cell>
          <cell r="O65">
            <v>45.2</v>
          </cell>
          <cell r="P65">
            <v>14</v>
          </cell>
        </row>
        <row r="66">
          <cell r="A66">
            <v>595332</v>
          </cell>
          <cell r="B66">
            <v>2101</v>
          </cell>
          <cell r="C66">
            <v>2102</v>
          </cell>
          <cell r="D66">
            <v>2103</v>
          </cell>
          <cell r="E66">
            <v>2104</v>
          </cell>
          <cell r="F66">
            <v>2105</v>
          </cell>
          <cell r="G66">
            <v>2106</v>
          </cell>
          <cell r="H66">
            <v>2107</v>
          </cell>
          <cell r="I66">
            <v>2108</v>
          </cell>
          <cell r="J66">
            <v>2109</v>
          </cell>
          <cell r="K66">
            <v>2110</v>
          </cell>
          <cell r="L66">
            <v>2100</v>
          </cell>
          <cell r="M66" t="str">
            <v>LATERAL DIR C/MARC AVT PL TERRA 320X45,2X14 + COR</v>
          </cell>
          <cell r="N66">
            <v>320</v>
          </cell>
          <cell r="O66">
            <v>45.2</v>
          </cell>
          <cell r="P66">
            <v>14</v>
          </cell>
        </row>
        <row r="67">
          <cell r="A67">
            <v>595333</v>
          </cell>
          <cell r="B67">
            <v>2101</v>
          </cell>
          <cell r="C67">
            <v>2102</v>
          </cell>
          <cell r="D67">
            <v>2103</v>
          </cell>
          <cell r="E67">
            <v>2104</v>
          </cell>
          <cell r="F67">
            <v>2105</v>
          </cell>
          <cell r="G67">
            <v>2106</v>
          </cell>
          <cell r="H67">
            <v>2107</v>
          </cell>
          <cell r="I67">
            <v>2108</v>
          </cell>
          <cell r="J67">
            <v>2109</v>
          </cell>
          <cell r="K67">
            <v>2110</v>
          </cell>
          <cell r="L67">
            <v>2100</v>
          </cell>
          <cell r="M67" t="str">
            <v>LATERAL ESQ C/MARC AVT PL TERRA 320X45,2X14 + COR</v>
          </cell>
          <cell r="N67">
            <v>320</v>
          </cell>
          <cell r="O67">
            <v>45.2</v>
          </cell>
          <cell r="P67">
            <v>14</v>
          </cell>
        </row>
        <row r="68">
          <cell r="A68"/>
          <cell r="B68"/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</row>
        <row r="69">
          <cell r="A69">
            <v>595285</v>
          </cell>
          <cell r="B69">
            <v>2101</v>
          </cell>
          <cell r="C69">
            <v>2102</v>
          </cell>
          <cell r="D69">
            <v>2103</v>
          </cell>
          <cell r="E69">
            <v>2104</v>
          </cell>
          <cell r="F69">
            <v>2105</v>
          </cell>
          <cell r="G69">
            <v>2106</v>
          </cell>
          <cell r="H69">
            <v>2107</v>
          </cell>
          <cell r="I69">
            <v>2108</v>
          </cell>
          <cell r="J69">
            <v>2109</v>
          </cell>
          <cell r="K69">
            <v>2110</v>
          </cell>
          <cell r="L69">
            <v>2100</v>
          </cell>
          <cell r="M69" t="str">
            <v>LATERAL D/E S/MARC PL TERRA 355X45,2X14 + COR</v>
          </cell>
          <cell r="N69">
            <v>355</v>
          </cell>
          <cell r="O69">
            <v>45.2</v>
          </cell>
          <cell r="P69">
            <v>14</v>
          </cell>
        </row>
        <row r="70">
          <cell r="A70"/>
          <cell r="B70"/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</row>
        <row r="71">
          <cell r="A71">
            <v>595430</v>
          </cell>
          <cell r="B71">
            <v>2101</v>
          </cell>
          <cell r="C71">
            <v>2102</v>
          </cell>
          <cell r="D71">
            <v>2103</v>
          </cell>
          <cell r="E71">
            <v>2104</v>
          </cell>
          <cell r="F71">
            <v>2105</v>
          </cell>
          <cell r="G71">
            <v>2106</v>
          </cell>
          <cell r="H71">
            <v>2107</v>
          </cell>
          <cell r="I71">
            <v>2108</v>
          </cell>
          <cell r="J71">
            <v>2109</v>
          </cell>
          <cell r="K71">
            <v>2110</v>
          </cell>
          <cell r="L71">
            <v>2100</v>
          </cell>
          <cell r="M71" t="str">
            <v>LATERAL DIR C/MARC PL TERRA 410X45,2X14 + COR</v>
          </cell>
          <cell r="N71">
            <v>410</v>
          </cell>
          <cell r="O71">
            <v>45.2</v>
          </cell>
          <cell r="P71">
            <v>14</v>
          </cell>
        </row>
        <row r="72">
          <cell r="A72">
            <v>595431</v>
          </cell>
          <cell r="B72">
            <v>2101</v>
          </cell>
          <cell r="C72">
            <v>2102</v>
          </cell>
          <cell r="D72">
            <v>2103</v>
          </cell>
          <cell r="E72">
            <v>2104</v>
          </cell>
          <cell r="F72">
            <v>2105</v>
          </cell>
          <cell r="G72">
            <v>2106</v>
          </cell>
          <cell r="H72">
            <v>2107</v>
          </cell>
          <cell r="I72">
            <v>2108</v>
          </cell>
          <cell r="J72">
            <v>2109</v>
          </cell>
          <cell r="K72">
            <v>2110</v>
          </cell>
          <cell r="L72">
            <v>2100</v>
          </cell>
          <cell r="M72" t="str">
            <v>LATERAL ESQ C/MARC PL TERRA 410X45,2X14 + COR</v>
          </cell>
          <cell r="N72">
            <v>410</v>
          </cell>
          <cell r="O72">
            <v>45.2</v>
          </cell>
          <cell r="P72">
            <v>14</v>
          </cell>
        </row>
        <row r="73">
          <cell r="A73">
            <v>595435</v>
          </cell>
          <cell r="B73">
            <v>2101</v>
          </cell>
          <cell r="C73">
            <v>2102</v>
          </cell>
          <cell r="D73">
            <v>2103</v>
          </cell>
          <cell r="E73">
            <v>2104</v>
          </cell>
          <cell r="F73">
            <v>2105</v>
          </cell>
          <cell r="G73">
            <v>2106</v>
          </cell>
          <cell r="H73">
            <v>2107</v>
          </cell>
          <cell r="I73">
            <v>2108</v>
          </cell>
          <cell r="J73">
            <v>2109</v>
          </cell>
          <cell r="K73">
            <v>2110</v>
          </cell>
          <cell r="L73">
            <v>2100</v>
          </cell>
          <cell r="M73" t="str">
            <v>LATERAL DIR C/MARC AVT PL TERRA 410X45,2X14 + COR</v>
          </cell>
          <cell r="N73">
            <v>410</v>
          </cell>
          <cell r="O73">
            <v>45.2</v>
          </cell>
          <cell r="P73">
            <v>14</v>
          </cell>
        </row>
        <row r="74">
          <cell r="A74">
            <v>595433</v>
          </cell>
          <cell r="B74">
            <v>2101</v>
          </cell>
          <cell r="C74">
            <v>2102</v>
          </cell>
          <cell r="D74">
            <v>2103</v>
          </cell>
          <cell r="E74">
            <v>2104</v>
          </cell>
          <cell r="F74">
            <v>2105</v>
          </cell>
          <cell r="G74">
            <v>2106</v>
          </cell>
          <cell r="H74">
            <v>2107</v>
          </cell>
          <cell r="I74">
            <v>2108</v>
          </cell>
          <cell r="J74">
            <v>2109</v>
          </cell>
          <cell r="K74">
            <v>2110</v>
          </cell>
          <cell r="L74">
            <v>2100</v>
          </cell>
          <cell r="M74" t="str">
            <v>LATERAL ESQ C/MARC AVT PL TERRA 410X45,2X14 + COR</v>
          </cell>
          <cell r="N74">
            <v>410</v>
          </cell>
          <cell r="O74">
            <v>45.2</v>
          </cell>
          <cell r="P74">
            <v>14</v>
          </cell>
        </row>
        <row r="75">
          <cell r="A75"/>
          <cell r="B75"/>
          <cell r="C75"/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</row>
        <row r="76">
          <cell r="A76">
            <v>595434</v>
          </cell>
          <cell r="B76">
            <v>2101</v>
          </cell>
          <cell r="C76">
            <v>2102</v>
          </cell>
          <cell r="D76">
            <v>2103</v>
          </cell>
          <cell r="E76">
            <v>2104</v>
          </cell>
          <cell r="F76">
            <v>2105</v>
          </cell>
          <cell r="G76">
            <v>2106</v>
          </cell>
          <cell r="H76">
            <v>2107</v>
          </cell>
          <cell r="I76">
            <v>2108</v>
          </cell>
          <cell r="J76">
            <v>2109</v>
          </cell>
          <cell r="K76">
            <v>2110</v>
          </cell>
          <cell r="L76">
            <v>2100</v>
          </cell>
          <cell r="M76" t="str">
            <v>LATERAL D/E S/MARC PL TERRA 445X45,2X14 + COR</v>
          </cell>
          <cell r="N76">
            <v>445</v>
          </cell>
          <cell r="O76">
            <v>45.2</v>
          </cell>
          <cell r="P76">
            <v>14</v>
          </cell>
        </row>
        <row r="77">
          <cell r="A77"/>
          <cell r="B77"/>
          <cell r="C77"/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</row>
        <row r="78">
          <cell r="A78">
            <v>595334</v>
          </cell>
          <cell r="B78">
            <v>2101</v>
          </cell>
          <cell r="C78">
            <v>2102</v>
          </cell>
          <cell r="D78">
            <v>2103</v>
          </cell>
          <cell r="E78">
            <v>2104</v>
          </cell>
          <cell r="F78">
            <v>2105</v>
          </cell>
          <cell r="G78">
            <v>2106</v>
          </cell>
          <cell r="H78">
            <v>2107</v>
          </cell>
          <cell r="I78">
            <v>2108</v>
          </cell>
          <cell r="J78">
            <v>2109</v>
          </cell>
          <cell r="K78">
            <v>2110</v>
          </cell>
          <cell r="L78">
            <v>2100</v>
          </cell>
          <cell r="M78" t="str">
            <v>LATERAL DIR C/MARC PL TERRA 500X45,2X14 + COR</v>
          </cell>
          <cell r="N78">
            <v>500</v>
          </cell>
          <cell r="O78">
            <v>45.2</v>
          </cell>
          <cell r="P78">
            <v>14</v>
          </cell>
        </row>
        <row r="79">
          <cell r="A79">
            <v>595335</v>
          </cell>
          <cell r="B79">
            <v>2101</v>
          </cell>
          <cell r="C79">
            <v>2102</v>
          </cell>
          <cell r="D79">
            <v>2103</v>
          </cell>
          <cell r="E79">
            <v>2104</v>
          </cell>
          <cell r="F79">
            <v>2105</v>
          </cell>
          <cell r="G79">
            <v>2106</v>
          </cell>
          <cell r="H79">
            <v>2107</v>
          </cell>
          <cell r="I79">
            <v>2108</v>
          </cell>
          <cell r="J79">
            <v>2109</v>
          </cell>
          <cell r="K79">
            <v>2110</v>
          </cell>
          <cell r="L79">
            <v>2100</v>
          </cell>
          <cell r="M79" t="str">
            <v>LATERAL ESQ C/MARC PL TERRA 500X45,2X14 + COR</v>
          </cell>
          <cell r="N79">
            <v>500</v>
          </cell>
          <cell r="O79">
            <v>45.2</v>
          </cell>
          <cell r="P79">
            <v>14</v>
          </cell>
        </row>
        <row r="80">
          <cell r="A80">
            <v>595336</v>
          </cell>
          <cell r="B80">
            <v>2101</v>
          </cell>
          <cell r="C80">
            <v>2102</v>
          </cell>
          <cell r="D80">
            <v>2103</v>
          </cell>
          <cell r="E80">
            <v>2104</v>
          </cell>
          <cell r="F80">
            <v>2105</v>
          </cell>
          <cell r="G80">
            <v>2106</v>
          </cell>
          <cell r="H80">
            <v>2107</v>
          </cell>
          <cell r="I80">
            <v>2108</v>
          </cell>
          <cell r="J80">
            <v>2109</v>
          </cell>
          <cell r="K80">
            <v>2110</v>
          </cell>
          <cell r="L80">
            <v>2100</v>
          </cell>
          <cell r="M80" t="str">
            <v>LATERAL DIR C/MARC AVT PL TERRA 500X45,2X14 + COR</v>
          </cell>
          <cell r="N80">
            <v>500</v>
          </cell>
          <cell r="O80">
            <v>45.2</v>
          </cell>
          <cell r="P80">
            <v>14</v>
          </cell>
        </row>
        <row r="81">
          <cell r="A81">
            <v>595337</v>
          </cell>
          <cell r="B81">
            <v>2101</v>
          </cell>
          <cell r="C81">
            <v>2102</v>
          </cell>
          <cell r="D81">
            <v>2103</v>
          </cell>
          <cell r="E81">
            <v>2104</v>
          </cell>
          <cell r="F81">
            <v>2105</v>
          </cell>
          <cell r="G81">
            <v>2106</v>
          </cell>
          <cell r="H81">
            <v>2107</v>
          </cell>
          <cell r="I81">
            <v>2108</v>
          </cell>
          <cell r="J81">
            <v>2109</v>
          </cell>
          <cell r="K81">
            <v>2110</v>
          </cell>
          <cell r="L81">
            <v>2100</v>
          </cell>
          <cell r="M81" t="str">
            <v>LATERAL ESQ C/MARC AVT PL TERRA 500X45,2X14 + COR</v>
          </cell>
          <cell r="N81">
            <v>500</v>
          </cell>
          <cell r="O81">
            <v>45.2</v>
          </cell>
          <cell r="P81">
            <v>14</v>
          </cell>
        </row>
        <row r="82">
          <cell r="A82"/>
          <cell r="B82"/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</row>
        <row r="83">
          <cell r="A83">
            <v>595287</v>
          </cell>
          <cell r="B83">
            <v>2101</v>
          </cell>
          <cell r="C83">
            <v>2102</v>
          </cell>
          <cell r="D83">
            <v>2103</v>
          </cell>
          <cell r="E83">
            <v>2104</v>
          </cell>
          <cell r="F83">
            <v>2105</v>
          </cell>
          <cell r="G83">
            <v>2106</v>
          </cell>
          <cell r="H83">
            <v>2107</v>
          </cell>
          <cell r="I83">
            <v>2108</v>
          </cell>
          <cell r="J83">
            <v>2109</v>
          </cell>
          <cell r="K83">
            <v>2110</v>
          </cell>
          <cell r="L83">
            <v>2100</v>
          </cell>
          <cell r="M83" t="str">
            <v>LATERAL DIR C/DOB PL TERRA 500X45,2X14 + COR</v>
          </cell>
          <cell r="N83">
            <v>500</v>
          </cell>
          <cell r="O83">
            <v>45.2</v>
          </cell>
          <cell r="P83">
            <v>14</v>
          </cell>
        </row>
        <row r="84">
          <cell r="A84">
            <v>595288</v>
          </cell>
          <cell r="B84">
            <v>2101</v>
          </cell>
          <cell r="C84">
            <v>2102</v>
          </cell>
          <cell r="D84">
            <v>2103</v>
          </cell>
          <cell r="E84">
            <v>2104</v>
          </cell>
          <cell r="F84">
            <v>2105</v>
          </cell>
          <cell r="G84">
            <v>2106</v>
          </cell>
          <cell r="H84">
            <v>2107</v>
          </cell>
          <cell r="I84">
            <v>2108</v>
          </cell>
          <cell r="J84">
            <v>2109</v>
          </cell>
          <cell r="K84">
            <v>2110</v>
          </cell>
          <cell r="L84">
            <v>2100</v>
          </cell>
          <cell r="M84" t="str">
            <v>LATERAL DIR C/DOB PL TERRA 678X45,2X14 + COR</v>
          </cell>
          <cell r="N84">
            <v>678</v>
          </cell>
          <cell r="O84">
            <v>45.2</v>
          </cell>
          <cell r="P84">
            <v>14</v>
          </cell>
        </row>
        <row r="85">
          <cell r="A85">
            <v>595289</v>
          </cell>
          <cell r="B85">
            <v>2101</v>
          </cell>
          <cell r="C85">
            <v>2102</v>
          </cell>
          <cell r="D85">
            <v>2103</v>
          </cell>
          <cell r="E85">
            <v>2104</v>
          </cell>
          <cell r="F85">
            <v>2105</v>
          </cell>
          <cell r="G85">
            <v>2106</v>
          </cell>
          <cell r="H85">
            <v>2107</v>
          </cell>
          <cell r="I85">
            <v>2108</v>
          </cell>
          <cell r="J85">
            <v>2109</v>
          </cell>
          <cell r="K85">
            <v>2110</v>
          </cell>
          <cell r="L85">
            <v>2100</v>
          </cell>
          <cell r="M85" t="str">
            <v>LATERAL DIR C/DOB PL TERRA 860X45,2X14 + COR</v>
          </cell>
          <cell r="N85">
            <v>860</v>
          </cell>
          <cell r="O85">
            <v>45.2</v>
          </cell>
          <cell r="P85">
            <v>14</v>
          </cell>
        </row>
        <row r="86">
          <cell r="A86">
            <v>595290</v>
          </cell>
          <cell r="B86">
            <v>2101</v>
          </cell>
          <cell r="C86">
            <v>2102</v>
          </cell>
          <cell r="D86">
            <v>2103</v>
          </cell>
          <cell r="E86">
            <v>2104</v>
          </cell>
          <cell r="F86">
            <v>2105</v>
          </cell>
          <cell r="G86">
            <v>2106</v>
          </cell>
          <cell r="H86">
            <v>2107</v>
          </cell>
          <cell r="I86">
            <v>2108</v>
          </cell>
          <cell r="J86">
            <v>2109</v>
          </cell>
          <cell r="K86">
            <v>2110</v>
          </cell>
          <cell r="L86">
            <v>2100</v>
          </cell>
          <cell r="M86" t="str">
            <v>LATERAL DIR C/DOB PL TERRA 1040X45,2X14 + COR</v>
          </cell>
          <cell r="N86">
            <v>1040</v>
          </cell>
          <cell r="O86">
            <v>45.2</v>
          </cell>
          <cell r="P86">
            <v>14</v>
          </cell>
        </row>
        <row r="87">
          <cell r="A87">
            <v>595291</v>
          </cell>
          <cell r="B87">
            <v>2101</v>
          </cell>
          <cell r="C87">
            <v>2102</v>
          </cell>
          <cell r="D87">
            <v>2103</v>
          </cell>
          <cell r="E87">
            <v>2104</v>
          </cell>
          <cell r="F87">
            <v>2105</v>
          </cell>
          <cell r="G87">
            <v>2106</v>
          </cell>
          <cell r="H87">
            <v>2107</v>
          </cell>
          <cell r="I87">
            <v>2108</v>
          </cell>
          <cell r="J87">
            <v>2109</v>
          </cell>
          <cell r="K87">
            <v>2110</v>
          </cell>
          <cell r="L87">
            <v>2100</v>
          </cell>
          <cell r="M87" t="str">
            <v>LATERAL DIR C/DOB PL TERRA 1220X45,2X14 + COR</v>
          </cell>
          <cell r="N87">
            <v>1220</v>
          </cell>
          <cell r="O87">
            <v>45.2</v>
          </cell>
          <cell r="P87">
            <v>14</v>
          </cell>
        </row>
        <row r="88">
          <cell r="A88">
            <v>595292</v>
          </cell>
          <cell r="B88">
            <v>2101</v>
          </cell>
          <cell r="C88">
            <v>2102</v>
          </cell>
          <cell r="D88">
            <v>2103</v>
          </cell>
          <cell r="E88">
            <v>2104</v>
          </cell>
          <cell r="F88">
            <v>2105</v>
          </cell>
          <cell r="G88">
            <v>2106</v>
          </cell>
          <cell r="H88">
            <v>2107</v>
          </cell>
          <cell r="I88">
            <v>2108</v>
          </cell>
          <cell r="J88">
            <v>2109</v>
          </cell>
          <cell r="K88">
            <v>2110</v>
          </cell>
          <cell r="L88">
            <v>2100</v>
          </cell>
          <cell r="M88" t="str">
            <v>LATERAL DIR C/DOB PL TERRA 1795X45,2X14 + COR</v>
          </cell>
          <cell r="N88">
            <v>1795</v>
          </cell>
          <cell r="O88">
            <v>45.2</v>
          </cell>
          <cell r="P88">
            <v>14</v>
          </cell>
        </row>
        <row r="89">
          <cell r="A89">
            <v>595293</v>
          </cell>
          <cell r="B89">
            <v>2101</v>
          </cell>
          <cell r="C89">
            <v>2102</v>
          </cell>
          <cell r="D89">
            <v>2103</v>
          </cell>
          <cell r="E89">
            <v>2104</v>
          </cell>
          <cell r="F89">
            <v>2105</v>
          </cell>
          <cell r="G89">
            <v>2106</v>
          </cell>
          <cell r="H89">
            <v>2107</v>
          </cell>
          <cell r="I89">
            <v>2108</v>
          </cell>
          <cell r="J89">
            <v>2109</v>
          </cell>
          <cell r="K89">
            <v>2110</v>
          </cell>
          <cell r="L89">
            <v>2100</v>
          </cell>
          <cell r="M89" t="str">
            <v>LATERAL DIR C/DOB PL TERRA 1975X45,2X14 + COR</v>
          </cell>
          <cell r="N89">
            <v>1975</v>
          </cell>
          <cell r="O89">
            <v>45.2</v>
          </cell>
          <cell r="P89">
            <v>14</v>
          </cell>
        </row>
        <row r="90">
          <cell r="A90">
            <v>595294</v>
          </cell>
          <cell r="B90">
            <v>2101</v>
          </cell>
          <cell r="C90">
            <v>2102</v>
          </cell>
          <cell r="D90">
            <v>2103</v>
          </cell>
          <cell r="E90">
            <v>2104</v>
          </cell>
          <cell r="F90">
            <v>2105</v>
          </cell>
          <cell r="G90">
            <v>2106</v>
          </cell>
          <cell r="H90">
            <v>2107</v>
          </cell>
          <cell r="I90">
            <v>2108</v>
          </cell>
          <cell r="J90">
            <v>2109</v>
          </cell>
          <cell r="K90">
            <v>2110</v>
          </cell>
          <cell r="L90">
            <v>2100</v>
          </cell>
          <cell r="M90" t="str">
            <v>LATERAL DIR C/DOB PL TERRA 2155X45,2X14 + COR</v>
          </cell>
          <cell r="N90">
            <v>2155</v>
          </cell>
          <cell r="O90">
            <v>45.2</v>
          </cell>
          <cell r="P90">
            <v>14</v>
          </cell>
        </row>
        <row r="91">
          <cell r="A91">
            <v>595338</v>
          </cell>
          <cell r="B91">
            <v>2101</v>
          </cell>
          <cell r="C91">
            <v>2102</v>
          </cell>
          <cell r="D91">
            <v>2103</v>
          </cell>
          <cell r="E91">
            <v>2104</v>
          </cell>
          <cell r="F91">
            <v>2105</v>
          </cell>
          <cell r="G91">
            <v>2106</v>
          </cell>
          <cell r="H91">
            <v>2107</v>
          </cell>
          <cell r="I91">
            <v>2108</v>
          </cell>
          <cell r="J91">
            <v>2109</v>
          </cell>
          <cell r="K91">
            <v>2110</v>
          </cell>
          <cell r="L91">
            <v>2100</v>
          </cell>
          <cell r="M91" t="str">
            <v>LATERAL DIR C/DOB PL TERRA 2335X45,2X14 + COR</v>
          </cell>
          <cell r="N91">
            <v>2335</v>
          </cell>
          <cell r="O91">
            <v>45.2</v>
          </cell>
          <cell r="P91">
            <v>14</v>
          </cell>
        </row>
        <row r="92">
          <cell r="A92"/>
          <cell r="B92"/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</row>
        <row r="93">
          <cell r="A93">
            <v>595380</v>
          </cell>
          <cell r="B93">
            <v>2101</v>
          </cell>
          <cell r="C93">
            <v>2102</v>
          </cell>
          <cell r="D93">
            <v>2103</v>
          </cell>
          <cell r="E93">
            <v>2104</v>
          </cell>
          <cell r="F93">
            <v>2105</v>
          </cell>
          <cell r="G93">
            <v>2106</v>
          </cell>
          <cell r="H93">
            <v>2107</v>
          </cell>
          <cell r="I93">
            <v>2108</v>
          </cell>
          <cell r="J93">
            <v>2109</v>
          </cell>
          <cell r="K93">
            <v>2110</v>
          </cell>
          <cell r="L93">
            <v>2100</v>
          </cell>
          <cell r="M93" t="str">
            <v>LATERAL DIR S/DOB PL TERRA 1795X45,2X14 + COR</v>
          </cell>
          <cell r="N93">
            <v>1795</v>
          </cell>
          <cell r="O93">
            <v>45.2</v>
          </cell>
          <cell r="P93">
            <v>14</v>
          </cell>
        </row>
        <row r="94">
          <cell r="A94">
            <v>595381</v>
          </cell>
          <cell r="B94">
            <v>2101</v>
          </cell>
          <cell r="C94">
            <v>2102</v>
          </cell>
          <cell r="D94">
            <v>2103</v>
          </cell>
          <cell r="E94">
            <v>2104</v>
          </cell>
          <cell r="F94">
            <v>2105</v>
          </cell>
          <cell r="G94">
            <v>2106</v>
          </cell>
          <cell r="H94">
            <v>2107</v>
          </cell>
          <cell r="I94">
            <v>2108</v>
          </cell>
          <cell r="J94">
            <v>2109</v>
          </cell>
          <cell r="K94">
            <v>2110</v>
          </cell>
          <cell r="L94">
            <v>2100</v>
          </cell>
          <cell r="M94" t="str">
            <v>LATERAL DIR S/DOB PL TERRA 1975X45,2X14 + COR</v>
          </cell>
          <cell r="N94">
            <v>1975</v>
          </cell>
          <cell r="O94">
            <v>45.2</v>
          </cell>
          <cell r="P94">
            <v>14</v>
          </cell>
        </row>
        <row r="95">
          <cell r="A95">
            <v>595382</v>
          </cell>
          <cell r="B95">
            <v>2101</v>
          </cell>
          <cell r="C95">
            <v>2102</v>
          </cell>
          <cell r="D95">
            <v>2103</v>
          </cell>
          <cell r="E95">
            <v>2104</v>
          </cell>
          <cell r="F95">
            <v>2105</v>
          </cell>
          <cell r="G95">
            <v>2106</v>
          </cell>
          <cell r="H95">
            <v>2107</v>
          </cell>
          <cell r="I95">
            <v>2108</v>
          </cell>
          <cell r="J95">
            <v>2109</v>
          </cell>
          <cell r="K95">
            <v>2110</v>
          </cell>
          <cell r="L95">
            <v>2100</v>
          </cell>
          <cell r="M95" t="str">
            <v>LATERAL DIR S/DOB PL TERRA 2155X45,2X14 + COR</v>
          </cell>
          <cell r="N95">
            <v>2155</v>
          </cell>
          <cell r="O95">
            <v>45.2</v>
          </cell>
          <cell r="P95">
            <v>14</v>
          </cell>
        </row>
        <row r="96">
          <cell r="A96">
            <v>595383</v>
          </cell>
          <cell r="B96">
            <v>2101</v>
          </cell>
          <cell r="C96">
            <v>2102</v>
          </cell>
          <cell r="D96">
            <v>2103</v>
          </cell>
          <cell r="E96">
            <v>2104</v>
          </cell>
          <cell r="F96">
            <v>2105</v>
          </cell>
          <cell r="G96">
            <v>2106</v>
          </cell>
          <cell r="H96">
            <v>2107</v>
          </cell>
          <cell r="I96">
            <v>2108</v>
          </cell>
          <cell r="J96">
            <v>2109</v>
          </cell>
          <cell r="K96">
            <v>2110</v>
          </cell>
          <cell r="L96">
            <v>2100</v>
          </cell>
          <cell r="M96" t="str">
            <v>LATERAL DIR S/DOB PL TERRA 2335X45,2X14 + COR</v>
          </cell>
          <cell r="N96">
            <v>2335</v>
          </cell>
          <cell r="O96">
            <v>45.2</v>
          </cell>
          <cell r="P96">
            <v>14</v>
          </cell>
        </row>
        <row r="97">
          <cell r="A97"/>
          <cell r="B97"/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</row>
        <row r="98">
          <cell r="A98">
            <v>595365</v>
          </cell>
          <cell r="B98">
            <v>2101</v>
          </cell>
          <cell r="C98">
            <v>2102</v>
          </cell>
          <cell r="D98">
            <v>2103</v>
          </cell>
          <cell r="E98">
            <v>2104</v>
          </cell>
          <cell r="F98">
            <v>2105</v>
          </cell>
          <cell r="G98">
            <v>2106</v>
          </cell>
          <cell r="H98">
            <v>2107</v>
          </cell>
          <cell r="I98">
            <v>2108</v>
          </cell>
          <cell r="J98">
            <v>2109</v>
          </cell>
          <cell r="K98">
            <v>2110</v>
          </cell>
          <cell r="L98">
            <v>2100</v>
          </cell>
          <cell r="M98" t="str">
            <v>LATERAL ESQ C/DOB PL TERRA 500X45,2X14 + COR</v>
          </cell>
          <cell r="N98">
            <v>500</v>
          </cell>
          <cell r="O98">
            <v>45.2</v>
          </cell>
          <cell r="P98">
            <v>14</v>
          </cell>
        </row>
        <row r="99">
          <cell r="A99">
            <v>595366</v>
          </cell>
          <cell r="B99">
            <v>2101</v>
          </cell>
          <cell r="C99">
            <v>2102</v>
          </cell>
          <cell r="D99">
            <v>2103</v>
          </cell>
          <cell r="E99">
            <v>2104</v>
          </cell>
          <cell r="F99">
            <v>2105</v>
          </cell>
          <cell r="G99">
            <v>2106</v>
          </cell>
          <cell r="H99">
            <v>2107</v>
          </cell>
          <cell r="I99">
            <v>2108</v>
          </cell>
          <cell r="J99">
            <v>2109</v>
          </cell>
          <cell r="K99">
            <v>2110</v>
          </cell>
          <cell r="L99">
            <v>2100</v>
          </cell>
          <cell r="M99" t="str">
            <v>LATERAL ESQ C/DOB PL TERRA 678X45,2X14 + COR</v>
          </cell>
          <cell r="N99">
            <v>678</v>
          </cell>
          <cell r="O99">
            <v>45.2</v>
          </cell>
          <cell r="P99">
            <v>14</v>
          </cell>
        </row>
        <row r="100">
          <cell r="A100">
            <v>595367</v>
          </cell>
          <cell r="B100">
            <v>2101</v>
          </cell>
          <cell r="C100">
            <v>2102</v>
          </cell>
          <cell r="D100">
            <v>2103</v>
          </cell>
          <cell r="E100">
            <v>2104</v>
          </cell>
          <cell r="F100">
            <v>2105</v>
          </cell>
          <cell r="G100">
            <v>2106</v>
          </cell>
          <cell r="H100">
            <v>2107</v>
          </cell>
          <cell r="I100">
            <v>2108</v>
          </cell>
          <cell r="J100">
            <v>2109</v>
          </cell>
          <cell r="K100">
            <v>2110</v>
          </cell>
          <cell r="L100">
            <v>2100</v>
          </cell>
          <cell r="M100" t="str">
            <v>LATERAL ESQ C/DOB PL TERRA 860X45,2X14 + COR</v>
          </cell>
          <cell r="N100">
            <v>860</v>
          </cell>
          <cell r="O100">
            <v>45.2</v>
          </cell>
          <cell r="P100">
            <v>14</v>
          </cell>
        </row>
        <row r="101">
          <cell r="A101"/>
          <cell r="B101"/>
          <cell r="C101"/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</row>
        <row r="102">
          <cell r="A102">
            <v>595297</v>
          </cell>
          <cell r="B102">
            <v>2101</v>
          </cell>
          <cell r="C102">
            <v>2102</v>
          </cell>
          <cell r="D102">
            <v>2103</v>
          </cell>
          <cell r="E102">
            <v>2104</v>
          </cell>
          <cell r="F102">
            <v>2105</v>
          </cell>
          <cell r="G102">
            <v>2106</v>
          </cell>
          <cell r="H102">
            <v>2107</v>
          </cell>
          <cell r="I102">
            <v>2108</v>
          </cell>
          <cell r="J102">
            <v>2109</v>
          </cell>
          <cell r="K102">
            <v>2110</v>
          </cell>
          <cell r="L102">
            <v>2100</v>
          </cell>
          <cell r="M102" t="str">
            <v>LATERAL ESQ C/DOB PL TERRA 1040X45,2X14 + COR</v>
          </cell>
          <cell r="N102">
            <v>1040</v>
          </cell>
          <cell r="O102">
            <v>45.2</v>
          </cell>
          <cell r="P102">
            <v>14</v>
          </cell>
        </row>
        <row r="103">
          <cell r="A103">
            <v>595298</v>
          </cell>
          <cell r="B103">
            <v>2101</v>
          </cell>
          <cell r="C103">
            <v>2102</v>
          </cell>
          <cell r="D103">
            <v>2103</v>
          </cell>
          <cell r="E103">
            <v>2104</v>
          </cell>
          <cell r="F103">
            <v>2105</v>
          </cell>
          <cell r="G103">
            <v>2106</v>
          </cell>
          <cell r="H103">
            <v>2107</v>
          </cell>
          <cell r="I103">
            <v>2108</v>
          </cell>
          <cell r="J103">
            <v>2109</v>
          </cell>
          <cell r="K103">
            <v>2110</v>
          </cell>
          <cell r="L103">
            <v>2100</v>
          </cell>
          <cell r="M103" t="str">
            <v>LATERAL ESQ C/DOB PL TERRA 1220X45,2X14 + COR</v>
          </cell>
          <cell r="N103">
            <v>1220</v>
          </cell>
          <cell r="O103">
            <v>45.2</v>
          </cell>
          <cell r="P103">
            <v>14</v>
          </cell>
        </row>
        <row r="104">
          <cell r="A104"/>
          <cell r="B104"/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</row>
        <row r="105">
          <cell r="A105">
            <v>595286</v>
          </cell>
          <cell r="B105">
            <v>2101</v>
          </cell>
          <cell r="C105">
            <v>2102</v>
          </cell>
          <cell r="D105">
            <v>2103</v>
          </cell>
          <cell r="E105">
            <v>2104</v>
          </cell>
          <cell r="F105">
            <v>2105</v>
          </cell>
          <cell r="G105">
            <v>2106</v>
          </cell>
          <cell r="H105">
            <v>2107</v>
          </cell>
          <cell r="I105">
            <v>2108</v>
          </cell>
          <cell r="J105">
            <v>2109</v>
          </cell>
          <cell r="K105">
            <v>2110</v>
          </cell>
          <cell r="L105">
            <v>2100</v>
          </cell>
          <cell r="M105" t="str">
            <v>LATERAL D/E S/DOB PL TERRA 500X45,2X14 + COR</v>
          </cell>
          <cell r="N105">
            <v>500</v>
          </cell>
          <cell r="O105">
            <v>45.2</v>
          </cell>
          <cell r="P105">
            <v>14</v>
          </cell>
        </row>
        <row r="106">
          <cell r="A106">
            <v>595299</v>
          </cell>
          <cell r="B106">
            <v>2101</v>
          </cell>
          <cell r="C106">
            <v>2102</v>
          </cell>
          <cell r="D106">
            <v>2103</v>
          </cell>
          <cell r="E106">
            <v>2104</v>
          </cell>
          <cell r="F106">
            <v>2105</v>
          </cell>
          <cell r="G106">
            <v>2106</v>
          </cell>
          <cell r="H106">
            <v>2107</v>
          </cell>
          <cell r="I106">
            <v>2108</v>
          </cell>
          <cell r="J106">
            <v>2109</v>
          </cell>
          <cell r="K106">
            <v>2110</v>
          </cell>
          <cell r="L106">
            <v>2100</v>
          </cell>
          <cell r="M106" t="str">
            <v>LATERAL D/E S/DOB PL TERRA 678X45,2X14 + COR</v>
          </cell>
          <cell r="N106">
            <v>678</v>
          </cell>
          <cell r="O106">
            <v>45.2</v>
          </cell>
          <cell r="P106">
            <v>14</v>
          </cell>
        </row>
        <row r="107">
          <cell r="A107">
            <v>595300</v>
          </cell>
          <cell r="B107">
            <v>2101</v>
          </cell>
          <cell r="C107">
            <v>2102</v>
          </cell>
          <cell r="D107">
            <v>2103</v>
          </cell>
          <cell r="E107">
            <v>2104</v>
          </cell>
          <cell r="F107">
            <v>2105</v>
          </cell>
          <cell r="G107">
            <v>2106</v>
          </cell>
          <cell r="H107">
            <v>2107</v>
          </cell>
          <cell r="I107">
            <v>2108</v>
          </cell>
          <cell r="J107">
            <v>2109</v>
          </cell>
          <cell r="K107">
            <v>2110</v>
          </cell>
          <cell r="L107">
            <v>2100</v>
          </cell>
          <cell r="M107" t="str">
            <v>LATERAL D/E S/DOB PL TERRA 860X45,2X14 + COR</v>
          </cell>
          <cell r="N107">
            <v>860</v>
          </cell>
          <cell r="O107">
            <v>45.2</v>
          </cell>
          <cell r="P107">
            <v>14</v>
          </cell>
        </row>
        <row r="108">
          <cell r="A108"/>
          <cell r="B108"/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</row>
        <row r="109">
          <cell r="A109">
            <v>595301</v>
          </cell>
          <cell r="B109">
            <v>2101</v>
          </cell>
          <cell r="C109">
            <v>2102</v>
          </cell>
          <cell r="D109">
            <v>2103</v>
          </cell>
          <cell r="E109">
            <v>2104</v>
          </cell>
          <cell r="F109">
            <v>2105</v>
          </cell>
          <cell r="G109">
            <v>2106</v>
          </cell>
          <cell r="H109">
            <v>2107</v>
          </cell>
          <cell r="I109">
            <v>2108</v>
          </cell>
          <cell r="J109">
            <v>2109</v>
          </cell>
          <cell r="K109">
            <v>2110</v>
          </cell>
          <cell r="L109">
            <v>2100</v>
          </cell>
          <cell r="M109" t="str">
            <v>LATERAL D/E S/DOB PL TERRA 1040X45,2X14 + COR</v>
          </cell>
          <cell r="N109">
            <v>1040</v>
          </cell>
          <cell r="O109">
            <v>45.2</v>
          </cell>
          <cell r="P109">
            <v>14</v>
          </cell>
        </row>
        <row r="110">
          <cell r="A110">
            <v>595302</v>
          </cell>
          <cell r="B110">
            <v>2101</v>
          </cell>
          <cell r="C110">
            <v>2102</v>
          </cell>
          <cell r="D110">
            <v>2103</v>
          </cell>
          <cell r="E110">
            <v>2104</v>
          </cell>
          <cell r="F110">
            <v>2105</v>
          </cell>
          <cell r="G110">
            <v>2106</v>
          </cell>
          <cell r="H110">
            <v>2107</v>
          </cell>
          <cell r="I110">
            <v>2108</v>
          </cell>
          <cell r="J110">
            <v>2109</v>
          </cell>
          <cell r="K110">
            <v>2110</v>
          </cell>
          <cell r="L110">
            <v>2100</v>
          </cell>
          <cell r="M110" t="str">
            <v>LATERAL D/E S/DOB PL TERRA 1220X45,2X14 + COR</v>
          </cell>
          <cell r="N110">
            <v>1220</v>
          </cell>
          <cell r="O110">
            <v>45.2</v>
          </cell>
          <cell r="P110">
            <v>14</v>
          </cell>
        </row>
        <row r="111">
          <cell r="A111"/>
          <cell r="B111"/>
          <cell r="C111"/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</row>
        <row r="112">
          <cell r="A112">
            <v>595303</v>
          </cell>
          <cell r="B112">
            <v>2401</v>
          </cell>
          <cell r="C112">
            <v>2402</v>
          </cell>
          <cell r="D112">
            <v>2403</v>
          </cell>
          <cell r="E112">
            <v>2404</v>
          </cell>
          <cell r="F112">
            <v>2405</v>
          </cell>
          <cell r="G112">
            <v>2406</v>
          </cell>
          <cell r="H112">
            <v>2407</v>
          </cell>
          <cell r="I112">
            <v>2408</v>
          </cell>
          <cell r="J112">
            <v>2409</v>
          </cell>
          <cell r="K112">
            <v>2410</v>
          </cell>
          <cell r="L112">
            <v>2400</v>
          </cell>
          <cell r="M112" t="str">
            <v>LATERAL ESQ S/DOB PL AQUA 1793X80,2X19 + COR</v>
          </cell>
          <cell r="N112">
            <v>1793</v>
          </cell>
          <cell r="O112">
            <v>80.2</v>
          </cell>
          <cell r="P112">
            <v>19</v>
          </cell>
        </row>
        <row r="113">
          <cell r="A113">
            <v>595304</v>
          </cell>
          <cell r="B113">
            <v>2401</v>
          </cell>
          <cell r="C113">
            <v>2402</v>
          </cell>
          <cell r="D113">
            <v>2403</v>
          </cell>
          <cell r="E113">
            <v>2404</v>
          </cell>
          <cell r="F113">
            <v>2405</v>
          </cell>
          <cell r="G113">
            <v>2406</v>
          </cell>
          <cell r="H113">
            <v>2407</v>
          </cell>
          <cell r="I113">
            <v>2408</v>
          </cell>
          <cell r="J113">
            <v>2409</v>
          </cell>
          <cell r="K113">
            <v>2410</v>
          </cell>
          <cell r="L113">
            <v>2400</v>
          </cell>
          <cell r="M113" t="str">
            <v>LATERAL ESQ S/DOB PL AQUA 1973X80,2X19 + COR</v>
          </cell>
          <cell r="N113">
            <v>1973</v>
          </cell>
          <cell r="O113">
            <v>80.2</v>
          </cell>
          <cell r="P113">
            <v>19</v>
          </cell>
        </row>
        <row r="114">
          <cell r="A114">
            <v>595305</v>
          </cell>
          <cell r="B114">
            <v>2401</v>
          </cell>
          <cell r="C114">
            <v>2402</v>
          </cell>
          <cell r="D114">
            <v>2403</v>
          </cell>
          <cell r="E114">
            <v>2404</v>
          </cell>
          <cell r="F114">
            <v>2405</v>
          </cell>
          <cell r="G114">
            <v>2406</v>
          </cell>
          <cell r="H114">
            <v>2407</v>
          </cell>
          <cell r="I114">
            <v>2408</v>
          </cell>
          <cell r="J114">
            <v>2409</v>
          </cell>
          <cell r="K114">
            <v>2410</v>
          </cell>
          <cell r="L114">
            <v>2400</v>
          </cell>
          <cell r="M114" t="str">
            <v>LATERAL ESQ S/DOB PL AQUA 2153X80,2X19 + COR</v>
          </cell>
          <cell r="N114">
            <v>2153</v>
          </cell>
          <cell r="O114">
            <v>80.2</v>
          </cell>
          <cell r="P114">
            <v>19</v>
          </cell>
        </row>
        <row r="115">
          <cell r="A115">
            <v>595339</v>
          </cell>
          <cell r="B115">
            <v>2401</v>
          </cell>
          <cell r="C115">
            <v>2402</v>
          </cell>
          <cell r="D115">
            <v>2403</v>
          </cell>
          <cell r="E115">
            <v>2404</v>
          </cell>
          <cell r="F115">
            <v>2405</v>
          </cell>
          <cell r="G115">
            <v>2406</v>
          </cell>
          <cell r="H115">
            <v>2407</v>
          </cell>
          <cell r="I115">
            <v>2408</v>
          </cell>
          <cell r="J115">
            <v>2409</v>
          </cell>
          <cell r="K115">
            <v>2410</v>
          </cell>
          <cell r="L115">
            <v>2400</v>
          </cell>
          <cell r="M115" t="str">
            <v>LATERAL ESQ S/DOB PL AQUA 2333X80,2X19 + COR</v>
          </cell>
          <cell r="N115">
            <v>2333</v>
          </cell>
          <cell r="O115">
            <v>80.2</v>
          </cell>
          <cell r="P115">
            <v>19</v>
          </cell>
        </row>
        <row r="116">
          <cell r="A116"/>
          <cell r="B116"/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</row>
        <row r="117">
          <cell r="A117">
            <v>595306</v>
          </cell>
          <cell r="B117">
            <v>2101</v>
          </cell>
          <cell r="C117">
            <v>2102</v>
          </cell>
          <cell r="D117">
            <v>2103</v>
          </cell>
          <cell r="E117">
            <v>2104</v>
          </cell>
          <cell r="F117">
            <v>2105</v>
          </cell>
          <cell r="G117">
            <v>2106</v>
          </cell>
          <cell r="H117">
            <v>2107</v>
          </cell>
          <cell r="I117">
            <v>2108</v>
          </cell>
          <cell r="J117">
            <v>2109</v>
          </cell>
          <cell r="K117">
            <v>2110</v>
          </cell>
          <cell r="L117">
            <v>2100</v>
          </cell>
          <cell r="M117" t="str">
            <v>LATERAL DIR PTA TEMP PL TERRA 678X45,2X14 + COR</v>
          </cell>
          <cell r="N117">
            <v>678</v>
          </cell>
          <cell r="O117">
            <v>45.2</v>
          </cell>
          <cell r="P117">
            <v>14</v>
          </cell>
        </row>
        <row r="118">
          <cell r="A118">
            <v>595307</v>
          </cell>
          <cell r="B118">
            <v>2101</v>
          </cell>
          <cell r="C118">
            <v>2102</v>
          </cell>
          <cell r="D118">
            <v>2103</v>
          </cell>
          <cell r="E118">
            <v>2104</v>
          </cell>
          <cell r="F118">
            <v>2105</v>
          </cell>
          <cell r="G118">
            <v>2106</v>
          </cell>
          <cell r="H118">
            <v>2107</v>
          </cell>
          <cell r="I118">
            <v>2108</v>
          </cell>
          <cell r="J118">
            <v>2109</v>
          </cell>
          <cell r="K118">
            <v>2110</v>
          </cell>
          <cell r="L118">
            <v>2100</v>
          </cell>
          <cell r="M118" t="str">
            <v>LATERAL DIR PTA TEMP TDBOX PL TERRA 678X45,2X14 + COR</v>
          </cell>
          <cell r="N118">
            <v>678</v>
          </cell>
          <cell r="O118">
            <v>45.2</v>
          </cell>
          <cell r="P118">
            <v>14</v>
          </cell>
        </row>
        <row r="119">
          <cell r="A119"/>
          <cell r="B119"/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</row>
        <row r="120">
          <cell r="A120">
            <v>595308</v>
          </cell>
          <cell r="B120">
            <v>2101</v>
          </cell>
          <cell r="C120">
            <v>2102</v>
          </cell>
          <cell r="D120">
            <v>2103</v>
          </cell>
          <cell r="E120">
            <v>2104</v>
          </cell>
          <cell r="F120">
            <v>2105</v>
          </cell>
          <cell r="G120">
            <v>2106</v>
          </cell>
          <cell r="H120">
            <v>2107</v>
          </cell>
          <cell r="I120">
            <v>2108</v>
          </cell>
          <cell r="J120">
            <v>2109</v>
          </cell>
          <cell r="K120">
            <v>2110</v>
          </cell>
          <cell r="L120">
            <v>2100</v>
          </cell>
          <cell r="M120" t="str">
            <v>LATERAL ESQ PTA TEMP PL TERRA 678X45,2X14 + COR</v>
          </cell>
          <cell r="N120">
            <v>678</v>
          </cell>
          <cell r="O120">
            <v>45.2</v>
          </cell>
          <cell r="P120">
            <v>14</v>
          </cell>
        </row>
        <row r="121">
          <cell r="A121">
            <v>595309</v>
          </cell>
          <cell r="B121">
            <v>2101</v>
          </cell>
          <cell r="C121">
            <v>2102</v>
          </cell>
          <cell r="D121">
            <v>2103</v>
          </cell>
          <cell r="E121">
            <v>2104</v>
          </cell>
          <cell r="F121">
            <v>2105</v>
          </cell>
          <cell r="G121">
            <v>2106</v>
          </cell>
          <cell r="H121">
            <v>2107</v>
          </cell>
          <cell r="I121">
            <v>2108</v>
          </cell>
          <cell r="J121">
            <v>2109</v>
          </cell>
          <cell r="K121">
            <v>2110</v>
          </cell>
          <cell r="L121">
            <v>2100</v>
          </cell>
          <cell r="M121" t="str">
            <v>LATERAL ESQ PTA TEMP TDBOX PL TERRA 678X45,2X14 + COR</v>
          </cell>
          <cell r="N121">
            <v>678</v>
          </cell>
          <cell r="O121">
            <v>45.2</v>
          </cell>
          <cell r="P121">
            <v>14</v>
          </cell>
        </row>
        <row r="122">
          <cell r="A122"/>
          <cell r="B122"/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</row>
        <row r="123">
          <cell r="A123">
            <v>595310</v>
          </cell>
          <cell r="B123">
            <v>2101</v>
          </cell>
          <cell r="C123">
            <v>2102</v>
          </cell>
          <cell r="D123">
            <v>2103</v>
          </cell>
          <cell r="E123">
            <v>2104</v>
          </cell>
          <cell r="F123">
            <v>2105</v>
          </cell>
          <cell r="G123">
            <v>2106</v>
          </cell>
          <cell r="H123">
            <v>2107</v>
          </cell>
          <cell r="I123">
            <v>2108</v>
          </cell>
          <cell r="J123">
            <v>2109</v>
          </cell>
          <cell r="K123">
            <v>2110</v>
          </cell>
          <cell r="L123">
            <v>2100</v>
          </cell>
          <cell r="M123" t="str">
            <v>LATERAL DIR GAV PL TERRA 140X45,2X14 + COR</v>
          </cell>
          <cell r="N123">
            <v>140</v>
          </cell>
          <cell r="O123">
            <v>45.2</v>
          </cell>
          <cell r="P123">
            <v>14</v>
          </cell>
        </row>
        <row r="124">
          <cell r="A124">
            <v>595311</v>
          </cell>
          <cell r="B124">
            <v>2101</v>
          </cell>
          <cell r="C124">
            <v>2102</v>
          </cell>
          <cell r="D124">
            <v>2103</v>
          </cell>
          <cell r="E124">
            <v>2104</v>
          </cell>
          <cell r="F124">
            <v>2105</v>
          </cell>
          <cell r="G124">
            <v>2106</v>
          </cell>
          <cell r="H124">
            <v>2107</v>
          </cell>
          <cell r="I124">
            <v>2108</v>
          </cell>
          <cell r="J124">
            <v>2109</v>
          </cell>
          <cell r="K124">
            <v>2110</v>
          </cell>
          <cell r="L124">
            <v>2100</v>
          </cell>
          <cell r="M124" t="str">
            <v>LATERAL DIR GAV TDBOX PL TERRA 140X45,2X14 + COR</v>
          </cell>
          <cell r="N124">
            <v>140</v>
          </cell>
          <cell r="O124">
            <v>45.2</v>
          </cell>
          <cell r="P124">
            <v>14</v>
          </cell>
        </row>
        <row r="125">
          <cell r="A125">
            <v>595312</v>
          </cell>
          <cell r="B125">
            <v>2101</v>
          </cell>
          <cell r="C125">
            <v>2102</v>
          </cell>
          <cell r="D125">
            <v>2103</v>
          </cell>
          <cell r="E125">
            <v>2104</v>
          </cell>
          <cell r="F125">
            <v>2105</v>
          </cell>
          <cell r="G125">
            <v>2106</v>
          </cell>
          <cell r="H125">
            <v>2107</v>
          </cell>
          <cell r="I125">
            <v>2108</v>
          </cell>
          <cell r="J125">
            <v>2109</v>
          </cell>
          <cell r="K125">
            <v>2110</v>
          </cell>
          <cell r="L125">
            <v>2100</v>
          </cell>
          <cell r="M125" t="str">
            <v>LATERAL DIR GAV PL TERRA 320X45,2X14 + COR</v>
          </cell>
          <cell r="N125">
            <v>320</v>
          </cell>
          <cell r="O125">
            <v>45.2</v>
          </cell>
          <cell r="P125">
            <v>14</v>
          </cell>
        </row>
        <row r="126">
          <cell r="A126">
            <v>595436</v>
          </cell>
          <cell r="B126">
            <v>2101</v>
          </cell>
          <cell r="C126">
            <v>2102</v>
          </cell>
          <cell r="D126">
            <v>2103</v>
          </cell>
          <cell r="E126">
            <v>2104</v>
          </cell>
          <cell r="F126">
            <v>2105</v>
          </cell>
          <cell r="G126">
            <v>2106</v>
          </cell>
          <cell r="H126">
            <v>2107</v>
          </cell>
          <cell r="I126">
            <v>2108</v>
          </cell>
          <cell r="J126">
            <v>2109</v>
          </cell>
          <cell r="K126">
            <v>2110</v>
          </cell>
          <cell r="L126">
            <v>2100</v>
          </cell>
          <cell r="M126" t="str">
            <v>LATERAL DIR GAV MAIOR PL TERRA 320X45,2X14 + COR</v>
          </cell>
          <cell r="N126">
            <v>320</v>
          </cell>
          <cell r="O126">
            <v>45.2</v>
          </cell>
          <cell r="P126">
            <v>14</v>
          </cell>
        </row>
        <row r="127">
          <cell r="A127">
            <v>595313</v>
          </cell>
          <cell r="B127">
            <v>2101</v>
          </cell>
          <cell r="C127">
            <v>2102</v>
          </cell>
          <cell r="D127">
            <v>2103</v>
          </cell>
          <cell r="E127">
            <v>2104</v>
          </cell>
          <cell r="F127">
            <v>2105</v>
          </cell>
          <cell r="G127">
            <v>2106</v>
          </cell>
          <cell r="H127">
            <v>2107</v>
          </cell>
          <cell r="I127">
            <v>2108</v>
          </cell>
          <cell r="J127">
            <v>2109</v>
          </cell>
          <cell r="K127">
            <v>2110</v>
          </cell>
          <cell r="L127">
            <v>2100</v>
          </cell>
          <cell r="M127" t="str">
            <v>LATERAL DIR GAV TDBOX PL TERRA 320X45,2X14 + COR</v>
          </cell>
          <cell r="N127">
            <v>320</v>
          </cell>
          <cell r="O127">
            <v>45.2</v>
          </cell>
          <cell r="P127">
            <v>14</v>
          </cell>
        </row>
        <row r="128">
          <cell r="A128"/>
          <cell r="B128"/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</row>
        <row r="129">
          <cell r="A129">
            <v>595314</v>
          </cell>
          <cell r="B129">
            <v>2101</v>
          </cell>
          <cell r="C129">
            <v>2102</v>
          </cell>
          <cell r="D129">
            <v>2103</v>
          </cell>
          <cell r="E129">
            <v>2104</v>
          </cell>
          <cell r="F129">
            <v>2105</v>
          </cell>
          <cell r="G129">
            <v>2106</v>
          </cell>
          <cell r="H129">
            <v>2107</v>
          </cell>
          <cell r="I129">
            <v>2108</v>
          </cell>
          <cell r="J129">
            <v>2109</v>
          </cell>
          <cell r="K129">
            <v>2110</v>
          </cell>
          <cell r="L129">
            <v>2100</v>
          </cell>
          <cell r="M129" t="str">
            <v>LATERAL ESQ GAV PL TERRA 140X45,2X14 + COR</v>
          </cell>
          <cell r="N129">
            <v>140</v>
          </cell>
          <cell r="O129">
            <v>45.2</v>
          </cell>
          <cell r="P129">
            <v>14</v>
          </cell>
        </row>
        <row r="130">
          <cell r="A130">
            <v>595315</v>
          </cell>
          <cell r="B130">
            <v>2101</v>
          </cell>
          <cell r="C130">
            <v>2102</v>
          </cell>
          <cell r="D130">
            <v>2103</v>
          </cell>
          <cell r="E130">
            <v>2104</v>
          </cell>
          <cell r="F130">
            <v>2105</v>
          </cell>
          <cell r="G130">
            <v>2106</v>
          </cell>
          <cell r="H130">
            <v>2107</v>
          </cell>
          <cell r="I130">
            <v>2108</v>
          </cell>
          <cell r="J130">
            <v>2109</v>
          </cell>
          <cell r="K130">
            <v>2110</v>
          </cell>
          <cell r="L130">
            <v>2100</v>
          </cell>
          <cell r="M130" t="str">
            <v>LATERAL ESQ GAV TDBOX PL TERRA 140X45,2X14 + COR</v>
          </cell>
          <cell r="N130">
            <v>140</v>
          </cell>
          <cell r="O130">
            <v>45.2</v>
          </cell>
          <cell r="P130">
            <v>14</v>
          </cell>
        </row>
        <row r="131">
          <cell r="A131">
            <v>595316</v>
          </cell>
          <cell r="B131">
            <v>2101</v>
          </cell>
          <cell r="C131">
            <v>2102</v>
          </cell>
          <cell r="D131">
            <v>2103</v>
          </cell>
          <cell r="E131">
            <v>2104</v>
          </cell>
          <cell r="F131">
            <v>2105</v>
          </cell>
          <cell r="G131">
            <v>2106</v>
          </cell>
          <cell r="H131">
            <v>2107</v>
          </cell>
          <cell r="I131">
            <v>2108</v>
          </cell>
          <cell r="J131">
            <v>2109</v>
          </cell>
          <cell r="K131">
            <v>2110</v>
          </cell>
          <cell r="L131">
            <v>2100</v>
          </cell>
          <cell r="M131" t="str">
            <v>LATERAL ESQ GAV PL TERRA 320X45,2X14 + COR</v>
          </cell>
          <cell r="N131">
            <v>320</v>
          </cell>
          <cell r="O131">
            <v>45.2</v>
          </cell>
          <cell r="P131">
            <v>14</v>
          </cell>
        </row>
        <row r="132">
          <cell r="A132">
            <v>595437</v>
          </cell>
          <cell r="B132">
            <v>2101</v>
          </cell>
          <cell r="C132">
            <v>2102</v>
          </cell>
          <cell r="D132">
            <v>2103</v>
          </cell>
          <cell r="E132">
            <v>2104</v>
          </cell>
          <cell r="F132">
            <v>2105</v>
          </cell>
          <cell r="G132">
            <v>2106</v>
          </cell>
          <cell r="H132">
            <v>2107</v>
          </cell>
          <cell r="I132">
            <v>2108</v>
          </cell>
          <cell r="J132">
            <v>2109</v>
          </cell>
          <cell r="K132">
            <v>2110</v>
          </cell>
          <cell r="L132">
            <v>2100</v>
          </cell>
          <cell r="M132" t="str">
            <v>LATERAL ESQ GAV MAIOR PL TERRA 320X45,2X14 + COR</v>
          </cell>
          <cell r="N132">
            <v>320</v>
          </cell>
          <cell r="O132">
            <v>45.2</v>
          </cell>
          <cell r="P132">
            <v>14</v>
          </cell>
        </row>
        <row r="133">
          <cell r="A133">
            <v>595317</v>
          </cell>
          <cell r="B133">
            <v>2101</v>
          </cell>
          <cell r="C133">
            <v>2102</v>
          </cell>
          <cell r="D133">
            <v>2103</v>
          </cell>
          <cell r="E133">
            <v>2104</v>
          </cell>
          <cell r="F133">
            <v>2105</v>
          </cell>
          <cell r="G133">
            <v>2106</v>
          </cell>
          <cell r="H133">
            <v>2107</v>
          </cell>
          <cell r="I133">
            <v>2108</v>
          </cell>
          <cell r="J133">
            <v>2109</v>
          </cell>
          <cell r="K133">
            <v>2110</v>
          </cell>
          <cell r="L133">
            <v>2100</v>
          </cell>
          <cell r="M133" t="str">
            <v>LATERAL ESQ GAV TDBOX PL TERRA 320X45,2X14 + COR</v>
          </cell>
          <cell r="N133">
            <v>320</v>
          </cell>
          <cell r="O133">
            <v>45.2</v>
          </cell>
          <cell r="P133">
            <v>14</v>
          </cell>
        </row>
        <row r="134">
          <cell r="A134"/>
          <cell r="B134"/>
          <cell r="C134"/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</row>
        <row r="135">
          <cell r="A135">
            <v>595318</v>
          </cell>
          <cell r="B135">
            <v>2101</v>
          </cell>
          <cell r="C135">
            <v>2102</v>
          </cell>
          <cell r="D135">
            <v>2103</v>
          </cell>
          <cell r="E135">
            <v>2104</v>
          </cell>
          <cell r="F135">
            <v>2105</v>
          </cell>
          <cell r="G135">
            <v>2106</v>
          </cell>
          <cell r="H135">
            <v>2107</v>
          </cell>
          <cell r="I135">
            <v>2108</v>
          </cell>
          <cell r="J135">
            <v>2109</v>
          </cell>
          <cell r="K135">
            <v>2110</v>
          </cell>
          <cell r="L135">
            <v>2100</v>
          </cell>
          <cell r="M135" t="str">
            <v>LATERAL D/E TAB PASSAR PL TERRA 140X45,2X14 + COR</v>
          </cell>
          <cell r="N135">
            <v>140</v>
          </cell>
          <cell r="O135">
            <v>45.2</v>
          </cell>
          <cell r="P135">
            <v>14</v>
          </cell>
        </row>
        <row r="136">
          <cell r="A136"/>
          <cell r="B136"/>
          <cell r="C136"/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</row>
        <row r="137">
          <cell r="A137">
            <v>595960</v>
          </cell>
          <cell r="B137">
            <v>2101</v>
          </cell>
          <cell r="C137">
            <v>2102</v>
          </cell>
          <cell r="D137">
            <v>2103</v>
          </cell>
          <cell r="E137">
            <v>2104</v>
          </cell>
          <cell r="F137">
            <v>2105</v>
          </cell>
          <cell r="G137">
            <v>2106</v>
          </cell>
          <cell r="H137">
            <v>2107</v>
          </cell>
          <cell r="I137">
            <v>2108</v>
          </cell>
          <cell r="J137">
            <v>2109</v>
          </cell>
          <cell r="K137">
            <v>2110</v>
          </cell>
          <cell r="L137">
            <v>2100</v>
          </cell>
          <cell r="M137" t="str">
            <v>LATERAL DIR FTE FALSA TERRA 320X45X14+COR</v>
          </cell>
          <cell r="N137">
            <v>320</v>
          </cell>
          <cell r="O137">
            <v>45.2</v>
          </cell>
          <cell r="P137">
            <v>14</v>
          </cell>
        </row>
        <row r="138">
          <cell r="A138">
            <v>595961</v>
          </cell>
          <cell r="B138">
            <v>2101</v>
          </cell>
          <cell r="C138">
            <v>2102</v>
          </cell>
          <cell r="D138">
            <v>2103</v>
          </cell>
          <cell r="E138">
            <v>2104</v>
          </cell>
          <cell r="F138">
            <v>2105</v>
          </cell>
          <cell r="G138">
            <v>2106</v>
          </cell>
          <cell r="H138">
            <v>2107</v>
          </cell>
          <cell r="I138">
            <v>2108</v>
          </cell>
          <cell r="J138">
            <v>2109</v>
          </cell>
          <cell r="K138">
            <v>2110</v>
          </cell>
          <cell r="L138">
            <v>2100</v>
          </cell>
          <cell r="M138" t="str">
            <v>LATERAL DIR FTE FALSA TERRA 500X45X14+COR</v>
          </cell>
          <cell r="N138">
            <v>500</v>
          </cell>
          <cell r="O138">
            <v>45.2</v>
          </cell>
          <cell r="P138">
            <v>14</v>
          </cell>
        </row>
        <row r="139">
          <cell r="A139">
            <v>595962</v>
          </cell>
          <cell r="B139">
            <v>2101</v>
          </cell>
          <cell r="C139">
            <v>2102</v>
          </cell>
          <cell r="D139">
            <v>2103</v>
          </cell>
          <cell r="E139">
            <v>2104</v>
          </cell>
          <cell r="F139">
            <v>2105</v>
          </cell>
          <cell r="G139">
            <v>2106</v>
          </cell>
          <cell r="H139">
            <v>2107</v>
          </cell>
          <cell r="I139">
            <v>2108</v>
          </cell>
          <cell r="J139">
            <v>2109</v>
          </cell>
          <cell r="K139">
            <v>2110</v>
          </cell>
          <cell r="L139">
            <v>2100</v>
          </cell>
          <cell r="M139" t="str">
            <v>LATERAL DIR FTE FALSA TERRA 678X45X14+COR</v>
          </cell>
          <cell r="N139">
            <v>678</v>
          </cell>
          <cell r="O139">
            <v>45.2</v>
          </cell>
          <cell r="P139">
            <v>14</v>
          </cell>
        </row>
        <row r="140">
          <cell r="A140"/>
          <cell r="B140"/>
          <cell r="C140"/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</row>
        <row r="141">
          <cell r="A141">
            <v>595963</v>
          </cell>
          <cell r="B141">
            <v>2101</v>
          </cell>
          <cell r="C141">
            <v>2102</v>
          </cell>
          <cell r="D141">
            <v>2103</v>
          </cell>
          <cell r="E141">
            <v>2104</v>
          </cell>
          <cell r="F141">
            <v>2105</v>
          </cell>
          <cell r="G141">
            <v>2106</v>
          </cell>
          <cell r="H141">
            <v>2107</v>
          </cell>
          <cell r="I141">
            <v>2108</v>
          </cell>
          <cell r="J141">
            <v>2109</v>
          </cell>
          <cell r="K141">
            <v>2110</v>
          </cell>
          <cell r="L141">
            <v>2100</v>
          </cell>
          <cell r="M141" t="str">
            <v>LATERAL ESQ FTE FALSA TERRA 320X45,2X14+COR</v>
          </cell>
          <cell r="N141">
            <v>320</v>
          </cell>
          <cell r="O141">
            <v>45.2</v>
          </cell>
          <cell r="P141">
            <v>14</v>
          </cell>
        </row>
        <row r="142">
          <cell r="A142">
            <v>595964</v>
          </cell>
          <cell r="B142">
            <v>2101</v>
          </cell>
          <cell r="C142">
            <v>2102</v>
          </cell>
          <cell r="D142">
            <v>2103</v>
          </cell>
          <cell r="E142">
            <v>2104</v>
          </cell>
          <cell r="F142">
            <v>2105</v>
          </cell>
          <cell r="G142">
            <v>2106</v>
          </cell>
          <cell r="H142">
            <v>2107</v>
          </cell>
          <cell r="I142">
            <v>2108</v>
          </cell>
          <cell r="J142">
            <v>2109</v>
          </cell>
          <cell r="K142">
            <v>2110</v>
          </cell>
          <cell r="L142">
            <v>2100</v>
          </cell>
          <cell r="M142" t="str">
            <v>LATERAL ESQ FTE FALSA TERRA 500X45,2X14+COR</v>
          </cell>
          <cell r="N142">
            <v>500</v>
          </cell>
          <cell r="O142">
            <v>45.2</v>
          </cell>
          <cell r="P142">
            <v>14</v>
          </cell>
        </row>
        <row r="143">
          <cell r="A143">
            <v>595965</v>
          </cell>
          <cell r="B143">
            <v>2101</v>
          </cell>
          <cell r="C143">
            <v>2102</v>
          </cell>
          <cell r="D143">
            <v>2103</v>
          </cell>
          <cell r="E143">
            <v>2104</v>
          </cell>
          <cell r="F143">
            <v>2105</v>
          </cell>
          <cell r="G143">
            <v>2106</v>
          </cell>
          <cell r="H143">
            <v>2107</v>
          </cell>
          <cell r="I143">
            <v>2108</v>
          </cell>
          <cell r="J143">
            <v>2109</v>
          </cell>
          <cell r="K143">
            <v>2110</v>
          </cell>
          <cell r="L143">
            <v>2100</v>
          </cell>
          <cell r="M143" t="str">
            <v>LATERAL ESQ FTE FALSA TERRA 678X45,2X14+COR</v>
          </cell>
          <cell r="N143">
            <v>678</v>
          </cell>
          <cell r="O143">
            <v>45.2</v>
          </cell>
          <cell r="P143">
            <v>14</v>
          </cell>
        </row>
        <row r="144">
          <cell r="A144"/>
          <cell r="B144"/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</row>
        <row r="145">
          <cell r="A145">
            <v>595966</v>
          </cell>
          <cell r="B145">
            <v>2101</v>
          </cell>
          <cell r="C145">
            <v>2102</v>
          </cell>
          <cell r="D145">
            <v>2103</v>
          </cell>
          <cell r="E145">
            <v>2104</v>
          </cell>
          <cell r="F145">
            <v>2105</v>
          </cell>
          <cell r="G145">
            <v>2106</v>
          </cell>
          <cell r="H145">
            <v>2107</v>
          </cell>
          <cell r="I145">
            <v>2108</v>
          </cell>
          <cell r="J145">
            <v>2109</v>
          </cell>
          <cell r="K145">
            <v>2110</v>
          </cell>
          <cell r="L145">
            <v>2100</v>
          </cell>
          <cell r="M145" t="str">
            <v>LATERAL DIR FTE FALSA MAIOR TERRA 500X45X14+COR</v>
          </cell>
          <cell r="N145">
            <v>500</v>
          </cell>
          <cell r="O145">
            <v>45.2</v>
          </cell>
          <cell r="P145">
            <v>14</v>
          </cell>
        </row>
        <row r="146">
          <cell r="A146">
            <v>595967</v>
          </cell>
          <cell r="B146">
            <v>2101</v>
          </cell>
          <cell r="C146">
            <v>2102</v>
          </cell>
          <cell r="D146">
            <v>2103</v>
          </cell>
          <cell r="E146">
            <v>2104</v>
          </cell>
          <cell r="F146">
            <v>2105</v>
          </cell>
          <cell r="G146">
            <v>2106</v>
          </cell>
          <cell r="H146">
            <v>2107</v>
          </cell>
          <cell r="I146">
            <v>2108</v>
          </cell>
          <cell r="J146">
            <v>2109</v>
          </cell>
          <cell r="K146">
            <v>2110</v>
          </cell>
          <cell r="L146">
            <v>2100</v>
          </cell>
          <cell r="M146" t="str">
            <v>LATERAL DIR FTE FALSA MAIOR TERRA 678X45X14+COR</v>
          </cell>
          <cell r="N146">
            <v>678</v>
          </cell>
          <cell r="O146">
            <v>45.2</v>
          </cell>
          <cell r="P146">
            <v>14</v>
          </cell>
        </row>
        <row r="147">
          <cell r="A147">
            <v>595968</v>
          </cell>
          <cell r="B147">
            <v>2101</v>
          </cell>
          <cell r="C147">
            <v>2102</v>
          </cell>
          <cell r="D147">
            <v>2103</v>
          </cell>
          <cell r="E147">
            <v>2104</v>
          </cell>
          <cell r="F147">
            <v>2105</v>
          </cell>
          <cell r="G147">
            <v>2106</v>
          </cell>
          <cell r="H147">
            <v>2107</v>
          </cell>
          <cell r="I147">
            <v>2108</v>
          </cell>
          <cell r="J147">
            <v>2109</v>
          </cell>
          <cell r="K147">
            <v>2110</v>
          </cell>
          <cell r="L147">
            <v>2100</v>
          </cell>
          <cell r="M147" t="str">
            <v>LATERAL ESQ FTE FALSA MAIOR TERRA 500X45,2X14+COR</v>
          </cell>
          <cell r="N147">
            <v>500</v>
          </cell>
          <cell r="O147">
            <v>45.2</v>
          </cell>
          <cell r="P147">
            <v>14</v>
          </cell>
        </row>
        <row r="148">
          <cell r="A148">
            <v>595969</v>
          </cell>
          <cell r="B148">
            <v>2101</v>
          </cell>
          <cell r="C148">
            <v>2102</v>
          </cell>
          <cell r="D148">
            <v>2103</v>
          </cell>
          <cell r="E148">
            <v>2104</v>
          </cell>
          <cell r="F148">
            <v>2105</v>
          </cell>
          <cell r="G148">
            <v>2106</v>
          </cell>
          <cell r="H148">
            <v>2107</v>
          </cell>
          <cell r="I148">
            <v>2108</v>
          </cell>
          <cell r="J148">
            <v>2109</v>
          </cell>
          <cell r="K148">
            <v>2110</v>
          </cell>
          <cell r="L148">
            <v>2100</v>
          </cell>
          <cell r="M148" t="str">
            <v>LATERAL ESQ FTE FALSA MAIOR TERRA 678X45,2X14+COR</v>
          </cell>
          <cell r="N148">
            <v>678</v>
          </cell>
          <cell r="O148">
            <v>45.2</v>
          </cell>
          <cell r="P148">
            <v>14</v>
          </cell>
        </row>
        <row r="149">
          <cell r="B149"/>
          <cell r="C149"/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</row>
        <row r="150">
          <cell r="A150">
            <v>595320</v>
          </cell>
          <cell r="B150">
            <v>3101</v>
          </cell>
          <cell r="C150">
            <v>3102</v>
          </cell>
          <cell r="D150">
            <v>3103</v>
          </cell>
          <cell r="E150">
            <v>3104</v>
          </cell>
          <cell r="F150">
            <v>3105</v>
          </cell>
          <cell r="G150">
            <v>3106</v>
          </cell>
          <cell r="H150">
            <v>3107</v>
          </cell>
          <cell r="I150">
            <v>3108</v>
          </cell>
          <cell r="J150">
            <v>3109</v>
          </cell>
          <cell r="K150">
            <v>3110</v>
          </cell>
          <cell r="L150">
            <v>3100</v>
          </cell>
          <cell r="M150" t="str">
            <v>ACABAMENTO FTE GAV PL INSERT 205,5X13,5X19</v>
          </cell>
          <cell r="N150">
            <v>205.5</v>
          </cell>
          <cell r="O150">
            <v>13.5</v>
          </cell>
          <cell r="P150">
            <v>19</v>
          </cell>
        </row>
        <row r="151">
          <cell r="A151">
            <v>595321</v>
          </cell>
          <cell r="B151">
            <v>3101</v>
          </cell>
          <cell r="C151">
            <v>3102</v>
          </cell>
          <cell r="D151">
            <v>3103</v>
          </cell>
          <cell r="E151">
            <v>3104</v>
          </cell>
          <cell r="F151">
            <v>3105</v>
          </cell>
          <cell r="G151">
            <v>3106</v>
          </cell>
          <cell r="H151">
            <v>3107</v>
          </cell>
          <cell r="I151">
            <v>3108</v>
          </cell>
          <cell r="J151">
            <v>3109</v>
          </cell>
          <cell r="K151">
            <v>3110</v>
          </cell>
          <cell r="L151">
            <v>3100</v>
          </cell>
          <cell r="M151" t="str">
            <v>ACABAMENTO FTE GAV PL INSERT 305,5X13,5X20</v>
          </cell>
          <cell r="N151">
            <v>305.5</v>
          </cell>
          <cell r="O151">
            <v>13.5</v>
          </cell>
          <cell r="P151">
            <v>19</v>
          </cell>
        </row>
        <row r="152">
          <cell r="A152">
            <v>595322</v>
          </cell>
          <cell r="B152">
            <v>3101</v>
          </cell>
          <cell r="C152">
            <v>3102</v>
          </cell>
          <cell r="D152">
            <v>3103</v>
          </cell>
          <cell r="E152">
            <v>3104</v>
          </cell>
          <cell r="F152">
            <v>3105</v>
          </cell>
          <cell r="G152">
            <v>3106</v>
          </cell>
          <cell r="H152">
            <v>3107</v>
          </cell>
          <cell r="I152">
            <v>3108</v>
          </cell>
          <cell r="J152">
            <v>3109</v>
          </cell>
          <cell r="K152">
            <v>3110</v>
          </cell>
          <cell r="L152">
            <v>3100</v>
          </cell>
          <cell r="M152" t="str">
            <v>ACABAMENTO FTE GAV PL INSERT 355,5X13,5X21</v>
          </cell>
          <cell r="N152">
            <v>355.5</v>
          </cell>
          <cell r="O152">
            <v>13.5</v>
          </cell>
          <cell r="P152">
            <v>19</v>
          </cell>
        </row>
        <row r="153">
          <cell r="A153">
            <v>595323</v>
          </cell>
          <cell r="B153">
            <v>3101</v>
          </cell>
          <cell r="C153">
            <v>3102</v>
          </cell>
          <cell r="D153">
            <v>3103</v>
          </cell>
          <cell r="E153">
            <v>3104</v>
          </cell>
          <cell r="F153">
            <v>3105</v>
          </cell>
          <cell r="G153">
            <v>3106</v>
          </cell>
          <cell r="H153">
            <v>3107</v>
          </cell>
          <cell r="I153">
            <v>3108</v>
          </cell>
          <cell r="J153">
            <v>3109</v>
          </cell>
          <cell r="K153">
            <v>3110</v>
          </cell>
          <cell r="L153">
            <v>3100</v>
          </cell>
          <cell r="M153" t="str">
            <v>ACABAMENTO FTE GAV PL INSERT 405,5X13,5X22</v>
          </cell>
          <cell r="N153">
            <v>405.5</v>
          </cell>
          <cell r="O153">
            <v>13.5</v>
          </cell>
          <cell r="P153">
            <v>19</v>
          </cell>
        </row>
        <row r="154">
          <cell r="A154">
            <v>595324</v>
          </cell>
          <cell r="B154">
            <v>3101</v>
          </cell>
          <cell r="C154">
            <v>3102</v>
          </cell>
          <cell r="D154">
            <v>3103</v>
          </cell>
          <cell r="E154">
            <v>3104</v>
          </cell>
          <cell r="F154">
            <v>3105</v>
          </cell>
          <cell r="G154">
            <v>3106</v>
          </cell>
          <cell r="H154">
            <v>3107</v>
          </cell>
          <cell r="I154">
            <v>3108</v>
          </cell>
          <cell r="J154">
            <v>3109</v>
          </cell>
          <cell r="K154">
            <v>3110</v>
          </cell>
          <cell r="L154">
            <v>3100</v>
          </cell>
          <cell r="M154" t="str">
            <v>ACABAMENTO FTE GAV PL INSERT 455,5X13,5X23</v>
          </cell>
          <cell r="N154">
            <v>455.5</v>
          </cell>
          <cell r="O154">
            <v>13.5</v>
          </cell>
          <cell r="P154">
            <v>19</v>
          </cell>
        </row>
        <row r="155">
          <cell r="A155">
            <v>595325</v>
          </cell>
          <cell r="B155">
            <v>3101</v>
          </cell>
          <cell r="C155">
            <v>3102</v>
          </cell>
          <cell r="D155">
            <v>3103</v>
          </cell>
          <cell r="E155">
            <v>3104</v>
          </cell>
          <cell r="F155">
            <v>3105</v>
          </cell>
          <cell r="G155">
            <v>3106</v>
          </cell>
          <cell r="H155">
            <v>3107</v>
          </cell>
          <cell r="I155">
            <v>3108</v>
          </cell>
          <cell r="J155">
            <v>3109</v>
          </cell>
          <cell r="K155">
            <v>3110</v>
          </cell>
          <cell r="L155">
            <v>3100</v>
          </cell>
          <cell r="M155" t="str">
            <v>ACABAMENTO FTE GAV PL INSERT 505,5X13,5X24</v>
          </cell>
          <cell r="N155">
            <v>505.5</v>
          </cell>
          <cell r="O155">
            <v>13.5</v>
          </cell>
          <cell r="P155">
            <v>19</v>
          </cell>
        </row>
        <row r="156">
          <cell r="A156">
            <v>595326</v>
          </cell>
          <cell r="B156">
            <v>3101</v>
          </cell>
          <cell r="C156">
            <v>3102</v>
          </cell>
          <cell r="D156">
            <v>3103</v>
          </cell>
          <cell r="E156">
            <v>3104</v>
          </cell>
          <cell r="F156">
            <v>3105</v>
          </cell>
          <cell r="G156">
            <v>3106</v>
          </cell>
          <cell r="H156">
            <v>3107</v>
          </cell>
          <cell r="I156">
            <v>3108</v>
          </cell>
          <cell r="J156">
            <v>3109</v>
          </cell>
          <cell r="K156">
            <v>3110</v>
          </cell>
          <cell r="L156">
            <v>3100</v>
          </cell>
          <cell r="M156" t="str">
            <v>ACABAMENTO FTE GAV PL INSERT 605,5X13,5X25</v>
          </cell>
          <cell r="N156">
            <v>605.5</v>
          </cell>
          <cell r="O156">
            <v>13.5</v>
          </cell>
          <cell r="P156">
            <v>19</v>
          </cell>
        </row>
        <row r="157">
          <cell r="A157">
            <v>595327</v>
          </cell>
          <cell r="B157">
            <v>3101</v>
          </cell>
          <cell r="C157">
            <v>3102</v>
          </cell>
          <cell r="D157">
            <v>3103</v>
          </cell>
          <cell r="E157">
            <v>3104</v>
          </cell>
          <cell r="F157">
            <v>3105</v>
          </cell>
          <cell r="G157">
            <v>3106</v>
          </cell>
          <cell r="H157">
            <v>3107</v>
          </cell>
          <cell r="I157">
            <v>3108</v>
          </cell>
          <cell r="J157">
            <v>3109</v>
          </cell>
          <cell r="K157">
            <v>3110</v>
          </cell>
          <cell r="L157">
            <v>3100</v>
          </cell>
          <cell r="M157" t="str">
            <v>ACABAMENTO FTE GAV PL INSERT 705,5X13,5X26</v>
          </cell>
          <cell r="N157">
            <v>705.5</v>
          </cell>
          <cell r="O157">
            <v>13.5</v>
          </cell>
          <cell r="P157">
            <v>19</v>
          </cell>
        </row>
        <row r="158">
          <cell r="A158">
            <v>595328</v>
          </cell>
          <cell r="B158">
            <v>3101</v>
          </cell>
          <cell r="C158">
            <v>3102</v>
          </cell>
          <cell r="D158">
            <v>3103</v>
          </cell>
          <cell r="E158">
            <v>3104</v>
          </cell>
          <cell r="F158">
            <v>3105</v>
          </cell>
          <cell r="G158">
            <v>3106</v>
          </cell>
          <cell r="H158">
            <v>3107</v>
          </cell>
          <cell r="I158">
            <v>3108</v>
          </cell>
          <cell r="J158">
            <v>3109</v>
          </cell>
          <cell r="K158">
            <v>3110</v>
          </cell>
          <cell r="L158">
            <v>3100</v>
          </cell>
          <cell r="M158" t="str">
            <v>ACABAMENTO FTE GAV PL INSERT 805,5X13,5X27</v>
          </cell>
          <cell r="N158">
            <v>805.5</v>
          </cell>
          <cell r="O158">
            <v>13.5</v>
          </cell>
          <cell r="P158">
            <v>19</v>
          </cell>
        </row>
        <row r="159">
          <cell r="A159">
            <v>595329</v>
          </cell>
          <cell r="B159">
            <v>3101</v>
          </cell>
          <cell r="C159">
            <v>3102</v>
          </cell>
          <cell r="D159">
            <v>3103</v>
          </cell>
          <cell r="E159">
            <v>3104</v>
          </cell>
          <cell r="F159">
            <v>3105</v>
          </cell>
          <cell r="G159">
            <v>3106</v>
          </cell>
          <cell r="H159">
            <v>3107</v>
          </cell>
          <cell r="I159">
            <v>3108</v>
          </cell>
          <cell r="J159">
            <v>3109</v>
          </cell>
          <cell r="K159">
            <v>3110</v>
          </cell>
          <cell r="L159">
            <v>3100</v>
          </cell>
          <cell r="M159" t="str">
            <v>ACABAMENTO FTE GAV PL INSERT 905,5X13,5X28</v>
          </cell>
          <cell r="N159">
            <v>905.5</v>
          </cell>
          <cell r="O159">
            <v>13.5</v>
          </cell>
          <cell r="P159">
            <v>19</v>
          </cell>
        </row>
        <row r="160">
          <cell r="A160">
            <v>595330</v>
          </cell>
          <cell r="B160">
            <v>3101</v>
          </cell>
          <cell r="C160">
            <v>3102</v>
          </cell>
          <cell r="D160">
            <v>3103</v>
          </cell>
          <cell r="E160">
            <v>3104</v>
          </cell>
          <cell r="F160">
            <v>3105</v>
          </cell>
          <cell r="G160">
            <v>3106</v>
          </cell>
          <cell r="H160">
            <v>3107</v>
          </cell>
          <cell r="I160">
            <v>3108</v>
          </cell>
          <cell r="J160">
            <v>3109</v>
          </cell>
          <cell r="K160">
            <v>3110</v>
          </cell>
          <cell r="L160">
            <v>3100</v>
          </cell>
          <cell r="M160" t="str">
            <v>ACABAMENTO FTE GAV PL INSERT 1005,5X13,5X29</v>
          </cell>
          <cell r="N160">
            <v>1005.5</v>
          </cell>
          <cell r="O160">
            <v>13.5</v>
          </cell>
          <cell r="P160">
            <v>19</v>
          </cell>
        </row>
        <row r="161">
          <cell r="A161">
            <v>595331</v>
          </cell>
          <cell r="B161">
            <v>3101</v>
          </cell>
          <cell r="C161">
            <v>3102</v>
          </cell>
          <cell r="D161">
            <v>3103</v>
          </cell>
          <cell r="E161">
            <v>3104</v>
          </cell>
          <cell r="F161">
            <v>3105</v>
          </cell>
          <cell r="G161">
            <v>3106</v>
          </cell>
          <cell r="H161">
            <v>3107</v>
          </cell>
          <cell r="I161">
            <v>3108</v>
          </cell>
          <cell r="J161">
            <v>3109</v>
          </cell>
          <cell r="K161">
            <v>3110</v>
          </cell>
          <cell r="L161">
            <v>3100</v>
          </cell>
          <cell r="M161" t="str">
            <v>ACABAMENTO FTE GAV PL INSERT 1105,5X13,5X30</v>
          </cell>
          <cell r="N161">
            <v>1105.5</v>
          </cell>
          <cell r="O161">
            <v>13.5</v>
          </cell>
          <cell r="P161">
            <v>19</v>
          </cell>
        </row>
      </sheetData>
      <sheetData sheetId="1">
        <row r="6">
          <cell r="A6" t="str">
            <v>VIDRO 139X294X4</v>
          </cell>
          <cell r="B6">
            <v>121420</v>
          </cell>
          <cell r="C6">
            <v>181021420</v>
          </cell>
          <cell r="D6" t="str">
            <v>05</v>
          </cell>
          <cell r="E6" t="str">
            <v>27</v>
          </cell>
          <cell r="F6" t="str">
            <v>26</v>
          </cell>
          <cell r="G6">
            <v>49</v>
          </cell>
          <cell r="H6">
            <v>50</v>
          </cell>
          <cell r="I6">
            <v>51</v>
          </cell>
          <cell r="J6">
            <v>52</v>
          </cell>
          <cell r="K6" t="str">
            <v>13</v>
          </cell>
          <cell r="L6" t="str">
            <v>15</v>
          </cell>
          <cell r="M6" t="str">
            <v>38</v>
          </cell>
          <cell r="N6" t="str">
            <v>44</v>
          </cell>
          <cell r="O6" t="str">
            <v>08</v>
          </cell>
          <cell r="P6" t="str">
            <v>10</v>
          </cell>
          <cell r="Q6" t="str">
            <v>21</v>
          </cell>
          <cell r="R6" t="str">
            <v>12</v>
          </cell>
          <cell r="S6" t="str">
            <v>06</v>
          </cell>
          <cell r="T6" t="str">
            <v>09</v>
          </cell>
          <cell r="V6" t="str">
            <v>MONENCLARURA POR COR</v>
          </cell>
          <cell r="W6"/>
        </row>
        <row r="7">
          <cell r="A7" t="str">
            <v>VIDRO 139X394X4</v>
          </cell>
          <cell r="B7">
            <v>121421</v>
          </cell>
          <cell r="C7">
            <v>181021421</v>
          </cell>
          <cell r="D7" t="str">
            <v>05</v>
          </cell>
          <cell r="E7">
            <v>27</v>
          </cell>
          <cell r="F7">
            <v>26</v>
          </cell>
          <cell r="G7">
            <v>49</v>
          </cell>
          <cell r="H7">
            <v>50</v>
          </cell>
          <cell r="I7">
            <v>51</v>
          </cell>
          <cell r="J7">
            <v>52</v>
          </cell>
          <cell r="K7">
            <v>13</v>
          </cell>
          <cell r="L7">
            <v>15</v>
          </cell>
          <cell r="M7">
            <v>38</v>
          </cell>
          <cell r="N7">
            <v>44</v>
          </cell>
          <cell r="O7" t="str">
            <v>08</v>
          </cell>
          <cell r="P7">
            <v>10</v>
          </cell>
          <cell r="Q7">
            <v>21</v>
          </cell>
          <cell r="R7">
            <v>12</v>
          </cell>
          <cell r="S7" t="str">
            <v>06</v>
          </cell>
          <cell r="T7" t="str">
            <v>09</v>
          </cell>
          <cell r="V7"/>
          <cell r="W7"/>
        </row>
        <row r="8">
          <cell r="A8" t="str">
            <v>VIDRO 139X444X4</v>
          </cell>
          <cell r="B8">
            <v>121422</v>
          </cell>
          <cell r="C8">
            <v>181021422</v>
          </cell>
          <cell r="D8" t="str">
            <v>05</v>
          </cell>
          <cell r="E8" t="str">
            <v>27</v>
          </cell>
          <cell r="F8" t="str">
            <v>26</v>
          </cell>
          <cell r="G8">
            <v>49</v>
          </cell>
          <cell r="H8">
            <v>50</v>
          </cell>
          <cell r="I8">
            <v>51</v>
          </cell>
          <cell r="J8">
            <v>52</v>
          </cell>
          <cell r="K8" t="str">
            <v>13</v>
          </cell>
          <cell r="L8" t="str">
            <v>15</v>
          </cell>
          <cell r="M8" t="str">
            <v>38</v>
          </cell>
          <cell r="N8" t="str">
            <v>44</v>
          </cell>
          <cell r="O8" t="str">
            <v>08</v>
          </cell>
          <cell r="P8" t="str">
            <v>10</v>
          </cell>
          <cell r="Q8" t="str">
            <v>21</v>
          </cell>
          <cell r="R8" t="str">
            <v>12</v>
          </cell>
          <cell r="S8" t="str">
            <v>06</v>
          </cell>
          <cell r="T8" t="str">
            <v>09</v>
          </cell>
          <cell r="V8" t="str">
            <v>COR VD</v>
          </cell>
          <cell r="W8" t="str">
            <v>DESCRIÇÃO</v>
          </cell>
        </row>
        <row r="9">
          <cell r="A9" t="str">
            <v>VIDRO 139X494X4</v>
          </cell>
          <cell r="B9">
            <v>121423</v>
          </cell>
          <cell r="C9">
            <v>181021423</v>
          </cell>
          <cell r="D9" t="str">
            <v>05</v>
          </cell>
          <cell r="E9">
            <v>27</v>
          </cell>
          <cell r="F9">
            <v>26</v>
          </cell>
          <cell r="G9">
            <v>49</v>
          </cell>
          <cell r="H9">
            <v>50</v>
          </cell>
          <cell r="I9">
            <v>51</v>
          </cell>
          <cell r="J9">
            <v>52</v>
          </cell>
          <cell r="K9">
            <v>13</v>
          </cell>
          <cell r="L9">
            <v>15</v>
          </cell>
          <cell r="M9">
            <v>38</v>
          </cell>
          <cell r="N9">
            <v>44</v>
          </cell>
          <cell r="O9" t="str">
            <v>08</v>
          </cell>
          <cell r="P9">
            <v>10</v>
          </cell>
          <cell r="Q9">
            <v>21</v>
          </cell>
          <cell r="R9">
            <v>12</v>
          </cell>
          <cell r="S9" t="str">
            <v>06</v>
          </cell>
          <cell r="T9" t="str">
            <v>09</v>
          </cell>
          <cell r="V9"/>
          <cell r="W9"/>
        </row>
        <row r="10">
          <cell r="A10" t="str">
            <v>VIDRO 139X544X4</v>
          </cell>
          <cell r="B10">
            <v>121424</v>
          </cell>
          <cell r="C10">
            <v>181021424</v>
          </cell>
          <cell r="D10" t="str">
            <v>05</v>
          </cell>
          <cell r="E10" t="str">
            <v>27</v>
          </cell>
          <cell r="F10" t="str">
            <v>26</v>
          </cell>
          <cell r="G10">
            <v>49</v>
          </cell>
          <cell r="H10">
            <v>50</v>
          </cell>
          <cell r="I10">
            <v>51</v>
          </cell>
          <cell r="J10">
            <v>52</v>
          </cell>
          <cell r="K10" t="str">
            <v>13</v>
          </cell>
          <cell r="L10" t="str">
            <v>15</v>
          </cell>
          <cell r="M10" t="str">
            <v>38</v>
          </cell>
          <cell r="N10" t="str">
            <v>44</v>
          </cell>
          <cell r="O10" t="str">
            <v>08</v>
          </cell>
          <cell r="P10" t="str">
            <v>10</v>
          </cell>
          <cell r="Q10" t="str">
            <v>21</v>
          </cell>
          <cell r="R10" t="str">
            <v>12</v>
          </cell>
          <cell r="S10" t="str">
            <v>06</v>
          </cell>
          <cell r="T10" t="str">
            <v>09</v>
          </cell>
          <cell r="V10" t="str">
            <v>05</v>
          </cell>
          <cell r="W10" t="str">
            <v xml:space="preserve">VIDRO PELIC ESP </v>
          </cell>
        </row>
        <row r="11">
          <cell r="A11" t="str">
            <v>VIDRO 139X594X4</v>
          </cell>
          <cell r="B11">
            <v>121425</v>
          </cell>
          <cell r="C11">
            <v>181021425</v>
          </cell>
          <cell r="D11" t="str">
            <v>05</v>
          </cell>
          <cell r="E11">
            <v>27</v>
          </cell>
          <cell r="F11">
            <v>26</v>
          </cell>
          <cell r="G11">
            <v>49</v>
          </cell>
          <cell r="H11">
            <v>50</v>
          </cell>
          <cell r="I11">
            <v>51</v>
          </cell>
          <cell r="J11">
            <v>52</v>
          </cell>
          <cell r="K11">
            <v>13</v>
          </cell>
          <cell r="L11">
            <v>15</v>
          </cell>
          <cell r="M11">
            <v>38</v>
          </cell>
          <cell r="N11">
            <v>44</v>
          </cell>
          <cell r="O11" t="str">
            <v>08</v>
          </cell>
          <cell r="P11">
            <v>10</v>
          </cell>
          <cell r="Q11">
            <v>21</v>
          </cell>
          <cell r="R11">
            <v>12</v>
          </cell>
          <cell r="S11" t="str">
            <v>06</v>
          </cell>
          <cell r="T11" t="str">
            <v>09</v>
          </cell>
          <cell r="V11">
            <v>26</v>
          </cell>
          <cell r="W11" t="str">
            <v xml:space="preserve">VIDRO PELIC ESP FUME </v>
          </cell>
        </row>
        <row r="12">
          <cell r="A12" t="str">
            <v>VIDRO 139X694X4</v>
          </cell>
          <cell r="B12">
            <v>121426</v>
          </cell>
          <cell r="C12">
            <v>181021426</v>
          </cell>
          <cell r="D12" t="str">
            <v>05</v>
          </cell>
          <cell r="E12" t="str">
            <v>27</v>
          </cell>
          <cell r="F12" t="str">
            <v>26</v>
          </cell>
          <cell r="G12">
            <v>49</v>
          </cell>
          <cell r="H12">
            <v>50</v>
          </cell>
          <cell r="I12">
            <v>51</v>
          </cell>
          <cell r="J12">
            <v>52</v>
          </cell>
          <cell r="K12" t="str">
            <v>13</v>
          </cell>
          <cell r="L12" t="str">
            <v>15</v>
          </cell>
          <cell r="M12" t="str">
            <v>38</v>
          </cell>
          <cell r="N12" t="str">
            <v>44</v>
          </cell>
          <cell r="O12" t="str">
            <v>08</v>
          </cell>
          <cell r="P12" t="str">
            <v>10</v>
          </cell>
          <cell r="Q12" t="str">
            <v>21</v>
          </cell>
          <cell r="R12" t="str">
            <v>12</v>
          </cell>
          <cell r="S12" t="str">
            <v>06</v>
          </cell>
          <cell r="T12" t="str">
            <v>09</v>
          </cell>
          <cell r="V12">
            <v>27</v>
          </cell>
          <cell r="W12" t="str">
            <v xml:space="preserve">VIDRO PELIC ESP CHAMP </v>
          </cell>
        </row>
        <row r="13">
          <cell r="A13" t="str">
            <v>VIDRO 139X794X4</v>
          </cell>
          <cell r="B13">
            <v>121427</v>
          </cell>
          <cell r="C13">
            <v>181021427</v>
          </cell>
          <cell r="D13" t="str">
            <v>05</v>
          </cell>
          <cell r="E13">
            <v>27</v>
          </cell>
          <cell r="F13">
            <v>26</v>
          </cell>
          <cell r="G13">
            <v>49</v>
          </cell>
          <cell r="H13">
            <v>50</v>
          </cell>
          <cell r="I13">
            <v>51</v>
          </cell>
          <cell r="J13">
            <v>52</v>
          </cell>
          <cell r="K13">
            <v>13</v>
          </cell>
          <cell r="L13">
            <v>15</v>
          </cell>
          <cell r="M13">
            <v>38</v>
          </cell>
          <cell r="N13">
            <v>44</v>
          </cell>
          <cell r="O13" t="str">
            <v>08</v>
          </cell>
          <cell r="P13">
            <v>10</v>
          </cell>
          <cell r="Q13">
            <v>21</v>
          </cell>
          <cell r="R13">
            <v>12</v>
          </cell>
          <cell r="S13" t="str">
            <v>06</v>
          </cell>
          <cell r="T13" t="str">
            <v>09</v>
          </cell>
          <cell r="V13">
            <v>49</v>
          </cell>
          <cell r="W13" t="str">
            <v>VIDRO PINT/PELIC MET GRAFITE</v>
          </cell>
        </row>
        <row r="14">
          <cell r="A14" t="str">
            <v>VIDRO 139X894X4</v>
          </cell>
          <cell r="B14">
            <v>121428</v>
          </cell>
          <cell r="C14">
            <v>181021428</v>
          </cell>
          <cell r="D14" t="str">
            <v>05</v>
          </cell>
          <cell r="E14" t="str">
            <v>27</v>
          </cell>
          <cell r="F14" t="str">
            <v>26</v>
          </cell>
          <cell r="G14">
            <v>49</v>
          </cell>
          <cell r="H14">
            <v>50</v>
          </cell>
          <cell r="I14">
            <v>51</v>
          </cell>
          <cell r="J14">
            <v>52</v>
          </cell>
          <cell r="K14" t="str">
            <v>13</v>
          </cell>
          <cell r="L14" t="str">
            <v>15</v>
          </cell>
          <cell r="M14" t="str">
            <v>38</v>
          </cell>
          <cell r="N14" t="str">
            <v>44</v>
          </cell>
          <cell r="O14" t="str">
            <v>08</v>
          </cell>
          <cell r="P14" t="str">
            <v>10</v>
          </cell>
          <cell r="Q14" t="str">
            <v>21</v>
          </cell>
          <cell r="R14" t="str">
            <v>12</v>
          </cell>
          <cell r="S14" t="str">
            <v>06</v>
          </cell>
          <cell r="T14" t="str">
            <v>09</v>
          </cell>
          <cell r="V14">
            <v>50</v>
          </cell>
          <cell r="W14" t="str">
            <v>VIDRO PINT/PELIC MET PRATA</v>
          </cell>
        </row>
        <row r="15">
          <cell r="A15" t="str">
            <v>VIDRO 139X994X4</v>
          </cell>
          <cell r="B15">
            <v>121429</v>
          </cell>
          <cell r="C15">
            <v>181021429</v>
          </cell>
          <cell r="D15" t="str">
            <v>05</v>
          </cell>
          <cell r="E15">
            <v>27</v>
          </cell>
          <cell r="F15">
            <v>26</v>
          </cell>
          <cell r="G15">
            <v>49</v>
          </cell>
          <cell r="H15">
            <v>50</v>
          </cell>
          <cell r="I15">
            <v>51</v>
          </cell>
          <cell r="J15">
            <v>52</v>
          </cell>
          <cell r="K15">
            <v>13</v>
          </cell>
          <cell r="L15">
            <v>15</v>
          </cell>
          <cell r="M15">
            <v>38</v>
          </cell>
          <cell r="N15">
            <v>44</v>
          </cell>
          <cell r="O15" t="str">
            <v>08</v>
          </cell>
          <cell r="P15">
            <v>10</v>
          </cell>
          <cell r="Q15">
            <v>21</v>
          </cell>
          <cell r="R15">
            <v>12</v>
          </cell>
          <cell r="S15" t="str">
            <v>06</v>
          </cell>
          <cell r="T15" t="str">
            <v>09</v>
          </cell>
          <cell r="V15">
            <v>51</v>
          </cell>
          <cell r="W15" t="str">
            <v>VIDRO PINT/PELIC MET DOURADO</v>
          </cell>
        </row>
        <row r="16">
          <cell r="A16" t="str">
            <v>VIDRO 139X1094X4</v>
          </cell>
          <cell r="B16">
            <v>121430</v>
          </cell>
          <cell r="C16">
            <v>181021430</v>
          </cell>
          <cell r="D16" t="str">
            <v>05</v>
          </cell>
          <cell r="E16" t="str">
            <v>27</v>
          </cell>
          <cell r="F16" t="str">
            <v>26</v>
          </cell>
          <cell r="G16">
            <v>49</v>
          </cell>
          <cell r="H16">
            <v>50</v>
          </cell>
          <cell r="I16">
            <v>51</v>
          </cell>
          <cell r="J16">
            <v>52</v>
          </cell>
          <cell r="K16" t="str">
            <v>13</v>
          </cell>
          <cell r="L16" t="str">
            <v>15</v>
          </cell>
          <cell r="M16" t="str">
            <v>38</v>
          </cell>
          <cell r="N16" t="str">
            <v>44</v>
          </cell>
          <cell r="O16" t="str">
            <v>08</v>
          </cell>
          <cell r="P16" t="str">
            <v>10</v>
          </cell>
          <cell r="Q16" t="str">
            <v>21</v>
          </cell>
          <cell r="R16" t="str">
            <v>12</v>
          </cell>
          <cell r="S16" t="str">
            <v>06</v>
          </cell>
          <cell r="T16" t="str">
            <v>09</v>
          </cell>
          <cell r="V16">
            <v>52</v>
          </cell>
          <cell r="W16" t="str">
            <v>VIDRO PINT/PELIC MET PEROLA</v>
          </cell>
        </row>
        <row r="17">
          <cell r="A17" t="str">
            <v>VIDRO 139X1194X4</v>
          </cell>
          <cell r="B17">
            <v>121431</v>
          </cell>
          <cell r="C17">
            <v>181021431</v>
          </cell>
          <cell r="D17" t="str">
            <v>05</v>
          </cell>
          <cell r="E17">
            <v>27</v>
          </cell>
          <cell r="F17">
            <v>26</v>
          </cell>
          <cell r="G17">
            <v>49</v>
          </cell>
          <cell r="H17">
            <v>50</v>
          </cell>
          <cell r="I17">
            <v>51</v>
          </cell>
          <cell r="J17">
            <v>52</v>
          </cell>
          <cell r="K17">
            <v>13</v>
          </cell>
          <cell r="L17">
            <v>15</v>
          </cell>
          <cell r="M17">
            <v>38</v>
          </cell>
          <cell r="N17">
            <v>44</v>
          </cell>
          <cell r="O17" t="str">
            <v>08</v>
          </cell>
          <cell r="P17">
            <v>10</v>
          </cell>
          <cell r="Q17">
            <v>21</v>
          </cell>
          <cell r="R17">
            <v>12</v>
          </cell>
          <cell r="S17" t="str">
            <v>06</v>
          </cell>
          <cell r="T17" t="str">
            <v>09</v>
          </cell>
          <cell r="V17">
            <v>15</v>
          </cell>
          <cell r="W17" t="str">
            <v xml:space="preserve">VIDRO PELIC GELO </v>
          </cell>
        </row>
        <row r="18">
          <cell r="A18" t="str">
            <v>VIDRO 319X394X4</v>
          </cell>
          <cell r="B18">
            <v>121432</v>
          </cell>
          <cell r="C18">
            <v>181021432</v>
          </cell>
          <cell r="D18" t="str">
            <v>05</v>
          </cell>
          <cell r="E18" t="str">
            <v>27</v>
          </cell>
          <cell r="F18" t="str">
            <v>26</v>
          </cell>
          <cell r="G18">
            <v>49</v>
          </cell>
          <cell r="H18">
            <v>50</v>
          </cell>
          <cell r="I18">
            <v>51</v>
          </cell>
          <cell r="J18">
            <v>52</v>
          </cell>
          <cell r="K18" t="str">
            <v>13</v>
          </cell>
          <cell r="L18" t="str">
            <v>15</v>
          </cell>
          <cell r="M18" t="str">
            <v>38</v>
          </cell>
          <cell r="N18" t="str">
            <v>44</v>
          </cell>
          <cell r="O18" t="str">
            <v>08</v>
          </cell>
          <cell r="P18" t="str">
            <v>10</v>
          </cell>
          <cell r="Q18" t="str">
            <v>21</v>
          </cell>
          <cell r="R18" t="str">
            <v>12</v>
          </cell>
          <cell r="S18" t="str">
            <v>06</v>
          </cell>
          <cell r="T18" t="str">
            <v>09</v>
          </cell>
          <cell r="V18">
            <v>10</v>
          </cell>
          <cell r="W18" t="str">
            <v xml:space="preserve">VIDRO PINT/PELIC SAND </v>
          </cell>
        </row>
        <row r="19">
          <cell r="A19" t="str">
            <v>VIDRO 319X444X4</v>
          </cell>
          <cell r="B19">
            <v>121433</v>
          </cell>
          <cell r="C19">
            <v>181021433</v>
          </cell>
          <cell r="D19" t="str">
            <v>05</v>
          </cell>
          <cell r="E19">
            <v>27</v>
          </cell>
          <cell r="F19">
            <v>26</v>
          </cell>
          <cell r="G19">
            <v>49</v>
          </cell>
          <cell r="H19">
            <v>50</v>
          </cell>
          <cell r="I19">
            <v>51</v>
          </cell>
          <cell r="J19">
            <v>52</v>
          </cell>
          <cell r="K19">
            <v>13</v>
          </cell>
          <cell r="L19">
            <v>15</v>
          </cell>
          <cell r="M19">
            <v>38</v>
          </cell>
          <cell r="N19">
            <v>44</v>
          </cell>
          <cell r="O19" t="str">
            <v>08</v>
          </cell>
          <cell r="P19">
            <v>10</v>
          </cell>
          <cell r="Q19">
            <v>21</v>
          </cell>
          <cell r="R19">
            <v>12</v>
          </cell>
          <cell r="S19" t="str">
            <v>06</v>
          </cell>
          <cell r="T19" t="str">
            <v>09</v>
          </cell>
          <cell r="V19">
            <v>12</v>
          </cell>
          <cell r="W19" t="str">
            <v xml:space="preserve">VIDRO PINT/PELIC BIANCO </v>
          </cell>
        </row>
        <row r="20">
          <cell r="A20" t="str">
            <v>VIDRO 319X494X4</v>
          </cell>
          <cell r="B20">
            <v>121434</v>
          </cell>
          <cell r="C20">
            <v>181021434</v>
          </cell>
          <cell r="D20" t="str">
            <v>05</v>
          </cell>
          <cell r="E20" t="str">
            <v>27</v>
          </cell>
          <cell r="F20" t="str">
            <v>26</v>
          </cell>
          <cell r="G20">
            <v>49</v>
          </cell>
          <cell r="H20">
            <v>50</v>
          </cell>
          <cell r="I20">
            <v>51</v>
          </cell>
          <cell r="J20">
            <v>52</v>
          </cell>
          <cell r="K20" t="str">
            <v>13</v>
          </cell>
          <cell r="L20" t="str">
            <v>15</v>
          </cell>
          <cell r="M20" t="str">
            <v>38</v>
          </cell>
          <cell r="N20" t="str">
            <v>44</v>
          </cell>
          <cell r="O20" t="str">
            <v>08</v>
          </cell>
          <cell r="P20" t="str">
            <v>10</v>
          </cell>
          <cell r="Q20" t="str">
            <v>21</v>
          </cell>
          <cell r="R20" t="str">
            <v>12</v>
          </cell>
          <cell r="S20" t="str">
            <v>06</v>
          </cell>
          <cell r="T20" t="str">
            <v>09</v>
          </cell>
          <cell r="V20">
            <v>13</v>
          </cell>
          <cell r="W20" t="str">
            <v xml:space="preserve">VIDRO PINT/PELIC ONIX </v>
          </cell>
        </row>
        <row r="21">
          <cell r="A21" t="str">
            <v>VIDRO 319X544X4</v>
          </cell>
          <cell r="B21">
            <v>121435</v>
          </cell>
          <cell r="C21">
            <v>181021435</v>
          </cell>
          <cell r="D21" t="str">
            <v>05</v>
          </cell>
          <cell r="E21">
            <v>27</v>
          </cell>
          <cell r="F21">
            <v>26</v>
          </cell>
          <cell r="G21">
            <v>49</v>
          </cell>
          <cell r="H21">
            <v>50</v>
          </cell>
          <cell r="I21">
            <v>51</v>
          </cell>
          <cell r="J21">
            <v>52</v>
          </cell>
          <cell r="K21">
            <v>13</v>
          </cell>
          <cell r="L21">
            <v>15</v>
          </cell>
          <cell r="M21">
            <v>38</v>
          </cell>
          <cell r="N21">
            <v>44</v>
          </cell>
          <cell r="O21" t="str">
            <v>08</v>
          </cell>
          <cell r="P21">
            <v>10</v>
          </cell>
          <cell r="Q21">
            <v>21</v>
          </cell>
          <cell r="R21">
            <v>12</v>
          </cell>
          <cell r="S21" t="str">
            <v>06</v>
          </cell>
          <cell r="T21" t="str">
            <v>09</v>
          </cell>
          <cell r="V21">
            <v>21</v>
          </cell>
          <cell r="W21" t="str">
            <v xml:space="preserve">VIDRO PINT/PELIC FENDI </v>
          </cell>
        </row>
        <row r="22">
          <cell r="A22" t="str">
            <v>VIDRO 319X594X4</v>
          </cell>
          <cell r="B22">
            <v>121436</v>
          </cell>
          <cell r="C22">
            <v>181021436</v>
          </cell>
          <cell r="D22" t="str">
            <v>05</v>
          </cell>
          <cell r="E22" t="str">
            <v>27</v>
          </cell>
          <cell r="F22" t="str">
            <v>26</v>
          </cell>
          <cell r="G22">
            <v>49</v>
          </cell>
          <cell r="H22">
            <v>50</v>
          </cell>
          <cell r="I22">
            <v>51</v>
          </cell>
          <cell r="J22">
            <v>52</v>
          </cell>
          <cell r="K22" t="str">
            <v>13</v>
          </cell>
          <cell r="L22" t="str">
            <v>15</v>
          </cell>
          <cell r="M22" t="str">
            <v>38</v>
          </cell>
          <cell r="N22" t="str">
            <v>44</v>
          </cell>
          <cell r="O22" t="str">
            <v>08</v>
          </cell>
          <cell r="P22" t="str">
            <v>10</v>
          </cell>
          <cell r="Q22" t="str">
            <v>21</v>
          </cell>
          <cell r="R22" t="str">
            <v>12</v>
          </cell>
          <cell r="S22" t="str">
            <v>06</v>
          </cell>
          <cell r="T22" t="str">
            <v>09</v>
          </cell>
          <cell r="V22">
            <v>38</v>
          </cell>
          <cell r="W22" t="str">
            <v xml:space="preserve">VIDRO PINT/PELIC NATA </v>
          </cell>
        </row>
        <row r="23">
          <cell r="A23" t="str">
            <v>VIDRO 319X694X4</v>
          </cell>
          <cell r="B23">
            <v>121437</v>
          </cell>
          <cell r="C23">
            <v>181021437</v>
          </cell>
          <cell r="D23" t="str">
            <v>05</v>
          </cell>
          <cell r="E23">
            <v>27</v>
          </cell>
          <cell r="F23">
            <v>26</v>
          </cell>
          <cell r="G23">
            <v>49</v>
          </cell>
          <cell r="H23">
            <v>50</v>
          </cell>
          <cell r="I23">
            <v>51</v>
          </cell>
          <cell r="J23">
            <v>52</v>
          </cell>
          <cell r="K23">
            <v>13</v>
          </cell>
          <cell r="L23">
            <v>15</v>
          </cell>
          <cell r="M23">
            <v>38</v>
          </cell>
          <cell r="N23">
            <v>44</v>
          </cell>
          <cell r="O23" t="str">
            <v>08</v>
          </cell>
          <cell r="P23">
            <v>10</v>
          </cell>
          <cell r="Q23">
            <v>21</v>
          </cell>
          <cell r="R23">
            <v>12</v>
          </cell>
          <cell r="S23" t="str">
            <v>06</v>
          </cell>
          <cell r="T23" t="str">
            <v>09</v>
          </cell>
          <cell r="V23">
            <v>44</v>
          </cell>
          <cell r="W23" t="str">
            <v xml:space="preserve">VIDRO PINT/PELIC BASALTO </v>
          </cell>
        </row>
        <row r="24">
          <cell r="A24" t="str">
            <v>VIDRO 319X794X4</v>
          </cell>
          <cell r="B24">
            <v>121438</v>
          </cell>
          <cell r="C24">
            <v>181021438</v>
          </cell>
          <cell r="D24" t="str">
            <v>05</v>
          </cell>
          <cell r="E24" t="str">
            <v>27</v>
          </cell>
          <cell r="F24" t="str">
            <v>26</v>
          </cell>
          <cell r="G24">
            <v>49</v>
          </cell>
          <cell r="H24">
            <v>50</v>
          </cell>
          <cell r="I24">
            <v>51</v>
          </cell>
          <cell r="J24">
            <v>52</v>
          </cell>
          <cell r="K24" t="str">
            <v>13</v>
          </cell>
          <cell r="L24" t="str">
            <v>15</v>
          </cell>
          <cell r="M24" t="str">
            <v>38</v>
          </cell>
          <cell r="N24" t="str">
            <v>44</v>
          </cell>
          <cell r="O24" t="str">
            <v>08</v>
          </cell>
          <cell r="P24" t="str">
            <v>10</v>
          </cell>
          <cell r="Q24" t="str">
            <v>21</v>
          </cell>
          <cell r="R24" t="str">
            <v>12</v>
          </cell>
          <cell r="S24" t="str">
            <v>06</v>
          </cell>
          <cell r="T24" t="str">
            <v>09</v>
          </cell>
          <cell r="V24" t="str">
            <v>06</v>
          </cell>
          <cell r="W24" t="str">
            <v xml:space="preserve">VIDRO PINT/PELIC SISAL </v>
          </cell>
        </row>
        <row r="25">
          <cell r="A25" t="str">
            <v>VIDRO 319X894X4</v>
          </cell>
          <cell r="B25">
            <v>121439</v>
          </cell>
          <cell r="C25">
            <v>181021439</v>
          </cell>
          <cell r="D25" t="str">
            <v>05</v>
          </cell>
          <cell r="E25">
            <v>27</v>
          </cell>
          <cell r="F25">
            <v>26</v>
          </cell>
          <cell r="G25">
            <v>49</v>
          </cell>
          <cell r="H25">
            <v>50</v>
          </cell>
          <cell r="I25">
            <v>51</v>
          </cell>
          <cell r="J25">
            <v>52</v>
          </cell>
          <cell r="K25">
            <v>13</v>
          </cell>
          <cell r="L25">
            <v>15</v>
          </cell>
          <cell r="M25">
            <v>38</v>
          </cell>
          <cell r="N25">
            <v>44</v>
          </cell>
          <cell r="O25" t="str">
            <v>08</v>
          </cell>
          <cell r="P25">
            <v>10</v>
          </cell>
          <cell r="Q25">
            <v>21</v>
          </cell>
          <cell r="R25">
            <v>12</v>
          </cell>
          <cell r="S25" t="str">
            <v>06</v>
          </cell>
          <cell r="T25" t="str">
            <v>09</v>
          </cell>
          <cell r="V25" t="str">
            <v>09</v>
          </cell>
          <cell r="W25" t="str">
            <v xml:space="preserve">VIDRO PINT/PELIC ARDÓSIA </v>
          </cell>
        </row>
        <row r="26">
          <cell r="A26" t="str">
            <v>VIDRO 319X994X4</v>
          </cell>
          <cell r="B26">
            <v>121440</v>
          </cell>
          <cell r="C26">
            <v>181021440</v>
          </cell>
          <cell r="D26" t="str">
            <v>05</v>
          </cell>
          <cell r="E26" t="str">
            <v>27</v>
          </cell>
          <cell r="F26" t="str">
            <v>26</v>
          </cell>
          <cell r="G26">
            <v>49</v>
          </cell>
          <cell r="H26">
            <v>50</v>
          </cell>
          <cell r="I26">
            <v>51</v>
          </cell>
          <cell r="J26">
            <v>52</v>
          </cell>
          <cell r="K26" t="str">
            <v>13</v>
          </cell>
          <cell r="L26" t="str">
            <v>15</v>
          </cell>
          <cell r="M26" t="str">
            <v>38</v>
          </cell>
          <cell r="N26" t="str">
            <v>44</v>
          </cell>
          <cell r="O26" t="str">
            <v>08</v>
          </cell>
          <cell r="P26" t="str">
            <v>10</v>
          </cell>
          <cell r="Q26" t="str">
            <v>21</v>
          </cell>
          <cell r="R26" t="str">
            <v>12</v>
          </cell>
          <cell r="S26" t="str">
            <v>06</v>
          </cell>
          <cell r="T26" t="str">
            <v>09</v>
          </cell>
        </row>
        <row r="27">
          <cell r="A27" t="str">
            <v>VIDRO 319X1094X4</v>
          </cell>
          <cell r="B27">
            <v>121441</v>
          </cell>
          <cell r="C27">
            <v>181021441</v>
          </cell>
          <cell r="D27" t="str">
            <v>05</v>
          </cell>
          <cell r="E27">
            <v>27</v>
          </cell>
          <cell r="F27">
            <v>26</v>
          </cell>
          <cell r="G27">
            <v>49</v>
          </cell>
          <cell r="H27">
            <v>50</v>
          </cell>
          <cell r="I27">
            <v>51</v>
          </cell>
          <cell r="J27">
            <v>52</v>
          </cell>
          <cell r="K27">
            <v>13</v>
          </cell>
          <cell r="L27">
            <v>15</v>
          </cell>
          <cell r="M27">
            <v>38</v>
          </cell>
          <cell r="N27">
            <v>44</v>
          </cell>
          <cell r="O27" t="str">
            <v>08</v>
          </cell>
          <cell r="P27">
            <v>10</v>
          </cell>
          <cell r="Q27">
            <v>21</v>
          </cell>
          <cell r="R27">
            <v>12</v>
          </cell>
          <cell r="S27" t="str">
            <v>06</v>
          </cell>
          <cell r="T27" t="str">
            <v>09</v>
          </cell>
        </row>
        <row r="28">
          <cell r="A28" t="str">
            <v>VIDRO 319X1194X4</v>
          </cell>
          <cell r="B28">
            <v>121442</v>
          </cell>
          <cell r="C28">
            <v>181021442</v>
          </cell>
          <cell r="D28" t="str">
            <v>05</v>
          </cell>
          <cell r="E28" t="str">
            <v>27</v>
          </cell>
          <cell r="F28" t="str">
            <v>26</v>
          </cell>
          <cell r="G28">
            <v>49</v>
          </cell>
          <cell r="H28">
            <v>50</v>
          </cell>
          <cell r="I28">
            <v>51</v>
          </cell>
          <cell r="J28">
            <v>52</v>
          </cell>
          <cell r="K28" t="str">
            <v>13</v>
          </cell>
          <cell r="L28" t="str">
            <v>15</v>
          </cell>
          <cell r="M28" t="str">
            <v>38</v>
          </cell>
          <cell r="N28" t="str">
            <v>44</v>
          </cell>
          <cell r="O28" t="str">
            <v>08</v>
          </cell>
          <cell r="P28" t="str">
            <v>10</v>
          </cell>
          <cell r="Q28" t="str">
            <v>21</v>
          </cell>
          <cell r="R28" t="str">
            <v>12</v>
          </cell>
          <cell r="S28" t="str">
            <v>06</v>
          </cell>
          <cell r="T28" t="str">
            <v>09</v>
          </cell>
        </row>
        <row r="29">
          <cell r="A29" t="str">
            <v>VIDRO 319X1394X4</v>
          </cell>
          <cell r="B29">
            <v>121443</v>
          </cell>
          <cell r="C29">
            <v>181021443</v>
          </cell>
          <cell r="D29" t="str">
            <v>05</v>
          </cell>
          <cell r="E29">
            <v>27</v>
          </cell>
          <cell r="F29">
            <v>26</v>
          </cell>
          <cell r="G29">
            <v>49</v>
          </cell>
          <cell r="H29">
            <v>50</v>
          </cell>
          <cell r="I29">
            <v>51</v>
          </cell>
          <cell r="J29">
            <v>52</v>
          </cell>
          <cell r="K29">
            <v>13</v>
          </cell>
          <cell r="L29">
            <v>15</v>
          </cell>
          <cell r="M29">
            <v>38</v>
          </cell>
          <cell r="N29">
            <v>44</v>
          </cell>
          <cell r="O29" t="str">
            <v>08</v>
          </cell>
          <cell r="P29">
            <v>10</v>
          </cell>
          <cell r="Q29">
            <v>21</v>
          </cell>
          <cell r="R29">
            <v>12</v>
          </cell>
          <cell r="S29" t="str">
            <v>06</v>
          </cell>
          <cell r="T29" t="str">
            <v>09</v>
          </cell>
        </row>
        <row r="30">
          <cell r="A30" t="str">
            <v>VIDRO 354X594X4</v>
          </cell>
          <cell r="B30">
            <v>121444</v>
          </cell>
          <cell r="C30">
            <v>181021444</v>
          </cell>
          <cell r="D30" t="str">
            <v>05</v>
          </cell>
          <cell r="E30" t="str">
            <v>27</v>
          </cell>
          <cell r="F30" t="str">
            <v>26</v>
          </cell>
          <cell r="G30">
            <v>49</v>
          </cell>
          <cell r="H30">
            <v>50</v>
          </cell>
          <cell r="I30">
            <v>51</v>
          </cell>
          <cell r="J30">
            <v>52</v>
          </cell>
          <cell r="K30" t="str">
            <v>13</v>
          </cell>
          <cell r="L30" t="str">
            <v>15</v>
          </cell>
          <cell r="M30" t="str">
            <v>38</v>
          </cell>
          <cell r="N30" t="str">
            <v>44</v>
          </cell>
          <cell r="O30" t="str">
            <v>08</v>
          </cell>
          <cell r="P30" t="str">
            <v>10</v>
          </cell>
          <cell r="Q30" t="str">
            <v>21</v>
          </cell>
          <cell r="R30" t="str">
            <v>12</v>
          </cell>
          <cell r="S30" t="str">
            <v>06</v>
          </cell>
          <cell r="T30" t="str">
            <v>09</v>
          </cell>
        </row>
        <row r="31">
          <cell r="A31" t="str">
            <v>VIDRO 354X694X4</v>
          </cell>
          <cell r="B31">
            <v>121445</v>
          </cell>
          <cell r="C31">
            <v>181021445</v>
          </cell>
          <cell r="D31" t="str">
            <v>05</v>
          </cell>
          <cell r="E31">
            <v>27</v>
          </cell>
          <cell r="F31">
            <v>26</v>
          </cell>
          <cell r="G31">
            <v>49</v>
          </cell>
          <cell r="H31">
            <v>50</v>
          </cell>
          <cell r="I31">
            <v>51</v>
          </cell>
          <cell r="J31">
            <v>52</v>
          </cell>
          <cell r="K31">
            <v>13</v>
          </cell>
          <cell r="L31">
            <v>15</v>
          </cell>
          <cell r="M31">
            <v>38</v>
          </cell>
          <cell r="N31">
            <v>44</v>
          </cell>
          <cell r="O31" t="str">
            <v>08</v>
          </cell>
          <cell r="P31">
            <v>10</v>
          </cell>
          <cell r="Q31">
            <v>21</v>
          </cell>
          <cell r="R31">
            <v>12</v>
          </cell>
          <cell r="S31" t="str">
            <v>06</v>
          </cell>
          <cell r="T31" t="str">
            <v>09</v>
          </cell>
        </row>
        <row r="32">
          <cell r="A32" t="str">
            <v>VIDRO 354X794X4</v>
          </cell>
          <cell r="B32">
            <v>121446</v>
          </cell>
          <cell r="C32">
            <v>181021446</v>
          </cell>
          <cell r="D32" t="str">
            <v>05</v>
          </cell>
          <cell r="E32" t="str">
            <v>27</v>
          </cell>
          <cell r="F32" t="str">
            <v>26</v>
          </cell>
          <cell r="G32">
            <v>49</v>
          </cell>
          <cell r="H32">
            <v>50</v>
          </cell>
          <cell r="I32">
            <v>51</v>
          </cell>
          <cell r="J32">
            <v>52</v>
          </cell>
          <cell r="K32" t="str">
            <v>13</v>
          </cell>
          <cell r="L32" t="str">
            <v>15</v>
          </cell>
          <cell r="M32" t="str">
            <v>38</v>
          </cell>
          <cell r="N32" t="str">
            <v>44</v>
          </cell>
          <cell r="O32" t="str">
            <v>08</v>
          </cell>
          <cell r="P32" t="str">
            <v>10</v>
          </cell>
          <cell r="Q32" t="str">
            <v>21</v>
          </cell>
          <cell r="R32" t="str">
            <v>12</v>
          </cell>
          <cell r="S32" t="str">
            <v>06</v>
          </cell>
          <cell r="T32" t="str">
            <v>09</v>
          </cell>
        </row>
        <row r="33">
          <cell r="A33" t="str">
            <v>VIDRO 354X894X4</v>
          </cell>
          <cell r="B33">
            <v>121447</v>
          </cell>
          <cell r="C33">
            <v>181021447</v>
          </cell>
          <cell r="D33" t="str">
            <v>05</v>
          </cell>
          <cell r="E33">
            <v>27</v>
          </cell>
          <cell r="F33">
            <v>26</v>
          </cell>
          <cell r="G33">
            <v>49</v>
          </cell>
          <cell r="H33">
            <v>50</v>
          </cell>
          <cell r="I33">
            <v>51</v>
          </cell>
          <cell r="J33">
            <v>52</v>
          </cell>
          <cell r="K33">
            <v>13</v>
          </cell>
          <cell r="L33">
            <v>15</v>
          </cell>
          <cell r="M33">
            <v>38</v>
          </cell>
          <cell r="N33">
            <v>44</v>
          </cell>
          <cell r="O33" t="str">
            <v>08</v>
          </cell>
          <cell r="P33">
            <v>10</v>
          </cell>
          <cell r="Q33">
            <v>21</v>
          </cell>
          <cell r="R33">
            <v>12</v>
          </cell>
          <cell r="S33" t="str">
            <v>06</v>
          </cell>
          <cell r="T33" t="str">
            <v>09</v>
          </cell>
        </row>
        <row r="34">
          <cell r="A34" t="str">
            <v>VIDRO 354X994X4</v>
          </cell>
          <cell r="B34">
            <v>121448</v>
          </cell>
          <cell r="C34">
            <v>181021448</v>
          </cell>
          <cell r="D34" t="str">
            <v>05</v>
          </cell>
          <cell r="E34" t="str">
            <v>27</v>
          </cell>
          <cell r="F34" t="str">
            <v>26</v>
          </cell>
          <cell r="G34">
            <v>49</v>
          </cell>
          <cell r="H34">
            <v>50</v>
          </cell>
          <cell r="I34">
            <v>51</v>
          </cell>
          <cell r="J34">
            <v>52</v>
          </cell>
          <cell r="K34" t="str">
            <v>13</v>
          </cell>
          <cell r="L34" t="str">
            <v>15</v>
          </cell>
          <cell r="M34" t="str">
            <v>38</v>
          </cell>
          <cell r="N34" t="str">
            <v>44</v>
          </cell>
          <cell r="O34" t="str">
            <v>08</v>
          </cell>
          <cell r="P34" t="str">
            <v>10</v>
          </cell>
          <cell r="Q34" t="str">
            <v>21</v>
          </cell>
          <cell r="R34" t="str">
            <v>12</v>
          </cell>
          <cell r="S34" t="str">
            <v>06</v>
          </cell>
          <cell r="T34" t="str">
            <v>09</v>
          </cell>
        </row>
        <row r="35">
          <cell r="A35" t="str">
            <v>VIDRO 354X1094X4</v>
          </cell>
          <cell r="B35">
            <v>121449</v>
          </cell>
          <cell r="C35">
            <v>181021449</v>
          </cell>
          <cell r="D35" t="str">
            <v>05</v>
          </cell>
          <cell r="E35">
            <v>27</v>
          </cell>
          <cell r="F35">
            <v>26</v>
          </cell>
          <cell r="G35">
            <v>49</v>
          </cell>
          <cell r="H35">
            <v>50</v>
          </cell>
          <cell r="I35">
            <v>51</v>
          </cell>
          <cell r="J35">
            <v>52</v>
          </cell>
          <cell r="K35">
            <v>13</v>
          </cell>
          <cell r="L35">
            <v>15</v>
          </cell>
          <cell r="M35">
            <v>38</v>
          </cell>
          <cell r="N35">
            <v>44</v>
          </cell>
          <cell r="O35" t="str">
            <v>08</v>
          </cell>
          <cell r="P35">
            <v>10</v>
          </cell>
          <cell r="Q35">
            <v>21</v>
          </cell>
          <cell r="R35">
            <v>12</v>
          </cell>
          <cell r="S35" t="str">
            <v>06</v>
          </cell>
          <cell r="T35" t="str">
            <v>09</v>
          </cell>
        </row>
        <row r="36">
          <cell r="A36" t="str">
            <v>VIDRO 354X1194X4</v>
          </cell>
          <cell r="B36">
            <v>121450</v>
          </cell>
          <cell r="C36">
            <v>181021450</v>
          </cell>
          <cell r="D36" t="str">
            <v>05</v>
          </cell>
          <cell r="E36" t="str">
            <v>27</v>
          </cell>
          <cell r="F36" t="str">
            <v>26</v>
          </cell>
          <cell r="G36">
            <v>49</v>
          </cell>
          <cell r="H36">
            <v>50</v>
          </cell>
          <cell r="I36">
            <v>51</v>
          </cell>
          <cell r="J36">
            <v>52</v>
          </cell>
          <cell r="K36" t="str">
            <v>13</v>
          </cell>
          <cell r="L36" t="str">
            <v>15</v>
          </cell>
          <cell r="M36" t="str">
            <v>38</v>
          </cell>
          <cell r="N36" t="str">
            <v>44</v>
          </cell>
          <cell r="O36" t="str">
            <v>08</v>
          </cell>
          <cell r="P36" t="str">
            <v>10</v>
          </cell>
          <cell r="Q36" t="str">
            <v>21</v>
          </cell>
          <cell r="R36" t="str">
            <v>12</v>
          </cell>
          <cell r="S36" t="str">
            <v>06</v>
          </cell>
          <cell r="T36" t="str">
            <v>09</v>
          </cell>
        </row>
        <row r="37">
          <cell r="A37" t="str">
            <v>VIDRO 354X1394X4</v>
          </cell>
          <cell r="B37">
            <v>121451</v>
          </cell>
          <cell r="C37">
            <v>181021451</v>
          </cell>
          <cell r="D37" t="str">
            <v>05</v>
          </cell>
          <cell r="E37">
            <v>27</v>
          </cell>
          <cell r="F37">
            <v>26</v>
          </cell>
          <cell r="G37">
            <v>49</v>
          </cell>
          <cell r="H37">
            <v>50</v>
          </cell>
          <cell r="I37">
            <v>51</v>
          </cell>
          <cell r="J37">
            <v>52</v>
          </cell>
          <cell r="K37">
            <v>13</v>
          </cell>
          <cell r="L37">
            <v>15</v>
          </cell>
          <cell r="M37">
            <v>38</v>
          </cell>
          <cell r="N37">
            <v>44</v>
          </cell>
          <cell r="O37" t="str">
            <v>08</v>
          </cell>
          <cell r="P37">
            <v>10</v>
          </cell>
          <cell r="Q37">
            <v>21</v>
          </cell>
          <cell r="R37">
            <v>12</v>
          </cell>
          <cell r="S37" t="str">
            <v>06</v>
          </cell>
          <cell r="T37" t="str">
            <v>09</v>
          </cell>
        </row>
        <row r="38">
          <cell r="A38" t="str">
            <v>VIDRO 499X294X4</v>
          </cell>
          <cell r="B38">
            <v>121452</v>
          </cell>
          <cell r="C38">
            <v>181021452</v>
          </cell>
          <cell r="D38" t="str">
            <v>05</v>
          </cell>
          <cell r="E38" t="str">
            <v>27</v>
          </cell>
          <cell r="F38" t="str">
            <v>26</v>
          </cell>
          <cell r="G38">
            <v>49</v>
          </cell>
          <cell r="H38">
            <v>50</v>
          </cell>
          <cell r="I38">
            <v>51</v>
          </cell>
          <cell r="J38">
            <v>52</v>
          </cell>
          <cell r="K38" t="str">
            <v>13</v>
          </cell>
          <cell r="L38" t="str">
            <v>15</v>
          </cell>
          <cell r="M38" t="str">
            <v>38</v>
          </cell>
          <cell r="N38" t="str">
            <v>44</v>
          </cell>
          <cell r="O38" t="str">
            <v>08</v>
          </cell>
          <cell r="P38" t="str">
            <v>10</v>
          </cell>
          <cell r="Q38" t="str">
            <v>21</v>
          </cell>
          <cell r="R38" t="str">
            <v>12</v>
          </cell>
          <cell r="S38" t="str">
            <v>06</v>
          </cell>
          <cell r="T38" t="str">
            <v>09</v>
          </cell>
        </row>
        <row r="39">
          <cell r="A39" t="str">
            <v>VIDRO 499X344X4</v>
          </cell>
          <cell r="B39">
            <v>121453</v>
          </cell>
          <cell r="C39">
            <v>181021453</v>
          </cell>
          <cell r="D39" t="str">
            <v>05</v>
          </cell>
          <cell r="E39">
            <v>27</v>
          </cell>
          <cell r="F39">
            <v>26</v>
          </cell>
          <cell r="G39">
            <v>49</v>
          </cell>
          <cell r="H39">
            <v>50</v>
          </cell>
          <cell r="I39">
            <v>51</v>
          </cell>
          <cell r="J39">
            <v>52</v>
          </cell>
          <cell r="K39">
            <v>13</v>
          </cell>
          <cell r="L39">
            <v>15</v>
          </cell>
          <cell r="M39">
            <v>38</v>
          </cell>
          <cell r="N39">
            <v>44</v>
          </cell>
          <cell r="O39" t="str">
            <v>08</v>
          </cell>
          <cell r="P39">
            <v>10</v>
          </cell>
          <cell r="Q39">
            <v>21</v>
          </cell>
          <cell r="R39">
            <v>12</v>
          </cell>
          <cell r="S39" t="str">
            <v>06</v>
          </cell>
          <cell r="T39" t="str">
            <v>09</v>
          </cell>
        </row>
        <row r="40">
          <cell r="A40" t="str">
            <v>VIDRO 499X394X4</v>
          </cell>
          <cell r="B40">
            <v>121454</v>
          </cell>
          <cell r="C40">
            <v>181021454</v>
          </cell>
          <cell r="D40" t="str">
            <v>05</v>
          </cell>
          <cell r="E40" t="str">
            <v>27</v>
          </cell>
          <cell r="F40" t="str">
            <v>26</v>
          </cell>
          <cell r="G40">
            <v>49</v>
          </cell>
          <cell r="H40">
            <v>50</v>
          </cell>
          <cell r="I40">
            <v>51</v>
          </cell>
          <cell r="J40">
            <v>52</v>
          </cell>
          <cell r="K40" t="str">
            <v>13</v>
          </cell>
          <cell r="L40" t="str">
            <v>15</v>
          </cell>
          <cell r="M40" t="str">
            <v>38</v>
          </cell>
          <cell r="N40" t="str">
            <v>44</v>
          </cell>
          <cell r="O40" t="str">
            <v>08</v>
          </cell>
          <cell r="P40" t="str">
            <v>10</v>
          </cell>
          <cell r="Q40" t="str">
            <v>21</v>
          </cell>
          <cell r="R40" t="str">
            <v>12</v>
          </cell>
          <cell r="S40" t="str">
            <v>06</v>
          </cell>
          <cell r="T40" t="str">
            <v>09</v>
          </cell>
        </row>
        <row r="41">
          <cell r="A41" t="str">
            <v>VIDRO 499X444X4</v>
          </cell>
          <cell r="B41">
            <v>121455</v>
          </cell>
          <cell r="C41">
            <v>181021455</v>
          </cell>
          <cell r="D41" t="str">
            <v>05</v>
          </cell>
          <cell r="E41">
            <v>27</v>
          </cell>
          <cell r="F41">
            <v>26</v>
          </cell>
          <cell r="G41">
            <v>49</v>
          </cell>
          <cell r="H41">
            <v>50</v>
          </cell>
          <cell r="I41">
            <v>51</v>
          </cell>
          <cell r="J41">
            <v>52</v>
          </cell>
          <cell r="K41">
            <v>13</v>
          </cell>
          <cell r="L41">
            <v>15</v>
          </cell>
          <cell r="M41">
            <v>38</v>
          </cell>
          <cell r="N41">
            <v>44</v>
          </cell>
          <cell r="O41" t="str">
            <v>08</v>
          </cell>
          <cell r="P41">
            <v>10</v>
          </cell>
          <cell r="Q41">
            <v>21</v>
          </cell>
          <cell r="R41">
            <v>12</v>
          </cell>
          <cell r="S41" t="str">
            <v>06</v>
          </cell>
          <cell r="T41" t="str">
            <v>09</v>
          </cell>
        </row>
        <row r="42">
          <cell r="A42" t="str">
            <v>VIDRO 499X494X4</v>
          </cell>
          <cell r="B42">
            <v>121456</v>
          </cell>
          <cell r="C42">
            <v>181021456</v>
          </cell>
          <cell r="D42" t="str">
            <v>05</v>
          </cell>
          <cell r="E42" t="str">
            <v>27</v>
          </cell>
          <cell r="F42" t="str">
            <v>26</v>
          </cell>
          <cell r="G42">
            <v>49</v>
          </cell>
          <cell r="H42">
            <v>50</v>
          </cell>
          <cell r="I42">
            <v>51</v>
          </cell>
          <cell r="J42">
            <v>52</v>
          </cell>
          <cell r="K42" t="str">
            <v>13</v>
          </cell>
          <cell r="L42" t="str">
            <v>15</v>
          </cell>
          <cell r="M42" t="str">
            <v>38</v>
          </cell>
          <cell r="N42" t="str">
            <v>44</v>
          </cell>
          <cell r="O42" t="str">
            <v>08</v>
          </cell>
          <cell r="P42" t="str">
            <v>10</v>
          </cell>
          <cell r="Q42" t="str">
            <v>21</v>
          </cell>
          <cell r="R42" t="str">
            <v>12</v>
          </cell>
          <cell r="S42" t="str">
            <v>06</v>
          </cell>
          <cell r="T42" t="str">
            <v>09</v>
          </cell>
        </row>
        <row r="43">
          <cell r="A43" t="str">
            <v>VIDRO 499X519X4</v>
          </cell>
          <cell r="B43">
            <v>121457</v>
          </cell>
          <cell r="C43">
            <v>181021457</v>
          </cell>
          <cell r="D43" t="str">
            <v>05</v>
          </cell>
          <cell r="E43">
            <v>27</v>
          </cell>
          <cell r="F43">
            <v>26</v>
          </cell>
          <cell r="G43">
            <v>49</v>
          </cell>
          <cell r="H43">
            <v>50</v>
          </cell>
          <cell r="I43">
            <v>51</v>
          </cell>
          <cell r="J43">
            <v>52</v>
          </cell>
          <cell r="K43">
            <v>13</v>
          </cell>
          <cell r="L43">
            <v>15</v>
          </cell>
          <cell r="M43">
            <v>38</v>
          </cell>
          <cell r="N43">
            <v>44</v>
          </cell>
          <cell r="O43" t="str">
            <v>08</v>
          </cell>
          <cell r="P43">
            <v>10</v>
          </cell>
          <cell r="Q43">
            <v>21</v>
          </cell>
          <cell r="R43">
            <v>12</v>
          </cell>
          <cell r="S43" t="str">
            <v>06</v>
          </cell>
          <cell r="T43" t="str">
            <v>09</v>
          </cell>
        </row>
        <row r="44">
          <cell r="A44" t="str">
            <v>VIDRO 499X540X4</v>
          </cell>
          <cell r="B44">
            <v>121458</v>
          </cell>
          <cell r="C44">
            <v>181021458</v>
          </cell>
          <cell r="D44" t="str">
            <v>05</v>
          </cell>
          <cell r="E44" t="str">
            <v>27</v>
          </cell>
          <cell r="F44" t="str">
            <v>26</v>
          </cell>
          <cell r="G44">
            <v>49</v>
          </cell>
          <cell r="H44">
            <v>50</v>
          </cell>
          <cell r="I44">
            <v>51</v>
          </cell>
          <cell r="J44">
            <v>52</v>
          </cell>
          <cell r="K44" t="str">
            <v>13</v>
          </cell>
          <cell r="L44" t="str">
            <v>15</v>
          </cell>
          <cell r="M44" t="str">
            <v>38</v>
          </cell>
          <cell r="N44" t="str">
            <v>44</v>
          </cell>
          <cell r="O44" t="str">
            <v>08</v>
          </cell>
          <cell r="P44" t="str">
            <v>10</v>
          </cell>
          <cell r="Q44" t="str">
            <v>21</v>
          </cell>
          <cell r="R44" t="str">
            <v>12</v>
          </cell>
          <cell r="S44" t="str">
            <v>06</v>
          </cell>
          <cell r="T44" t="str">
            <v>09</v>
          </cell>
        </row>
        <row r="45">
          <cell r="A45" t="str">
            <v>VIDRO 499X544X4</v>
          </cell>
          <cell r="B45">
            <v>121459</v>
          </cell>
          <cell r="C45">
            <v>181021459</v>
          </cell>
          <cell r="D45" t="str">
            <v>05</v>
          </cell>
          <cell r="E45">
            <v>27</v>
          </cell>
          <cell r="F45">
            <v>26</v>
          </cell>
          <cell r="G45">
            <v>49</v>
          </cell>
          <cell r="H45">
            <v>50</v>
          </cell>
          <cell r="I45">
            <v>51</v>
          </cell>
          <cell r="J45">
            <v>52</v>
          </cell>
          <cell r="K45">
            <v>13</v>
          </cell>
          <cell r="L45">
            <v>15</v>
          </cell>
          <cell r="M45">
            <v>38</v>
          </cell>
          <cell r="N45">
            <v>44</v>
          </cell>
          <cell r="O45" t="str">
            <v>08</v>
          </cell>
          <cell r="P45">
            <v>10</v>
          </cell>
          <cell r="Q45">
            <v>21</v>
          </cell>
          <cell r="R45">
            <v>12</v>
          </cell>
          <cell r="S45" t="str">
            <v>06</v>
          </cell>
          <cell r="T45" t="str">
            <v>09</v>
          </cell>
        </row>
        <row r="46">
          <cell r="A46" t="str">
            <v>VIDRO 499X594X4</v>
          </cell>
          <cell r="B46">
            <v>121460</v>
          </cell>
          <cell r="C46">
            <v>181021460</v>
          </cell>
          <cell r="D46" t="str">
            <v>05</v>
          </cell>
          <cell r="E46" t="str">
            <v>27</v>
          </cell>
          <cell r="F46" t="str">
            <v>26</v>
          </cell>
          <cell r="G46">
            <v>49</v>
          </cell>
          <cell r="H46">
            <v>50</v>
          </cell>
          <cell r="I46">
            <v>51</v>
          </cell>
          <cell r="J46">
            <v>52</v>
          </cell>
          <cell r="K46" t="str">
            <v>13</v>
          </cell>
          <cell r="L46" t="str">
            <v>15</v>
          </cell>
          <cell r="M46" t="str">
            <v>38</v>
          </cell>
          <cell r="N46" t="str">
            <v>44</v>
          </cell>
          <cell r="O46" t="str">
            <v>08</v>
          </cell>
          <cell r="P46" t="str">
            <v>10</v>
          </cell>
          <cell r="Q46" t="str">
            <v>21</v>
          </cell>
          <cell r="R46" t="str">
            <v>12</v>
          </cell>
          <cell r="S46" t="str">
            <v>06</v>
          </cell>
          <cell r="T46" t="str">
            <v>09</v>
          </cell>
        </row>
        <row r="47">
          <cell r="A47" t="str">
            <v>VIDRO 499X694X4</v>
          </cell>
          <cell r="B47">
            <v>121461</v>
          </cell>
          <cell r="C47">
            <v>181021461</v>
          </cell>
          <cell r="D47" t="str">
            <v>05</v>
          </cell>
          <cell r="E47">
            <v>27</v>
          </cell>
          <cell r="F47">
            <v>26</v>
          </cell>
          <cell r="G47">
            <v>49</v>
          </cell>
          <cell r="H47">
            <v>50</v>
          </cell>
          <cell r="I47">
            <v>51</v>
          </cell>
          <cell r="J47">
            <v>52</v>
          </cell>
          <cell r="K47">
            <v>13</v>
          </cell>
          <cell r="L47">
            <v>15</v>
          </cell>
          <cell r="M47">
            <v>38</v>
          </cell>
          <cell r="N47">
            <v>44</v>
          </cell>
          <cell r="O47" t="str">
            <v>08</v>
          </cell>
          <cell r="P47">
            <v>10</v>
          </cell>
          <cell r="Q47">
            <v>21</v>
          </cell>
          <cell r="R47">
            <v>12</v>
          </cell>
          <cell r="S47" t="str">
            <v>06</v>
          </cell>
          <cell r="T47" t="str">
            <v>09</v>
          </cell>
        </row>
        <row r="48">
          <cell r="A48" t="str">
            <v>VIDRO 499X794X4</v>
          </cell>
          <cell r="B48">
            <v>121462</v>
          </cell>
          <cell r="C48">
            <v>181021462</v>
          </cell>
          <cell r="D48" t="str">
            <v>05</v>
          </cell>
          <cell r="E48" t="str">
            <v>27</v>
          </cell>
          <cell r="F48" t="str">
            <v>26</v>
          </cell>
          <cell r="G48">
            <v>49</v>
          </cell>
          <cell r="H48">
            <v>50</v>
          </cell>
          <cell r="I48">
            <v>51</v>
          </cell>
          <cell r="J48">
            <v>52</v>
          </cell>
          <cell r="K48" t="str">
            <v>13</v>
          </cell>
          <cell r="L48" t="str">
            <v>15</v>
          </cell>
          <cell r="M48" t="str">
            <v>38</v>
          </cell>
          <cell r="N48" t="str">
            <v>44</v>
          </cell>
          <cell r="O48" t="str">
            <v>08</v>
          </cell>
          <cell r="P48" t="str">
            <v>10</v>
          </cell>
          <cell r="Q48" t="str">
            <v>21</v>
          </cell>
          <cell r="R48" t="str">
            <v>12</v>
          </cell>
          <cell r="S48" t="str">
            <v>06</v>
          </cell>
          <cell r="T48" t="str">
            <v>09</v>
          </cell>
        </row>
        <row r="49">
          <cell r="A49" t="str">
            <v>VIDRO 499X894X4</v>
          </cell>
          <cell r="B49">
            <v>121463</v>
          </cell>
          <cell r="C49">
            <v>181021463</v>
          </cell>
          <cell r="D49" t="str">
            <v>05</v>
          </cell>
          <cell r="E49">
            <v>27</v>
          </cell>
          <cell r="F49">
            <v>26</v>
          </cell>
          <cell r="G49">
            <v>49</v>
          </cell>
          <cell r="H49">
            <v>50</v>
          </cell>
          <cell r="I49">
            <v>51</v>
          </cell>
          <cell r="J49">
            <v>52</v>
          </cell>
          <cell r="K49">
            <v>13</v>
          </cell>
          <cell r="L49">
            <v>15</v>
          </cell>
          <cell r="M49">
            <v>38</v>
          </cell>
          <cell r="N49">
            <v>44</v>
          </cell>
          <cell r="O49" t="str">
            <v>08</v>
          </cell>
          <cell r="P49">
            <v>10</v>
          </cell>
          <cell r="Q49">
            <v>21</v>
          </cell>
          <cell r="R49">
            <v>12</v>
          </cell>
          <cell r="S49" t="str">
            <v>06</v>
          </cell>
          <cell r="T49" t="str">
            <v>09</v>
          </cell>
        </row>
        <row r="50">
          <cell r="A50" t="str">
            <v>VIDRO 499X994X4</v>
          </cell>
          <cell r="B50">
            <v>121464</v>
          </cell>
          <cell r="C50">
            <v>181021464</v>
          </cell>
          <cell r="D50" t="str">
            <v>05</v>
          </cell>
          <cell r="E50" t="str">
            <v>27</v>
          </cell>
          <cell r="F50" t="str">
            <v>26</v>
          </cell>
          <cell r="G50">
            <v>49</v>
          </cell>
          <cell r="H50">
            <v>50</v>
          </cell>
          <cell r="I50">
            <v>51</v>
          </cell>
          <cell r="J50">
            <v>52</v>
          </cell>
          <cell r="K50" t="str">
            <v>13</v>
          </cell>
          <cell r="L50" t="str">
            <v>15</v>
          </cell>
          <cell r="M50" t="str">
            <v>38</v>
          </cell>
          <cell r="N50" t="str">
            <v>44</v>
          </cell>
          <cell r="O50" t="str">
            <v>08</v>
          </cell>
          <cell r="P50" t="str">
            <v>10</v>
          </cell>
          <cell r="Q50" t="str">
            <v>21</v>
          </cell>
          <cell r="R50" t="str">
            <v>12</v>
          </cell>
          <cell r="S50" t="str">
            <v>06</v>
          </cell>
          <cell r="T50" t="str">
            <v>09</v>
          </cell>
        </row>
        <row r="51">
          <cell r="A51" t="str">
            <v>VIDRO 499X1094X4</v>
          </cell>
          <cell r="B51">
            <v>121465</v>
          </cell>
          <cell r="C51">
            <v>181021465</v>
          </cell>
          <cell r="D51" t="str">
            <v>05</v>
          </cell>
          <cell r="E51">
            <v>27</v>
          </cell>
          <cell r="F51">
            <v>26</v>
          </cell>
          <cell r="G51">
            <v>49</v>
          </cell>
          <cell r="H51">
            <v>50</v>
          </cell>
          <cell r="I51">
            <v>51</v>
          </cell>
          <cell r="J51">
            <v>52</v>
          </cell>
          <cell r="K51">
            <v>13</v>
          </cell>
          <cell r="L51">
            <v>15</v>
          </cell>
          <cell r="M51">
            <v>38</v>
          </cell>
          <cell r="N51">
            <v>44</v>
          </cell>
          <cell r="O51" t="str">
            <v>08</v>
          </cell>
          <cell r="P51">
            <v>10</v>
          </cell>
          <cell r="Q51">
            <v>21</v>
          </cell>
          <cell r="R51">
            <v>12</v>
          </cell>
          <cell r="S51" t="str">
            <v>06</v>
          </cell>
          <cell r="T51" t="str">
            <v>09</v>
          </cell>
        </row>
        <row r="52">
          <cell r="A52" t="str">
            <v>VIDRO 499X1194X4</v>
          </cell>
          <cell r="B52">
            <v>121466</v>
          </cell>
          <cell r="C52">
            <v>181021466</v>
          </cell>
          <cell r="D52" t="str">
            <v>05</v>
          </cell>
          <cell r="E52" t="str">
            <v>27</v>
          </cell>
          <cell r="F52" t="str">
            <v>26</v>
          </cell>
          <cell r="G52">
            <v>49</v>
          </cell>
          <cell r="H52">
            <v>50</v>
          </cell>
          <cell r="I52">
            <v>51</v>
          </cell>
          <cell r="J52">
            <v>52</v>
          </cell>
          <cell r="K52" t="str">
            <v>13</v>
          </cell>
          <cell r="L52" t="str">
            <v>15</v>
          </cell>
          <cell r="M52" t="str">
            <v>38</v>
          </cell>
          <cell r="N52" t="str">
            <v>44</v>
          </cell>
          <cell r="O52" t="str">
            <v>08</v>
          </cell>
          <cell r="P52" t="str">
            <v>10</v>
          </cell>
          <cell r="Q52" t="str">
            <v>21</v>
          </cell>
          <cell r="R52" t="str">
            <v>12</v>
          </cell>
          <cell r="S52" t="str">
            <v>06</v>
          </cell>
          <cell r="T52" t="str">
            <v>09</v>
          </cell>
        </row>
        <row r="53">
          <cell r="A53" t="str">
            <v>VIDRO 499X1394X4</v>
          </cell>
          <cell r="B53">
            <v>121467</v>
          </cell>
          <cell r="C53">
            <v>181021467</v>
          </cell>
          <cell r="D53" t="str">
            <v>05</v>
          </cell>
          <cell r="E53">
            <v>27</v>
          </cell>
          <cell r="F53">
            <v>26</v>
          </cell>
          <cell r="G53">
            <v>49</v>
          </cell>
          <cell r="H53">
            <v>50</v>
          </cell>
          <cell r="I53">
            <v>51</v>
          </cell>
          <cell r="J53">
            <v>52</v>
          </cell>
          <cell r="K53">
            <v>13</v>
          </cell>
          <cell r="L53">
            <v>15</v>
          </cell>
          <cell r="M53">
            <v>38</v>
          </cell>
          <cell r="N53">
            <v>44</v>
          </cell>
          <cell r="O53" t="str">
            <v>08</v>
          </cell>
          <cell r="P53">
            <v>10</v>
          </cell>
          <cell r="Q53">
            <v>21</v>
          </cell>
          <cell r="R53">
            <v>12</v>
          </cell>
          <cell r="S53" t="str">
            <v>06</v>
          </cell>
          <cell r="T53" t="str">
            <v>09</v>
          </cell>
        </row>
        <row r="54">
          <cell r="A54" t="str">
            <v>VIDRO 677X194X4</v>
          </cell>
          <cell r="B54">
            <v>121468</v>
          </cell>
          <cell r="C54">
            <v>181021468</v>
          </cell>
          <cell r="D54" t="str">
            <v>05</v>
          </cell>
          <cell r="E54" t="str">
            <v>27</v>
          </cell>
          <cell r="F54" t="str">
            <v>26</v>
          </cell>
          <cell r="G54">
            <v>49</v>
          </cell>
          <cell r="H54">
            <v>50</v>
          </cell>
          <cell r="I54">
            <v>51</v>
          </cell>
          <cell r="J54">
            <v>52</v>
          </cell>
          <cell r="K54" t="str">
            <v>13</v>
          </cell>
          <cell r="L54" t="str">
            <v>15</v>
          </cell>
          <cell r="M54" t="str">
            <v>38</v>
          </cell>
          <cell r="N54" t="str">
            <v>44</v>
          </cell>
          <cell r="O54" t="str">
            <v>08</v>
          </cell>
          <cell r="P54" t="str">
            <v>10</v>
          </cell>
          <cell r="Q54" t="str">
            <v>21</v>
          </cell>
          <cell r="R54" t="str">
            <v>12</v>
          </cell>
          <cell r="S54" t="str">
            <v>06</v>
          </cell>
          <cell r="T54" t="str">
            <v>09</v>
          </cell>
        </row>
        <row r="55">
          <cell r="A55" t="str">
            <v>VIDRO 677X294X4</v>
          </cell>
          <cell r="B55">
            <v>121469</v>
          </cell>
          <cell r="C55">
            <v>181021469</v>
          </cell>
          <cell r="D55" t="str">
            <v>05</v>
          </cell>
          <cell r="E55">
            <v>27</v>
          </cell>
          <cell r="F55">
            <v>26</v>
          </cell>
          <cell r="G55">
            <v>49</v>
          </cell>
          <cell r="H55">
            <v>50</v>
          </cell>
          <cell r="I55">
            <v>51</v>
          </cell>
          <cell r="J55">
            <v>52</v>
          </cell>
          <cell r="K55">
            <v>13</v>
          </cell>
          <cell r="L55">
            <v>15</v>
          </cell>
          <cell r="M55">
            <v>38</v>
          </cell>
          <cell r="N55">
            <v>44</v>
          </cell>
          <cell r="O55" t="str">
            <v>08</v>
          </cell>
          <cell r="P55">
            <v>10</v>
          </cell>
          <cell r="Q55">
            <v>21</v>
          </cell>
          <cell r="R55">
            <v>12</v>
          </cell>
          <cell r="S55" t="str">
            <v>06</v>
          </cell>
          <cell r="T55" t="str">
            <v>09</v>
          </cell>
        </row>
        <row r="56">
          <cell r="A56" t="str">
            <v>VIDRO 677X344X4</v>
          </cell>
          <cell r="B56">
            <v>121470</v>
          </cell>
          <cell r="C56">
            <v>181021470</v>
          </cell>
          <cell r="D56" t="str">
            <v>05</v>
          </cell>
          <cell r="E56" t="str">
            <v>27</v>
          </cell>
          <cell r="F56" t="str">
            <v>26</v>
          </cell>
          <cell r="G56">
            <v>49</v>
          </cell>
          <cell r="H56">
            <v>50</v>
          </cell>
          <cell r="I56">
            <v>51</v>
          </cell>
          <cell r="J56">
            <v>52</v>
          </cell>
          <cell r="K56" t="str">
            <v>13</v>
          </cell>
          <cell r="L56" t="str">
            <v>15</v>
          </cell>
          <cell r="M56" t="str">
            <v>38</v>
          </cell>
          <cell r="N56" t="str">
            <v>44</v>
          </cell>
          <cell r="O56" t="str">
            <v>08</v>
          </cell>
          <cell r="P56" t="str">
            <v>10</v>
          </cell>
          <cell r="Q56" t="str">
            <v>21</v>
          </cell>
          <cell r="R56" t="str">
            <v>12</v>
          </cell>
          <cell r="S56" t="str">
            <v>06</v>
          </cell>
          <cell r="T56" t="str">
            <v>09</v>
          </cell>
        </row>
        <row r="57">
          <cell r="A57" t="str">
            <v>VIDRO 677X394X4</v>
          </cell>
          <cell r="B57">
            <v>121471</v>
          </cell>
          <cell r="C57">
            <v>181021471</v>
          </cell>
          <cell r="D57" t="str">
            <v>05</v>
          </cell>
          <cell r="E57">
            <v>27</v>
          </cell>
          <cell r="F57">
            <v>26</v>
          </cell>
          <cell r="G57">
            <v>49</v>
          </cell>
          <cell r="H57">
            <v>50</v>
          </cell>
          <cell r="I57">
            <v>51</v>
          </cell>
          <cell r="J57">
            <v>52</v>
          </cell>
          <cell r="K57">
            <v>13</v>
          </cell>
          <cell r="L57">
            <v>15</v>
          </cell>
          <cell r="M57">
            <v>38</v>
          </cell>
          <cell r="N57">
            <v>44</v>
          </cell>
          <cell r="O57" t="str">
            <v>08</v>
          </cell>
          <cell r="P57">
            <v>10</v>
          </cell>
          <cell r="Q57">
            <v>21</v>
          </cell>
          <cell r="R57">
            <v>12</v>
          </cell>
          <cell r="S57" t="str">
            <v>06</v>
          </cell>
          <cell r="T57" t="str">
            <v>09</v>
          </cell>
        </row>
        <row r="58">
          <cell r="A58" t="str">
            <v>VIDRO 677X444X4</v>
          </cell>
          <cell r="B58">
            <v>121472</v>
          </cell>
          <cell r="C58">
            <v>181021472</v>
          </cell>
          <cell r="D58" t="str">
            <v>05</v>
          </cell>
          <cell r="E58" t="str">
            <v>27</v>
          </cell>
          <cell r="F58" t="str">
            <v>26</v>
          </cell>
          <cell r="G58">
            <v>49</v>
          </cell>
          <cell r="H58">
            <v>50</v>
          </cell>
          <cell r="I58">
            <v>51</v>
          </cell>
          <cell r="J58">
            <v>52</v>
          </cell>
          <cell r="K58" t="str">
            <v>13</v>
          </cell>
          <cell r="L58" t="str">
            <v>15</v>
          </cell>
          <cell r="M58" t="str">
            <v>38</v>
          </cell>
          <cell r="N58" t="str">
            <v>44</v>
          </cell>
          <cell r="O58" t="str">
            <v>08</v>
          </cell>
          <cell r="P58" t="str">
            <v>10</v>
          </cell>
          <cell r="Q58" t="str">
            <v>21</v>
          </cell>
          <cell r="R58" t="str">
            <v>12</v>
          </cell>
          <cell r="S58" t="str">
            <v>06</v>
          </cell>
          <cell r="T58" t="str">
            <v>09</v>
          </cell>
        </row>
        <row r="59">
          <cell r="A59" t="str">
            <v>VIDRO 677X480X4</v>
          </cell>
          <cell r="B59">
            <v>121473</v>
          </cell>
          <cell r="C59">
            <v>181021473</v>
          </cell>
          <cell r="D59" t="str">
            <v>05</v>
          </cell>
          <cell r="E59">
            <v>27</v>
          </cell>
          <cell r="F59">
            <v>26</v>
          </cell>
          <cell r="G59">
            <v>49</v>
          </cell>
          <cell r="H59">
            <v>50</v>
          </cell>
          <cell r="I59">
            <v>51</v>
          </cell>
          <cell r="J59">
            <v>52</v>
          </cell>
          <cell r="K59">
            <v>13</v>
          </cell>
          <cell r="L59">
            <v>15</v>
          </cell>
          <cell r="M59">
            <v>38</v>
          </cell>
          <cell r="N59">
            <v>44</v>
          </cell>
          <cell r="O59" t="str">
            <v>08</v>
          </cell>
          <cell r="P59">
            <v>10</v>
          </cell>
          <cell r="Q59">
            <v>21</v>
          </cell>
          <cell r="R59">
            <v>12</v>
          </cell>
          <cell r="S59" t="str">
            <v>06</v>
          </cell>
          <cell r="T59" t="str">
            <v>09</v>
          </cell>
        </row>
        <row r="60">
          <cell r="A60" t="str">
            <v>VIDRO 677X494X4</v>
          </cell>
          <cell r="B60">
            <v>121474</v>
          </cell>
          <cell r="C60">
            <v>181021474</v>
          </cell>
          <cell r="D60" t="str">
            <v>05</v>
          </cell>
          <cell r="E60" t="str">
            <v>27</v>
          </cell>
          <cell r="F60" t="str">
            <v>26</v>
          </cell>
          <cell r="G60">
            <v>49</v>
          </cell>
          <cell r="H60">
            <v>50</v>
          </cell>
          <cell r="I60">
            <v>51</v>
          </cell>
          <cell r="J60">
            <v>52</v>
          </cell>
          <cell r="K60" t="str">
            <v>13</v>
          </cell>
          <cell r="L60" t="str">
            <v>15</v>
          </cell>
          <cell r="M60" t="str">
            <v>38</v>
          </cell>
          <cell r="N60" t="str">
            <v>44</v>
          </cell>
          <cell r="O60" t="str">
            <v>08</v>
          </cell>
          <cell r="P60" t="str">
            <v>10</v>
          </cell>
          <cell r="Q60" t="str">
            <v>21</v>
          </cell>
          <cell r="R60" t="str">
            <v>12</v>
          </cell>
          <cell r="S60" t="str">
            <v>06</v>
          </cell>
          <cell r="T60" t="str">
            <v>09</v>
          </cell>
        </row>
        <row r="61">
          <cell r="A61" t="str">
            <v>VIDRO 677X500X4</v>
          </cell>
          <cell r="B61">
            <v>121475</v>
          </cell>
          <cell r="C61">
            <v>181021475</v>
          </cell>
          <cell r="D61" t="str">
            <v>05</v>
          </cell>
          <cell r="E61">
            <v>27</v>
          </cell>
          <cell r="F61">
            <v>26</v>
          </cell>
          <cell r="G61">
            <v>49</v>
          </cell>
          <cell r="H61">
            <v>50</v>
          </cell>
          <cell r="I61">
            <v>51</v>
          </cell>
          <cell r="J61">
            <v>52</v>
          </cell>
          <cell r="K61">
            <v>13</v>
          </cell>
          <cell r="L61">
            <v>15</v>
          </cell>
          <cell r="M61">
            <v>38</v>
          </cell>
          <cell r="N61">
            <v>44</v>
          </cell>
          <cell r="O61" t="str">
            <v>08</v>
          </cell>
          <cell r="P61">
            <v>10</v>
          </cell>
          <cell r="Q61">
            <v>21</v>
          </cell>
          <cell r="R61">
            <v>12</v>
          </cell>
          <cell r="S61" t="str">
            <v>06</v>
          </cell>
          <cell r="T61" t="str">
            <v>09</v>
          </cell>
        </row>
        <row r="62">
          <cell r="A62" t="str">
            <v>VIDRO 677X519X4</v>
          </cell>
          <cell r="B62">
            <v>121476</v>
          </cell>
          <cell r="C62">
            <v>181021476</v>
          </cell>
          <cell r="D62" t="str">
            <v>05</v>
          </cell>
          <cell r="E62" t="str">
            <v>27</v>
          </cell>
          <cell r="F62" t="str">
            <v>26</v>
          </cell>
          <cell r="G62">
            <v>49</v>
          </cell>
          <cell r="H62">
            <v>50</v>
          </cell>
          <cell r="I62">
            <v>51</v>
          </cell>
          <cell r="J62">
            <v>52</v>
          </cell>
          <cell r="K62" t="str">
            <v>13</v>
          </cell>
          <cell r="L62" t="str">
            <v>15</v>
          </cell>
          <cell r="M62" t="str">
            <v>38</v>
          </cell>
          <cell r="N62" t="str">
            <v>44</v>
          </cell>
          <cell r="O62" t="str">
            <v>08</v>
          </cell>
          <cell r="P62" t="str">
            <v>10</v>
          </cell>
          <cell r="Q62" t="str">
            <v>21</v>
          </cell>
          <cell r="R62" t="str">
            <v>12</v>
          </cell>
          <cell r="S62" t="str">
            <v>06</v>
          </cell>
          <cell r="T62" t="str">
            <v>09</v>
          </cell>
        </row>
        <row r="63">
          <cell r="A63" t="str">
            <v>VIDRO 677X540X4</v>
          </cell>
          <cell r="B63">
            <v>121477</v>
          </cell>
          <cell r="C63">
            <v>181021477</v>
          </cell>
          <cell r="D63" t="str">
            <v>05</v>
          </cell>
          <cell r="E63">
            <v>27</v>
          </cell>
          <cell r="F63">
            <v>26</v>
          </cell>
          <cell r="G63">
            <v>49</v>
          </cell>
          <cell r="H63">
            <v>50</v>
          </cell>
          <cell r="I63">
            <v>51</v>
          </cell>
          <cell r="J63">
            <v>52</v>
          </cell>
          <cell r="K63">
            <v>13</v>
          </cell>
          <cell r="L63">
            <v>15</v>
          </cell>
          <cell r="M63">
            <v>38</v>
          </cell>
          <cell r="N63">
            <v>44</v>
          </cell>
          <cell r="O63" t="str">
            <v>08</v>
          </cell>
          <cell r="P63">
            <v>10</v>
          </cell>
          <cell r="Q63">
            <v>21</v>
          </cell>
          <cell r="R63">
            <v>12</v>
          </cell>
          <cell r="S63" t="str">
            <v>06</v>
          </cell>
          <cell r="T63" t="str">
            <v>09</v>
          </cell>
        </row>
        <row r="64">
          <cell r="A64" t="str">
            <v>VIDRO 677X544X4</v>
          </cell>
          <cell r="B64">
            <v>121478</v>
          </cell>
          <cell r="C64">
            <v>181021478</v>
          </cell>
          <cell r="D64" t="str">
            <v>05</v>
          </cell>
          <cell r="E64" t="str">
            <v>27</v>
          </cell>
          <cell r="F64" t="str">
            <v>26</v>
          </cell>
          <cell r="G64">
            <v>49</v>
          </cell>
          <cell r="H64">
            <v>50</v>
          </cell>
          <cell r="I64">
            <v>51</v>
          </cell>
          <cell r="J64">
            <v>52</v>
          </cell>
          <cell r="K64" t="str">
            <v>13</v>
          </cell>
          <cell r="L64" t="str">
            <v>15</v>
          </cell>
          <cell r="M64" t="str">
            <v>38</v>
          </cell>
          <cell r="N64" t="str">
            <v>44</v>
          </cell>
          <cell r="O64" t="str">
            <v>08</v>
          </cell>
          <cell r="P64" t="str">
            <v>10</v>
          </cell>
          <cell r="Q64" t="str">
            <v>21</v>
          </cell>
          <cell r="R64" t="str">
            <v>12</v>
          </cell>
          <cell r="S64" t="str">
            <v>06</v>
          </cell>
          <cell r="T64" t="str">
            <v>09</v>
          </cell>
        </row>
        <row r="65">
          <cell r="A65" t="str">
            <v>VIDRO 677X594X4</v>
          </cell>
          <cell r="B65">
            <v>121479</v>
          </cell>
          <cell r="C65">
            <v>181021479</v>
          </cell>
          <cell r="D65" t="str">
            <v>05</v>
          </cell>
          <cell r="E65">
            <v>27</v>
          </cell>
          <cell r="F65">
            <v>26</v>
          </cell>
          <cell r="G65">
            <v>49</v>
          </cell>
          <cell r="H65">
            <v>50</v>
          </cell>
          <cell r="I65">
            <v>51</v>
          </cell>
          <cell r="J65">
            <v>52</v>
          </cell>
          <cell r="K65">
            <v>13</v>
          </cell>
          <cell r="L65">
            <v>15</v>
          </cell>
          <cell r="M65">
            <v>38</v>
          </cell>
          <cell r="N65">
            <v>44</v>
          </cell>
          <cell r="O65" t="str">
            <v>08</v>
          </cell>
          <cell r="P65">
            <v>10</v>
          </cell>
          <cell r="Q65">
            <v>21</v>
          </cell>
          <cell r="R65">
            <v>12</v>
          </cell>
          <cell r="S65" t="str">
            <v>06</v>
          </cell>
          <cell r="T65" t="str">
            <v>09</v>
          </cell>
        </row>
        <row r="66">
          <cell r="A66" t="str">
            <v>VIDRO 677X694X4</v>
          </cell>
          <cell r="B66">
            <v>124209</v>
          </cell>
          <cell r="C66">
            <v>181024209</v>
          </cell>
          <cell r="D66" t="str">
            <v>05</v>
          </cell>
          <cell r="E66">
            <v>27</v>
          </cell>
          <cell r="F66">
            <v>26</v>
          </cell>
          <cell r="G66">
            <v>49</v>
          </cell>
          <cell r="H66">
            <v>50</v>
          </cell>
          <cell r="I66">
            <v>51</v>
          </cell>
          <cell r="J66">
            <v>52</v>
          </cell>
          <cell r="K66">
            <v>13</v>
          </cell>
          <cell r="L66">
            <v>15</v>
          </cell>
          <cell r="M66">
            <v>38</v>
          </cell>
          <cell r="N66">
            <v>44</v>
          </cell>
          <cell r="O66" t="str">
            <v>09</v>
          </cell>
          <cell r="P66">
            <v>10</v>
          </cell>
          <cell r="Q66">
            <v>21</v>
          </cell>
          <cell r="R66">
            <v>12</v>
          </cell>
          <cell r="S66" t="str">
            <v>06</v>
          </cell>
          <cell r="T66" t="str">
            <v>09</v>
          </cell>
        </row>
        <row r="67">
          <cell r="A67" t="str">
            <v>VIDRO 677X794X4</v>
          </cell>
          <cell r="B67">
            <v>124210</v>
          </cell>
          <cell r="C67">
            <v>181024210</v>
          </cell>
          <cell r="D67" t="str">
            <v>05</v>
          </cell>
          <cell r="E67">
            <v>27</v>
          </cell>
          <cell r="F67">
            <v>26</v>
          </cell>
          <cell r="G67">
            <v>49</v>
          </cell>
          <cell r="H67">
            <v>50</v>
          </cell>
          <cell r="I67">
            <v>51</v>
          </cell>
          <cell r="J67">
            <v>52</v>
          </cell>
          <cell r="K67">
            <v>13</v>
          </cell>
          <cell r="L67">
            <v>15</v>
          </cell>
          <cell r="M67">
            <v>38</v>
          </cell>
          <cell r="N67">
            <v>44</v>
          </cell>
          <cell r="O67" t="str">
            <v>10</v>
          </cell>
          <cell r="P67">
            <v>10</v>
          </cell>
          <cell r="Q67">
            <v>21</v>
          </cell>
          <cell r="R67">
            <v>12</v>
          </cell>
          <cell r="S67" t="str">
            <v>06</v>
          </cell>
          <cell r="T67" t="str">
            <v>09</v>
          </cell>
        </row>
        <row r="68">
          <cell r="A68" t="str">
            <v>VIDRO 677X894X4</v>
          </cell>
          <cell r="B68">
            <v>124211</v>
          </cell>
          <cell r="C68">
            <v>181024211</v>
          </cell>
          <cell r="D68" t="str">
            <v>05</v>
          </cell>
          <cell r="E68">
            <v>27</v>
          </cell>
          <cell r="F68">
            <v>26</v>
          </cell>
          <cell r="G68">
            <v>49</v>
          </cell>
          <cell r="H68">
            <v>50</v>
          </cell>
          <cell r="I68">
            <v>51</v>
          </cell>
          <cell r="J68">
            <v>52</v>
          </cell>
          <cell r="K68">
            <v>13</v>
          </cell>
          <cell r="L68">
            <v>15</v>
          </cell>
          <cell r="M68">
            <v>38</v>
          </cell>
          <cell r="N68">
            <v>44</v>
          </cell>
          <cell r="O68" t="str">
            <v>11</v>
          </cell>
          <cell r="P68">
            <v>10</v>
          </cell>
          <cell r="Q68">
            <v>21</v>
          </cell>
          <cell r="R68">
            <v>12</v>
          </cell>
          <cell r="S68" t="str">
            <v>06</v>
          </cell>
          <cell r="T68" t="str">
            <v>09</v>
          </cell>
        </row>
        <row r="69">
          <cell r="A69" t="str">
            <v>VIDRO 677X994X4</v>
          </cell>
          <cell r="B69">
            <v>124212</v>
          </cell>
          <cell r="C69">
            <v>181024212</v>
          </cell>
          <cell r="D69" t="str">
            <v>05</v>
          </cell>
          <cell r="E69">
            <v>27</v>
          </cell>
          <cell r="F69">
            <v>26</v>
          </cell>
          <cell r="G69">
            <v>49</v>
          </cell>
          <cell r="H69">
            <v>50</v>
          </cell>
          <cell r="I69">
            <v>51</v>
          </cell>
          <cell r="J69">
            <v>52</v>
          </cell>
          <cell r="K69">
            <v>13</v>
          </cell>
          <cell r="L69">
            <v>15</v>
          </cell>
          <cell r="M69">
            <v>38</v>
          </cell>
          <cell r="N69">
            <v>44</v>
          </cell>
          <cell r="O69" t="str">
            <v>12</v>
          </cell>
          <cell r="P69">
            <v>10</v>
          </cell>
          <cell r="Q69">
            <v>21</v>
          </cell>
          <cell r="R69">
            <v>12</v>
          </cell>
          <cell r="S69" t="str">
            <v>06</v>
          </cell>
          <cell r="T69" t="str">
            <v>09</v>
          </cell>
        </row>
        <row r="70">
          <cell r="A70" t="str">
            <v>VIDRO 859X294X4</v>
          </cell>
          <cell r="B70">
            <v>121480</v>
          </cell>
          <cell r="C70">
            <v>181021480</v>
          </cell>
          <cell r="D70" t="str">
            <v>05</v>
          </cell>
          <cell r="E70" t="str">
            <v>27</v>
          </cell>
          <cell r="F70" t="str">
            <v>26</v>
          </cell>
          <cell r="G70">
            <v>49</v>
          </cell>
          <cell r="H70">
            <v>50</v>
          </cell>
          <cell r="I70">
            <v>51</v>
          </cell>
          <cell r="J70">
            <v>52</v>
          </cell>
          <cell r="K70" t="str">
            <v>13</v>
          </cell>
          <cell r="L70" t="str">
            <v>15</v>
          </cell>
          <cell r="M70" t="str">
            <v>38</v>
          </cell>
          <cell r="N70" t="str">
            <v>44</v>
          </cell>
          <cell r="O70" t="str">
            <v>08</v>
          </cell>
          <cell r="P70" t="str">
            <v>10</v>
          </cell>
          <cell r="Q70" t="str">
            <v>21</v>
          </cell>
          <cell r="R70" t="str">
            <v>12</v>
          </cell>
          <cell r="S70" t="str">
            <v>06</v>
          </cell>
          <cell r="T70" t="str">
            <v>09</v>
          </cell>
        </row>
        <row r="71">
          <cell r="A71" t="str">
            <v>VIDRO 859X344X4</v>
          </cell>
          <cell r="B71">
            <v>121481</v>
          </cell>
          <cell r="C71">
            <v>181021481</v>
          </cell>
          <cell r="D71" t="str">
            <v>05</v>
          </cell>
          <cell r="E71">
            <v>27</v>
          </cell>
          <cell r="F71">
            <v>26</v>
          </cell>
          <cell r="G71">
            <v>49</v>
          </cell>
          <cell r="H71">
            <v>50</v>
          </cell>
          <cell r="I71">
            <v>51</v>
          </cell>
          <cell r="J71">
            <v>52</v>
          </cell>
          <cell r="K71">
            <v>13</v>
          </cell>
          <cell r="L71">
            <v>15</v>
          </cell>
          <cell r="M71">
            <v>38</v>
          </cell>
          <cell r="N71">
            <v>44</v>
          </cell>
          <cell r="O71" t="str">
            <v>08</v>
          </cell>
          <cell r="P71">
            <v>10</v>
          </cell>
          <cell r="Q71">
            <v>21</v>
          </cell>
          <cell r="R71">
            <v>12</v>
          </cell>
          <cell r="S71" t="str">
            <v>06</v>
          </cell>
          <cell r="T71" t="str">
            <v>09</v>
          </cell>
        </row>
        <row r="72">
          <cell r="A72" t="str">
            <v>VIDRO 859X394X4</v>
          </cell>
          <cell r="B72">
            <v>121482</v>
          </cell>
          <cell r="C72">
            <v>181021482</v>
          </cell>
          <cell r="D72" t="str">
            <v>05</v>
          </cell>
          <cell r="E72" t="str">
            <v>27</v>
          </cell>
          <cell r="F72" t="str">
            <v>26</v>
          </cell>
          <cell r="G72">
            <v>49</v>
          </cell>
          <cell r="H72">
            <v>50</v>
          </cell>
          <cell r="I72">
            <v>51</v>
          </cell>
          <cell r="J72">
            <v>52</v>
          </cell>
          <cell r="K72" t="str">
            <v>13</v>
          </cell>
          <cell r="L72" t="str">
            <v>15</v>
          </cell>
          <cell r="M72" t="str">
            <v>38</v>
          </cell>
          <cell r="N72" t="str">
            <v>44</v>
          </cell>
          <cell r="O72" t="str">
            <v>08</v>
          </cell>
          <cell r="P72" t="str">
            <v>10</v>
          </cell>
          <cell r="Q72" t="str">
            <v>21</v>
          </cell>
          <cell r="R72" t="str">
            <v>12</v>
          </cell>
          <cell r="S72" t="str">
            <v>06</v>
          </cell>
          <cell r="T72" t="str">
            <v>09</v>
          </cell>
        </row>
        <row r="73">
          <cell r="A73" t="str">
            <v>VIDRO 859X444X4</v>
          </cell>
          <cell r="B73">
            <v>121483</v>
          </cell>
          <cell r="C73">
            <v>181021483</v>
          </cell>
          <cell r="D73" t="str">
            <v>05</v>
          </cell>
          <cell r="E73">
            <v>27</v>
          </cell>
          <cell r="F73">
            <v>26</v>
          </cell>
          <cell r="G73">
            <v>49</v>
          </cell>
          <cell r="H73">
            <v>50</v>
          </cell>
          <cell r="I73">
            <v>51</v>
          </cell>
          <cell r="J73">
            <v>52</v>
          </cell>
          <cell r="K73">
            <v>13</v>
          </cell>
          <cell r="L73">
            <v>15</v>
          </cell>
          <cell r="M73">
            <v>38</v>
          </cell>
          <cell r="N73">
            <v>44</v>
          </cell>
          <cell r="O73" t="str">
            <v>08</v>
          </cell>
          <cell r="P73">
            <v>10</v>
          </cell>
          <cell r="Q73">
            <v>21</v>
          </cell>
          <cell r="R73">
            <v>12</v>
          </cell>
          <cell r="S73" t="str">
            <v>06</v>
          </cell>
          <cell r="T73" t="str">
            <v>09</v>
          </cell>
        </row>
        <row r="74">
          <cell r="A74" t="str">
            <v>VIDRO 859X494X4</v>
          </cell>
          <cell r="B74">
            <v>121484</v>
          </cell>
          <cell r="C74">
            <v>181021484</v>
          </cell>
          <cell r="D74" t="str">
            <v>05</v>
          </cell>
          <cell r="E74" t="str">
            <v>27</v>
          </cell>
          <cell r="F74" t="str">
            <v>26</v>
          </cell>
          <cell r="G74">
            <v>49</v>
          </cell>
          <cell r="H74">
            <v>50</v>
          </cell>
          <cell r="I74">
            <v>51</v>
          </cell>
          <cell r="J74">
            <v>52</v>
          </cell>
          <cell r="K74" t="str">
            <v>13</v>
          </cell>
          <cell r="L74" t="str">
            <v>15</v>
          </cell>
          <cell r="M74" t="str">
            <v>38</v>
          </cell>
          <cell r="N74" t="str">
            <v>44</v>
          </cell>
          <cell r="O74" t="str">
            <v>08</v>
          </cell>
          <cell r="P74" t="str">
            <v>10</v>
          </cell>
          <cell r="Q74" t="str">
            <v>21</v>
          </cell>
          <cell r="R74" t="str">
            <v>12</v>
          </cell>
          <cell r="S74" t="str">
            <v>06</v>
          </cell>
          <cell r="T74" t="str">
            <v>09</v>
          </cell>
        </row>
        <row r="75">
          <cell r="A75" t="str">
            <v>VIDRO 859X519X4</v>
          </cell>
          <cell r="B75">
            <v>121485</v>
          </cell>
          <cell r="C75">
            <v>181021485</v>
          </cell>
          <cell r="D75" t="str">
            <v>05</v>
          </cell>
          <cell r="E75">
            <v>27</v>
          </cell>
          <cell r="F75">
            <v>26</v>
          </cell>
          <cell r="G75">
            <v>49</v>
          </cell>
          <cell r="H75">
            <v>50</v>
          </cell>
          <cell r="I75">
            <v>51</v>
          </cell>
          <cell r="J75">
            <v>52</v>
          </cell>
          <cell r="K75">
            <v>13</v>
          </cell>
          <cell r="L75">
            <v>15</v>
          </cell>
          <cell r="M75">
            <v>38</v>
          </cell>
          <cell r="N75">
            <v>44</v>
          </cell>
          <cell r="O75" t="str">
            <v>08</v>
          </cell>
          <cell r="P75">
            <v>10</v>
          </cell>
          <cell r="Q75">
            <v>21</v>
          </cell>
          <cell r="R75">
            <v>12</v>
          </cell>
          <cell r="S75" t="str">
            <v>06</v>
          </cell>
          <cell r="T75" t="str">
            <v>09</v>
          </cell>
        </row>
        <row r="76">
          <cell r="A76" t="str">
            <v>VIDRO 859X540X4</v>
          </cell>
          <cell r="B76">
            <v>121486</v>
          </cell>
          <cell r="C76">
            <v>181021486</v>
          </cell>
          <cell r="D76" t="str">
            <v>05</v>
          </cell>
          <cell r="E76" t="str">
            <v>27</v>
          </cell>
          <cell r="F76" t="str">
            <v>26</v>
          </cell>
          <cell r="G76">
            <v>49</v>
          </cell>
          <cell r="H76">
            <v>50</v>
          </cell>
          <cell r="I76">
            <v>51</v>
          </cell>
          <cell r="J76">
            <v>52</v>
          </cell>
          <cell r="K76" t="str">
            <v>13</v>
          </cell>
          <cell r="L76" t="str">
            <v>15</v>
          </cell>
          <cell r="M76" t="str">
            <v>38</v>
          </cell>
          <cell r="N76" t="str">
            <v>44</v>
          </cell>
          <cell r="O76" t="str">
            <v>08</v>
          </cell>
          <cell r="P76" t="str">
            <v>10</v>
          </cell>
          <cell r="Q76" t="str">
            <v>21</v>
          </cell>
          <cell r="R76" t="str">
            <v>12</v>
          </cell>
          <cell r="S76" t="str">
            <v>06</v>
          </cell>
          <cell r="T76" t="str">
            <v>09</v>
          </cell>
        </row>
        <row r="77">
          <cell r="A77" t="str">
            <v>VIDRO 859X544X4</v>
          </cell>
          <cell r="B77">
            <v>121487</v>
          </cell>
          <cell r="C77">
            <v>181021487</v>
          </cell>
          <cell r="D77" t="str">
            <v>05</v>
          </cell>
          <cell r="E77">
            <v>27</v>
          </cell>
          <cell r="F77">
            <v>26</v>
          </cell>
          <cell r="G77">
            <v>49</v>
          </cell>
          <cell r="H77">
            <v>50</v>
          </cell>
          <cell r="I77">
            <v>51</v>
          </cell>
          <cell r="J77">
            <v>52</v>
          </cell>
          <cell r="K77">
            <v>13</v>
          </cell>
          <cell r="L77">
            <v>15</v>
          </cell>
          <cell r="M77">
            <v>38</v>
          </cell>
          <cell r="N77">
            <v>44</v>
          </cell>
          <cell r="O77" t="str">
            <v>08</v>
          </cell>
          <cell r="P77">
            <v>10</v>
          </cell>
          <cell r="Q77">
            <v>21</v>
          </cell>
          <cell r="R77">
            <v>12</v>
          </cell>
          <cell r="S77" t="str">
            <v>06</v>
          </cell>
          <cell r="T77" t="str">
            <v>09</v>
          </cell>
        </row>
        <row r="78">
          <cell r="A78" t="str">
            <v>VIDRO 859X594X4</v>
          </cell>
          <cell r="B78">
            <v>121488</v>
          </cell>
          <cell r="C78">
            <v>181021488</v>
          </cell>
          <cell r="D78" t="str">
            <v>05</v>
          </cell>
          <cell r="E78" t="str">
            <v>27</v>
          </cell>
          <cell r="F78" t="str">
            <v>26</v>
          </cell>
          <cell r="G78">
            <v>49</v>
          </cell>
          <cell r="H78">
            <v>50</v>
          </cell>
          <cell r="I78">
            <v>51</v>
          </cell>
          <cell r="J78">
            <v>52</v>
          </cell>
          <cell r="K78" t="str">
            <v>13</v>
          </cell>
          <cell r="L78" t="str">
            <v>15</v>
          </cell>
          <cell r="M78" t="str">
            <v>38</v>
          </cell>
          <cell r="N78" t="str">
            <v>44</v>
          </cell>
          <cell r="O78" t="str">
            <v>08</v>
          </cell>
          <cell r="P78" t="str">
            <v>10</v>
          </cell>
          <cell r="Q78" t="str">
            <v>21</v>
          </cell>
          <cell r="R78" t="str">
            <v>12</v>
          </cell>
          <cell r="S78" t="str">
            <v>06</v>
          </cell>
          <cell r="T78" t="str">
            <v>09</v>
          </cell>
        </row>
        <row r="79">
          <cell r="A79" t="str">
            <v>VIDRO 1039X294X4</v>
          </cell>
          <cell r="B79">
            <v>121489</v>
          </cell>
          <cell r="C79">
            <v>181021489</v>
          </cell>
          <cell r="D79" t="str">
            <v>05</v>
          </cell>
          <cell r="E79">
            <v>27</v>
          </cell>
          <cell r="F79">
            <v>26</v>
          </cell>
          <cell r="G79">
            <v>49</v>
          </cell>
          <cell r="H79">
            <v>50</v>
          </cell>
          <cell r="I79">
            <v>51</v>
          </cell>
          <cell r="J79">
            <v>52</v>
          </cell>
          <cell r="K79">
            <v>13</v>
          </cell>
          <cell r="L79">
            <v>15</v>
          </cell>
          <cell r="M79">
            <v>38</v>
          </cell>
          <cell r="N79">
            <v>44</v>
          </cell>
          <cell r="O79" t="str">
            <v>08</v>
          </cell>
          <cell r="P79">
            <v>10</v>
          </cell>
          <cell r="Q79">
            <v>21</v>
          </cell>
          <cell r="R79">
            <v>12</v>
          </cell>
          <cell r="S79" t="str">
            <v>06</v>
          </cell>
          <cell r="T79" t="str">
            <v>09</v>
          </cell>
        </row>
        <row r="80">
          <cell r="A80" t="str">
            <v>VIDRO 1039X344X4</v>
          </cell>
          <cell r="B80">
            <v>121490</v>
          </cell>
          <cell r="C80">
            <v>181021490</v>
          </cell>
          <cell r="D80" t="str">
            <v>05</v>
          </cell>
          <cell r="E80" t="str">
            <v>27</v>
          </cell>
          <cell r="F80" t="str">
            <v>26</v>
          </cell>
          <cell r="G80">
            <v>49</v>
          </cell>
          <cell r="H80">
            <v>50</v>
          </cell>
          <cell r="I80">
            <v>51</v>
          </cell>
          <cell r="J80">
            <v>52</v>
          </cell>
          <cell r="K80" t="str">
            <v>13</v>
          </cell>
          <cell r="L80" t="str">
            <v>15</v>
          </cell>
          <cell r="M80" t="str">
            <v>38</v>
          </cell>
          <cell r="N80" t="str">
            <v>44</v>
          </cell>
          <cell r="O80" t="str">
            <v>08</v>
          </cell>
          <cell r="P80" t="str">
            <v>10</v>
          </cell>
          <cell r="Q80" t="str">
            <v>21</v>
          </cell>
          <cell r="R80" t="str">
            <v>12</v>
          </cell>
          <cell r="S80" t="str">
            <v>06</v>
          </cell>
          <cell r="T80" t="str">
            <v>09</v>
          </cell>
        </row>
        <row r="81">
          <cell r="A81" t="str">
            <v>VIDRO 1039X394X4</v>
          </cell>
          <cell r="B81">
            <v>121491</v>
          </cell>
          <cell r="C81">
            <v>181021491</v>
          </cell>
          <cell r="D81" t="str">
            <v>05</v>
          </cell>
          <cell r="E81">
            <v>27</v>
          </cell>
          <cell r="F81">
            <v>26</v>
          </cell>
          <cell r="G81">
            <v>49</v>
          </cell>
          <cell r="H81">
            <v>50</v>
          </cell>
          <cell r="I81">
            <v>51</v>
          </cell>
          <cell r="J81">
            <v>52</v>
          </cell>
          <cell r="K81">
            <v>13</v>
          </cell>
          <cell r="L81">
            <v>15</v>
          </cell>
          <cell r="M81">
            <v>38</v>
          </cell>
          <cell r="N81">
            <v>44</v>
          </cell>
          <cell r="O81" t="str">
            <v>08</v>
          </cell>
          <cell r="P81">
            <v>10</v>
          </cell>
          <cell r="Q81">
            <v>21</v>
          </cell>
          <cell r="R81">
            <v>12</v>
          </cell>
          <cell r="S81" t="str">
            <v>06</v>
          </cell>
          <cell r="T81" t="str">
            <v>09</v>
          </cell>
        </row>
        <row r="82">
          <cell r="A82" t="str">
            <v>VIDRO 1039X444X4</v>
          </cell>
          <cell r="B82">
            <v>121492</v>
          </cell>
          <cell r="C82">
            <v>181021492</v>
          </cell>
          <cell r="D82" t="str">
            <v>05</v>
          </cell>
          <cell r="E82" t="str">
            <v>27</v>
          </cell>
          <cell r="F82" t="str">
            <v>26</v>
          </cell>
          <cell r="G82">
            <v>49</v>
          </cell>
          <cell r="H82">
            <v>50</v>
          </cell>
          <cell r="I82">
            <v>51</v>
          </cell>
          <cell r="J82">
            <v>52</v>
          </cell>
          <cell r="K82" t="str">
            <v>13</v>
          </cell>
          <cell r="L82" t="str">
            <v>15</v>
          </cell>
          <cell r="M82" t="str">
            <v>38</v>
          </cell>
          <cell r="N82" t="str">
            <v>44</v>
          </cell>
          <cell r="O82" t="str">
            <v>08</v>
          </cell>
          <cell r="P82" t="str">
            <v>10</v>
          </cell>
          <cell r="Q82" t="str">
            <v>21</v>
          </cell>
          <cell r="R82" t="str">
            <v>12</v>
          </cell>
          <cell r="S82" t="str">
            <v>06</v>
          </cell>
          <cell r="T82" t="str">
            <v>09</v>
          </cell>
        </row>
        <row r="83">
          <cell r="A83" t="str">
            <v>VIDRO 1039X494X4</v>
          </cell>
          <cell r="B83">
            <v>121493</v>
          </cell>
          <cell r="C83">
            <v>181021493</v>
          </cell>
          <cell r="D83" t="str">
            <v>05</v>
          </cell>
          <cell r="E83">
            <v>27</v>
          </cell>
          <cell r="F83">
            <v>26</v>
          </cell>
          <cell r="G83">
            <v>49</v>
          </cell>
          <cell r="H83">
            <v>50</v>
          </cell>
          <cell r="I83">
            <v>51</v>
          </cell>
          <cell r="J83">
            <v>52</v>
          </cell>
          <cell r="K83">
            <v>13</v>
          </cell>
          <cell r="L83">
            <v>15</v>
          </cell>
          <cell r="M83">
            <v>38</v>
          </cell>
          <cell r="N83">
            <v>44</v>
          </cell>
          <cell r="O83" t="str">
            <v>08</v>
          </cell>
          <cell r="P83">
            <v>10</v>
          </cell>
          <cell r="Q83">
            <v>21</v>
          </cell>
          <cell r="R83">
            <v>12</v>
          </cell>
          <cell r="S83" t="str">
            <v>06</v>
          </cell>
          <cell r="T83" t="str">
            <v>09</v>
          </cell>
        </row>
        <row r="84">
          <cell r="A84" t="str">
            <v>VIDRO 1039X519X4</v>
          </cell>
          <cell r="B84">
            <v>121494</v>
          </cell>
          <cell r="C84">
            <v>181021494</v>
          </cell>
          <cell r="D84" t="str">
            <v>05</v>
          </cell>
          <cell r="E84" t="str">
            <v>27</v>
          </cell>
          <cell r="F84" t="str">
            <v>26</v>
          </cell>
          <cell r="G84">
            <v>49</v>
          </cell>
          <cell r="H84">
            <v>50</v>
          </cell>
          <cell r="I84">
            <v>51</v>
          </cell>
          <cell r="J84">
            <v>52</v>
          </cell>
          <cell r="K84" t="str">
            <v>13</v>
          </cell>
          <cell r="L84" t="str">
            <v>15</v>
          </cell>
          <cell r="M84" t="str">
            <v>38</v>
          </cell>
          <cell r="N84" t="str">
            <v>44</v>
          </cell>
          <cell r="O84" t="str">
            <v>08</v>
          </cell>
          <cell r="P84" t="str">
            <v>10</v>
          </cell>
          <cell r="Q84" t="str">
            <v>21</v>
          </cell>
          <cell r="R84" t="str">
            <v>12</v>
          </cell>
          <cell r="S84" t="str">
            <v>06</v>
          </cell>
          <cell r="T84" t="str">
            <v>09</v>
          </cell>
        </row>
        <row r="85">
          <cell r="A85" t="str">
            <v>VIDRO 1039X540X4</v>
          </cell>
          <cell r="B85">
            <v>121495</v>
          </cell>
          <cell r="C85">
            <v>181021495</v>
          </cell>
          <cell r="D85" t="str">
            <v>05</v>
          </cell>
          <cell r="E85">
            <v>27</v>
          </cell>
          <cell r="F85">
            <v>26</v>
          </cell>
          <cell r="G85">
            <v>49</v>
          </cell>
          <cell r="H85">
            <v>50</v>
          </cell>
          <cell r="I85">
            <v>51</v>
          </cell>
          <cell r="J85">
            <v>52</v>
          </cell>
          <cell r="K85">
            <v>13</v>
          </cell>
          <cell r="L85">
            <v>15</v>
          </cell>
          <cell r="M85">
            <v>38</v>
          </cell>
          <cell r="N85">
            <v>44</v>
          </cell>
          <cell r="O85" t="str">
            <v>08</v>
          </cell>
          <cell r="P85">
            <v>10</v>
          </cell>
          <cell r="Q85">
            <v>21</v>
          </cell>
          <cell r="R85">
            <v>12</v>
          </cell>
          <cell r="S85" t="str">
            <v>06</v>
          </cell>
          <cell r="T85" t="str">
            <v>09</v>
          </cell>
        </row>
        <row r="86">
          <cell r="A86" t="str">
            <v>VIDRO 1039X544X4</v>
          </cell>
          <cell r="B86">
            <v>121496</v>
          </cell>
          <cell r="C86">
            <v>181021496</v>
          </cell>
          <cell r="D86" t="str">
            <v>05</v>
          </cell>
          <cell r="E86" t="str">
            <v>27</v>
          </cell>
          <cell r="F86" t="str">
            <v>26</v>
          </cell>
          <cell r="G86">
            <v>49</v>
          </cell>
          <cell r="H86">
            <v>50</v>
          </cell>
          <cell r="I86">
            <v>51</v>
          </cell>
          <cell r="J86">
            <v>52</v>
          </cell>
          <cell r="K86" t="str">
            <v>13</v>
          </cell>
          <cell r="L86" t="str">
            <v>15</v>
          </cell>
          <cell r="M86" t="str">
            <v>38</v>
          </cell>
          <cell r="N86" t="str">
            <v>44</v>
          </cell>
          <cell r="O86" t="str">
            <v>08</v>
          </cell>
          <cell r="P86" t="str">
            <v>10</v>
          </cell>
          <cell r="Q86" t="str">
            <v>21</v>
          </cell>
          <cell r="R86" t="str">
            <v>12</v>
          </cell>
          <cell r="S86" t="str">
            <v>06</v>
          </cell>
          <cell r="T86" t="str">
            <v>09</v>
          </cell>
        </row>
        <row r="87">
          <cell r="A87" t="str">
            <v>VIDRO 1039X594X4</v>
          </cell>
          <cell r="B87">
            <v>121497</v>
          </cell>
          <cell r="C87">
            <v>181021497</v>
          </cell>
          <cell r="D87" t="str">
            <v>05</v>
          </cell>
          <cell r="E87">
            <v>27</v>
          </cell>
          <cell r="F87">
            <v>26</v>
          </cell>
          <cell r="G87">
            <v>49</v>
          </cell>
          <cell r="H87">
            <v>50</v>
          </cell>
          <cell r="I87">
            <v>51</v>
          </cell>
          <cell r="J87">
            <v>52</v>
          </cell>
          <cell r="K87">
            <v>13</v>
          </cell>
          <cell r="L87">
            <v>15</v>
          </cell>
          <cell r="M87">
            <v>38</v>
          </cell>
          <cell r="N87">
            <v>44</v>
          </cell>
          <cell r="O87" t="str">
            <v>08</v>
          </cell>
          <cell r="P87">
            <v>10</v>
          </cell>
          <cell r="Q87">
            <v>21</v>
          </cell>
          <cell r="R87">
            <v>12</v>
          </cell>
          <cell r="S87" t="str">
            <v>06</v>
          </cell>
          <cell r="T87" t="str">
            <v>09</v>
          </cell>
        </row>
        <row r="88">
          <cell r="A88" t="str">
            <v>VIDRO 1219X344X4</v>
          </cell>
          <cell r="B88">
            <v>121576</v>
          </cell>
          <cell r="C88">
            <v>181012472</v>
          </cell>
          <cell r="D88" t="str">
            <v>05</v>
          </cell>
          <cell r="E88">
            <v>27</v>
          </cell>
          <cell r="F88">
            <v>26</v>
          </cell>
          <cell r="G88">
            <v>49</v>
          </cell>
          <cell r="H88">
            <v>50</v>
          </cell>
          <cell r="I88">
            <v>51</v>
          </cell>
          <cell r="J88">
            <v>52</v>
          </cell>
          <cell r="K88">
            <v>13</v>
          </cell>
          <cell r="L88">
            <v>15</v>
          </cell>
          <cell r="M88">
            <v>38</v>
          </cell>
          <cell r="N88">
            <v>44</v>
          </cell>
          <cell r="O88" t="str">
            <v>08</v>
          </cell>
          <cell r="P88">
            <v>10</v>
          </cell>
          <cell r="Q88">
            <v>21</v>
          </cell>
          <cell r="R88">
            <v>12</v>
          </cell>
          <cell r="S88" t="str">
            <v>06</v>
          </cell>
          <cell r="T88" t="str">
            <v>09</v>
          </cell>
        </row>
        <row r="89">
          <cell r="A89" t="str">
            <v>VIDRO 1219X394X4</v>
          </cell>
          <cell r="B89">
            <v>121498</v>
          </cell>
          <cell r="C89">
            <v>181021498</v>
          </cell>
          <cell r="D89" t="str">
            <v>05</v>
          </cell>
          <cell r="E89" t="str">
            <v>27</v>
          </cell>
          <cell r="F89" t="str">
            <v>26</v>
          </cell>
          <cell r="G89">
            <v>49</v>
          </cell>
          <cell r="H89">
            <v>50</v>
          </cell>
          <cell r="I89">
            <v>51</v>
          </cell>
          <cell r="J89">
            <v>52</v>
          </cell>
          <cell r="K89" t="str">
            <v>13</v>
          </cell>
          <cell r="L89" t="str">
            <v>15</v>
          </cell>
          <cell r="M89" t="str">
            <v>38</v>
          </cell>
          <cell r="N89" t="str">
            <v>44</v>
          </cell>
          <cell r="O89" t="str">
            <v>08</v>
          </cell>
          <cell r="P89" t="str">
            <v>10</v>
          </cell>
          <cell r="Q89" t="str">
            <v>21</v>
          </cell>
          <cell r="R89" t="str">
            <v>12</v>
          </cell>
          <cell r="S89" t="str">
            <v>06</v>
          </cell>
          <cell r="T89" t="str">
            <v>09</v>
          </cell>
        </row>
        <row r="90">
          <cell r="A90" t="str">
            <v>VIDRO 1219X444X4</v>
          </cell>
          <cell r="B90">
            <v>121577</v>
          </cell>
          <cell r="C90">
            <v>181012473</v>
          </cell>
          <cell r="D90" t="str">
            <v>05</v>
          </cell>
          <cell r="E90">
            <v>27</v>
          </cell>
          <cell r="F90">
            <v>26</v>
          </cell>
          <cell r="G90">
            <v>49</v>
          </cell>
          <cell r="H90">
            <v>50</v>
          </cell>
          <cell r="I90">
            <v>51</v>
          </cell>
          <cell r="J90">
            <v>52</v>
          </cell>
          <cell r="K90">
            <v>13</v>
          </cell>
          <cell r="L90">
            <v>15</v>
          </cell>
          <cell r="M90">
            <v>38</v>
          </cell>
          <cell r="N90">
            <v>44</v>
          </cell>
          <cell r="O90" t="str">
            <v>08</v>
          </cell>
          <cell r="P90">
            <v>10</v>
          </cell>
          <cell r="Q90">
            <v>21</v>
          </cell>
          <cell r="R90">
            <v>12</v>
          </cell>
          <cell r="S90" t="str">
            <v>06</v>
          </cell>
          <cell r="T90" t="str">
            <v>09</v>
          </cell>
        </row>
        <row r="91">
          <cell r="A91" t="str">
            <v>VIDRO 1219X494X4</v>
          </cell>
          <cell r="B91">
            <v>121499</v>
          </cell>
          <cell r="C91">
            <v>181021499</v>
          </cell>
          <cell r="D91" t="str">
            <v>05</v>
          </cell>
          <cell r="E91">
            <v>27</v>
          </cell>
          <cell r="F91">
            <v>26</v>
          </cell>
          <cell r="G91">
            <v>49</v>
          </cell>
          <cell r="H91">
            <v>50</v>
          </cell>
          <cell r="I91">
            <v>51</v>
          </cell>
          <cell r="J91">
            <v>52</v>
          </cell>
          <cell r="K91">
            <v>13</v>
          </cell>
          <cell r="L91">
            <v>15</v>
          </cell>
          <cell r="M91">
            <v>38</v>
          </cell>
          <cell r="N91">
            <v>44</v>
          </cell>
          <cell r="O91" t="str">
            <v>08</v>
          </cell>
          <cell r="P91">
            <v>10</v>
          </cell>
          <cell r="Q91">
            <v>21</v>
          </cell>
          <cell r="R91">
            <v>12</v>
          </cell>
          <cell r="S91" t="str">
            <v>06</v>
          </cell>
          <cell r="T91" t="str">
            <v>09</v>
          </cell>
        </row>
        <row r="92">
          <cell r="A92" t="str">
            <v>VIDRO 1219X594X4</v>
          </cell>
          <cell r="B92">
            <v>121500</v>
          </cell>
          <cell r="C92">
            <v>181021500</v>
          </cell>
          <cell r="D92" t="str">
            <v>05</v>
          </cell>
          <cell r="E92" t="str">
            <v>27</v>
          </cell>
          <cell r="F92" t="str">
            <v>26</v>
          </cell>
          <cell r="G92">
            <v>49</v>
          </cell>
          <cell r="H92">
            <v>50</v>
          </cell>
          <cell r="I92">
            <v>51</v>
          </cell>
          <cell r="J92">
            <v>52</v>
          </cell>
          <cell r="K92" t="str">
            <v>13</v>
          </cell>
          <cell r="L92" t="str">
            <v>15</v>
          </cell>
          <cell r="M92" t="str">
            <v>38</v>
          </cell>
          <cell r="N92" t="str">
            <v>44</v>
          </cell>
          <cell r="O92" t="str">
            <v>08</v>
          </cell>
          <cell r="P92" t="str">
            <v>10</v>
          </cell>
          <cell r="Q92" t="str">
            <v>21</v>
          </cell>
          <cell r="R92" t="str">
            <v>12</v>
          </cell>
          <cell r="S92" t="str">
            <v>06</v>
          </cell>
          <cell r="T92" t="str">
            <v>09</v>
          </cell>
        </row>
        <row r="93">
          <cell r="A93" t="str">
            <v>VIDRO 1793X310X4</v>
          </cell>
          <cell r="B93">
            <v>121578</v>
          </cell>
          <cell r="C93">
            <v>181012474</v>
          </cell>
          <cell r="D93" t="str">
            <v>05</v>
          </cell>
          <cell r="E93">
            <v>27</v>
          </cell>
          <cell r="F93">
            <v>26</v>
          </cell>
          <cell r="G93">
            <v>49</v>
          </cell>
          <cell r="H93">
            <v>50</v>
          </cell>
          <cell r="I93">
            <v>51</v>
          </cell>
          <cell r="J93">
            <v>52</v>
          </cell>
          <cell r="K93">
            <v>13</v>
          </cell>
          <cell r="L93">
            <v>15</v>
          </cell>
          <cell r="M93">
            <v>38</v>
          </cell>
          <cell r="N93">
            <v>44</v>
          </cell>
          <cell r="O93" t="str">
            <v>08</v>
          </cell>
          <cell r="P93">
            <v>10</v>
          </cell>
          <cell r="Q93">
            <v>21</v>
          </cell>
          <cell r="R93">
            <v>12</v>
          </cell>
          <cell r="S93" t="str">
            <v>06</v>
          </cell>
          <cell r="T93" t="str">
            <v>09</v>
          </cell>
        </row>
        <row r="94">
          <cell r="A94" t="str">
            <v>VIDRO 1793X360X4</v>
          </cell>
          <cell r="B94">
            <v>121501</v>
          </cell>
          <cell r="C94">
            <v>181021501</v>
          </cell>
          <cell r="D94" t="str">
            <v>05</v>
          </cell>
          <cell r="E94">
            <v>27</v>
          </cell>
          <cell r="F94">
            <v>26</v>
          </cell>
          <cell r="G94">
            <v>49</v>
          </cell>
          <cell r="H94">
            <v>50</v>
          </cell>
          <cell r="I94">
            <v>51</v>
          </cell>
          <cell r="J94">
            <v>52</v>
          </cell>
          <cell r="K94">
            <v>13</v>
          </cell>
          <cell r="L94">
            <v>15</v>
          </cell>
          <cell r="M94">
            <v>38</v>
          </cell>
          <cell r="N94">
            <v>44</v>
          </cell>
          <cell r="O94" t="str">
            <v>08</v>
          </cell>
          <cell r="P94">
            <v>10</v>
          </cell>
          <cell r="Q94">
            <v>21</v>
          </cell>
          <cell r="R94">
            <v>12</v>
          </cell>
          <cell r="S94" t="str">
            <v>06</v>
          </cell>
          <cell r="T94" t="str">
            <v>09</v>
          </cell>
        </row>
        <row r="95">
          <cell r="A95" t="str">
            <v>VIDRO 1793X410X4</v>
          </cell>
          <cell r="B95">
            <v>121579</v>
          </cell>
          <cell r="C95">
            <v>181012475</v>
          </cell>
          <cell r="D95" t="str">
            <v>05</v>
          </cell>
          <cell r="E95">
            <v>27</v>
          </cell>
          <cell r="F95">
            <v>26</v>
          </cell>
          <cell r="G95">
            <v>49</v>
          </cell>
          <cell r="H95">
            <v>50</v>
          </cell>
          <cell r="I95">
            <v>51</v>
          </cell>
          <cell r="J95">
            <v>52</v>
          </cell>
          <cell r="K95">
            <v>13</v>
          </cell>
          <cell r="L95">
            <v>15</v>
          </cell>
          <cell r="M95">
            <v>38</v>
          </cell>
          <cell r="N95">
            <v>44</v>
          </cell>
          <cell r="O95" t="str">
            <v>08</v>
          </cell>
          <cell r="P95">
            <v>10</v>
          </cell>
          <cell r="Q95">
            <v>21</v>
          </cell>
          <cell r="R95">
            <v>12</v>
          </cell>
          <cell r="S95" t="str">
            <v>06</v>
          </cell>
          <cell r="T95" t="str">
            <v>09</v>
          </cell>
        </row>
        <row r="96">
          <cell r="A96" t="str">
            <v>VIDRO 1793X460X4</v>
          </cell>
          <cell r="B96">
            <v>121502</v>
          </cell>
          <cell r="C96">
            <v>181021502</v>
          </cell>
          <cell r="D96" t="str">
            <v>05</v>
          </cell>
          <cell r="E96" t="str">
            <v>27</v>
          </cell>
          <cell r="F96" t="str">
            <v>26</v>
          </cell>
          <cell r="G96">
            <v>49</v>
          </cell>
          <cell r="H96">
            <v>50</v>
          </cell>
          <cell r="I96">
            <v>51</v>
          </cell>
          <cell r="J96">
            <v>52</v>
          </cell>
          <cell r="K96" t="str">
            <v>13</v>
          </cell>
          <cell r="L96" t="str">
            <v>15</v>
          </cell>
          <cell r="M96" t="str">
            <v>38</v>
          </cell>
          <cell r="N96" t="str">
            <v>44</v>
          </cell>
          <cell r="O96" t="str">
            <v>08</v>
          </cell>
          <cell r="P96" t="str">
            <v>10</v>
          </cell>
          <cell r="Q96" t="str">
            <v>21</v>
          </cell>
          <cell r="R96" t="str">
            <v>12</v>
          </cell>
          <cell r="S96" t="str">
            <v>06</v>
          </cell>
          <cell r="T96" t="str">
            <v>09</v>
          </cell>
        </row>
        <row r="97">
          <cell r="A97" t="str">
            <v>VIDRO 1793X560X4</v>
          </cell>
          <cell r="B97">
            <v>121503</v>
          </cell>
          <cell r="C97">
            <v>181021503</v>
          </cell>
          <cell r="D97" t="str">
            <v>05</v>
          </cell>
          <cell r="E97">
            <v>27</v>
          </cell>
          <cell r="F97">
            <v>26</v>
          </cell>
          <cell r="G97">
            <v>49</v>
          </cell>
          <cell r="H97">
            <v>50</v>
          </cell>
          <cell r="I97">
            <v>51</v>
          </cell>
          <cell r="J97">
            <v>52</v>
          </cell>
          <cell r="K97">
            <v>13</v>
          </cell>
          <cell r="L97">
            <v>15</v>
          </cell>
          <cell r="M97">
            <v>38</v>
          </cell>
          <cell r="N97">
            <v>44</v>
          </cell>
          <cell r="O97" t="str">
            <v>08</v>
          </cell>
          <cell r="P97">
            <v>10</v>
          </cell>
          <cell r="Q97">
            <v>21</v>
          </cell>
          <cell r="R97">
            <v>12</v>
          </cell>
          <cell r="S97" t="str">
            <v>06</v>
          </cell>
          <cell r="T97" t="str">
            <v>09</v>
          </cell>
        </row>
        <row r="98">
          <cell r="A98" t="str">
            <v>VIDRO 1973X310X4</v>
          </cell>
          <cell r="B98">
            <v>121580</v>
          </cell>
          <cell r="C98">
            <v>181012476</v>
          </cell>
          <cell r="D98" t="str">
            <v>05</v>
          </cell>
          <cell r="E98">
            <v>27</v>
          </cell>
          <cell r="F98">
            <v>26</v>
          </cell>
          <cell r="G98">
            <v>49</v>
          </cell>
          <cell r="H98">
            <v>50</v>
          </cell>
          <cell r="I98">
            <v>51</v>
          </cell>
          <cell r="J98">
            <v>52</v>
          </cell>
          <cell r="K98">
            <v>13</v>
          </cell>
          <cell r="L98">
            <v>15</v>
          </cell>
          <cell r="M98">
            <v>38</v>
          </cell>
          <cell r="N98">
            <v>44</v>
          </cell>
          <cell r="O98" t="str">
            <v>08</v>
          </cell>
          <cell r="P98">
            <v>10</v>
          </cell>
          <cell r="Q98">
            <v>21</v>
          </cell>
          <cell r="R98">
            <v>12</v>
          </cell>
          <cell r="S98" t="str">
            <v>06</v>
          </cell>
          <cell r="T98" t="str">
            <v>09</v>
          </cell>
        </row>
        <row r="99">
          <cell r="A99" t="str">
            <v>VIDRO 1973X360X4</v>
          </cell>
          <cell r="B99">
            <v>121504</v>
          </cell>
          <cell r="C99">
            <v>181021504</v>
          </cell>
          <cell r="D99" t="str">
            <v>05</v>
          </cell>
          <cell r="E99" t="str">
            <v>27</v>
          </cell>
          <cell r="F99" t="str">
            <v>26</v>
          </cell>
          <cell r="G99">
            <v>49</v>
          </cell>
          <cell r="H99">
            <v>50</v>
          </cell>
          <cell r="I99">
            <v>51</v>
          </cell>
          <cell r="J99">
            <v>52</v>
          </cell>
          <cell r="K99" t="str">
            <v>13</v>
          </cell>
          <cell r="L99" t="str">
            <v>15</v>
          </cell>
          <cell r="M99" t="str">
            <v>38</v>
          </cell>
          <cell r="N99" t="str">
            <v>44</v>
          </cell>
          <cell r="O99" t="str">
            <v>08</v>
          </cell>
          <cell r="P99" t="str">
            <v>10</v>
          </cell>
          <cell r="Q99" t="str">
            <v>21</v>
          </cell>
          <cell r="R99" t="str">
            <v>12</v>
          </cell>
          <cell r="S99" t="str">
            <v>06</v>
          </cell>
          <cell r="T99" t="str">
            <v>09</v>
          </cell>
        </row>
        <row r="100">
          <cell r="A100" t="str">
            <v>VIDRO 1973X410X4</v>
          </cell>
          <cell r="B100">
            <v>121581</v>
          </cell>
          <cell r="C100">
            <v>181012477</v>
          </cell>
          <cell r="D100" t="str">
            <v>05</v>
          </cell>
          <cell r="E100">
            <v>27</v>
          </cell>
          <cell r="F100">
            <v>26</v>
          </cell>
          <cell r="G100">
            <v>49</v>
          </cell>
          <cell r="H100">
            <v>50</v>
          </cell>
          <cell r="I100">
            <v>51</v>
          </cell>
          <cell r="J100">
            <v>52</v>
          </cell>
          <cell r="K100">
            <v>13</v>
          </cell>
          <cell r="L100">
            <v>15</v>
          </cell>
          <cell r="M100">
            <v>38</v>
          </cell>
          <cell r="N100">
            <v>44</v>
          </cell>
          <cell r="O100" t="str">
            <v>08</v>
          </cell>
          <cell r="P100">
            <v>10</v>
          </cell>
          <cell r="Q100">
            <v>21</v>
          </cell>
          <cell r="R100">
            <v>12</v>
          </cell>
          <cell r="S100" t="str">
            <v>06</v>
          </cell>
          <cell r="T100" t="str">
            <v>09</v>
          </cell>
        </row>
        <row r="101">
          <cell r="A101" t="str">
            <v>VIDRO 1973X460X4</v>
          </cell>
          <cell r="B101">
            <v>121505</v>
          </cell>
          <cell r="C101">
            <v>181021505</v>
          </cell>
          <cell r="D101" t="str">
            <v>05</v>
          </cell>
          <cell r="E101">
            <v>27</v>
          </cell>
          <cell r="F101">
            <v>26</v>
          </cell>
          <cell r="G101">
            <v>49</v>
          </cell>
          <cell r="H101">
            <v>50</v>
          </cell>
          <cell r="I101">
            <v>51</v>
          </cell>
          <cell r="J101">
            <v>52</v>
          </cell>
          <cell r="K101">
            <v>13</v>
          </cell>
          <cell r="L101">
            <v>15</v>
          </cell>
          <cell r="M101">
            <v>38</v>
          </cell>
          <cell r="N101">
            <v>44</v>
          </cell>
          <cell r="O101" t="str">
            <v>08</v>
          </cell>
          <cell r="P101">
            <v>10</v>
          </cell>
          <cell r="Q101">
            <v>21</v>
          </cell>
          <cell r="R101">
            <v>12</v>
          </cell>
          <cell r="S101" t="str">
            <v>06</v>
          </cell>
          <cell r="T101" t="str">
            <v>09</v>
          </cell>
        </row>
        <row r="102">
          <cell r="A102" t="str">
            <v>VIDRO 1973X560X4</v>
          </cell>
          <cell r="B102">
            <v>121506</v>
          </cell>
          <cell r="C102">
            <v>181021506</v>
          </cell>
          <cell r="D102" t="str">
            <v>05</v>
          </cell>
          <cell r="E102" t="str">
            <v>27</v>
          </cell>
          <cell r="F102" t="str">
            <v>26</v>
          </cell>
          <cell r="G102">
            <v>49</v>
          </cell>
          <cell r="H102">
            <v>50</v>
          </cell>
          <cell r="I102">
            <v>51</v>
          </cell>
          <cell r="J102">
            <v>52</v>
          </cell>
          <cell r="K102" t="str">
            <v>13</v>
          </cell>
          <cell r="L102" t="str">
            <v>15</v>
          </cell>
          <cell r="M102" t="str">
            <v>38</v>
          </cell>
          <cell r="N102" t="str">
            <v>44</v>
          </cell>
          <cell r="O102" t="str">
            <v>08</v>
          </cell>
          <cell r="P102" t="str">
            <v>10</v>
          </cell>
          <cell r="Q102" t="str">
            <v>21</v>
          </cell>
          <cell r="R102" t="str">
            <v>12</v>
          </cell>
          <cell r="S102" t="str">
            <v>06</v>
          </cell>
          <cell r="T102" t="str">
            <v>09</v>
          </cell>
        </row>
        <row r="103">
          <cell r="A103" t="str">
            <v>VIDRO 2153X310X4</v>
          </cell>
          <cell r="B103">
            <v>121582</v>
          </cell>
          <cell r="C103">
            <v>181012478</v>
          </cell>
          <cell r="D103" t="str">
            <v>05</v>
          </cell>
          <cell r="E103">
            <v>27</v>
          </cell>
          <cell r="F103">
            <v>26</v>
          </cell>
          <cell r="G103">
            <v>49</v>
          </cell>
          <cell r="H103">
            <v>50</v>
          </cell>
          <cell r="I103">
            <v>51</v>
          </cell>
          <cell r="J103">
            <v>52</v>
          </cell>
          <cell r="K103">
            <v>13</v>
          </cell>
          <cell r="L103">
            <v>15</v>
          </cell>
          <cell r="M103">
            <v>38</v>
          </cell>
          <cell r="N103">
            <v>44</v>
          </cell>
          <cell r="O103" t="str">
            <v>08</v>
          </cell>
          <cell r="P103">
            <v>10</v>
          </cell>
          <cell r="Q103">
            <v>21</v>
          </cell>
          <cell r="R103">
            <v>12</v>
          </cell>
          <cell r="S103" t="str">
            <v>06</v>
          </cell>
          <cell r="T103" t="str">
            <v>09</v>
          </cell>
        </row>
        <row r="104">
          <cell r="A104" t="str">
            <v>VIDRO 2153X360X4</v>
          </cell>
          <cell r="B104">
            <v>121507</v>
          </cell>
          <cell r="C104">
            <v>181021507</v>
          </cell>
          <cell r="D104" t="str">
            <v>05</v>
          </cell>
          <cell r="E104">
            <v>27</v>
          </cell>
          <cell r="F104">
            <v>26</v>
          </cell>
          <cell r="G104">
            <v>49</v>
          </cell>
          <cell r="H104">
            <v>50</v>
          </cell>
          <cell r="I104">
            <v>51</v>
          </cell>
          <cell r="J104">
            <v>52</v>
          </cell>
          <cell r="K104">
            <v>13</v>
          </cell>
          <cell r="L104">
            <v>15</v>
          </cell>
          <cell r="M104">
            <v>38</v>
          </cell>
          <cell r="N104">
            <v>44</v>
          </cell>
          <cell r="O104" t="str">
            <v>08</v>
          </cell>
          <cell r="P104">
            <v>10</v>
          </cell>
          <cell r="Q104">
            <v>21</v>
          </cell>
          <cell r="R104">
            <v>12</v>
          </cell>
          <cell r="S104" t="str">
            <v>06</v>
          </cell>
          <cell r="T104" t="str">
            <v>09</v>
          </cell>
        </row>
        <row r="105">
          <cell r="A105" t="str">
            <v>VIDRO 2153X410X4</v>
          </cell>
          <cell r="B105">
            <v>121583</v>
          </cell>
          <cell r="C105">
            <v>181012479</v>
          </cell>
          <cell r="D105" t="str">
            <v>05</v>
          </cell>
          <cell r="E105">
            <v>27</v>
          </cell>
          <cell r="F105">
            <v>26</v>
          </cell>
          <cell r="G105">
            <v>49</v>
          </cell>
          <cell r="H105">
            <v>50</v>
          </cell>
          <cell r="I105">
            <v>51</v>
          </cell>
          <cell r="J105">
            <v>52</v>
          </cell>
          <cell r="K105">
            <v>13</v>
          </cell>
          <cell r="L105">
            <v>15</v>
          </cell>
          <cell r="M105">
            <v>38</v>
          </cell>
          <cell r="N105">
            <v>44</v>
          </cell>
          <cell r="O105" t="str">
            <v>08</v>
          </cell>
          <cell r="P105">
            <v>10</v>
          </cell>
          <cell r="Q105">
            <v>21</v>
          </cell>
          <cell r="R105">
            <v>12</v>
          </cell>
          <cell r="S105" t="str">
            <v>06</v>
          </cell>
          <cell r="T105" t="str">
            <v>09</v>
          </cell>
        </row>
        <row r="106">
          <cell r="A106" t="str">
            <v>VIDRO 2153X460X4</v>
          </cell>
          <cell r="B106">
            <v>121508</v>
          </cell>
          <cell r="C106">
            <v>181021508</v>
          </cell>
          <cell r="D106" t="str">
            <v>05</v>
          </cell>
          <cell r="E106" t="str">
            <v>27</v>
          </cell>
          <cell r="F106" t="str">
            <v>26</v>
          </cell>
          <cell r="G106">
            <v>49</v>
          </cell>
          <cell r="H106">
            <v>50</v>
          </cell>
          <cell r="I106">
            <v>51</v>
          </cell>
          <cell r="J106">
            <v>52</v>
          </cell>
          <cell r="K106" t="str">
            <v>13</v>
          </cell>
          <cell r="L106" t="str">
            <v>15</v>
          </cell>
          <cell r="M106" t="str">
            <v>38</v>
          </cell>
          <cell r="N106" t="str">
            <v>44</v>
          </cell>
          <cell r="O106" t="str">
            <v>08</v>
          </cell>
          <cell r="P106" t="str">
            <v>10</v>
          </cell>
          <cell r="Q106" t="str">
            <v>21</v>
          </cell>
          <cell r="R106" t="str">
            <v>12</v>
          </cell>
          <cell r="S106" t="str">
            <v>06</v>
          </cell>
          <cell r="T106" t="str">
            <v>09</v>
          </cell>
        </row>
        <row r="107">
          <cell r="A107" t="str">
            <v>VIDRO 2153X560X4</v>
          </cell>
          <cell r="B107">
            <v>121509</v>
          </cell>
          <cell r="C107">
            <v>181021509</v>
          </cell>
          <cell r="D107" t="str">
            <v>05</v>
          </cell>
          <cell r="E107">
            <v>27</v>
          </cell>
          <cell r="F107">
            <v>26</v>
          </cell>
          <cell r="G107">
            <v>49</v>
          </cell>
          <cell r="H107">
            <v>50</v>
          </cell>
          <cell r="I107">
            <v>51</v>
          </cell>
          <cell r="J107">
            <v>52</v>
          </cell>
          <cell r="K107">
            <v>13</v>
          </cell>
          <cell r="L107">
            <v>15</v>
          </cell>
          <cell r="M107">
            <v>38</v>
          </cell>
          <cell r="N107">
            <v>44</v>
          </cell>
          <cell r="O107" t="str">
            <v>08</v>
          </cell>
          <cell r="P107">
            <v>10</v>
          </cell>
          <cell r="Q107">
            <v>21</v>
          </cell>
          <cell r="R107">
            <v>12</v>
          </cell>
          <cell r="S107" t="str">
            <v>06</v>
          </cell>
          <cell r="T107" t="str">
            <v>09</v>
          </cell>
        </row>
        <row r="108">
          <cell r="A108" t="str">
            <v>VIDRO 2333X310X4</v>
          </cell>
          <cell r="B108">
            <v>121584</v>
          </cell>
          <cell r="C108">
            <v>181012480</v>
          </cell>
          <cell r="D108" t="str">
            <v>05</v>
          </cell>
          <cell r="E108">
            <v>27</v>
          </cell>
          <cell r="F108">
            <v>26</v>
          </cell>
          <cell r="G108">
            <v>49</v>
          </cell>
          <cell r="H108">
            <v>50</v>
          </cell>
          <cell r="I108">
            <v>51</v>
          </cell>
          <cell r="J108">
            <v>52</v>
          </cell>
          <cell r="K108">
            <v>13</v>
          </cell>
          <cell r="L108">
            <v>15</v>
          </cell>
          <cell r="M108">
            <v>38</v>
          </cell>
          <cell r="N108">
            <v>44</v>
          </cell>
          <cell r="O108" t="str">
            <v>08</v>
          </cell>
          <cell r="P108">
            <v>10</v>
          </cell>
          <cell r="Q108">
            <v>21</v>
          </cell>
          <cell r="R108">
            <v>12</v>
          </cell>
          <cell r="S108" t="str">
            <v>06</v>
          </cell>
          <cell r="T108" t="str">
            <v>09</v>
          </cell>
        </row>
        <row r="109">
          <cell r="A109" t="str">
            <v>VIDRO 2333X360X4</v>
          </cell>
          <cell r="B109">
            <v>121585</v>
          </cell>
          <cell r="C109">
            <v>181012481</v>
          </cell>
          <cell r="D109" t="str">
            <v>05</v>
          </cell>
          <cell r="E109">
            <v>27</v>
          </cell>
          <cell r="F109">
            <v>26</v>
          </cell>
          <cell r="G109">
            <v>49</v>
          </cell>
          <cell r="H109">
            <v>50</v>
          </cell>
          <cell r="I109">
            <v>51</v>
          </cell>
          <cell r="J109">
            <v>52</v>
          </cell>
          <cell r="K109">
            <v>13</v>
          </cell>
          <cell r="L109">
            <v>15</v>
          </cell>
          <cell r="M109">
            <v>38</v>
          </cell>
          <cell r="N109">
            <v>44</v>
          </cell>
          <cell r="O109" t="str">
            <v>08</v>
          </cell>
          <cell r="P109">
            <v>10</v>
          </cell>
          <cell r="Q109">
            <v>21</v>
          </cell>
          <cell r="R109">
            <v>12</v>
          </cell>
          <cell r="S109" t="str">
            <v>06</v>
          </cell>
          <cell r="T109" t="str">
            <v>09</v>
          </cell>
        </row>
        <row r="110">
          <cell r="A110" t="str">
            <v>VIDRO 2333X410X4</v>
          </cell>
          <cell r="B110">
            <v>121586</v>
          </cell>
          <cell r="C110">
            <v>181012482</v>
          </cell>
          <cell r="D110" t="str">
            <v>05</v>
          </cell>
          <cell r="E110">
            <v>27</v>
          </cell>
          <cell r="F110">
            <v>26</v>
          </cell>
          <cell r="G110">
            <v>49</v>
          </cell>
          <cell r="H110">
            <v>50</v>
          </cell>
          <cell r="I110">
            <v>51</v>
          </cell>
          <cell r="J110">
            <v>52</v>
          </cell>
          <cell r="K110">
            <v>13</v>
          </cell>
          <cell r="L110">
            <v>15</v>
          </cell>
          <cell r="M110">
            <v>38</v>
          </cell>
          <cell r="N110">
            <v>44</v>
          </cell>
          <cell r="O110" t="str">
            <v>08</v>
          </cell>
          <cell r="P110">
            <v>10</v>
          </cell>
          <cell r="Q110">
            <v>21</v>
          </cell>
          <cell r="R110">
            <v>12</v>
          </cell>
          <cell r="S110" t="str">
            <v>06</v>
          </cell>
          <cell r="T110" t="str">
            <v>09</v>
          </cell>
        </row>
        <row r="111">
          <cell r="A111" t="str">
            <v>VIDRO 2333X460X4</v>
          </cell>
          <cell r="B111">
            <v>121587</v>
          </cell>
          <cell r="C111">
            <v>181012483</v>
          </cell>
          <cell r="D111" t="str">
            <v>05</v>
          </cell>
          <cell r="E111">
            <v>27</v>
          </cell>
          <cell r="F111">
            <v>26</v>
          </cell>
          <cell r="G111">
            <v>49</v>
          </cell>
          <cell r="H111">
            <v>50</v>
          </cell>
          <cell r="I111">
            <v>51</v>
          </cell>
          <cell r="J111">
            <v>52</v>
          </cell>
          <cell r="K111">
            <v>13</v>
          </cell>
          <cell r="L111">
            <v>15</v>
          </cell>
          <cell r="M111">
            <v>38</v>
          </cell>
          <cell r="N111">
            <v>44</v>
          </cell>
          <cell r="O111" t="str">
            <v>08</v>
          </cell>
          <cell r="P111">
            <v>10</v>
          </cell>
          <cell r="Q111">
            <v>21</v>
          </cell>
          <cell r="R111">
            <v>12</v>
          </cell>
          <cell r="S111" t="str">
            <v>06</v>
          </cell>
          <cell r="T111" t="str">
            <v>09</v>
          </cell>
        </row>
        <row r="112">
          <cell r="A112" t="str">
            <v>VIDRO 2333X560X4</v>
          </cell>
          <cell r="B112">
            <v>121588</v>
          </cell>
          <cell r="C112">
            <v>181012484</v>
          </cell>
          <cell r="D112" t="str">
            <v>05</v>
          </cell>
          <cell r="E112">
            <v>27</v>
          </cell>
          <cell r="F112">
            <v>26</v>
          </cell>
          <cell r="G112">
            <v>49</v>
          </cell>
          <cell r="H112">
            <v>50</v>
          </cell>
          <cell r="I112">
            <v>51</v>
          </cell>
          <cell r="J112">
            <v>52</v>
          </cell>
          <cell r="K112">
            <v>13</v>
          </cell>
          <cell r="L112">
            <v>15</v>
          </cell>
          <cell r="M112">
            <v>38</v>
          </cell>
          <cell r="N112">
            <v>44</v>
          </cell>
          <cell r="O112" t="str">
            <v>08</v>
          </cell>
          <cell r="P112">
            <v>10</v>
          </cell>
          <cell r="Q112">
            <v>21</v>
          </cell>
          <cell r="R112">
            <v>12</v>
          </cell>
          <cell r="S112" t="str">
            <v>06</v>
          </cell>
          <cell r="T112" t="str">
            <v>09</v>
          </cell>
        </row>
        <row r="113">
          <cell r="A113" t="str">
            <v>VIDRO 409X594X4</v>
          </cell>
          <cell r="B113">
            <v>121560</v>
          </cell>
          <cell r="C113">
            <v>181021560</v>
          </cell>
          <cell r="D113" t="str">
            <v>05</v>
          </cell>
          <cell r="E113">
            <v>27</v>
          </cell>
          <cell r="F113">
            <v>26</v>
          </cell>
          <cell r="G113">
            <v>49</v>
          </cell>
          <cell r="H113">
            <v>50</v>
          </cell>
          <cell r="I113">
            <v>51</v>
          </cell>
          <cell r="J113">
            <v>52</v>
          </cell>
          <cell r="K113">
            <v>13</v>
          </cell>
          <cell r="L113">
            <v>15</v>
          </cell>
          <cell r="M113">
            <v>38</v>
          </cell>
          <cell r="N113">
            <v>44</v>
          </cell>
          <cell r="O113" t="str">
            <v>08</v>
          </cell>
          <cell r="P113">
            <v>10</v>
          </cell>
          <cell r="Q113">
            <v>21</v>
          </cell>
          <cell r="R113">
            <v>12</v>
          </cell>
          <cell r="S113" t="str">
            <v>06</v>
          </cell>
          <cell r="T113" t="str">
            <v>09</v>
          </cell>
        </row>
        <row r="114">
          <cell r="A114" t="str">
            <v>VIDRO 409X694X4</v>
          </cell>
          <cell r="B114">
            <v>121561</v>
          </cell>
          <cell r="C114">
            <v>181021561</v>
          </cell>
          <cell r="D114" t="str">
            <v>05</v>
          </cell>
          <cell r="E114" t="str">
            <v>27</v>
          </cell>
          <cell r="F114" t="str">
            <v>26</v>
          </cell>
          <cell r="G114">
            <v>49</v>
          </cell>
          <cell r="H114">
            <v>50</v>
          </cell>
          <cell r="I114">
            <v>51</v>
          </cell>
          <cell r="J114">
            <v>52</v>
          </cell>
          <cell r="K114" t="str">
            <v>13</v>
          </cell>
          <cell r="L114" t="str">
            <v>15</v>
          </cell>
          <cell r="M114" t="str">
            <v>38</v>
          </cell>
          <cell r="N114" t="str">
            <v>44</v>
          </cell>
          <cell r="O114" t="str">
            <v>08</v>
          </cell>
          <cell r="P114" t="str">
            <v>10</v>
          </cell>
          <cell r="Q114" t="str">
            <v>21</v>
          </cell>
          <cell r="R114" t="str">
            <v>12</v>
          </cell>
          <cell r="S114" t="str">
            <v>06</v>
          </cell>
          <cell r="T114" t="str">
            <v>09</v>
          </cell>
        </row>
        <row r="115">
          <cell r="A115" t="str">
            <v>VIDRO 409X794X4</v>
          </cell>
          <cell r="B115">
            <v>121562</v>
          </cell>
          <cell r="C115">
            <v>181021562</v>
          </cell>
          <cell r="D115" t="str">
            <v>05</v>
          </cell>
          <cell r="E115">
            <v>27</v>
          </cell>
          <cell r="F115">
            <v>26</v>
          </cell>
          <cell r="G115">
            <v>49</v>
          </cell>
          <cell r="H115">
            <v>50</v>
          </cell>
          <cell r="I115">
            <v>51</v>
          </cell>
          <cell r="J115">
            <v>52</v>
          </cell>
          <cell r="K115">
            <v>13</v>
          </cell>
          <cell r="L115">
            <v>15</v>
          </cell>
          <cell r="M115">
            <v>38</v>
          </cell>
          <cell r="N115">
            <v>44</v>
          </cell>
          <cell r="O115" t="str">
            <v>08</v>
          </cell>
          <cell r="P115">
            <v>10</v>
          </cell>
          <cell r="Q115">
            <v>21</v>
          </cell>
          <cell r="R115">
            <v>12</v>
          </cell>
          <cell r="S115" t="str">
            <v>06</v>
          </cell>
          <cell r="T115" t="str">
            <v>09</v>
          </cell>
        </row>
        <row r="116">
          <cell r="A116" t="str">
            <v>VIDRO 409X894X4</v>
          </cell>
          <cell r="B116">
            <v>121563</v>
          </cell>
          <cell r="C116">
            <v>181021563</v>
          </cell>
          <cell r="D116" t="str">
            <v>05</v>
          </cell>
          <cell r="E116" t="str">
            <v>27</v>
          </cell>
          <cell r="F116" t="str">
            <v>26</v>
          </cell>
          <cell r="G116">
            <v>49</v>
          </cell>
          <cell r="H116">
            <v>50</v>
          </cell>
          <cell r="I116">
            <v>51</v>
          </cell>
          <cell r="J116">
            <v>52</v>
          </cell>
          <cell r="K116" t="str">
            <v>13</v>
          </cell>
          <cell r="L116" t="str">
            <v>15</v>
          </cell>
          <cell r="M116" t="str">
            <v>38</v>
          </cell>
          <cell r="N116" t="str">
            <v>44</v>
          </cell>
          <cell r="O116" t="str">
            <v>08</v>
          </cell>
          <cell r="P116" t="str">
            <v>10</v>
          </cell>
          <cell r="Q116" t="str">
            <v>21</v>
          </cell>
          <cell r="R116" t="str">
            <v>12</v>
          </cell>
          <cell r="S116" t="str">
            <v>06</v>
          </cell>
          <cell r="T116" t="str">
            <v>09</v>
          </cell>
        </row>
        <row r="117">
          <cell r="A117" t="str">
            <v>VIDRO 409X994X4</v>
          </cell>
          <cell r="B117">
            <v>121564</v>
          </cell>
          <cell r="C117">
            <v>181021564</v>
          </cell>
          <cell r="D117" t="str">
            <v>05</v>
          </cell>
          <cell r="E117">
            <v>27</v>
          </cell>
          <cell r="F117">
            <v>26</v>
          </cell>
          <cell r="G117">
            <v>49</v>
          </cell>
          <cell r="H117">
            <v>50</v>
          </cell>
          <cell r="I117">
            <v>51</v>
          </cell>
          <cell r="J117">
            <v>52</v>
          </cell>
          <cell r="K117">
            <v>13</v>
          </cell>
          <cell r="L117">
            <v>15</v>
          </cell>
          <cell r="M117">
            <v>38</v>
          </cell>
          <cell r="N117">
            <v>44</v>
          </cell>
          <cell r="O117" t="str">
            <v>08</v>
          </cell>
          <cell r="P117">
            <v>10</v>
          </cell>
          <cell r="Q117">
            <v>21</v>
          </cell>
          <cell r="R117">
            <v>12</v>
          </cell>
          <cell r="S117" t="str">
            <v>06</v>
          </cell>
          <cell r="T117" t="str">
            <v>09</v>
          </cell>
        </row>
        <row r="118">
          <cell r="A118" t="str">
            <v>VIDRO 409X1094X4</v>
          </cell>
          <cell r="B118">
            <v>121565</v>
          </cell>
          <cell r="C118">
            <v>181021565</v>
          </cell>
          <cell r="D118" t="str">
            <v>05</v>
          </cell>
          <cell r="E118" t="str">
            <v>27</v>
          </cell>
          <cell r="F118" t="str">
            <v>26</v>
          </cell>
          <cell r="G118">
            <v>49</v>
          </cell>
          <cell r="H118">
            <v>50</v>
          </cell>
          <cell r="I118">
            <v>51</v>
          </cell>
          <cell r="J118">
            <v>52</v>
          </cell>
          <cell r="K118" t="str">
            <v>13</v>
          </cell>
          <cell r="L118" t="str">
            <v>15</v>
          </cell>
          <cell r="M118" t="str">
            <v>38</v>
          </cell>
          <cell r="N118" t="str">
            <v>44</v>
          </cell>
          <cell r="O118" t="str">
            <v>08</v>
          </cell>
          <cell r="P118" t="str">
            <v>10</v>
          </cell>
          <cell r="Q118" t="str">
            <v>21</v>
          </cell>
          <cell r="R118" t="str">
            <v>12</v>
          </cell>
          <cell r="S118" t="str">
            <v>06</v>
          </cell>
          <cell r="T118" t="str">
            <v>09</v>
          </cell>
        </row>
        <row r="119">
          <cell r="A119" t="str">
            <v>VIDRO 409X1194X4</v>
          </cell>
          <cell r="B119">
            <v>121566</v>
          </cell>
          <cell r="C119">
            <v>181021566</v>
          </cell>
          <cell r="D119" t="str">
            <v>05</v>
          </cell>
          <cell r="E119">
            <v>27</v>
          </cell>
          <cell r="F119">
            <v>26</v>
          </cell>
          <cell r="G119">
            <v>49</v>
          </cell>
          <cell r="H119">
            <v>50</v>
          </cell>
          <cell r="I119">
            <v>51</v>
          </cell>
          <cell r="J119">
            <v>52</v>
          </cell>
          <cell r="K119">
            <v>13</v>
          </cell>
          <cell r="L119">
            <v>15</v>
          </cell>
          <cell r="M119">
            <v>38</v>
          </cell>
          <cell r="N119">
            <v>44</v>
          </cell>
          <cell r="O119" t="str">
            <v>08</v>
          </cell>
          <cell r="P119">
            <v>10</v>
          </cell>
          <cell r="Q119">
            <v>21</v>
          </cell>
          <cell r="R119">
            <v>12</v>
          </cell>
          <cell r="S119" t="str">
            <v>06</v>
          </cell>
          <cell r="T119" t="str">
            <v>09</v>
          </cell>
        </row>
        <row r="120">
          <cell r="A120" t="str">
            <v>VIDRO 409X1394X4</v>
          </cell>
          <cell r="B120">
            <v>121567</v>
          </cell>
          <cell r="C120">
            <v>181021567</v>
          </cell>
          <cell r="D120" t="str">
            <v>05</v>
          </cell>
          <cell r="E120" t="str">
            <v>27</v>
          </cell>
          <cell r="F120" t="str">
            <v>26</v>
          </cell>
          <cell r="G120">
            <v>49</v>
          </cell>
          <cell r="H120">
            <v>50</v>
          </cell>
          <cell r="I120">
            <v>51</v>
          </cell>
          <cell r="J120">
            <v>52</v>
          </cell>
          <cell r="K120" t="str">
            <v>13</v>
          </cell>
          <cell r="L120" t="str">
            <v>15</v>
          </cell>
          <cell r="M120" t="str">
            <v>38</v>
          </cell>
          <cell r="N120" t="str">
            <v>44</v>
          </cell>
          <cell r="O120" t="str">
            <v>08</v>
          </cell>
          <cell r="P120" t="str">
            <v>10</v>
          </cell>
          <cell r="Q120" t="str">
            <v>21</v>
          </cell>
          <cell r="R120" t="str">
            <v>12</v>
          </cell>
          <cell r="S120" t="str">
            <v>06</v>
          </cell>
          <cell r="T120" t="str">
            <v>09</v>
          </cell>
        </row>
        <row r="121">
          <cell r="A121" t="str">
            <v>VIDRO 444X594X4</v>
          </cell>
          <cell r="B121">
            <v>121568</v>
          </cell>
          <cell r="C121">
            <v>181021568</v>
          </cell>
          <cell r="D121" t="str">
            <v>05</v>
          </cell>
          <cell r="E121">
            <v>27</v>
          </cell>
          <cell r="F121">
            <v>26</v>
          </cell>
          <cell r="G121">
            <v>49</v>
          </cell>
          <cell r="H121">
            <v>50</v>
          </cell>
          <cell r="I121">
            <v>51</v>
          </cell>
          <cell r="J121">
            <v>52</v>
          </cell>
          <cell r="K121">
            <v>13</v>
          </cell>
          <cell r="L121">
            <v>15</v>
          </cell>
          <cell r="M121">
            <v>38</v>
          </cell>
          <cell r="N121">
            <v>44</v>
          </cell>
          <cell r="O121" t="str">
            <v>08</v>
          </cell>
          <cell r="P121">
            <v>10</v>
          </cell>
          <cell r="Q121">
            <v>21</v>
          </cell>
          <cell r="R121">
            <v>12</v>
          </cell>
          <cell r="S121" t="str">
            <v>06</v>
          </cell>
          <cell r="T121" t="str">
            <v>09</v>
          </cell>
        </row>
        <row r="122">
          <cell r="A122" t="str">
            <v>VIDRO 444X694X4</v>
          </cell>
          <cell r="B122">
            <v>121569</v>
          </cell>
          <cell r="C122">
            <v>181021569</v>
          </cell>
          <cell r="D122" t="str">
            <v>05</v>
          </cell>
          <cell r="E122" t="str">
            <v>27</v>
          </cell>
          <cell r="F122" t="str">
            <v>26</v>
          </cell>
          <cell r="G122">
            <v>49</v>
          </cell>
          <cell r="H122">
            <v>50</v>
          </cell>
          <cell r="I122">
            <v>51</v>
          </cell>
          <cell r="J122">
            <v>52</v>
          </cell>
          <cell r="K122" t="str">
            <v>13</v>
          </cell>
          <cell r="L122" t="str">
            <v>15</v>
          </cell>
          <cell r="M122" t="str">
            <v>38</v>
          </cell>
          <cell r="N122" t="str">
            <v>44</v>
          </cell>
          <cell r="O122" t="str">
            <v>08</v>
          </cell>
          <cell r="P122" t="str">
            <v>10</v>
          </cell>
          <cell r="Q122" t="str">
            <v>21</v>
          </cell>
          <cell r="R122" t="str">
            <v>12</v>
          </cell>
          <cell r="S122" t="str">
            <v>06</v>
          </cell>
          <cell r="T122" t="str">
            <v>09</v>
          </cell>
        </row>
        <row r="123">
          <cell r="A123" t="str">
            <v>VIDRO 444X794X4</v>
          </cell>
          <cell r="B123">
            <v>121570</v>
          </cell>
          <cell r="C123">
            <v>181021570</v>
          </cell>
          <cell r="D123" t="str">
            <v>05</v>
          </cell>
          <cell r="E123">
            <v>27</v>
          </cell>
          <cell r="F123">
            <v>26</v>
          </cell>
          <cell r="G123">
            <v>49</v>
          </cell>
          <cell r="H123">
            <v>50</v>
          </cell>
          <cell r="I123">
            <v>51</v>
          </cell>
          <cell r="J123">
            <v>52</v>
          </cell>
          <cell r="K123">
            <v>13</v>
          </cell>
          <cell r="L123">
            <v>15</v>
          </cell>
          <cell r="M123">
            <v>38</v>
          </cell>
          <cell r="N123">
            <v>44</v>
          </cell>
          <cell r="O123" t="str">
            <v>08</v>
          </cell>
          <cell r="P123">
            <v>10</v>
          </cell>
          <cell r="Q123">
            <v>21</v>
          </cell>
          <cell r="R123">
            <v>12</v>
          </cell>
          <cell r="S123" t="str">
            <v>06</v>
          </cell>
          <cell r="T123" t="str">
            <v>09</v>
          </cell>
        </row>
        <row r="124">
          <cell r="A124" t="str">
            <v>VIDRO 444X894X4</v>
          </cell>
          <cell r="B124">
            <v>121571</v>
          </cell>
          <cell r="C124">
            <v>181021571</v>
          </cell>
          <cell r="D124" t="str">
            <v>05</v>
          </cell>
          <cell r="E124" t="str">
            <v>27</v>
          </cell>
          <cell r="F124" t="str">
            <v>26</v>
          </cell>
          <cell r="G124">
            <v>49</v>
          </cell>
          <cell r="H124">
            <v>50</v>
          </cell>
          <cell r="I124">
            <v>51</v>
          </cell>
          <cell r="J124">
            <v>52</v>
          </cell>
          <cell r="K124" t="str">
            <v>13</v>
          </cell>
          <cell r="L124" t="str">
            <v>15</v>
          </cell>
          <cell r="M124" t="str">
            <v>38</v>
          </cell>
          <cell r="N124" t="str">
            <v>44</v>
          </cell>
          <cell r="O124" t="str">
            <v>08</v>
          </cell>
          <cell r="P124" t="str">
            <v>10</v>
          </cell>
          <cell r="Q124" t="str">
            <v>21</v>
          </cell>
          <cell r="R124" t="str">
            <v>12</v>
          </cell>
          <cell r="S124" t="str">
            <v>06</v>
          </cell>
          <cell r="T124" t="str">
            <v>09</v>
          </cell>
        </row>
        <row r="125">
          <cell r="A125" t="str">
            <v>VIDRO 444X994X4</v>
          </cell>
          <cell r="B125">
            <v>121572</v>
          </cell>
          <cell r="C125">
            <v>181021572</v>
          </cell>
          <cell r="D125" t="str">
            <v>05</v>
          </cell>
          <cell r="E125">
            <v>27</v>
          </cell>
          <cell r="F125">
            <v>26</v>
          </cell>
          <cell r="G125">
            <v>49</v>
          </cell>
          <cell r="H125">
            <v>50</v>
          </cell>
          <cell r="I125">
            <v>51</v>
          </cell>
          <cell r="J125">
            <v>52</v>
          </cell>
          <cell r="K125">
            <v>13</v>
          </cell>
          <cell r="L125">
            <v>15</v>
          </cell>
          <cell r="M125">
            <v>38</v>
          </cell>
          <cell r="N125">
            <v>44</v>
          </cell>
          <cell r="O125" t="str">
            <v>08</v>
          </cell>
          <cell r="P125">
            <v>10</v>
          </cell>
          <cell r="Q125">
            <v>21</v>
          </cell>
          <cell r="R125">
            <v>12</v>
          </cell>
          <cell r="S125" t="str">
            <v>06</v>
          </cell>
          <cell r="T125" t="str">
            <v>09</v>
          </cell>
        </row>
        <row r="126">
          <cell r="A126" t="str">
            <v>VIDRO 444X1094X4</v>
          </cell>
          <cell r="B126">
            <v>121573</v>
          </cell>
          <cell r="C126">
            <v>181021573</v>
          </cell>
          <cell r="D126" t="str">
            <v>05</v>
          </cell>
          <cell r="E126" t="str">
            <v>27</v>
          </cell>
          <cell r="F126" t="str">
            <v>26</v>
          </cell>
          <cell r="G126">
            <v>49</v>
          </cell>
          <cell r="H126">
            <v>50</v>
          </cell>
          <cell r="I126">
            <v>51</v>
          </cell>
          <cell r="J126">
            <v>52</v>
          </cell>
          <cell r="K126" t="str">
            <v>13</v>
          </cell>
          <cell r="L126" t="str">
            <v>15</v>
          </cell>
          <cell r="M126" t="str">
            <v>38</v>
          </cell>
          <cell r="N126" t="str">
            <v>44</v>
          </cell>
          <cell r="O126" t="str">
            <v>08</v>
          </cell>
          <cell r="P126" t="str">
            <v>10</v>
          </cell>
          <cell r="Q126" t="str">
            <v>21</v>
          </cell>
          <cell r="R126" t="str">
            <v>12</v>
          </cell>
          <cell r="S126" t="str">
            <v>06</v>
          </cell>
          <cell r="T126" t="str">
            <v>09</v>
          </cell>
        </row>
        <row r="127">
          <cell r="A127" t="str">
            <v>VIDRO 444X1194X4</v>
          </cell>
          <cell r="B127">
            <v>121574</v>
          </cell>
          <cell r="C127">
            <v>181021574</v>
          </cell>
          <cell r="D127" t="str">
            <v>05</v>
          </cell>
          <cell r="E127">
            <v>27</v>
          </cell>
          <cell r="F127">
            <v>26</v>
          </cell>
          <cell r="G127">
            <v>49</v>
          </cell>
          <cell r="H127">
            <v>50</v>
          </cell>
          <cell r="I127">
            <v>51</v>
          </cell>
          <cell r="J127">
            <v>52</v>
          </cell>
          <cell r="K127">
            <v>13</v>
          </cell>
          <cell r="L127">
            <v>15</v>
          </cell>
          <cell r="M127">
            <v>38</v>
          </cell>
          <cell r="N127">
            <v>44</v>
          </cell>
          <cell r="O127" t="str">
            <v>08</v>
          </cell>
          <cell r="P127">
            <v>10</v>
          </cell>
          <cell r="Q127">
            <v>21</v>
          </cell>
          <cell r="R127">
            <v>12</v>
          </cell>
          <cell r="S127" t="str">
            <v>06</v>
          </cell>
          <cell r="T127" t="str">
            <v>09</v>
          </cell>
        </row>
        <row r="128">
          <cell r="A128" t="str">
            <v>VIDRO 444X1394X4</v>
          </cell>
          <cell r="B128">
            <v>121575</v>
          </cell>
          <cell r="C128">
            <v>181021575</v>
          </cell>
          <cell r="D128" t="str">
            <v>05</v>
          </cell>
          <cell r="E128" t="str">
            <v>27</v>
          </cell>
          <cell r="F128" t="str">
            <v>26</v>
          </cell>
          <cell r="G128">
            <v>49</v>
          </cell>
          <cell r="H128">
            <v>50</v>
          </cell>
          <cell r="I128">
            <v>51</v>
          </cell>
          <cell r="J128">
            <v>52</v>
          </cell>
          <cell r="K128" t="str">
            <v>13</v>
          </cell>
          <cell r="L128" t="str">
            <v>15</v>
          </cell>
          <cell r="M128" t="str">
            <v>38</v>
          </cell>
          <cell r="N128" t="str">
            <v>44</v>
          </cell>
          <cell r="O128" t="str">
            <v>08</v>
          </cell>
          <cell r="P128" t="str">
            <v>10</v>
          </cell>
          <cell r="Q128" t="str">
            <v>21</v>
          </cell>
          <cell r="R128" t="str">
            <v>12</v>
          </cell>
          <cell r="S128" t="str">
            <v>06</v>
          </cell>
          <cell r="T128" t="str">
            <v>09</v>
          </cell>
        </row>
      </sheetData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2717-0F54-4C66-B100-1D12147EA9B8}">
  <sheetPr codeName="Planilha1"/>
  <dimension ref="A1:S73"/>
  <sheetViews>
    <sheetView tabSelected="1" zoomScale="70" zoomScaleNormal="70" workbookViewId="0">
      <selection activeCell="U27" sqref="U27"/>
    </sheetView>
  </sheetViews>
  <sheetFormatPr defaultRowHeight="15" x14ac:dyDescent="0.25"/>
  <cols>
    <col min="1" max="3" width="14.7109375" style="57" customWidth="1"/>
    <col min="4" max="13" width="14.42578125" style="57" customWidth="1"/>
    <col min="14" max="14" width="74" style="57" customWidth="1"/>
    <col min="15" max="15" width="18" style="57" bestFit="1" customWidth="1"/>
    <col min="16" max="19" width="10.7109375" style="57" customWidth="1"/>
  </cols>
  <sheetData>
    <row r="1" spans="1:18" ht="23.25" thickBot="1" x14ac:dyDescent="0.35">
      <c r="A1" s="16" t="s">
        <v>90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23.25" thickBot="1" x14ac:dyDescent="0.3">
      <c r="A2" s="62" t="s">
        <v>121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</row>
    <row r="3" spans="1:18" x14ac:dyDescent="0.25">
      <c r="A3" s="64" t="s">
        <v>0</v>
      </c>
      <c r="B3" s="65" t="s">
        <v>1</v>
      </c>
      <c r="C3" s="66" t="s">
        <v>2</v>
      </c>
      <c r="D3" s="67" t="s">
        <v>2</v>
      </c>
      <c r="E3" s="68"/>
      <c r="F3" s="68"/>
      <c r="G3" s="68"/>
      <c r="H3" s="68"/>
      <c r="I3" s="68"/>
      <c r="J3" s="68"/>
      <c r="K3" s="68"/>
      <c r="L3" s="68"/>
      <c r="M3" s="69"/>
      <c r="N3" s="70" t="s">
        <v>3</v>
      </c>
      <c r="O3" s="71" t="s">
        <v>29</v>
      </c>
      <c r="P3" s="72" t="s">
        <v>4</v>
      </c>
      <c r="Q3" s="72"/>
      <c r="R3" s="73"/>
    </row>
    <row r="4" spans="1:18" ht="26.25" thickBot="1" x14ac:dyDescent="0.3">
      <c r="A4" s="74"/>
      <c r="B4" s="75"/>
      <c r="C4" s="76"/>
      <c r="D4" s="14" t="s">
        <v>91</v>
      </c>
      <c r="E4" s="14" t="s">
        <v>92</v>
      </c>
      <c r="F4" s="14" t="s">
        <v>93</v>
      </c>
      <c r="G4" s="14" t="s">
        <v>94</v>
      </c>
      <c r="H4" s="14" t="s">
        <v>95</v>
      </c>
      <c r="I4" s="14" t="s">
        <v>96</v>
      </c>
      <c r="J4" s="14" t="s">
        <v>97</v>
      </c>
      <c r="K4" s="14" t="s">
        <v>5</v>
      </c>
      <c r="L4" s="14" t="s">
        <v>6</v>
      </c>
      <c r="M4" s="14" t="s">
        <v>7</v>
      </c>
      <c r="N4" s="77"/>
      <c r="O4" s="21"/>
      <c r="P4" s="78" t="s">
        <v>8</v>
      </c>
      <c r="Q4" s="78" t="s">
        <v>9</v>
      </c>
      <c r="R4" s="79" t="s">
        <v>10</v>
      </c>
    </row>
    <row r="5" spans="1:18" x14ac:dyDescent="0.25">
      <c r="A5" s="39">
        <v>223795</v>
      </c>
      <c r="B5" s="39">
        <f>VLOOKUP(A5,'[1]AQUA COZ ALUM'!$B$9:$F$285,2,FALSE)</f>
        <v>591108</v>
      </c>
      <c r="C5" s="80"/>
      <c r="D5" s="40" t="s">
        <v>11</v>
      </c>
      <c r="E5" s="40" t="s">
        <v>11</v>
      </c>
      <c r="F5" s="40" t="s">
        <v>11</v>
      </c>
      <c r="G5" s="40" t="s">
        <v>11</v>
      </c>
      <c r="H5" s="40">
        <v>240549</v>
      </c>
      <c r="I5" s="40" t="s">
        <v>11</v>
      </c>
      <c r="J5" s="40" t="s">
        <v>11</v>
      </c>
      <c r="K5" s="40">
        <v>240849</v>
      </c>
      <c r="L5" s="40" t="s">
        <v>11</v>
      </c>
      <c r="M5" s="40" t="s">
        <v>11</v>
      </c>
      <c r="N5" s="81" t="str">
        <f>VLOOKUP(A5,'[1]AQUA COZ ALUM'!$B$9:$F$285,3,FALSE)</f>
        <v>FRENTE FALSA GAV 713X996X18+COR</v>
      </c>
      <c r="O5" s="7" t="s">
        <v>72</v>
      </c>
      <c r="P5" s="82">
        <f>VLOOKUP(A5,'[1]AQUA COZ ALUM'!$B$9:$F$285,4,FALSE)</f>
        <v>713</v>
      </c>
      <c r="Q5" s="83">
        <f>VLOOKUP(A5,'[1]AQUA COZ ALUM'!$B$9:$F$285,5,FALSE)</f>
        <v>996</v>
      </c>
      <c r="R5" s="83">
        <v>19</v>
      </c>
    </row>
    <row r="6" spans="1:18" x14ac:dyDescent="0.25">
      <c r="A6" s="39"/>
      <c r="B6" s="39"/>
      <c r="C6" s="80"/>
      <c r="D6" s="40" t="s">
        <v>11</v>
      </c>
      <c r="E6" s="40" t="s">
        <v>11</v>
      </c>
      <c r="F6" s="40" t="s">
        <v>11</v>
      </c>
      <c r="G6" s="40" t="s">
        <v>11</v>
      </c>
      <c r="H6" s="40">
        <v>240550</v>
      </c>
      <c r="I6" s="40" t="s">
        <v>11</v>
      </c>
      <c r="J6" s="40" t="s">
        <v>11</v>
      </c>
      <c r="K6" s="40" t="s">
        <v>11</v>
      </c>
      <c r="L6" s="40">
        <v>240950</v>
      </c>
      <c r="M6" s="40" t="s">
        <v>11</v>
      </c>
      <c r="N6" s="22"/>
      <c r="O6" s="7" t="s">
        <v>73</v>
      </c>
      <c r="P6" s="23"/>
      <c r="Q6" s="27"/>
      <c r="R6" s="27"/>
    </row>
    <row r="7" spans="1:18" x14ac:dyDescent="0.25">
      <c r="A7" s="39"/>
      <c r="B7" s="39"/>
      <c r="C7" s="80"/>
      <c r="D7" s="40" t="s">
        <v>11</v>
      </c>
      <c r="E7" s="40" t="s">
        <v>11</v>
      </c>
      <c r="F7" s="40" t="s">
        <v>11</v>
      </c>
      <c r="G7" s="40" t="s">
        <v>11</v>
      </c>
      <c r="H7" s="40" t="s">
        <v>11</v>
      </c>
      <c r="I7" s="40" t="s">
        <v>11</v>
      </c>
      <c r="J7" s="40" t="s">
        <v>11</v>
      </c>
      <c r="K7" s="40" t="s">
        <v>11</v>
      </c>
      <c r="L7" s="40" t="s">
        <v>11</v>
      </c>
      <c r="M7" s="40">
        <v>241051</v>
      </c>
      <c r="N7" s="22"/>
      <c r="O7" s="7" t="s">
        <v>74</v>
      </c>
      <c r="P7" s="23"/>
      <c r="Q7" s="27"/>
      <c r="R7" s="27"/>
    </row>
    <row r="8" spans="1:18" x14ac:dyDescent="0.25">
      <c r="A8" s="39"/>
      <c r="B8" s="39"/>
      <c r="C8" s="80"/>
      <c r="D8" s="40">
        <v>240152</v>
      </c>
      <c r="E8" s="40" t="s">
        <v>11</v>
      </c>
      <c r="F8" s="40">
        <v>240352</v>
      </c>
      <c r="G8" s="40" t="s">
        <v>11</v>
      </c>
      <c r="H8" s="40" t="s">
        <v>11</v>
      </c>
      <c r="I8" s="40" t="s">
        <v>11</v>
      </c>
      <c r="J8" s="40">
        <v>240752</v>
      </c>
      <c r="K8" s="40" t="s">
        <v>11</v>
      </c>
      <c r="L8" s="40" t="s">
        <v>11</v>
      </c>
      <c r="M8" s="40" t="s">
        <v>11</v>
      </c>
      <c r="N8" s="22"/>
      <c r="O8" s="7" t="s">
        <v>75</v>
      </c>
      <c r="P8" s="23"/>
      <c r="Q8" s="27"/>
      <c r="R8" s="27"/>
    </row>
    <row r="9" spans="1:18" x14ac:dyDescent="0.25">
      <c r="A9" s="39"/>
      <c r="B9" s="39"/>
      <c r="C9" s="80"/>
      <c r="D9" s="40">
        <v>240105</v>
      </c>
      <c r="E9" s="40">
        <v>240205</v>
      </c>
      <c r="F9" s="40">
        <v>240305</v>
      </c>
      <c r="G9" s="40">
        <v>240405</v>
      </c>
      <c r="H9" s="40">
        <v>240505</v>
      </c>
      <c r="I9" s="40">
        <v>240605</v>
      </c>
      <c r="J9" s="40">
        <v>240705</v>
      </c>
      <c r="K9" s="40">
        <v>240805</v>
      </c>
      <c r="L9" s="40">
        <v>240905</v>
      </c>
      <c r="M9" s="40">
        <v>241005</v>
      </c>
      <c r="N9" s="22"/>
      <c r="O9" s="41" t="s">
        <v>98</v>
      </c>
      <c r="P9" s="23"/>
      <c r="Q9" s="27"/>
      <c r="R9" s="27"/>
    </row>
    <row r="10" spans="1:18" x14ac:dyDescent="0.25">
      <c r="A10" s="39"/>
      <c r="B10" s="39"/>
      <c r="C10" s="80"/>
      <c r="D10" s="40">
        <v>240112</v>
      </c>
      <c r="E10" s="40">
        <v>240212</v>
      </c>
      <c r="F10" s="40">
        <v>240312</v>
      </c>
      <c r="G10" s="40">
        <v>240405</v>
      </c>
      <c r="H10" s="40">
        <v>240512</v>
      </c>
      <c r="I10" s="40">
        <v>240612</v>
      </c>
      <c r="J10" s="40">
        <v>240712</v>
      </c>
      <c r="K10" s="40" t="s">
        <v>11</v>
      </c>
      <c r="L10" s="40">
        <v>240912</v>
      </c>
      <c r="M10" s="40" t="s">
        <v>11</v>
      </c>
      <c r="N10" s="22"/>
      <c r="O10" s="41" t="s">
        <v>76</v>
      </c>
      <c r="P10" s="23"/>
      <c r="Q10" s="27"/>
      <c r="R10" s="27"/>
    </row>
    <row r="11" spans="1:18" x14ac:dyDescent="0.25">
      <c r="A11" s="39"/>
      <c r="B11" s="39"/>
      <c r="C11" s="80"/>
      <c r="D11" s="40">
        <v>240127</v>
      </c>
      <c r="E11" s="40">
        <v>240227</v>
      </c>
      <c r="F11" s="40">
        <v>240327</v>
      </c>
      <c r="G11" s="40">
        <v>240427</v>
      </c>
      <c r="H11" s="40">
        <v>240527</v>
      </c>
      <c r="I11" s="40">
        <v>240627</v>
      </c>
      <c r="J11" s="40">
        <v>240727</v>
      </c>
      <c r="K11" s="40">
        <v>240827</v>
      </c>
      <c r="L11" s="40" t="s">
        <v>11</v>
      </c>
      <c r="M11" s="40">
        <v>241027</v>
      </c>
      <c r="N11" s="22"/>
      <c r="O11" s="41" t="s">
        <v>99</v>
      </c>
      <c r="P11" s="23"/>
      <c r="Q11" s="27"/>
      <c r="R11" s="27"/>
    </row>
    <row r="12" spans="1:18" x14ac:dyDescent="0.25">
      <c r="A12" s="39"/>
      <c r="B12" s="39"/>
      <c r="C12" s="80"/>
      <c r="D12" s="40">
        <v>240126</v>
      </c>
      <c r="E12" s="40">
        <v>240226</v>
      </c>
      <c r="F12" s="40">
        <v>240326</v>
      </c>
      <c r="G12" s="40">
        <v>240426</v>
      </c>
      <c r="H12" s="40">
        <v>240526</v>
      </c>
      <c r="I12" s="40">
        <v>240626</v>
      </c>
      <c r="J12" s="40">
        <v>240726</v>
      </c>
      <c r="K12" s="40">
        <v>240826</v>
      </c>
      <c r="L12" s="40">
        <v>240926</v>
      </c>
      <c r="M12" s="40" t="s">
        <v>11</v>
      </c>
      <c r="N12" s="22"/>
      <c r="O12" s="41" t="s">
        <v>100</v>
      </c>
      <c r="P12" s="23"/>
      <c r="Q12" s="27"/>
      <c r="R12" s="27"/>
    </row>
    <row r="13" spans="1:18" x14ac:dyDescent="0.25">
      <c r="A13" s="39"/>
      <c r="B13" s="39"/>
      <c r="C13" s="80"/>
      <c r="D13" s="40">
        <v>240113</v>
      </c>
      <c r="E13" s="40">
        <v>240213</v>
      </c>
      <c r="F13" s="40">
        <v>240313</v>
      </c>
      <c r="G13" s="40">
        <v>240413</v>
      </c>
      <c r="H13" s="40">
        <v>240513</v>
      </c>
      <c r="I13" s="40">
        <v>240613</v>
      </c>
      <c r="J13" s="40">
        <v>240713</v>
      </c>
      <c r="K13" s="40">
        <v>240813</v>
      </c>
      <c r="L13" s="40">
        <v>240913</v>
      </c>
      <c r="M13" s="40" t="s">
        <v>11</v>
      </c>
      <c r="N13" s="22"/>
      <c r="O13" s="41" t="s">
        <v>101</v>
      </c>
      <c r="P13" s="23"/>
      <c r="Q13" s="27"/>
      <c r="R13" s="27"/>
    </row>
    <row r="14" spans="1:18" x14ac:dyDescent="0.25">
      <c r="A14" s="39"/>
      <c r="B14" s="39"/>
      <c r="C14" s="80"/>
      <c r="D14" s="40">
        <v>240115</v>
      </c>
      <c r="E14" s="40">
        <v>240215</v>
      </c>
      <c r="F14" s="40">
        <v>240315</v>
      </c>
      <c r="G14" s="40">
        <v>240415</v>
      </c>
      <c r="H14" s="40">
        <v>240515</v>
      </c>
      <c r="I14" s="40">
        <v>240615</v>
      </c>
      <c r="J14" s="40">
        <v>240715</v>
      </c>
      <c r="K14" s="40" t="s">
        <v>11</v>
      </c>
      <c r="L14" s="40">
        <v>240915</v>
      </c>
      <c r="M14" s="40" t="s">
        <v>11</v>
      </c>
      <c r="N14" s="22"/>
      <c r="O14" s="41" t="s">
        <v>77</v>
      </c>
      <c r="P14" s="23"/>
      <c r="Q14" s="27"/>
      <c r="R14" s="27"/>
    </row>
    <row r="15" spans="1:18" x14ac:dyDescent="0.25">
      <c r="A15" s="39"/>
      <c r="B15" s="39"/>
      <c r="C15" s="80"/>
      <c r="D15" s="40">
        <v>240138</v>
      </c>
      <c r="E15" s="40">
        <v>240238</v>
      </c>
      <c r="F15" s="40">
        <v>240338</v>
      </c>
      <c r="G15" s="40">
        <v>240438</v>
      </c>
      <c r="H15" s="40">
        <v>240538</v>
      </c>
      <c r="I15" s="40">
        <v>240638</v>
      </c>
      <c r="J15" s="40">
        <v>240738</v>
      </c>
      <c r="K15" s="40" t="s">
        <v>11</v>
      </c>
      <c r="L15" s="40">
        <v>240938</v>
      </c>
      <c r="M15" s="40" t="s">
        <v>11</v>
      </c>
      <c r="N15" s="22"/>
      <c r="O15" s="41" t="s">
        <v>78</v>
      </c>
      <c r="P15" s="23"/>
      <c r="Q15" s="27"/>
      <c r="R15" s="27"/>
    </row>
    <row r="16" spans="1:18" x14ac:dyDescent="0.25">
      <c r="A16" s="39"/>
      <c r="B16" s="39"/>
      <c r="C16" s="80"/>
      <c r="D16" s="40">
        <v>240144</v>
      </c>
      <c r="E16" s="40">
        <v>240244</v>
      </c>
      <c r="F16" s="40">
        <v>240344</v>
      </c>
      <c r="G16" s="40">
        <v>240444</v>
      </c>
      <c r="H16" s="40">
        <v>240544</v>
      </c>
      <c r="I16" s="40">
        <v>240644</v>
      </c>
      <c r="J16" s="40">
        <v>240744</v>
      </c>
      <c r="K16" s="40">
        <v>240844</v>
      </c>
      <c r="L16" s="40">
        <v>240944</v>
      </c>
      <c r="M16" s="40" t="s">
        <v>11</v>
      </c>
      <c r="N16" s="22"/>
      <c r="O16" s="41" t="s">
        <v>79</v>
      </c>
      <c r="P16" s="23"/>
      <c r="Q16" s="27"/>
      <c r="R16" s="27"/>
    </row>
    <row r="17" spans="1:18" x14ac:dyDescent="0.25">
      <c r="A17" s="39"/>
      <c r="B17" s="39"/>
      <c r="C17" s="80"/>
      <c r="D17" s="40">
        <v>240110</v>
      </c>
      <c r="E17" s="40">
        <v>240210</v>
      </c>
      <c r="F17" s="40">
        <v>240310</v>
      </c>
      <c r="G17" s="40">
        <v>240410</v>
      </c>
      <c r="H17" s="40">
        <v>240510</v>
      </c>
      <c r="I17" s="40">
        <v>240610</v>
      </c>
      <c r="J17" s="40">
        <v>240710</v>
      </c>
      <c r="K17" s="40">
        <v>240810</v>
      </c>
      <c r="L17" s="40">
        <v>240910</v>
      </c>
      <c r="M17" s="40" t="s">
        <v>11</v>
      </c>
      <c r="N17" s="22"/>
      <c r="O17" s="41" t="s">
        <v>80</v>
      </c>
      <c r="P17" s="23"/>
      <c r="Q17" s="27"/>
      <c r="R17" s="27"/>
    </row>
    <row r="18" spans="1:18" x14ac:dyDescent="0.25">
      <c r="A18" s="39"/>
      <c r="B18" s="39"/>
      <c r="C18" s="80"/>
      <c r="D18" s="40" t="s">
        <v>11</v>
      </c>
      <c r="E18" s="40" t="s">
        <v>11</v>
      </c>
      <c r="F18" s="40">
        <v>240308</v>
      </c>
      <c r="G18" s="40" t="s">
        <v>11</v>
      </c>
      <c r="H18" s="40">
        <v>240508</v>
      </c>
      <c r="I18" s="40" t="s">
        <v>11</v>
      </c>
      <c r="J18" s="40" t="s">
        <v>11</v>
      </c>
      <c r="K18" s="40" t="s">
        <v>11</v>
      </c>
      <c r="L18" s="40">
        <v>240908</v>
      </c>
      <c r="M18" s="40" t="s">
        <v>11</v>
      </c>
      <c r="N18" s="22"/>
      <c r="O18" s="41" t="s">
        <v>81</v>
      </c>
      <c r="P18" s="23"/>
      <c r="Q18" s="27"/>
      <c r="R18" s="27"/>
    </row>
    <row r="19" spans="1:18" x14ac:dyDescent="0.25">
      <c r="A19" s="39"/>
      <c r="B19" s="39"/>
      <c r="C19" s="80"/>
      <c r="D19" s="40">
        <v>240121</v>
      </c>
      <c r="E19" s="40">
        <v>240221</v>
      </c>
      <c r="F19" s="40">
        <v>240321</v>
      </c>
      <c r="G19" s="40">
        <v>240421</v>
      </c>
      <c r="H19" s="40">
        <v>240521</v>
      </c>
      <c r="I19" s="40">
        <v>240621</v>
      </c>
      <c r="J19" s="40">
        <v>240721</v>
      </c>
      <c r="K19" s="40">
        <v>240821</v>
      </c>
      <c r="L19" s="40" t="s">
        <v>11</v>
      </c>
      <c r="M19" s="40" t="s">
        <v>11</v>
      </c>
      <c r="N19" s="22"/>
      <c r="O19" s="41" t="s">
        <v>82</v>
      </c>
      <c r="P19" s="23"/>
      <c r="Q19" s="27"/>
      <c r="R19" s="27"/>
    </row>
    <row r="20" spans="1:18" x14ac:dyDescent="0.25">
      <c r="A20" s="39"/>
      <c r="B20" s="39"/>
      <c r="C20" s="80"/>
      <c r="D20" s="40">
        <v>240106</v>
      </c>
      <c r="E20" s="40">
        <v>240206</v>
      </c>
      <c r="F20" s="40">
        <v>240306</v>
      </c>
      <c r="G20" s="40">
        <v>240406</v>
      </c>
      <c r="H20" s="40">
        <v>240506</v>
      </c>
      <c r="I20" s="40">
        <v>240606</v>
      </c>
      <c r="J20" s="40">
        <v>240706</v>
      </c>
      <c r="K20" s="40">
        <v>240806</v>
      </c>
      <c r="L20" s="40">
        <v>240906</v>
      </c>
      <c r="M20" s="40" t="s">
        <v>11</v>
      </c>
      <c r="N20" s="22"/>
      <c r="O20" s="41" t="s">
        <v>83</v>
      </c>
      <c r="P20" s="23"/>
      <c r="Q20" s="27"/>
      <c r="R20" s="27"/>
    </row>
    <row r="21" spans="1:18" x14ac:dyDescent="0.25">
      <c r="A21" s="39"/>
      <c r="B21" s="39"/>
      <c r="C21" s="80"/>
      <c r="D21" s="40">
        <v>240109</v>
      </c>
      <c r="E21" s="40">
        <v>240209</v>
      </c>
      <c r="F21" s="40">
        <v>240309</v>
      </c>
      <c r="G21" s="40">
        <v>240409</v>
      </c>
      <c r="H21" s="40">
        <v>240509</v>
      </c>
      <c r="I21" s="40">
        <v>240609</v>
      </c>
      <c r="J21" s="40">
        <v>240709</v>
      </c>
      <c r="K21" s="40">
        <v>240809</v>
      </c>
      <c r="L21" s="40">
        <v>240909</v>
      </c>
      <c r="M21" s="40" t="s">
        <v>11</v>
      </c>
      <c r="N21" s="24"/>
      <c r="O21" s="41" t="s">
        <v>102</v>
      </c>
      <c r="P21" s="25"/>
      <c r="Q21" s="28"/>
      <c r="R21" s="28"/>
    </row>
    <row r="22" spans="1:18" ht="19.5" x14ac:dyDescent="0.25">
      <c r="A22" s="29" t="s">
        <v>84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1"/>
    </row>
    <row r="23" spans="1:18" x14ac:dyDescent="0.25">
      <c r="A23" s="32" t="s">
        <v>12</v>
      </c>
      <c r="B23" s="32" t="s">
        <v>1</v>
      </c>
      <c r="C23" s="32" t="s">
        <v>13</v>
      </c>
      <c r="D23" s="18" t="s">
        <v>2</v>
      </c>
      <c r="E23" s="19"/>
      <c r="F23" s="19"/>
      <c r="G23" s="19"/>
      <c r="H23" s="19"/>
      <c r="I23" s="19"/>
      <c r="J23" s="20"/>
      <c r="K23" s="85"/>
      <c r="L23" s="85"/>
      <c r="M23" s="85"/>
      <c r="N23" s="33" t="s">
        <v>3</v>
      </c>
      <c r="O23" s="35" t="s">
        <v>14</v>
      </c>
      <c r="P23" s="35" t="s">
        <v>15</v>
      </c>
      <c r="Q23" s="35"/>
      <c r="R23" s="35"/>
    </row>
    <row r="24" spans="1:18" ht="25.5" x14ac:dyDescent="0.25">
      <c r="A24" s="32"/>
      <c r="B24" s="32"/>
      <c r="C24" s="32"/>
      <c r="D24" s="14" t="s">
        <v>91</v>
      </c>
      <c r="E24" s="14" t="s">
        <v>92</v>
      </c>
      <c r="F24" s="14" t="s">
        <v>93</v>
      </c>
      <c r="G24" s="14" t="s">
        <v>94</v>
      </c>
      <c r="H24" s="14" t="s">
        <v>95</v>
      </c>
      <c r="I24" s="14" t="s">
        <v>96</v>
      </c>
      <c r="J24" s="14" t="s">
        <v>97</v>
      </c>
      <c r="K24" s="14" t="s">
        <v>5</v>
      </c>
      <c r="L24" s="14" t="s">
        <v>6</v>
      </c>
      <c r="M24" s="14" t="s">
        <v>7</v>
      </c>
      <c r="N24" s="34"/>
      <c r="O24" s="35"/>
      <c r="P24" s="15" t="s">
        <v>16</v>
      </c>
      <c r="Q24" s="15" t="s">
        <v>9</v>
      </c>
      <c r="R24" s="15" t="s">
        <v>10</v>
      </c>
    </row>
    <row r="25" spans="1:18" x14ac:dyDescent="0.25">
      <c r="A25" s="1">
        <v>595967</v>
      </c>
      <c r="B25" s="1"/>
      <c r="C25" s="1"/>
      <c r="D25" s="1">
        <v>2101</v>
      </c>
      <c r="E25" s="1">
        <v>2102</v>
      </c>
      <c r="F25" s="1">
        <v>2103</v>
      </c>
      <c r="G25" s="1">
        <v>2104</v>
      </c>
      <c r="H25" s="1">
        <v>2105</v>
      </c>
      <c r="I25" s="1">
        <v>2106</v>
      </c>
      <c r="J25" s="1">
        <v>2107</v>
      </c>
      <c r="K25" s="1">
        <v>2108</v>
      </c>
      <c r="L25" s="1">
        <v>2109</v>
      </c>
      <c r="M25" s="1">
        <v>2110</v>
      </c>
      <c r="N25" s="2" t="str">
        <f>VLOOKUP(A25,'[2]PERFIL ALUM COZ'!$A$6:$P$161,13,FALSE)</f>
        <v>LATERAL DIR FTE FALSA MAIOR TERRA 678X45X14+COR</v>
      </c>
      <c r="O25" s="26">
        <v>1</v>
      </c>
      <c r="P25" s="26">
        <f>VLOOKUP(A25,'[2]PERFIL ALUM COZ'!$A$6:$P$161,14,FALSE)</f>
        <v>678</v>
      </c>
      <c r="Q25" s="26">
        <f>VLOOKUP(A25,'[2]PERFIL ALUM COZ'!$A$6:$P$161,15,FALSE)</f>
        <v>45.2</v>
      </c>
      <c r="R25" s="26">
        <f>VLOOKUP(A25,'[2]PERFIL ALUM COZ'!$A$6:$P$161,16,FALSE)</f>
        <v>14</v>
      </c>
    </row>
    <row r="26" spans="1:18" x14ac:dyDescent="0.25">
      <c r="A26" s="2"/>
      <c r="B26" s="1">
        <f>A25</f>
        <v>595967</v>
      </c>
      <c r="C26" s="2"/>
      <c r="D26" s="1">
        <v>2100</v>
      </c>
      <c r="E26" s="1">
        <v>2100</v>
      </c>
      <c r="F26" s="1">
        <v>2100</v>
      </c>
      <c r="G26" s="1">
        <v>2100</v>
      </c>
      <c r="H26" s="1">
        <v>2100</v>
      </c>
      <c r="I26" s="1">
        <v>2100</v>
      </c>
      <c r="J26" s="1">
        <v>2100</v>
      </c>
      <c r="K26" s="1">
        <v>2100</v>
      </c>
      <c r="L26" s="1">
        <v>2100</v>
      </c>
      <c r="M26" s="1">
        <v>2100</v>
      </c>
      <c r="N26" s="2" t="str">
        <f>SUBSTITUTE(N25,"+ COR", "- NATURAL")</f>
        <v>LATERAL DIR FTE FALSA MAIOR TERRA 678X45X14+COR</v>
      </c>
      <c r="O26" s="28"/>
      <c r="P26" s="28"/>
      <c r="Q26" s="28"/>
      <c r="R26" s="28"/>
    </row>
    <row r="27" spans="1:18" x14ac:dyDescent="0.25">
      <c r="A27" s="6"/>
      <c r="B27" s="9"/>
      <c r="C27" s="3">
        <v>1020141</v>
      </c>
      <c r="D27" s="3" t="s">
        <v>11</v>
      </c>
      <c r="E27" s="3" t="s">
        <v>11</v>
      </c>
      <c r="F27" s="3" t="s">
        <v>11</v>
      </c>
      <c r="G27" s="3" t="s">
        <v>11</v>
      </c>
      <c r="H27" s="3" t="s">
        <v>11</v>
      </c>
      <c r="I27" s="3" t="s">
        <v>11</v>
      </c>
      <c r="J27" s="3" t="s">
        <v>11</v>
      </c>
      <c r="K27" s="9" t="s">
        <v>11</v>
      </c>
      <c r="L27" s="9" t="s">
        <v>11</v>
      </c>
      <c r="M27" s="9" t="s">
        <v>11</v>
      </c>
      <c r="N27" s="4" t="s">
        <v>103</v>
      </c>
      <c r="O27" s="44"/>
      <c r="P27" s="44"/>
      <c r="Q27" s="44"/>
      <c r="R27" s="45"/>
    </row>
    <row r="28" spans="1:18" x14ac:dyDescent="0.25">
      <c r="A28" s="6"/>
      <c r="B28" s="3">
        <v>595220</v>
      </c>
      <c r="C28" s="3"/>
      <c r="D28" s="5" t="s">
        <v>17</v>
      </c>
      <c r="E28" s="5" t="s">
        <v>18</v>
      </c>
      <c r="F28" s="5" t="s">
        <v>19</v>
      </c>
      <c r="G28" s="5" t="s">
        <v>20</v>
      </c>
      <c r="H28" s="5" t="s">
        <v>21</v>
      </c>
      <c r="I28" s="5" t="s">
        <v>22</v>
      </c>
      <c r="J28" s="5" t="s">
        <v>23</v>
      </c>
      <c r="K28" s="56" t="s">
        <v>24</v>
      </c>
      <c r="L28" s="56" t="s">
        <v>25</v>
      </c>
      <c r="M28" s="47">
        <v>10</v>
      </c>
      <c r="N28" s="4" t="s">
        <v>104</v>
      </c>
      <c r="O28" s="9"/>
      <c r="P28" s="86" t="s">
        <v>26</v>
      </c>
      <c r="Q28" s="87"/>
      <c r="R28" s="88"/>
    </row>
    <row r="29" spans="1:18" x14ac:dyDescent="0.25">
      <c r="A29" s="49"/>
      <c r="B29" s="49"/>
      <c r="C29" s="50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50"/>
      <c r="O29" s="49"/>
      <c r="P29" s="49"/>
      <c r="Q29" s="50"/>
      <c r="R29" s="50"/>
    </row>
    <row r="30" spans="1:18" x14ac:dyDescent="0.25">
      <c r="A30" s="1">
        <v>595969</v>
      </c>
      <c r="B30" s="1"/>
      <c r="C30" s="1"/>
      <c r="D30" s="1">
        <v>2101</v>
      </c>
      <c r="E30" s="1">
        <v>2102</v>
      </c>
      <c r="F30" s="1">
        <v>2103</v>
      </c>
      <c r="G30" s="1">
        <v>2104</v>
      </c>
      <c r="H30" s="1">
        <v>2105</v>
      </c>
      <c r="I30" s="1">
        <v>2106</v>
      </c>
      <c r="J30" s="1">
        <v>2107</v>
      </c>
      <c r="K30" s="1">
        <v>2108</v>
      </c>
      <c r="L30" s="1">
        <v>2109</v>
      </c>
      <c r="M30" s="1">
        <v>2110</v>
      </c>
      <c r="N30" s="2" t="str">
        <f>VLOOKUP(A30,'[2]PERFIL ALUM COZ'!$A$6:$P$161,13,FALSE)</f>
        <v>LATERAL ESQ FTE FALSA MAIOR TERRA 678X45,2X14+COR</v>
      </c>
      <c r="O30" s="26">
        <v>1</v>
      </c>
      <c r="P30" s="26">
        <f>VLOOKUP(A30,'[2]PERFIL ALUM COZ'!$A$6:$P$161,14,FALSE)</f>
        <v>678</v>
      </c>
      <c r="Q30" s="26">
        <f>VLOOKUP(A30,'[2]PERFIL ALUM COZ'!$A$6:$P$161,15,FALSE)</f>
        <v>45.2</v>
      </c>
      <c r="R30" s="26">
        <f>VLOOKUP(A30,'[2]PERFIL ALUM COZ'!$A$6:$P$161,16,FALSE)</f>
        <v>14</v>
      </c>
    </row>
    <row r="31" spans="1:18" x14ac:dyDescent="0.25">
      <c r="A31" s="2"/>
      <c r="B31" s="1">
        <f>A30</f>
        <v>595969</v>
      </c>
      <c r="C31" s="2"/>
      <c r="D31" s="1">
        <v>2100</v>
      </c>
      <c r="E31" s="1">
        <v>2100</v>
      </c>
      <c r="F31" s="1">
        <v>2100</v>
      </c>
      <c r="G31" s="1">
        <v>2100</v>
      </c>
      <c r="H31" s="1">
        <v>2100</v>
      </c>
      <c r="I31" s="1">
        <v>2100</v>
      </c>
      <c r="J31" s="1">
        <v>2100</v>
      </c>
      <c r="K31" s="1">
        <v>2100</v>
      </c>
      <c r="L31" s="1">
        <v>2100</v>
      </c>
      <c r="M31" s="1">
        <v>2100</v>
      </c>
      <c r="N31" s="2" t="str">
        <f>SUBSTITUTE(N30,"+ COR", "- NATURAL")</f>
        <v>LATERAL ESQ FTE FALSA MAIOR TERRA 678X45,2X14+COR</v>
      </c>
      <c r="O31" s="28"/>
      <c r="P31" s="28"/>
      <c r="Q31" s="28"/>
      <c r="R31" s="28"/>
    </row>
    <row r="32" spans="1:18" x14ac:dyDescent="0.25">
      <c r="A32" s="6"/>
      <c r="B32" s="9"/>
      <c r="C32" s="3">
        <v>1020141</v>
      </c>
      <c r="D32" s="3" t="s">
        <v>11</v>
      </c>
      <c r="E32" s="3" t="s">
        <v>11</v>
      </c>
      <c r="F32" s="3" t="s">
        <v>11</v>
      </c>
      <c r="G32" s="3" t="s">
        <v>11</v>
      </c>
      <c r="H32" s="3" t="s">
        <v>11</v>
      </c>
      <c r="I32" s="3" t="s">
        <v>11</v>
      </c>
      <c r="J32" s="3" t="s">
        <v>11</v>
      </c>
      <c r="K32" s="9" t="s">
        <v>11</v>
      </c>
      <c r="L32" s="9" t="s">
        <v>11</v>
      </c>
      <c r="M32" s="9" t="s">
        <v>11</v>
      </c>
      <c r="N32" s="4" t="s">
        <v>103</v>
      </c>
      <c r="O32" s="44"/>
      <c r="P32" s="44"/>
      <c r="Q32" s="44"/>
      <c r="R32" s="45"/>
    </row>
    <row r="33" spans="1:18" x14ac:dyDescent="0.25">
      <c r="A33" s="6"/>
      <c r="B33" s="3">
        <v>595220</v>
      </c>
      <c r="C33" s="3"/>
      <c r="D33" s="5" t="s">
        <v>17</v>
      </c>
      <c r="E33" s="5" t="s">
        <v>18</v>
      </c>
      <c r="F33" s="5" t="s">
        <v>19</v>
      </c>
      <c r="G33" s="5" t="s">
        <v>20</v>
      </c>
      <c r="H33" s="5" t="s">
        <v>21</v>
      </c>
      <c r="I33" s="5" t="s">
        <v>22</v>
      </c>
      <c r="J33" s="5" t="s">
        <v>23</v>
      </c>
      <c r="K33" s="56" t="s">
        <v>24</v>
      </c>
      <c r="L33" s="56" t="s">
        <v>25</v>
      </c>
      <c r="M33" s="47">
        <v>10</v>
      </c>
      <c r="N33" s="4" t="s">
        <v>104</v>
      </c>
      <c r="O33" s="9"/>
      <c r="P33" s="86" t="s">
        <v>26</v>
      </c>
      <c r="Q33" s="87"/>
      <c r="R33" s="88"/>
    </row>
    <row r="34" spans="1:18" x14ac:dyDescent="0.25">
      <c r="A34" s="49"/>
      <c r="B34" s="49"/>
      <c r="C34" s="50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50"/>
      <c r="O34" s="49"/>
      <c r="P34" s="49"/>
      <c r="Q34" s="50"/>
      <c r="R34" s="50"/>
    </row>
    <row r="35" spans="1:18" x14ac:dyDescent="0.25">
      <c r="A35" s="9">
        <v>595248</v>
      </c>
      <c r="B35" s="9"/>
      <c r="C35" s="9"/>
      <c r="D35" s="9">
        <v>2101</v>
      </c>
      <c r="E35" s="9">
        <v>2102</v>
      </c>
      <c r="F35" s="9">
        <v>2103</v>
      </c>
      <c r="G35" s="9">
        <v>2104</v>
      </c>
      <c r="H35" s="9">
        <v>2105</v>
      </c>
      <c r="I35" s="9">
        <v>2106</v>
      </c>
      <c r="J35" s="9">
        <v>2107</v>
      </c>
      <c r="K35" s="9">
        <v>2108</v>
      </c>
      <c r="L35" s="9">
        <v>2109</v>
      </c>
      <c r="M35" s="9">
        <v>2110</v>
      </c>
      <c r="N35" s="6" t="str">
        <f>VLOOKUP(A35,'[2]PERFIL ALUM COZ'!$A$6:$P$161,13,FALSE)</f>
        <v>CABECEIRA S/DOB PL TERRA 996X45,2X14 + COR</v>
      </c>
      <c r="O35" s="42">
        <v>1</v>
      </c>
      <c r="P35" s="42">
        <f>VLOOKUP(A35,'[2]PERFIL ALUM COZ'!$A$6:$P$161,14,FALSE)</f>
        <v>996</v>
      </c>
      <c r="Q35" s="42">
        <f>VLOOKUP(A35,'[2]PERFIL ALUM COZ'!$A$6:$P$161,15,FALSE)</f>
        <v>45.2</v>
      </c>
      <c r="R35" s="42">
        <f>VLOOKUP(A35,'[2]PERFIL ALUM COZ'!$A$6:$P$161,16,FALSE)</f>
        <v>14</v>
      </c>
    </row>
    <row r="36" spans="1:18" x14ac:dyDescent="0.25">
      <c r="A36" s="6"/>
      <c r="B36" s="9">
        <f>A35</f>
        <v>595248</v>
      </c>
      <c r="C36" s="6"/>
      <c r="D36" s="9">
        <v>2100</v>
      </c>
      <c r="E36" s="9">
        <v>2100</v>
      </c>
      <c r="F36" s="9">
        <v>2100</v>
      </c>
      <c r="G36" s="9">
        <v>2100</v>
      </c>
      <c r="H36" s="9">
        <v>2100</v>
      </c>
      <c r="I36" s="9">
        <v>2100</v>
      </c>
      <c r="J36" s="9">
        <v>2100</v>
      </c>
      <c r="K36" s="9">
        <v>2100</v>
      </c>
      <c r="L36" s="9">
        <v>2100</v>
      </c>
      <c r="M36" s="9">
        <v>2100</v>
      </c>
      <c r="N36" s="6" t="str">
        <f>SUBSTITUTE(N35,"+ COR", "- NATURAL")</f>
        <v>CABECEIRA S/DOB PL TERRA 996X45,2X14 - NATURAL</v>
      </c>
      <c r="O36" s="43"/>
      <c r="P36" s="43"/>
      <c r="Q36" s="43"/>
      <c r="R36" s="43"/>
    </row>
    <row r="37" spans="1:18" x14ac:dyDescent="0.25">
      <c r="A37" s="6"/>
      <c r="B37" s="9"/>
      <c r="C37" s="3">
        <v>1020141</v>
      </c>
      <c r="D37" s="3" t="s">
        <v>11</v>
      </c>
      <c r="E37" s="3" t="s">
        <v>11</v>
      </c>
      <c r="F37" s="3" t="s">
        <v>11</v>
      </c>
      <c r="G37" s="3" t="s">
        <v>11</v>
      </c>
      <c r="H37" s="3" t="s">
        <v>11</v>
      </c>
      <c r="I37" s="3" t="s">
        <v>11</v>
      </c>
      <c r="J37" s="3" t="s">
        <v>11</v>
      </c>
      <c r="K37" s="9" t="s">
        <v>11</v>
      </c>
      <c r="L37" s="9" t="s">
        <v>11</v>
      </c>
      <c r="M37" s="9" t="s">
        <v>11</v>
      </c>
      <c r="N37" s="4" t="s">
        <v>103</v>
      </c>
      <c r="O37" s="44"/>
      <c r="P37" s="44"/>
      <c r="Q37" s="44"/>
      <c r="R37" s="45"/>
    </row>
    <row r="38" spans="1:18" x14ac:dyDescent="0.25">
      <c r="A38" s="6"/>
      <c r="B38" s="3">
        <v>595220</v>
      </c>
      <c r="C38" s="3"/>
      <c r="D38" s="5" t="s">
        <v>17</v>
      </c>
      <c r="E38" s="5" t="s">
        <v>18</v>
      </c>
      <c r="F38" s="5" t="s">
        <v>19</v>
      </c>
      <c r="G38" s="5" t="s">
        <v>20</v>
      </c>
      <c r="H38" s="5" t="s">
        <v>21</v>
      </c>
      <c r="I38" s="5" t="s">
        <v>22</v>
      </c>
      <c r="J38" s="5" t="s">
        <v>23</v>
      </c>
      <c r="K38" s="56" t="s">
        <v>24</v>
      </c>
      <c r="L38" s="56" t="s">
        <v>25</v>
      </c>
      <c r="M38" s="47">
        <v>10</v>
      </c>
      <c r="N38" s="4" t="s">
        <v>104</v>
      </c>
      <c r="O38" s="9"/>
      <c r="P38" s="86" t="s">
        <v>26</v>
      </c>
      <c r="Q38" s="87"/>
      <c r="R38" s="88"/>
    </row>
    <row r="39" spans="1:18" x14ac:dyDescent="0.25">
      <c r="A39" s="49"/>
      <c r="B39" s="49"/>
      <c r="C39" s="50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50"/>
      <c r="O39" s="49"/>
      <c r="P39" s="49"/>
      <c r="Q39" s="50"/>
      <c r="R39" s="50"/>
    </row>
    <row r="40" spans="1:18" x14ac:dyDescent="0.25">
      <c r="A40" s="9">
        <v>595279</v>
      </c>
      <c r="B40" s="9"/>
      <c r="C40" s="9"/>
      <c r="D40" s="9">
        <v>2401</v>
      </c>
      <c r="E40" s="9">
        <v>2402</v>
      </c>
      <c r="F40" s="9">
        <v>2403</v>
      </c>
      <c r="G40" s="9">
        <v>2404</v>
      </c>
      <c r="H40" s="9">
        <v>2405</v>
      </c>
      <c r="I40" s="9">
        <v>2406</v>
      </c>
      <c r="J40" s="9">
        <v>2407</v>
      </c>
      <c r="K40" s="9">
        <v>2408</v>
      </c>
      <c r="L40" s="9">
        <v>2409</v>
      </c>
      <c r="M40" s="9">
        <v>2410</v>
      </c>
      <c r="N40" s="6" t="str">
        <f>VLOOKUP(A40,'[2]PERFIL ALUM COZ'!$A$6:$P$161,13,FALSE)</f>
        <v>CABECEIRA S/DOB PL AQUA 994X80,2X19 + COR</v>
      </c>
      <c r="O40" s="42">
        <v>1</v>
      </c>
      <c r="P40" s="42">
        <f>VLOOKUP(A40,'[2]PERFIL ALUM COZ'!$A$6:$P$161,14,FALSE)</f>
        <v>994</v>
      </c>
      <c r="Q40" s="42">
        <f>VLOOKUP(A40,'[2]PERFIL ALUM COZ'!$A$6:$P$161,15,FALSE)</f>
        <v>80.2</v>
      </c>
      <c r="R40" s="42">
        <f>VLOOKUP(A40,'[2]PERFIL ALUM COZ'!$A$6:$P$161,16,FALSE)</f>
        <v>19</v>
      </c>
    </row>
    <row r="41" spans="1:18" x14ac:dyDescent="0.25">
      <c r="A41" s="6"/>
      <c r="B41" s="9">
        <f>A40</f>
        <v>595279</v>
      </c>
      <c r="C41" s="6"/>
      <c r="D41" s="9">
        <v>2400</v>
      </c>
      <c r="E41" s="9">
        <v>2400</v>
      </c>
      <c r="F41" s="9">
        <v>2400</v>
      </c>
      <c r="G41" s="9">
        <v>2400</v>
      </c>
      <c r="H41" s="9">
        <v>2400</v>
      </c>
      <c r="I41" s="9">
        <v>2400</v>
      </c>
      <c r="J41" s="9">
        <v>2400</v>
      </c>
      <c r="K41" s="9">
        <v>2400</v>
      </c>
      <c r="L41" s="9">
        <v>2400</v>
      </c>
      <c r="M41" s="9">
        <v>2400</v>
      </c>
      <c r="N41" s="6" t="str">
        <f>SUBSTITUTE(N40,"+ COR", "- NATURAL")</f>
        <v>CABECEIRA S/DOB PL AQUA 994X80,2X19 - NATURAL</v>
      </c>
      <c r="O41" s="43"/>
      <c r="P41" s="43"/>
      <c r="Q41" s="43"/>
      <c r="R41" s="43"/>
    </row>
    <row r="42" spans="1:18" x14ac:dyDescent="0.25">
      <c r="A42" s="6"/>
      <c r="B42" s="9"/>
      <c r="C42" s="3">
        <v>1020153</v>
      </c>
      <c r="D42" s="3" t="s">
        <v>11</v>
      </c>
      <c r="E42" s="3" t="s">
        <v>11</v>
      </c>
      <c r="F42" s="3" t="s">
        <v>11</v>
      </c>
      <c r="G42" s="3" t="s">
        <v>11</v>
      </c>
      <c r="H42" s="3" t="s">
        <v>11</v>
      </c>
      <c r="I42" s="3" t="s">
        <v>11</v>
      </c>
      <c r="J42" s="3" t="s">
        <v>11</v>
      </c>
      <c r="K42" s="9" t="s">
        <v>11</v>
      </c>
      <c r="L42" s="9" t="s">
        <v>11</v>
      </c>
      <c r="M42" s="9" t="s">
        <v>11</v>
      </c>
      <c r="N42" s="4" t="s">
        <v>105</v>
      </c>
      <c r="O42" s="44"/>
      <c r="P42" s="44"/>
      <c r="Q42" s="44"/>
      <c r="R42" s="45"/>
    </row>
    <row r="43" spans="1:18" x14ac:dyDescent="0.25">
      <c r="A43" s="6"/>
      <c r="B43" s="3">
        <v>595227</v>
      </c>
      <c r="C43" s="3"/>
      <c r="D43" s="5" t="s">
        <v>17</v>
      </c>
      <c r="E43" s="5" t="s">
        <v>18</v>
      </c>
      <c r="F43" s="5" t="s">
        <v>19</v>
      </c>
      <c r="G43" s="5" t="s">
        <v>20</v>
      </c>
      <c r="H43" s="5" t="s">
        <v>21</v>
      </c>
      <c r="I43" s="5" t="s">
        <v>22</v>
      </c>
      <c r="J43" s="5" t="s">
        <v>23</v>
      </c>
      <c r="K43" s="56" t="s">
        <v>24</v>
      </c>
      <c r="L43" s="56" t="s">
        <v>25</v>
      </c>
      <c r="M43" s="47">
        <v>10</v>
      </c>
      <c r="N43" s="4" t="s">
        <v>106</v>
      </c>
      <c r="O43" s="9"/>
      <c r="P43" s="86" t="s">
        <v>26</v>
      </c>
      <c r="Q43" s="87"/>
      <c r="R43" s="88"/>
    </row>
    <row r="44" spans="1:18" x14ac:dyDescent="0.25">
      <c r="A44" s="49"/>
      <c r="B44" s="49"/>
      <c r="C44" s="50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50"/>
      <c r="O44" s="49"/>
      <c r="P44" s="49"/>
      <c r="Q44" s="50"/>
      <c r="R44" s="50"/>
    </row>
    <row r="45" spans="1:18" x14ac:dyDescent="0.25">
      <c r="A45" s="9">
        <v>591023</v>
      </c>
      <c r="B45" s="9"/>
      <c r="C45" s="9"/>
      <c r="D45" s="47" t="s">
        <v>17</v>
      </c>
      <c r="E45" s="47" t="s">
        <v>18</v>
      </c>
      <c r="F45" s="47" t="s">
        <v>19</v>
      </c>
      <c r="G45" s="47" t="s">
        <v>20</v>
      </c>
      <c r="H45" s="47" t="s">
        <v>21</v>
      </c>
      <c r="I45" s="47" t="s">
        <v>22</v>
      </c>
      <c r="J45" s="47" t="s">
        <v>23</v>
      </c>
      <c r="K45" s="56" t="s">
        <v>24</v>
      </c>
      <c r="L45" s="56" t="s">
        <v>25</v>
      </c>
      <c r="M45" s="47">
        <v>10</v>
      </c>
      <c r="N45" s="6" t="s">
        <v>107</v>
      </c>
      <c r="O45" s="9">
        <v>2</v>
      </c>
      <c r="P45" s="9">
        <v>35</v>
      </c>
      <c r="Q45" s="9">
        <v>19</v>
      </c>
      <c r="R45" s="9">
        <v>6</v>
      </c>
    </row>
    <row r="46" spans="1:18" x14ac:dyDescent="0.25">
      <c r="A46" s="6"/>
      <c r="B46" s="9"/>
      <c r="C46" s="3">
        <v>1020156</v>
      </c>
      <c r="D46" s="3" t="s">
        <v>11</v>
      </c>
      <c r="E46" s="3" t="s">
        <v>11</v>
      </c>
      <c r="F46" s="3" t="s">
        <v>11</v>
      </c>
      <c r="G46" s="3" t="s">
        <v>11</v>
      </c>
      <c r="H46" s="3" t="s">
        <v>11</v>
      </c>
      <c r="I46" s="3" t="s">
        <v>11</v>
      </c>
      <c r="J46" s="3" t="s">
        <v>11</v>
      </c>
      <c r="K46" s="9" t="s">
        <v>11</v>
      </c>
      <c r="L46" s="9" t="s">
        <v>11</v>
      </c>
      <c r="M46" s="9" t="s">
        <v>11</v>
      </c>
      <c r="N46" s="4" t="s">
        <v>108</v>
      </c>
      <c r="O46" s="89"/>
      <c r="P46" s="90"/>
      <c r="Q46" s="89"/>
      <c r="R46" s="91"/>
    </row>
    <row r="47" spans="1:18" x14ac:dyDescent="0.25">
      <c r="A47" s="6"/>
      <c r="B47" s="3">
        <v>595231</v>
      </c>
      <c r="C47" s="3"/>
      <c r="D47" s="5" t="s">
        <v>17</v>
      </c>
      <c r="E47" s="5" t="s">
        <v>18</v>
      </c>
      <c r="F47" s="5" t="s">
        <v>19</v>
      </c>
      <c r="G47" s="5" t="s">
        <v>20</v>
      </c>
      <c r="H47" s="5" t="s">
        <v>21</v>
      </c>
      <c r="I47" s="5" t="s">
        <v>22</v>
      </c>
      <c r="J47" s="5" t="s">
        <v>23</v>
      </c>
      <c r="K47" s="56" t="s">
        <v>24</v>
      </c>
      <c r="L47" s="56" t="s">
        <v>25</v>
      </c>
      <c r="M47" s="9">
        <v>10</v>
      </c>
      <c r="N47" s="4" t="s">
        <v>109</v>
      </c>
      <c r="O47" s="6"/>
      <c r="P47" s="9" t="s">
        <v>26</v>
      </c>
      <c r="Q47" s="6"/>
      <c r="R47" s="6"/>
    </row>
    <row r="48" spans="1:18" x14ac:dyDescent="0.25">
      <c r="A48" s="49"/>
      <c r="B48" s="49"/>
      <c r="C48" s="50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50"/>
      <c r="O48" s="49"/>
      <c r="P48" s="49"/>
      <c r="Q48" s="50"/>
      <c r="R48" s="50"/>
    </row>
    <row r="49" spans="1:18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6" t="s">
        <v>110</v>
      </c>
      <c r="O49" s="9"/>
      <c r="P49" s="9" t="s">
        <v>111</v>
      </c>
      <c r="Q49" s="6"/>
      <c r="R49" s="6"/>
    </row>
    <row r="50" spans="1:18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6" t="s">
        <v>112</v>
      </c>
      <c r="O50" s="9"/>
      <c r="P50" s="9" t="s">
        <v>113</v>
      </c>
      <c r="Q50" s="6"/>
      <c r="R50" s="6"/>
    </row>
    <row r="51" spans="1:18" x14ac:dyDescent="0.25">
      <c r="A51" s="49"/>
      <c r="B51" s="49"/>
      <c r="C51" s="50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50"/>
      <c r="O51" s="49"/>
      <c r="P51" s="49"/>
      <c r="Q51" s="50"/>
      <c r="R51" s="50"/>
    </row>
    <row r="52" spans="1:18" x14ac:dyDescent="0.25">
      <c r="A52" s="9"/>
      <c r="B52" s="9"/>
      <c r="C52" s="6"/>
      <c r="D52" s="9"/>
      <c r="E52" s="9"/>
      <c r="F52" s="9"/>
      <c r="G52" s="9"/>
      <c r="H52" s="9"/>
      <c r="I52" s="9"/>
      <c r="J52" s="9"/>
      <c r="K52" s="9"/>
      <c r="L52" s="9"/>
      <c r="M52" s="9"/>
      <c r="N52" s="6" t="s">
        <v>114</v>
      </c>
      <c r="O52" s="9">
        <v>1</v>
      </c>
      <c r="P52" s="6"/>
      <c r="Q52" s="6"/>
      <c r="R52" s="6"/>
    </row>
    <row r="53" spans="1:18" x14ac:dyDescent="0.25">
      <c r="A53" s="9"/>
      <c r="B53" s="9"/>
      <c r="C53" s="6"/>
      <c r="D53" s="9"/>
      <c r="E53" s="9"/>
      <c r="F53" s="9"/>
      <c r="G53" s="9"/>
      <c r="H53" s="9"/>
      <c r="I53" s="9"/>
      <c r="J53" s="9"/>
      <c r="K53" s="9"/>
      <c r="L53" s="9"/>
      <c r="M53" s="9"/>
      <c r="N53" s="6" t="s">
        <v>115</v>
      </c>
      <c r="O53" s="9">
        <v>4</v>
      </c>
      <c r="P53" s="6"/>
      <c r="Q53" s="6"/>
      <c r="R53" s="6"/>
    </row>
    <row r="54" spans="1:18" x14ac:dyDescent="0.25">
      <c r="A54" s="9"/>
      <c r="B54" s="9"/>
      <c r="C54" s="6"/>
      <c r="D54" s="9"/>
      <c r="E54" s="9"/>
      <c r="F54" s="9"/>
      <c r="G54" s="9"/>
      <c r="H54" s="9"/>
      <c r="I54" s="9"/>
      <c r="J54" s="9"/>
      <c r="K54" s="9"/>
      <c r="L54" s="9"/>
      <c r="M54" s="9"/>
      <c r="N54" s="6" t="s">
        <v>116</v>
      </c>
      <c r="O54" s="9">
        <v>8</v>
      </c>
      <c r="P54" s="6"/>
      <c r="Q54" s="6"/>
      <c r="R54" s="6"/>
    </row>
    <row r="55" spans="1:18" x14ac:dyDescent="0.25">
      <c r="A55" s="92" t="s">
        <v>86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1:18" ht="25.5" x14ac:dyDescent="0.25">
      <c r="A56" s="15" t="s">
        <v>27</v>
      </c>
      <c r="B56" s="14" t="s">
        <v>28</v>
      </c>
      <c r="C56" s="14" t="s">
        <v>29</v>
      </c>
      <c r="D56" s="36" t="s">
        <v>85</v>
      </c>
      <c r="E56" s="37"/>
      <c r="F56" s="37"/>
      <c r="G56" s="37"/>
      <c r="H56" s="37"/>
      <c r="I56" s="37"/>
      <c r="J56" s="37"/>
      <c r="K56" s="37"/>
      <c r="L56" s="37"/>
      <c r="M56" s="38"/>
      <c r="N56" s="46" t="s">
        <v>3</v>
      </c>
      <c r="O56" s="15" t="s">
        <v>30</v>
      </c>
      <c r="P56" s="35" t="s">
        <v>31</v>
      </c>
      <c r="Q56" s="35"/>
      <c r="R56" s="35"/>
    </row>
    <row r="57" spans="1:18" x14ac:dyDescent="0.25">
      <c r="A57" s="58" t="s">
        <v>87</v>
      </c>
      <c r="B57" s="98">
        <f>VLOOKUP((CONCATENATE("VIDRO ",P57,"X",Q57,"X",R57)),'[2]VIDROS AQUA'!$A$6:$AC$128,3,FALSE)</f>
        <v>181024212</v>
      </c>
      <c r="C57" s="59" t="s">
        <v>21</v>
      </c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8" t="str">
        <f>CONCATENATE("VIDRO PELIC ESP PRATA ",P$57,"X",Q$57,"X",R$57)</f>
        <v>VIDRO PELIC ESP PRATA 677X994X4</v>
      </c>
      <c r="O57" s="26">
        <v>1</v>
      </c>
      <c r="P57" s="26">
        <f>(P5-35)-1</f>
        <v>677</v>
      </c>
      <c r="Q57" s="26">
        <f>(Q5-2)</f>
        <v>994</v>
      </c>
      <c r="R57" s="26">
        <v>4</v>
      </c>
    </row>
    <row r="58" spans="1:18" x14ac:dyDescent="0.25">
      <c r="A58" s="60"/>
      <c r="B58" s="99"/>
      <c r="C58" s="59">
        <v>26</v>
      </c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8" t="str">
        <f>CONCATENATE("VIDRO PELIC ESP FUME ",P$57,"X",Q$57,"X",R$57)</f>
        <v>VIDRO PELIC ESP FUME 677X994X4</v>
      </c>
      <c r="O58" s="27"/>
      <c r="P58" s="27"/>
      <c r="Q58" s="27"/>
      <c r="R58" s="27"/>
    </row>
    <row r="59" spans="1:18" x14ac:dyDescent="0.25">
      <c r="A59" s="61"/>
      <c r="B59" s="100"/>
      <c r="C59" s="59">
        <v>27</v>
      </c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8" t="str">
        <f>CONCATENATE("VIDRO PELIC ESP CHAMP ",P$57,"X",Q$57,"X",R$57)</f>
        <v>VIDRO PELIC ESP CHAMP 677X994X4</v>
      </c>
      <c r="O59" s="27"/>
      <c r="P59" s="27"/>
      <c r="Q59" s="27"/>
      <c r="R59" s="27"/>
    </row>
    <row r="60" spans="1:18" x14ac:dyDescent="0.25">
      <c r="A60" s="101" t="s">
        <v>88</v>
      </c>
      <c r="B60" s="26">
        <f>VLOOKUP((CONCATENATE("VIDRO ",P57,"X",Q57,"X",R57)),'[2]VIDROS AQUA'!$A$6:$AC$128,2,FALSE)</f>
        <v>124212</v>
      </c>
      <c r="C60" s="59" t="s">
        <v>117</v>
      </c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8" t="str">
        <f>CONCATENATE("VIDRO PELIC MET GRAFITE ",P$57,"X",Q$57,"X",R$57)</f>
        <v>VIDRO PELIC MET GRAFITE 677X994X4</v>
      </c>
      <c r="O60" s="27"/>
      <c r="P60" s="27"/>
      <c r="Q60" s="27"/>
      <c r="R60" s="27"/>
    </row>
    <row r="61" spans="1:18" x14ac:dyDescent="0.25">
      <c r="A61" s="102"/>
      <c r="B61" s="27"/>
      <c r="C61" s="59" t="s">
        <v>118</v>
      </c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8" t="str">
        <f>CONCATENATE("VIDRO PELIC MET PRATA ",P$57,"X",Q$57,"X",R$57)</f>
        <v>VIDRO PELIC MET PRATA 677X994X4</v>
      </c>
      <c r="O61" s="27"/>
      <c r="P61" s="27"/>
      <c r="Q61" s="27"/>
      <c r="R61" s="27"/>
    </row>
    <row r="62" spans="1:18" x14ac:dyDescent="0.25">
      <c r="A62" s="102"/>
      <c r="B62" s="27"/>
      <c r="C62" s="59" t="s">
        <v>119</v>
      </c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8" t="str">
        <f>CONCATENATE("VIDRO PELIC MET DOURADO ",P$57,"X",Q$57,"X",R$57)</f>
        <v>VIDRO PELIC MET DOURADO 677X994X4</v>
      </c>
      <c r="O62" s="27"/>
      <c r="P62" s="27"/>
      <c r="Q62" s="27"/>
      <c r="R62" s="27"/>
    </row>
    <row r="63" spans="1:18" x14ac:dyDescent="0.25">
      <c r="A63" s="102"/>
      <c r="B63" s="27"/>
      <c r="C63" s="59" t="s">
        <v>120</v>
      </c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8" t="str">
        <f>CONCATENATE("VIDRO PELIC MET PEROLA ",P$57,"X",Q$57,"X",R$57)</f>
        <v>VIDRO PELIC MET PEROLA 677X994X4</v>
      </c>
      <c r="O63" s="27"/>
      <c r="P63" s="27"/>
      <c r="Q63" s="27"/>
      <c r="R63" s="27"/>
    </row>
    <row r="64" spans="1:18" x14ac:dyDescent="0.25">
      <c r="A64" s="102"/>
      <c r="B64" s="27"/>
      <c r="C64" s="59">
        <v>12</v>
      </c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8" t="str">
        <f>CONCATENATE("VIDRO PELIC BIANCO ",P$57,"X",Q$57,"X",R$57)</f>
        <v>VIDRO PELIC BIANCO 677X994X4</v>
      </c>
      <c r="O64" s="27"/>
      <c r="P64" s="27"/>
      <c r="Q64" s="27"/>
      <c r="R64" s="27"/>
    </row>
    <row r="65" spans="1:18" x14ac:dyDescent="0.25">
      <c r="A65" s="102"/>
      <c r="B65" s="27"/>
      <c r="C65" s="59">
        <v>13</v>
      </c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8" t="str">
        <f>CONCATENATE("VIDRO PELIC ONIX ",P$57,"X",Q$57,"X",R$57)</f>
        <v>VIDRO PELIC ONIX 677X994X4</v>
      </c>
      <c r="O65" s="27"/>
      <c r="P65" s="27"/>
      <c r="Q65" s="27"/>
      <c r="R65" s="27"/>
    </row>
    <row r="66" spans="1:18" x14ac:dyDescent="0.25">
      <c r="A66" s="102"/>
      <c r="B66" s="27"/>
      <c r="C66" s="59">
        <v>15</v>
      </c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8" t="str">
        <f>CONCATENATE("VIDRO PELIC GELO ",P$57,"X",Q$57,"X",R$57)</f>
        <v>VIDRO PELIC GELO 677X994X4</v>
      </c>
      <c r="O66" s="27"/>
      <c r="P66" s="27"/>
      <c r="Q66" s="27"/>
      <c r="R66" s="27"/>
    </row>
    <row r="67" spans="1:18" x14ac:dyDescent="0.25">
      <c r="A67" s="102"/>
      <c r="B67" s="27"/>
      <c r="C67" s="59">
        <v>38</v>
      </c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8" t="str">
        <f>CONCATENATE("VIDRO PELIC NATA ",P$57,"X",Q$57,"X",R$57)</f>
        <v>VIDRO PELIC NATA 677X994X4</v>
      </c>
      <c r="O67" s="27"/>
      <c r="P67" s="27"/>
      <c r="Q67" s="27"/>
      <c r="R67" s="27"/>
    </row>
    <row r="68" spans="1:18" x14ac:dyDescent="0.25">
      <c r="A68" s="102"/>
      <c r="B68" s="27"/>
      <c r="C68" s="59">
        <v>44</v>
      </c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8" t="str">
        <f>CONCATENATE("VIDRO PELIC BASALTO ",P$57,"X",Q$57,"X",R$57)</f>
        <v>VIDRO PELIC BASALTO 677X994X4</v>
      </c>
      <c r="O68" s="27"/>
      <c r="P68" s="27"/>
      <c r="Q68" s="27"/>
      <c r="R68" s="27"/>
    </row>
    <row r="69" spans="1:18" x14ac:dyDescent="0.25">
      <c r="A69" s="102"/>
      <c r="B69" s="27"/>
      <c r="C69" s="59" t="s">
        <v>24</v>
      </c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8" t="str">
        <f>CONCATENATE("VIDRO PELIC PETROLEO ",P$57,"X",Q$57,"X",R$57)</f>
        <v>VIDRO PELIC PETROLEO 677X994X4</v>
      </c>
      <c r="O69" s="27"/>
      <c r="P69" s="27"/>
      <c r="Q69" s="27"/>
      <c r="R69" s="27"/>
    </row>
    <row r="70" spans="1:18" x14ac:dyDescent="0.25">
      <c r="A70" s="102"/>
      <c r="B70" s="27"/>
      <c r="C70" s="59">
        <v>10</v>
      </c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8" t="str">
        <f>CONCATENATE("VIDRO PELIC SAND ",P$57,"X",Q$57,"X",R$57)</f>
        <v>VIDRO PELIC SAND 677X994X4</v>
      </c>
      <c r="O70" s="27"/>
      <c r="P70" s="27"/>
      <c r="Q70" s="27"/>
      <c r="R70" s="27"/>
    </row>
    <row r="71" spans="1:18" x14ac:dyDescent="0.25">
      <c r="A71" s="102"/>
      <c r="B71" s="27"/>
      <c r="C71" s="59">
        <v>21</v>
      </c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8" t="str">
        <f>CONCATENATE("VIDRO PELIC FENDI ",P$57,"X",Q$57,"X",R$57)</f>
        <v>VIDRO PELIC FENDI 677X994X4</v>
      </c>
      <c r="O71" s="27"/>
      <c r="P71" s="27"/>
      <c r="Q71" s="27"/>
      <c r="R71" s="27"/>
    </row>
    <row r="72" spans="1:18" x14ac:dyDescent="0.25">
      <c r="A72" s="102"/>
      <c r="B72" s="27"/>
      <c r="C72" s="59" t="s">
        <v>22</v>
      </c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8" t="str">
        <f>CONCATENATE("VIDRO PELIC SISAL ",P$57,"X",Q$57,"X",R$57)</f>
        <v>VIDRO PELIC SISAL 677X994X4</v>
      </c>
      <c r="O72" s="27"/>
      <c r="P72" s="27"/>
      <c r="Q72" s="27"/>
      <c r="R72" s="27"/>
    </row>
    <row r="73" spans="1:18" x14ac:dyDescent="0.25">
      <c r="A73" s="103"/>
      <c r="B73" s="28"/>
      <c r="C73" s="59" t="s">
        <v>25</v>
      </c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8" t="str">
        <f>CONCATENATE("VIDRO PELIC ARDOSIA ",P$57,"X",Q$57,"X",R$57)</f>
        <v>VIDRO PELIC ARDOSIA 677X994X4</v>
      </c>
      <c r="O73" s="28"/>
      <c r="P73" s="28"/>
      <c r="Q73" s="28"/>
      <c r="R73" s="28"/>
    </row>
  </sheetData>
  <mergeCells count="53">
    <mergeCell ref="A57:A59"/>
    <mergeCell ref="B57:B59"/>
    <mergeCell ref="O57:O73"/>
    <mergeCell ref="P57:P73"/>
    <mergeCell ref="Q57:Q73"/>
    <mergeCell ref="A60:A73"/>
    <mergeCell ref="B60:B73"/>
    <mergeCell ref="O40:O41"/>
    <mergeCell ref="P43:R43"/>
    <mergeCell ref="A55:R55"/>
    <mergeCell ref="D56:M56"/>
    <mergeCell ref="P56:R56"/>
    <mergeCell ref="P28:R28"/>
    <mergeCell ref="O30:O31"/>
    <mergeCell ref="P30:P31"/>
    <mergeCell ref="Q30:Q31"/>
    <mergeCell ref="R30:R31"/>
    <mergeCell ref="A1:R1"/>
    <mergeCell ref="A2:R2"/>
    <mergeCell ref="D3:M3"/>
    <mergeCell ref="N3:N4"/>
    <mergeCell ref="P3:R3"/>
    <mergeCell ref="A5:A21"/>
    <mergeCell ref="B5:C21"/>
    <mergeCell ref="N5:N21"/>
    <mergeCell ref="P5:P21"/>
    <mergeCell ref="Q5:Q21"/>
    <mergeCell ref="R5:R21"/>
    <mergeCell ref="A22:R22"/>
    <mergeCell ref="R57:R73"/>
    <mergeCell ref="P35:P36"/>
    <mergeCell ref="Q35:Q36"/>
    <mergeCell ref="R35:R36"/>
    <mergeCell ref="P33:R33"/>
    <mergeCell ref="A23:A24"/>
    <mergeCell ref="B23:B24"/>
    <mergeCell ref="C23:C24"/>
    <mergeCell ref="D23:J23"/>
    <mergeCell ref="N23:N24"/>
    <mergeCell ref="O23:O24"/>
    <mergeCell ref="P23:R23"/>
    <mergeCell ref="O25:O26"/>
    <mergeCell ref="P25:P26"/>
    <mergeCell ref="Q25:Q26"/>
    <mergeCell ref="R25:R26"/>
    <mergeCell ref="P40:P41"/>
    <mergeCell ref="Q40:Q41"/>
    <mergeCell ref="R40:R41"/>
    <mergeCell ref="O35:O36"/>
    <mergeCell ref="P38:R38"/>
    <mergeCell ref="A3:A4"/>
    <mergeCell ref="B3:C4"/>
    <mergeCell ref="O3:O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43A6F-4501-4607-BFDB-4213C26D616D}">
  <sheetPr codeName="Planilha4"/>
  <dimension ref="A1:X1"/>
  <sheetViews>
    <sheetView workbookViewId="0">
      <selection activeCell="B20" sqref="B20"/>
    </sheetView>
  </sheetViews>
  <sheetFormatPr defaultRowHeight="15" x14ac:dyDescent="0.25"/>
  <cols>
    <col min="2" max="2" width="16.7109375" style="10" bestFit="1" customWidth="1"/>
    <col min="4" max="4" width="16.7109375" style="10" bestFit="1" customWidth="1"/>
  </cols>
  <sheetData>
    <row r="1" spans="1:24" x14ac:dyDescent="0.25">
      <c r="A1" s="12" t="s">
        <v>44</v>
      </c>
      <c r="B1" s="13" t="s">
        <v>45</v>
      </c>
      <c r="C1" s="13" t="s">
        <v>46</v>
      </c>
      <c r="D1" s="13" t="s">
        <v>47</v>
      </c>
      <c r="E1" s="13" t="s">
        <v>48</v>
      </c>
      <c r="F1" s="12" t="s">
        <v>49</v>
      </c>
      <c r="G1" s="12" t="s">
        <v>50</v>
      </c>
      <c r="H1" s="12" t="s">
        <v>51</v>
      </c>
      <c r="I1" s="12" t="s">
        <v>52</v>
      </c>
      <c r="J1" s="12" t="s">
        <v>53</v>
      </c>
      <c r="K1" s="12" t="s">
        <v>54</v>
      </c>
      <c r="L1" s="12" t="s">
        <v>55</v>
      </c>
      <c r="M1" s="12" t="s">
        <v>56</v>
      </c>
      <c r="N1" s="12" t="s">
        <v>57</v>
      </c>
      <c r="O1" s="12" t="s">
        <v>58</v>
      </c>
      <c r="P1" s="12" t="s">
        <v>59</v>
      </c>
      <c r="Q1" s="12" t="s">
        <v>60</v>
      </c>
      <c r="R1" s="12" t="s">
        <v>61</v>
      </c>
      <c r="S1" s="12" t="s">
        <v>62</v>
      </c>
      <c r="T1" s="12" t="s">
        <v>63</v>
      </c>
      <c r="U1" s="12" t="s">
        <v>64</v>
      </c>
      <c r="V1" s="12" t="s">
        <v>65</v>
      </c>
      <c r="W1" s="12" t="s">
        <v>66</v>
      </c>
      <c r="X1" s="12" t="s">
        <v>67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DEF97-BBC2-4238-843B-2BBEDB52A50C}">
  <sheetPr codeName="Planilha2"/>
  <dimension ref="A1:X813"/>
  <sheetViews>
    <sheetView workbookViewId="0">
      <selection activeCell="B21" sqref="B21"/>
    </sheetView>
  </sheetViews>
  <sheetFormatPr defaultRowHeight="15" x14ac:dyDescent="0.25"/>
  <cols>
    <col min="2" max="2" width="16.7109375" style="10" bestFit="1" customWidth="1"/>
    <col min="3" max="3" width="6.5703125" customWidth="1"/>
    <col min="4" max="4" width="13.7109375" style="10" bestFit="1" customWidth="1"/>
    <col min="13" max="14" width="10.7109375" bestFit="1" customWidth="1"/>
  </cols>
  <sheetData>
    <row r="1" spans="1:24" x14ac:dyDescent="0.25">
      <c r="A1" s="12" t="s">
        <v>44</v>
      </c>
      <c r="B1" s="13" t="s">
        <v>45</v>
      </c>
      <c r="C1" s="13" t="s">
        <v>46</v>
      </c>
      <c r="D1" s="13" t="s">
        <v>47</v>
      </c>
      <c r="E1" s="13" t="s">
        <v>48</v>
      </c>
      <c r="F1" s="12" t="s">
        <v>49</v>
      </c>
      <c r="G1" s="12" t="s">
        <v>50</v>
      </c>
      <c r="H1" s="12" t="s">
        <v>51</v>
      </c>
      <c r="I1" s="12" t="s">
        <v>52</v>
      </c>
      <c r="J1" s="12" t="s">
        <v>53</v>
      </c>
      <c r="K1" s="12" t="s">
        <v>54</v>
      </c>
      <c r="L1" s="12" t="s">
        <v>55</v>
      </c>
      <c r="M1" s="12" t="s">
        <v>56</v>
      </c>
      <c r="N1" s="12" t="s">
        <v>57</v>
      </c>
      <c r="O1" s="12" t="s">
        <v>58</v>
      </c>
      <c r="P1" s="12" t="s">
        <v>59</v>
      </c>
      <c r="Q1" s="12" t="s">
        <v>60</v>
      </c>
      <c r="R1" s="12" t="s">
        <v>61</v>
      </c>
      <c r="S1" s="12" t="s">
        <v>62</v>
      </c>
      <c r="T1" s="12" t="s">
        <v>63</v>
      </c>
      <c r="U1" s="12" t="s">
        <v>64</v>
      </c>
      <c r="V1" s="12" t="s">
        <v>65</v>
      </c>
      <c r="W1" s="12" t="s">
        <v>66</v>
      </c>
      <c r="X1" s="12" t="s">
        <v>67</v>
      </c>
    </row>
    <row r="2" spans="1:24" x14ac:dyDescent="0.25">
      <c r="A2">
        <v>1</v>
      </c>
      <c r="B2" s="10">
        <v>591108240549</v>
      </c>
      <c r="C2">
        <v>10</v>
      </c>
      <c r="D2" s="10">
        <v>5959672105</v>
      </c>
      <c r="F2" t="s">
        <v>40</v>
      </c>
      <c r="G2">
        <v>0</v>
      </c>
      <c r="H2">
        <v>100</v>
      </c>
      <c r="K2">
        <v>1</v>
      </c>
      <c r="L2" t="s">
        <v>41</v>
      </c>
      <c r="M2" t="s">
        <v>89</v>
      </c>
      <c r="N2" s="11">
        <v>2958465</v>
      </c>
      <c r="P2">
        <v>0</v>
      </c>
      <c r="U2">
        <v>4</v>
      </c>
      <c r="V2">
        <v>1</v>
      </c>
      <c r="W2" t="s">
        <v>42</v>
      </c>
      <c r="X2">
        <v>0</v>
      </c>
    </row>
    <row r="3" spans="1:24" x14ac:dyDescent="0.25">
      <c r="A3">
        <v>1</v>
      </c>
      <c r="B3" s="10">
        <v>591108240549</v>
      </c>
      <c r="C3">
        <v>20</v>
      </c>
      <c r="D3" s="10">
        <v>5959692105</v>
      </c>
      <c r="F3" t="s">
        <v>40</v>
      </c>
      <c r="G3">
        <v>0</v>
      </c>
      <c r="H3">
        <v>100</v>
      </c>
      <c r="K3">
        <v>1</v>
      </c>
      <c r="L3" t="s">
        <v>41</v>
      </c>
      <c r="M3" t="s">
        <v>89</v>
      </c>
      <c r="N3" s="11">
        <v>2958465</v>
      </c>
      <c r="P3">
        <v>0</v>
      </c>
      <c r="U3">
        <v>4</v>
      </c>
      <c r="V3">
        <v>1</v>
      </c>
      <c r="W3" t="s">
        <v>42</v>
      </c>
      <c r="X3">
        <v>0</v>
      </c>
    </row>
    <row r="4" spans="1:24" x14ac:dyDescent="0.25">
      <c r="A4">
        <v>1</v>
      </c>
      <c r="B4" s="10">
        <v>591108240549</v>
      </c>
      <c r="C4">
        <v>30</v>
      </c>
      <c r="D4" s="10">
        <v>5952482105</v>
      </c>
      <c r="F4" t="s">
        <v>40</v>
      </c>
      <c r="G4">
        <v>0</v>
      </c>
      <c r="H4">
        <v>100</v>
      </c>
      <c r="K4">
        <v>1</v>
      </c>
      <c r="L4" t="s">
        <v>41</v>
      </c>
      <c r="M4" t="s">
        <v>89</v>
      </c>
      <c r="N4" s="11">
        <v>2958465</v>
      </c>
      <c r="P4">
        <v>0</v>
      </c>
      <c r="U4">
        <v>4</v>
      </c>
      <c r="V4">
        <v>1</v>
      </c>
      <c r="W4" t="s">
        <v>42</v>
      </c>
      <c r="X4">
        <v>0</v>
      </c>
    </row>
    <row r="5" spans="1:24" x14ac:dyDescent="0.25">
      <c r="A5">
        <v>1</v>
      </c>
      <c r="B5" s="10">
        <v>591108240549</v>
      </c>
      <c r="C5">
        <v>40</v>
      </c>
      <c r="D5" s="10">
        <v>5952792405</v>
      </c>
      <c r="F5" t="s">
        <v>40</v>
      </c>
      <c r="G5">
        <v>0</v>
      </c>
      <c r="H5">
        <v>100</v>
      </c>
      <c r="K5">
        <v>1</v>
      </c>
      <c r="L5" t="s">
        <v>41</v>
      </c>
      <c r="M5" t="s">
        <v>89</v>
      </c>
      <c r="N5" s="11">
        <v>2958465</v>
      </c>
      <c r="P5">
        <v>0</v>
      </c>
      <c r="U5">
        <v>4</v>
      </c>
      <c r="V5">
        <v>1</v>
      </c>
      <c r="W5" t="s">
        <v>42</v>
      </c>
      <c r="X5">
        <v>0</v>
      </c>
    </row>
    <row r="6" spans="1:24" x14ac:dyDescent="0.25">
      <c r="A6">
        <v>1</v>
      </c>
      <c r="B6" s="10">
        <v>591108240549</v>
      </c>
      <c r="C6">
        <v>50</v>
      </c>
      <c r="D6" s="10">
        <v>59102305</v>
      </c>
      <c r="F6" t="s">
        <v>40</v>
      </c>
      <c r="G6">
        <v>0</v>
      </c>
      <c r="H6">
        <v>100</v>
      </c>
      <c r="K6">
        <v>2</v>
      </c>
      <c r="L6" t="s">
        <v>41</v>
      </c>
      <c r="M6" t="s">
        <v>89</v>
      </c>
      <c r="N6" s="11">
        <v>2958465</v>
      </c>
      <c r="P6">
        <v>0</v>
      </c>
      <c r="U6">
        <v>4</v>
      </c>
      <c r="V6">
        <v>1</v>
      </c>
      <c r="W6" t="s">
        <v>42</v>
      </c>
      <c r="X6">
        <v>0</v>
      </c>
    </row>
    <row r="7" spans="1:24" x14ac:dyDescent="0.25">
      <c r="A7">
        <v>1</v>
      </c>
      <c r="B7" s="10">
        <v>591108240549</v>
      </c>
      <c r="C7">
        <v>60</v>
      </c>
      <c r="D7" s="10">
        <v>12421249</v>
      </c>
      <c r="F7" t="s">
        <v>40</v>
      </c>
      <c r="G7">
        <v>0</v>
      </c>
      <c r="H7">
        <v>100</v>
      </c>
      <c r="K7">
        <v>1</v>
      </c>
      <c r="L7" t="s">
        <v>41</v>
      </c>
      <c r="M7" t="s">
        <v>89</v>
      </c>
      <c r="N7" s="11">
        <v>2958465</v>
      </c>
      <c r="P7">
        <v>0</v>
      </c>
      <c r="U7">
        <v>4</v>
      </c>
      <c r="V7">
        <v>1</v>
      </c>
      <c r="W7" t="s">
        <v>42</v>
      </c>
      <c r="X7">
        <v>0</v>
      </c>
    </row>
    <row r="8" spans="1:24" x14ac:dyDescent="0.25">
      <c r="A8">
        <v>1</v>
      </c>
      <c r="B8" s="10">
        <v>591108240549</v>
      </c>
      <c r="C8">
        <v>70</v>
      </c>
      <c r="D8" s="10">
        <v>5997499</v>
      </c>
      <c r="F8" t="s">
        <v>68</v>
      </c>
      <c r="G8">
        <v>0</v>
      </c>
      <c r="H8">
        <v>100</v>
      </c>
      <c r="K8">
        <v>1</v>
      </c>
      <c r="L8" t="s">
        <v>41</v>
      </c>
      <c r="M8" t="s">
        <v>89</v>
      </c>
      <c r="N8" s="11">
        <v>2958465</v>
      </c>
      <c r="P8">
        <v>0</v>
      </c>
      <c r="U8">
        <v>4</v>
      </c>
      <c r="V8">
        <v>1</v>
      </c>
      <c r="W8" t="s">
        <v>42</v>
      </c>
      <c r="X8">
        <v>0</v>
      </c>
    </row>
    <row r="9" spans="1:24" x14ac:dyDescent="0.25">
      <c r="A9">
        <v>1</v>
      </c>
      <c r="B9" s="10">
        <v>591108240849</v>
      </c>
      <c r="C9">
        <v>10</v>
      </c>
      <c r="D9" s="10">
        <v>5959672108</v>
      </c>
      <c r="F9" t="s">
        <v>40</v>
      </c>
      <c r="G9">
        <v>0</v>
      </c>
      <c r="H9">
        <v>100</v>
      </c>
      <c r="K9">
        <v>1</v>
      </c>
      <c r="L9" t="s">
        <v>41</v>
      </c>
      <c r="M9" t="s">
        <v>89</v>
      </c>
      <c r="N9" s="11">
        <v>2958465</v>
      </c>
      <c r="P9">
        <v>0</v>
      </c>
      <c r="U9">
        <v>4</v>
      </c>
      <c r="V9">
        <v>1</v>
      </c>
      <c r="W9" t="s">
        <v>42</v>
      </c>
      <c r="X9">
        <v>0</v>
      </c>
    </row>
    <row r="10" spans="1:24" x14ac:dyDescent="0.25">
      <c r="A10">
        <v>1</v>
      </c>
      <c r="B10" s="10">
        <v>591108240849</v>
      </c>
      <c r="C10">
        <v>20</v>
      </c>
      <c r="D10" s="10">
        <v>5959692108</v>
      </c>
      <c r="F10" t="s">
        <v>40</v>
      </c>
      <c r="G10">
        <v>0</v>
      </c>
      <c r="H10">
        <v>100</v>
      </c>
      <c r="K10">
        <v>1</v>
      </c>
      <c r="L10" t="s">
        <v>41</v>
      </c>
      <c r="M10" t="s">
        <v>89</v>
      </c>
      <c r="N10" s="11">
        <v>2958465</v>
      </c>
      <c r="P10">
        <v>0</v>
      </c>
      <c r="U10">
        <v>4</v>
      </c>
      <c r="V10">
        <v>1</v>
      </c>
      <c r="W10" t="s">
        <v>42</v>
      </c>
      <c r="X10">
        <v>0</v>
      </c>
    </row>
    <row r="11" spans="1:24" x14ac:dyDescent="0.25">
      <c r="A11">
        <v>1</v>
      </c>
      <c r="B11" s="10">
        <v>591108240849</v>
      </c>
      <c r="C11">
        <v>30</v>
      </c>
      <c r="D11" s="10">
        <v>5952482108</v>
      </c>
      <c r="F11" t="s">
        <v>40</v>
      </c>
      <c r="G11">
        <v>0</v>
      </c>
      <c r="H11">
        <v>100</v>
      </c>
      <c r="K11">
        <v>1</v>
      </c>
      <c r="L11" t="s">
        <v>41</v>
      </c>
      <c r="M11" t="s">
        <v>89</v>
      </c>
      <c r="N11" s="11">
        <v>2958465</v>
      </c>
      <c r="P11">
        <v>0</v>
      </c>
      <c r="U11">
        <v>4</v>
      </c>
      <c r="V11">
        <v>1</v>
      </c>
      <c r="W11" t="s">
        <v>42</v>
      </c>
      <c r="X11">
        <v>0</v>
      </c>
    </row>
    <row r="12" spans="1:24" x14ac:dyDescent="0.25">
      <c r="A12">
        <v>1</v>
      </c>
      <c r="B12" s="10">
        <v>591108240849</v>
      </c>
      <c r="C12">
        <v>40</v>
      </c>
      <c r="D12" s="10">
        <v>5952792408</v>
      </c>
      <c r="F12" t="s">
        <v>40</v>
      </c>
      <c r="G12">
        <v>0</v>
      </c>
      <c r="H12">
        <v>100</v>
      </c>
      <c r="K12">
        <v>1</v>
      </c>
      <c r="L12" t="s">
        <v>41</v>
      </c>
      <c r="M12" t="s">
        <v>89</v>
      </c>
      <c r="N12" s="11">
        <v>2958465</v>
      </c>
      <c r="P12">
        <v>0</v>
      </c>
      <c r="U12">
        <v>4</v>
      </c>
      <c r="V12">
        <v>1</v>
      </c>
      <c r="W12" t="s">
        <v>42</v>
      </c>
      <c r="X12">
        <v>0</v>
      </c>
    </row>
    <row r="13" spans="1:24" x14ac:dyDescent="0.25">
      <c r="A13">
        <v>1</v>
      </c>
      <c r="B13" s="10">
        <v>591108240849</v>
      </c>
      <c r="C13">
        <v>50</v>
      </c>
      <c r="D13" s="10">
        <v>59102308</v>
      </c>
      <c r="F13" t="s">
        <v>40</v>
      </c>
      <c r="G13">
        <v>0</v>
      </c>
      <c r="H13">
        <v>100</v>
      </c>
      <c r="K13">
        <v>2</v>
      </c>
      <c r="L13" t="s">
        <v>41</v>
      </c>
      <c r="M13" t="s">
        <v>89</v>
      </c>
      <c r="N13" s="11">
        <v>2958465</v>
      </c>
      <c r="P13">
        <v>0</v>
      </c>
      <c r="U13">
        <v>4</v>
      </c>
      <c r="V13">
        <v>1</v>
      </c>
      <c r="W13" t="s">
        <v>42</v>
      </c>
      <c r="X13">
        <v>0</v>
      </c>
    </row>
    <row r="14" spans="1:24" x14ac:dyDescent="0.25">
      <c r="A14">
        <v>1</v>
      </c>
      <c r="B14" s="10">
        <v>591108240849</v>
      </c>
      <c r="C14">
        <v>60</v>
      </c>
      <c r="D14" s="10">
        <v>12421249</v>
      </c>
      <c r="F14" t="s">
        <v>40</v>
      </c>
      <c r="G14">
        <v>0</v>
      </c>
      <c r="H14">
        <v>100</v>
      </c>
      <c r="K14">
        <v>1</v>
      </c>
      <c r="L14" t="s">
        <v>41</v>
      </c>
      <c r="M14" t="s">
        <v>89</v>
      </c>
      <c r="N14" s="11">
        <v>2958465</v>
      </c>
      <c r="P14">
        <v>0</v>
      </c>
      <c r="U14">
        <v>4</v>
      </c>
      <c r="V14">
        <v>1</v>
      </c>
      <c r="W14" t="s">
        <v>42</v>
      </c>
      <c r="X14">
        <v>0</v>
      </c>
    </row>
    <row r="15" spans="1:24" x14ac:dyDescent="0.25">
      <c r="A15">
        <v>1</v>
      </c>
      <c r="B15" s="10">
        <v>591108240849</v>
      </c>
      <c r="C15">
        <v>70</v>
      </c>
      <c r="D15" s="10">
        <v>5997499</v>
      </c>
      <c r="F15" t="s">
        <v>68</v>
      </c>
      <c r="G15">
        <v>0</v>
      </c>
      <c r="H15">
        <v>100</v>
      </c>
      <c r="K15">
        <v>1</v>
      </c>
      <c r="L15" t="s">
        <v>41</v>
      </c>
      <c r="M15" t="s">
        <v>89</v>
      </c>
      <c r="N15" s="11">
        <v>2958465</v>
      </c>
      <c r="P15">
        <v>0</v>
      </c>
      <c r="U15">
        <v>4</v>
      </c>
      <c r="V15">
        <v>1</v>
      </c>
      <c r="W15" t="s">
        <v>42</v>
      </c>
      <c r="X15">
        <v>0</v>
      </c>
    </row>
    <row r="16" spans="1:24" x14ac:dyDescent="0.25">
      <c r="A16">
        <v>1</v>
      </c>
      <c r="B16" s="10">
        <v>591108240550</v>
      </c>
      <c r="C16">
        <v>10</v>
      </c>
      <c r="D16" s="10">
        <v>5959672105</v>
      </c>
      <c r="F16" t="s">
        <v>40</v>
      </c>
      <c r="G16">
        <v>0</v>
      </c>
      <c r="H16">
        <v>100</v>
      </c>
      <c r="K16">
        <v>1</v>
      </c>
      <c r="L16" t="s">
        <v>41</v>
      </c>
      <c r="M16" t="s">
        <v>89</v>
      </c>
      <c r="N16" s="11">
        <v>2958465</v>
      </c>
      <c r="P16">
        <v>0</v>
      </c>
      <c r="U16">
        <v>4</v>
      </c>
      <c r="V16">
        <v>1</v>
      </c>
      <c r="W16" t="s">
        <v>42</v>
      </c>
      <c r="X16">
        <v>0</v>
      </c>
    </row>
    <row r="17" spans="1:24" x14ac:dyDescent="0.25">
      <c r="A17">
        <v>1</v>
      </c>
      <c r="B17" s="10">
        <v>591108240550</v>
      </c>
      <c r="C17">
        <v>20</v>
      </c>
      <c r="D17" s="10">
        <v>5959692105</v>
      </c>
      <c r="F17" t="s">
        <v>40</v>
      </c>
      <c r="G17">
        <v>0</v>
      </c>
      <c r="H17">
        <v>100</v>
      </c>
      <c r="K17">
        <v>1</v>
      </c>
      <c r="L17" t="s">
        <v>41</v>
      </c>
      <c r="M17" t="s">
        <v>89</v>
      </c>
      <c r="N17" s="11">
        <v>2958465</v>
      </c>
      <c r="P17">
        <v>0</v>
      </c>
      <c r="U17">
        <v>4</v>
      </c>
      <c r="V17">
        <v>1</v>
      </c>
      <c r="W17" t="s">
        <v>42</v>
      </c>
      <c r="X17">
        <v>0</v>
      </c>
    </row>
    <row r="18" spans="1:24" x14ac:dyDescent="0.25">
      <c r="A18">
        <v>1</v>
      </c>
      <c r="B18" s="10">
        <v>591108240550</v>
      </c>
      <c r="C18">
        <v>30</v>
      </c>
      <c r="D18" s="10">
        <v>5952482105</v>
      </c>
      <c r="F18" t="s">
        <v>40</v>
      </c>
      <c r="G18">
        <v>0</v>
      </c>
      <c r="H18">
        <v>100</v>
      </c>
      <c r="K18">
        <v>1</v>
      </c>
      <c r="L18" t="s">
        <v>41</v>
      </c>
      <c r="M18" t="s">
        <v>89</v>
      </c>
      <c r="N18" s="11">
        <v>2958465</v>
      </c>
      <c r="P18">
        <v>0</v>
      </c>
      <c r="U18">
        <v>4</v>
      </c>
      <c r="V18">
        <v>1</v>
      </c>
      <c r="W18" t="s">
        <v>42</v>
      </c>
      <c r="X18">
        <v>0</v>
      </c>
    </row>
    <row r="19" spans="1:24" x14ac:dyDescent="0.25">
      <c r="A19">
        <v>1</v>
      </c>
      <c r="B19" s="10">
        <v>591108240550</v>
      </c>
      <c r="C19">
        <v>40</v>
      </c>
      <c r="D19" s="10">
        <v>5952792405</v>
      </c>
      <c r="F19" t="s">
        <v>40</v>
      </c>
      <c r="G19">
        <v>0</v>
      </c>
      <c r="H19">
        <v>100</v>
      </c>
      <c r="K19">
        <v>1</v>
      </c>
      <c r="L19" t="s">
        <v>41</v>
      </c>
      <c r="M19" t="s">
        <v>89</v>
      </c>
      <c r="N19" s="11">
        <v>2958465</v>
      </c>
      <c r="P19">
        <v>0</v>
      </c>
      <c r="U19">
        <v>4</v>
      </c>
      <c r="V19">
        <v>1</v>
      </c>
      <c r="W19" t="s">
        <v>42</v>
      </c>
      <c r="X19">
        <v>0</v>
      </c>
    </row>
    <row r="20" spans="1:24" x14ac:dyDescent="0.25">
      <c r="A20">
        <v>1</v>
      </c>
      <c r="B20" s="10">
        <v>591108240550</v>
      </c>
      <c r="C20">
        <v>50</v>
      </c>
      <c r="D20" s="10">
        <v>59102305</v>
      </c>
      <c r="F20" t="s">
        <v>40</v>
      </c>
      <c r="G20">
        <v>0</v>
      </c>
      <c r="H20">
        <v>100</v>
      </c>
      <c r="K20">
        <v>2</v>
      </c>
      <c r="L20" t="s">
        <v>41</v>
      </c>
      <c r="M20" t="s">
        <v>89</v>
      </c>
      <c r="N20" s="11">
        <v>2958465</v>
      </c>
      <c r="P20">
        <v>0</v>
      </c>
      <c r="U20">
        <v>4</v>
      </c>
      <c r="V20">
        <v>1</v>
      </c>
      <c r="W20" t="s">
        <v>42</v>
      </c>
      <c r="X20">
        <v>0</v>
      </c>
    </row>
    <row r="21" spans="1:24" x14ac:dyDescent="0.25">
      <c r="A21">
        <v>1</v>
      </c>
      <c r="B21" s="10">
        <v>591108240550</v>
      </c>
      <c r="C21">
        <v>60</v>
      </c>
      <c r="D21" s="10">
        <v>12421250</v>
      </c>
      <c r="F21" t="s">
        <v>40</v>
      </c>
      <c r="G21">
        <v>0</v>
      </c>
      <c r="H21">
        <v>100</v>
      </c>
      <c r="K21">
        <v>1</v>
      </c>
      <c r="L21" t="s">
        <v>41</v>
      </c>
      <c r="M21" t="s">
        <v>89</v>
      </c>
      <c r="N21" s="11">
        <v>2958465</v>
      </c>
      <c r="P21">
        <v>0</v>
      </c>
      <c r="U21">
        <v>4</v>
      </c>
      <c r="V21">
        <v>1</v>
      </c>
      <c r="W21" t="s">
        <v>42</v>
      </c>
      <c r="X21">
        <v>0</v>
      </c>
    </row>
    <row r="22" spans="1:24" x14ac:dyDescent="0.25">
      <c r="A22">
        <v>1</v>
      </c>
      <c r="B22" s="10">
        <v>591108240550</v>
      </c>
      <c r="C22">
        <v>70</v>
      </c>
      <c r="D22" s="10">
        <v>5997499</v>
      </c>
      <c r="F22" t="s">
        <v>68</v>
      </c>
      <c r="G22">
        <v>0</v>
      </c>
      <c r="H22">
        <v>100</v>
      </c>
      <c r="K22">
        <v>1</v>
      </c>
      <c r="L22" t="s">
        <v>41</v>
      </c>
      <c r="M22" t="s">
        <v>89</v>
      </c>
      <c r="N22" s="11">
        <v>2958465</v>
      </c>
      <c r="P22">
        <v>0</v>
      </c>
      <c r="U22">
        <v>4</v>
      </c>
      <c r="V22">
        <v>1</v>
      </c>
      <c r="W22" t="s">
        <v>42</v>
      </c>
      <c r="X22">
        <v>0</v>
      </c>
    </row>
    <row r="23" spans="1:24" x14ac:dyDescent="0.25">
      <c r="A23">
        <v>1</v>
      </c>
      <c r="B23" s="10">
        <v>591108240950</v>
      </c>
      <c r="C23">
        <v>10</v>
      </c>
      <c r="D23" s="10">
        <v>5959672109</v>
      </c>
      <c r="F23" t="s">
        <v>40</v>
      </c>
      <c r="G23">
        <v>0</v>
      </c>
      <c r="H23">
        <v>100</v>
      </c>
      <c r="K23">
        <v>1</v>
      </c>
      <c r="L23" t="s">
        <v>41</v>
      </c>
      <c r="M23" t="s">
        <v>89</v>
      </c>
      <c r="N23" s="11">
        <v>2958465</v>
      </c>
      <c r="P23">
        <v>0</v>
      </c>
      <c r="U23">
        <v>4</v>
      </c>
      <c r="V23">
        <v>1</v>
      </c>
      <c r="W23" t="s">
        <v>42</v>
      </c>
      <c r="X23">
        <v>0</v>
      </c>
    </row>
    <row r="24" spans="1:24" x14ac:dyDescent="0.25">
      <c r="A24">
        <v>1</v>
      </c>
      <c r="B24" s="10">
        <v>591108240950</v>
      </c>
      <c r="C24">
        <v>20</v>
      </c>
      <c r="D24" s="10">
        <v>5959692109</v>
      </c>
      <c r="F24" t="s">
        <v>40</v>
      </c>
      <c r="G24">
        <v>0</v>
      </c>
      <c r="H24">
        <v>100</v>
      </c>
      <c r="K24">
        <v>1</v>
      </c>
      <c r="L24" t="s">
        <v>41</v>
      </c>
      <c r="M24" t="s">
        <v>89</v>
      </c>
      <c r="N24" s="11">
        <v>2958465</v>
      </c>
      <c r="P24">
        <v>0</v>
      </c>
      <c r="U24">
        <v>4</v>
      </c>
      <c r="V24">
        <v>1</v>
      </c>
      <c r="W24" t="s">
        <v>42</v>
      </c>
      <c r="X24">
        <v>0</v>
      </c>
    </row>
    <row r="25" spans="1:24" x14ac:dyDescent="0.25">
      <c r="A25">
        <v>1</v>
      </c>
      <c r="B25" s="10">
        <v>591108240950</v>
      </c>
      <c r="C25">
        <v>30</v>
      </c>
      <c r="D25" s="10">
        <v>5952482109</v>
      </c>
      <c r="F25" t="s">
        <v>40</v>
      </c>
      <c r="G25">
        <v>0</v>
      </c>
      <c r="H25">
        <v>100</v>
      </c>
      <c r="K25">
        <v>1</v>
      </c>
      <c r="L25" t="s">
        <v>41</v>
      </c>
      <c r="M25" t="s">
        <v>89</v>
      </c>
      <c r="N25" s="11">
        <v>2958465</v>
      </c>
      <c r="P25">
        <v>0</v>
      </c>
      <c r="U25">
        <v>4</v>
      </c>
      <c r="V25">
        <v>1</v>
      </c>
      <c r="W25" t="s">
        <v>42</v>
      </c>
      <c r="X25">
        <v>0</v>
      </c>
    </row>
    <row r="26" spans="1:24" x14ac:dyDescent="0.25">
      <c r="A26">
        <v>1</v>
      </c>
      <c r="B26" s="10">
        <v>591108240950</v>
      </c>
      <c r="C26">
        <v>40</v>
      </c>
      <c r="D26" s="10">
        <v>5952792409</v>
      </c>
      <c r="F26" t="s">
        <v>40</v>
      </c>
      <c r="G26">
        <v>0</v>
      </c>
      <c r="H26">
        <v>100</v>
      </c>
      <c r="K26">
        <v>1</v>
      </c>
      <c r="L26" t="s">
        <v>41</v>
      </c>
      <c r="M26" t="s">
        <v>89</v>
      </c>
      <c r="N26" s="11">
        <v>2958465</v>
      </c>
      <c r="P26">
        <v>0</v>
      </c>
      <c r="U26">
        <v>4</v>
      </c>
      <c r="V26">
        <v>1</v>
      </c>
      <c r="W26" t="s">
        <v>42</v>
      </c>
      <c r="X26">
        <v>0</v>
      </c>
    </row>
    <row r="27" spans="1:24" x14ac:dyDescent="0.25">
      <c r="A27">
        <v>1</v>
      </c>
      <c r="B27" s="10">
        <v>591108240950</v>
      </c>
      <c r="C27">
        <v>50</v>
      </c>
      <c r="D27" s="10">
        <v>59102309</v>
      </c>
      <c r="F27" t="s">
        <v>40</v>
      </c>
      <c r="G27">
        <v>0</v>
      </c>
      <c r="H27">
        <v>100</v>
      </c>
      <c r="K27">
        <v>2</v>
      </c>
      <c r="L27" t="s">
        <v>41</v>
      </c>
      <c r="M27" t="s">
        <v>89</v>
      </c>
      <c r="N27" s="11">
        <v>2958465</v>
      </c>
      <c r="P27">
        <v>0</v>
      </c>
      <c r="U27">
        <v>4</v>
      </c>
      <c r="V27">
        <v>1</v>
      </c>
      <c r="W27" t="s">
        <v>42</v>
      </c>
      <c r="X27">
        <v>0</v>
      </c>
    </row>
    <row r="28" spans="1:24" x14ac:dyDescent="0.25">
      <c r="A28">
        <v>1</v>
      </c>
      <c r="B28" s="10">
        <v>591108240950</v>
      </c>
      <c r="C28">
        <v>60</v>
      </c>
      <c r="D28" s="10">
        <v>12421250</v>
      </c>
      <c r="F28" t="s">
        <v>40</v>
      </c>
      <c r="G28">
        <v>0</v>
      </c>
      <c r="H28">
        <v>100</v>
      </c>
      <c r="K28">
        <v>1</v>
      </c>
      <c r="L28" t="s">
        <v>41</v>
      </c>
      <c r="M28" t="s">
        <v>89</v>
      </c>
      <c r="N28" s="11">
        <v>2958465</v>
      </c>
      <c r="P28">
        <v>0</v>
      </c>
      <c r="U28">
        <v>4</v>
      </c>
      <c r="V28">
        <v>1</v>
      </c>
      <c r="W28" t="s">
        <v>42</v>
      </c>
      <c r="X28">
        <v>0</v>
      </c>
    </row>
    <row r="29" spans="1:24" x14ac:dyDescent="0.25">
      <c r="A29">
        <v>1</v>
      </c>
      <c r="B29" s="10">
        <v>591108240950</v>
      </c>
      <c r="C29">
        <v>70</v>
      </c>
      <c r="D29" s="10">
        <v>5997499</v>
      </c>
      <c r="F29" t="s">
        <v>68</v>
      </c>
      <c r="G29">
        <v>0</v>
      </c>
      <c r="H29">
        <v>100</v>
      </c>
      <c r="K29">
        <v>1</v>
      </c>
      <c r="L29" t="s">
        <v>41</v>
      </c>
      <c r="M29" t="s">
        <v>89</v>
      </c>
      <c r="N29" s="11">
        <v>2958465</v>
      </c>
      <c r="P29">
        <v>0</v>
      </c>
      <c r="U29">
        <v>4</v>
      </c>
      <c r="V29">
        <v>1</v>
      </c>
      <c r="W29" t="s">
        <v>42</v>
      </c>
      <c r="X29">
        <v>0</v>
      </c>
    </row>
    <row r="30" spans="1:24" x14ac:dyDescent="0.25">
      <c r="A30">
        <v>1</v>
      </c>
      <c r="B30" s="10">
        <v>591108241051</v>
      </c>
      <c r="C30">
        <v>10</v>
      </c>
      <c r="D30" s="10">
        <v>5959672110</v>
      </c>
      <c r="F30" t="s">
        <v>40</v>
      </c>
      <c r="G30">
        <v>0</v>
      </c>
      <c r="H30">
        <v>100</v>
      </c>
      <c r="K30">
        <v>1</v>
      </c>
      <c r="L30" t="s">
        <v>41</v>
      </c>
      <c r="M30" t="s">
        <v>89</v>
      </c>
      <c r="N30" s="11">
        <v>2958465</v>
      </c>
      <c r="P30">
        <v>0</v>
      </c>
      <c r="U30">
        <v>4</v>
      </c>
      <c r="V30">
        <v>1</v>
      </c>
      <c r="W30" t="s">
        <v>42</v>
      </c>
      <c r="X30">
        <v>0</v>
      </c>
    </row>
    <row r="31" spans="1:24" x14ac:dyDescent="0.25">
      <c r="A31">
        <v>1</v>
      </c>
      <c r="B31" s="10">
        <v>591108241051</v>
      </c>
      <c r="C31">
        <v>20</v>
      </c>
      <c r="D31" s="10">
        <v>5959692110</v>
      </c>
      <c r="F31" t="s">
        <v>40</v>
      </c>
      <c r="G31">
        <v>0</v>
      </c>
      <c r="H31">
        <v>100</v>
      </c>
      <c r="K31">
        <v>1</v>
      </c>
      <c r="L31" t="s">
        <v>41</v>
      </c>
      <c r="M31" t="s">
        <v>89</v>
      </c>
      <c r="N31" s="11">
        <v>2958465</v>
      </c>
      <c r="P31">
        <v>0</v>
      </c>
      <c r="U31">
        <v>4</v>
      </c>
      <c r="V31">
        <v>1</v>
      </c>
      <c r="W31" t="s">
        <v>42</v>
      </c>
      <c r="X31">
        <v>0</v>
      </c>
    </row>
    <row r="32" spans="1:24" x14ac:dyDescent="0.25">
      <c r="A32">
        <v>1</v>
      </c>
      <c r="B32" s="10">
        <v>591108241051</v>
      </c>
      <c r="C32">
        <v>30</v>
      </c>
      <c r="D32" s="10">
        <v>5952482110</v>
      </c>
      <c r="F32" t="s">
        <v>40</v>
      </c>
      <c r="G32">
        <v>0</v>
      </c>
      <c r="H32">
        <v>100</v>
      </c>
      <c r="K32">
        <v>1</v>
      </c>
      <c r="L32" t="s">
        <v>41</v>
      </c>
      <c r="M32" t="s">
        <v>89</v>
      </c>
      <c r="N32" s="11">
        <v>2958465</v>
      </c>
      <c r="P32">
        <v>0</v>
      </c>
      <c r="U32">
        <v>4</v>
      </c>
      <c r="V32">
        <v>1</v>
      </c>
      <c r="W32" t="s">
        <v>42</v>
      </c>
      <c r="X32">
        <v>0</v>
      </c>
    </row>
    <row r="33" spans="1:24" x14ac:dyDescent="0.25">
      <c r="A33">
        <v>1</v>
      </c>
      <c r="B33" s="10">
        <v>591108241051</v>
      </c>
      <c r="C33">
        <v>40</v>
      </c>
      <c r="D33" s="10">
        <v>5952792410</v>
      </c>
      <c r="F33" t="s">
        <v>40</v>
      </c>
      <c r="G33">
        <v>0</v>
      </c>
      <c r="H33">
        <v>100</v>
      </c>
      <c r="K33">
        <v>1</v>
      </c>
      <c r="L33" t="s">
        <v>41</v>
      </c>
      <c r="M33" t="s">
        <v>89</v>
      </c>
      <c r="N33" s="11">
        <v>2958465</v>
      </c>
      <c r="P33">
        <v>0</v>
      </c>
      <c r="U33">
        <v>4</v>
      </c>
      <c r="V33">
        <v>1</v>
      </c>
      <c r="W33" t="s">
        <v>42</v>
      </c>
      <c r="X33">
        <v>0</v>
      </c>
    </row>
    <row r="34" spans="1:24" x14ac:dyDescent="0.25">
      <c r="A34">
        <v>1</v>
      </c>
      <c r="B34" s="10">
        <v>591108241051</v>
      </c>
      <c r="C34">
        <v>50</v>
      </c>
      <c r="D34" s="10">
        <v>59102310</v>
      </c>
      <c r="F34" t="s">
        <v>40</v>
      </c>
      <c r="G34">
        <v>0</v>
      </c>
      <c r="H34">
        <v>100</v>
      </c>
      <c r="K34">
        <v>2</v>
      </c>
      <c r="L34" t="s">
        <v>41</v>
      </c>
      <c r="M34" t="s">
        <v>89</v>
      </c>
      <c r="N34" s="11">
        <v>2958465</v>
      </c>
      <c r="P34">
        <v>0</v>
      </c>
      <c r="U34">
        <v>4</v>
      </c>
      <c r="V34">
        <v>1</v>
      </c>
      <c r="W34" t="s">
        <v>42</v>
      </c>
      <c r="X34">
        <v>0</v>
      </c>
    </row>
    <row r="35" spans="1:24" x14ac:dyDescent="0.25">
      <c r="A35">
        <v>1</v>
      </c>
      <c r="B35" s="10">
        <v>591108241051</v>
      </c>
      <c r="C35">
        <v>60</v>
      </c>
      <c r="D35" s="10">
        <v>12421251</v>
      </c>
      <c r="F35" t="s">
        <v>40</v>
      </c>
      <c r="G35">
        <v>0</v>
      </c>
      <c r="H35">
        <v>100</v>
      </c>
      <c r="K35">
        <v>1</v>
      </c>
      <c r="L35" t="s">
        <v>41</v>
      </c>
      <c r="M35" t="s">
        <v>89</v>
      </c>
      <c r="N35" s="11">
        <v>2958465</v>
      </c>
      <c r="P35">
        <v>0</v>
      </c>
      <c r="U35">
        <v>4</v>
      </c>
      <c r="V35">
        <v>1</v>
      </c>
      <c r="W35" t="s">
        <v>42</v>
      </c>
      <c r="X35">
        <v>0</v>
      </c>
    </row>
    <row r="36" spans="1:24" x14ac:dyDescent="0.25">
      <c r="A36">
        <v>1</v>
      </c>
      <c r="B36" s="10">
        <v>591108241051</v>
      </c>
      <c r="C36">
        <v>70</v>
      </c>
      <c r="D36" s="10">
        <v>5997499</v>
      </c>
      <c r="F36" t="s">
        <v>68</v>
      </c>
      <c r="G36">
        <v>0</v>
      </c>
      <c r="H36">
        <v>100</v>
      </c>
      <c r="K36">
        <v>1</v>
      </c>
      <c r="L36" t="s">
        <v>41</v>
      </c>
      <c r="M36" t="s">
        <v>89</v>
      </c>
      <c r="N36" s="11">
        <v>2958465</v>
      </c>
      <c r="P36">
        <v>0</v>
      </c>
      <c r="U36">
        <v>4</v>
      </c>
      <c r="V36">
        <v>1</v>
      </c>
      <c r="W36" t="s">
        <v>42</v>
      </c>
      <c r="X36">
        <v>0</v>
      </c>
    </row>
    <row r="37" spans="1:24" x14ac:dyDescent="0.25">
      <c r="A37">
        <v>1</v>
      </c>
      <c r="B37" s="10">
        <v>591108240152</v>
      </c>
      <c r="C37">
        <v>10</v>
      </c>
      <c r="D37" s="10">
        <v>5959672101</v>
      </c>
      <c r="F37" t="s">
        <v>40</v>
      </c>
      <c r="G37">
        <v>0</v>
      </c>
      <c r="H37">
        <v>100</v>
      </c>
      <c r="K37">
        <v>1</v>
      </c>
      <c r="L37" t="s">
        <v>41</v>
      </c>
      <c r="M37" t="s">
        <v>89</v>
      </c>
      <c r="N37" s="11">
        <v>2958465</v>
      </c>
      <c r="P37">
        <v>0</v>
      </c>
      <c r="U37">
        <v>4</v>
      </c>
      <c r="V37">
        <v>1</v>
      </c>
      <c r="W37" t="s">
        <v>42</v>
      </c>
      <c r="X37">
        <v>0</v>
      </c>
    </row>
    <row r="38" spans="1:24" x14ac:dyDescent="0.25">
      <c r="A38">
        <v>1</v>
      </c>
      <c r="B38" s="10">
        <v>591108240152</v>
      </c>
      <c r="C38">
        <v>20</v>
      </c>
      <c r="D38" s="10">
        <v>5959692101</v>
      </c>
      <c r="F38" t="s">
        <v>40</v>
      </c>
      <c r="G38">
        <v>0</v>
      </c>
      <c r="H38">
        <v>100</v>
      </c>
      <c r="K38">
        <v>1</v>
      </c>
      <c r="L38" t="s">
        <v>41</v>
      </c>
      <c r="M38" t="s">
        <v>89</v>
      </c>
      <c r="N38" s="11">
        <v>2958465</v>
      </c>
      <c r="P38">
        <v>0</v>
      </c>
      <c r="U38">
        <v>4</v>
      </c>
      <c r="V38">
        <v>1</v>
      </c>
      <c r="W38" t="s">
        <v>42</v>
      </c>
      <c r="X38">
        <v>0</v>
      </c>
    </row>
    <row r="39" spans="1:24" x14ac:dyDescent="0.25">
      <c r="A39">
        <v>1</v>
      </c>
      <c r="B39" s="10">
        <v>591108240152</v>
      </c>
      <c r="C39">
        <v>30</v>
      </c>
      <c r="D39" s="10">
        <v>5952482101</v>
      </c>
      <c r="F39" t="s">
        <v>40</v>
      </c>
      <c r="G39">
        <v>0</v>
      </c>
      <c r="H39">
        <v>100</v>
      </c>
      <c r="K39">
        <v>1</v>
      </c>
      <c r="L39" t="s">
        <v>41</v>
      </c>
      <c r="M39" t="s">
        <v>89</v>
      </c>
      <c r="N39" s="11">
        <v>2958465</v>
      </c>
      <c r="P39">
        <v>0</v>
      </c>
      <c r="U39">
        <v>4</v>
      </c>
      <c r="V39">
        <v>1</v>
      </c>
      <c r="W39" t="s">
        <v>42</v>
      </c>
      <c r="X39">
        <v>0</v>
      </c>
    </row>
    <row r="40" spans="1:24" x14ac:dyDescent="0.25">
      <c r="A40">
        <v>1</v>
      </c>
      <c r="B40" s="10">
        <v>591108240152</v>
      </c>
      <c r="C40">
        <v>40</v>
      </c>
      <c r="D40" s="10">
        <v>5952792401</v>
      </c>
      <c r="F40" t="s">
        <v>40</v>
      </c>
      <c r="G40">
        <v>0</v>
      </c>
      <c r="H40">
        <v>100</v>
      </c>
      <c r="K40">
        <v>1</v>
      </c>
      <c r="L40" t="s">
        <v>41</v>
      </c>
      <c r="M40" t="s">
        <v>89</v>
      </c>
      <c r="N40" s="11">
        <v>2958465</v>
      </c>
      <c r="P40">
        <v>0</v>
      </c>
      <c r="U40">
        <v>4</v>
      </c>
      <c r="V40">
        <v>1</v>
      </c>
      <c r="W40" t="s">
        <v>42</v>
      </c>
      <c r="X40">
        <v>0</v>
      </c>
    </row>
    <row r="41" spans="1:24" x14ac:dyDescent="0.25">
      <c r="A41">
        <v>1</v>
      </c>
      <c r="B41" s="10">
        <v>591108240152</v>
      </c>
      <c r="C41">
        <v>50</v>
      </c>
      <c r="D41" s="10">
        <v>59102301</v>
      </c>
      <c r="F41" t="s">
        <v>40</v>
      </c>
      <c r="G41">
        <v>0</v>
      </c>
      <c r="H41">
        <v>100</v>
      </c>
      <c r="K41">
        <v>2</v>
      </c>
      <c r="L41" t="s">
        <v>41</v>
      </c>
      <c r="M41" t="s">
        <v>89</v>
      </c>
      <c r="N41" s="11">
        <v>2958465</v>
      </c>
      <c r="P41">
        <v>0</v>
      </c>
      <c r="U41">
        <v>4</v>
      </c>
      <c r="V41">
        <v>1</v>
      </c>
      <c r="W41" t="s">
        <v>42</v>
      </c>
      <c r="X41">
        <v>0</v>
      </c>
    </row>
    <row r="42" spans="1:24" x14ac:dyDescent="0.25">
      <c r="A42">
        <v>1</v>
      </c>
      <c r="B42" s="10">
        <v>591108240152</v>
      </c>
      <c r="C42">
        <v>60</v>
      </c>
      <c r="D42" s="10">
        <v>12421252</v>
      </c>
      <c r="F42" t="s">
        <v>40</v>
      </c>
      <c r="G42">
        <v>0</v>
      </c>
      <c r="H42">
        <v>100</v>
      </c>
      <c r="K42">
        <v>1</v>
      </c>
      <c r="L42" t="s">
        <v>41</v>
      </c>
      <c r="M42" t="s">
        <v>89</v>
      </c>
      <c r="N42" s="11">
        <v>2958465</v>
      </c>
      <c r="P42">
        <v>0</v>
      </c>
      <c r="U42">
        <v>4</v>
      </c>
      <c r="V42">
        <v>1</v>
      </c>
      <c r="W42" t="s">
        <v>42</v>
      </c>
      <c r="X42">
        <v>0</v>
      </c>
    </row>
    <row r="43" spans="1:24" x14ac:dyDescent="0.25">
      <c r="A43">
        <v>1</v>
      </c>
      <c r="B43" s="10">
        <v>591108240152</v>
      </c>
      <c r="C43">
        <v>70</v>
      </c>
      <c r="D43" s="10">
        <v>5997499</v>
      </c>
      <c r="F43" t="s">
        <v>68</v>
      </c>
      <c r="G43">
        <v>0</v>
      </c>
      <c r="H43">
        <v>100</v>
      </c>
      <c r="K43">
        <v>1</v>
      </c>
      <c r="L43" t="s">
        <v>41</v>
      </c>
      <c r="M43" t="s">
        <v>89</v>
      </c>
      <c r="N43" s="11">
        <v>2958465</v>
      </c>
      <c r="P43">
        <v>0</v>
      </c>
      <c r="U43">
        <v>4</v>
      </c>
      <c r="V43">
        <v>1</v>
      </c>
      <c r="W43" t="s">
        <v>42</v>
      </c>
      <c r="X43">
        <v>0</v>
      </c>
    </row>
    <row r="44" spans="1:24" x14ac:dyDescent="0.25">
      <c r="A44">
        <v>1</v>
      </c>
      <c r="B44" s="10">
        <v>591108240352</v>
      </c>
      <c r="C44">
        <v>10</v>
      </c>
      <c r="D44" s="10">
        <v>5959672103</v>
      </c>
      <c r="F44" t="s">
        <v>40</v>
      </c>
      <c r="G44">
        <v>0</v>
      </c>
      <c r="H44">
        <v>100</v>
      </c>
      <c r="K44">
        <v>1</v>
      </c>
      <c r="L44" t="s">
        <v>41</v>
      </c>
      <c r="M44" t="s">
        <v>89</v>
      </c>
      <c r="N44" s="11">
        <v>2958465</v>
      </c>
      <c r="P44">
        <v>0</v>
      </c>
      <c r="U44">
        <v>4</v>
      </c>
      <c r="V44">
        <v>1</v>
      </c>
      <c r="W44" t="s">
        <v>42</v>
      </c>
      <c r="X44">
        <v>0</v>
      </c>
    </row>
    <row r="45" spans="1:24" x14ac:dyDescent="0.25">
      <c r="A45">
        <v>1</v>
      </c>
      <c r="B45" s="10">
        <v>591108240352</v>
      </c>
      <c r="C45">
        <v>20</v>
      </c>
      <c r="D45" s="10">
        <v>5959692103</v>
      </c>
      <c r="F45" t="s">
        <v>40</v>
      </c>
      <c r="G45">
        <v>0</v>
      </c>
      <c r="H45">
        <v>100</v>
      </c>
      <c r="K45">
        <v>1</v>
      </c>
      <c r="L45" t="s">
        <v>41</v>
      </c>
      <c r="M45" t="s">
        <v>89</v>
      </c>
      <c r="N45" s="11">
        <v>2958465</v>
      </c>
      <c r="P45">
        <v>0</v>
      </c>
      <c r="U45">
        <v>4</v>
      </c>
      <c r="V45">
        <v>1</v>
      </c>
      <c r="W45" t="s">
        <v>42</v>
      </c>
      <c r="X45">
        <v>0</v>
      </c>
    </row>
    <row r="46" spans="1:24" x14ac:dyDescent="0.25">
      <c r="A46">
        <v>1</v>
      </c>
      <c r="B46" s="10">
        <v>591108240352</v>
      </c>
      <c r="C46">
        <v>30</v>
      </c>
      <c r="D46" s="10">
        <v>5952482103</v>
      </c>
      <c r="F46" t="s">
        <v>40</v>
      </c>
      <c r="G46">
        <v>0</v>
      </c>
      <c r="H46">
        <v>100</v>
      </c>
      <c r="K46">
        <v>1</v>
      </c>
      <c r="L46" t="s">
        <v>41</v>
      </c>
      <c r="M46" t="s">
        <v>89</v>
      </c>
      <c r="N46" s="11">
        <v>2958465</v>
      </c>
      <c r="P46">
        <v>0</v>
      </c>
      <c r="U46">
        <v>4</v>
      </c>
      <c r="V46">
        <v>1</v>
      </c>
      <c r="W46" t="s">
        <v>42</v>
      </c>
      <c r="X46">
        <v>0</v>
      </c>
    </row>
    <row r="47" spans="1:24" x14ac:dyDescent="0.25">
      <c r="A47">
        <v>1</v>
      </c>
      <c r="B47" s="10">
        <v>591108240352</v>
      </c>
      <c r="C47">
        <v>40</v>
      </c>
      <c r="D47" s="10">
        <v>5952792403</v>
      </c>
      <c r="F47" t="s">
        <v>40</v>
      </c>
      <c r="G47">
        <v>0</v>
      </c>
      <c r="H47">
        <v>100</v>
      </c>
      <c r="K47">
        <v>1</v>
      </c>
      <c r="L47" t="s">
        <v>41</v>
      </c>
      <c r="M47" t="s">
        <v>89</v>
      </c>
      <c r="N47" s="11">
        <v>2958465</v>
      </c>
      <c r="P47">
        <v>0</v>
      </c>
      <c r="U47">
        <v>4</v>
      </c>
      <c r="V47">
        <v>1</v>
      </c>
      <c r="W47" t="s">
        <v>42</v>
      </c>
      <c r="X47">
        <v>0</v>
      </c>
    </row>
    <row r="48" spans="1:24" x14ac:dyDescent="0.25">
      <c r="A48">
        <v>1</v>
      </c>
      <c r="B48" s="10">
        <v>591108240352</v>
      </c>
      <c r="C48">
        <v>50</v>
      </c>
      <c r="D48" s="10">
        <v>59102303</v>
      </c>
      <c r="F48" t="s">
        <v>40</v>
      </c>
      <c r="G48">
        <v>0</v>
      </c>
      <c r="H48">
        <v>100</v>
      </c>
      <c r="K48">
        <v>2</v>
      </c>
      <c r="L48" t="s">
        <v>41</v>
      </c>
      <c r="M48" t="s">
        <v>89</v>
      </c>
      <c r="N48" s="11">
        <v>2958465</v>
      </c>
      <c r="P48">
        <v>0</v>
      </c>
      <c r="U48">
        <v>4</v>
      </c>
      <c r="V48">
        <v>1</v>
      </c>
      <c r="W48" t="s">
        <v>42</v>
      </c>
      <c r="X48">
        <v>0</v>
      </c>
    </row>
    <row r="49" spans="1:24" x14ac:dyDescent="0.25">
      <c r="A49">
        <v>1</v>
      </c>
      <c r="B49" s="10">
        <v>591108240352</v>
      </c>
      <c r="C49">
        <v>60</v>
      </c>
      <c r="D49" s="10">
        <v>12421252</v>
      </c>
      <c r="F49" t="s">
        <v>40</v>
      </c>
      <c r="G49">
        <v>0</v>
      </c>
      <c r="H49">
        <v>100</v>
      </c>
      <c r="K49">
        <v>1</v>
      </c>
      <c r="L49" t="s">
        <v>41</v>
      </c>
      <c r="M49" t="s">
        <v>89</v>
      </c>
      <c r="N49" s="11">
        <v>2958465</v>
      </c>
      <c r="P49">
        <v>0</v>
      </c>
      <c r="U49">
        <v>4</v>
      </c>
      <c r="V49">
        <v>1</v>
      </c>
      <c r="W49" t="s">
        <v>42</v>
      </c>
      <c r="X49">
        <v>0</v>
      </c>
    </row>
    <row r="50" spans="1:24" x14ac:dyDescent="0.25">
      <c r="A50">
        <v>1</v>
      </c>
      <c r="B50" s="10">
        <v>591108240352</v>
      </c>
      <c r="C50">
        <v>70</v>
      </c>
      <c r="D50" s="10">
        <v>5997499</v>
      </c>
      <c r="F50" t="s">
        <v>68</v>
      </c>
      <c r="G50">
        <v>0</v>
      </c>
      <c r="H50">
        <v>100</v>
      </c>
      <c r="K50">
        <v>1</v>
      </c>
      <c r="L50" t="s">
        <v>41</v>
      </c>
      <c r="M50" t="s">
        <v>89</v>
      </c>
      <c r="N50" s="11">
        <v>2958465</v>
      </c>
      <c r="P50">
        <v>0</v>
      </c>
      <c r="U50">
        <v>4</v>
      </c>
      <c r="V50">
        <v>1</v>
      </c>
      <c r="W50" t="s">
        <v>42</v>
      </c>
      <c r="X50">
        <v>0</v>
      </c>
    </row>
    <row r="51" spans="1:24" x14ac:dyDescent="0.25">
      <c r="A51">
        <v>1</v>
      </c>
      <c r="B51" s="10">
        <v>591108240752</v>
      </c>
      <c r="C51">
        <v>10</v>
      </c>
      <c r="D51" s="10">
        <v>5959672107</v>
      </c>
      <c r="F51" t="s">
        <v>40</v>
      </c>
      <c r="G51">
        <v>0</v>
      </c>
      <c r="H51">
        <v>100</v>
      </c>
      <c r="K51">
        <v>1</v>
      </c>
      <c r="L51" t="s">
        <v>41</v>
      </c>
      <c r="M51" t="s">
        <v>89</v>
      </c>
      <c r="N51" s="11">
        <v>2958465</v>
      </c>
      <c r="P51">
        <v>0</v>
      </c>
      <c r="U51">
        <v>4</v>
      </c>
      <c r="V51">
        <v>1</v>
      </c>
      <c r="W51" t="s">
        <v>42</v>
      </c>
      <c r="X51">
        <v>0</v>
      </c>
    </row>
    <row r="52" spans="1:24" x14ac:dyDescent="0.25">
      <c r="A52">
        <v>1</v>
      </c>
      <c r="B52" s="10">
        <v>591108240752</v>
      </c>
      <c r="C52">
        <v>20</v>
      </c>
      <c r="D52" s="10">
        <v>5959692107</v>
      </c>
      <c r="F52" t="s">
        <v>40</v>
      </c>
      <c r="G52">
        <v>0</v>
      </c>
      <c r="H52">
        <v>100</v>
      </c>
      <c r="K52">
        <v>1</v>
      </c>
      <c r="L52" t="s">
        <v>41</v>
      </c>
      <c r="M52" t="s">
        <v>89</v>
      </c>
      <c r="N52" s="11">
        <v>2958465</v>
      </c>
      <c r="P52">
        <v>0</v>
      </c>
      <c r="U52">
        <v>4</v>
      </c>
      <c r="V52">
        <v>1</v>
      </c>
      <c r="W52" t="s">
        <v>42</v>
      </c>
      <c r="X52">
        <v>0</v>
      </c>
    </row>
    <row r="53" spans="1:24" x14ac:dyDescent="0.25">
      <c r="A53">
        <v>1</v>
      </c>
      <c r="B53" s="10">
        <v>591108240752</v>
      </c>
      <c r="C53">
        <v>30</v>
      </c>
      <c r="D53" s="10">
        <v>5952482107</v>
      </c>
      <c r="F53" t="s">
        <v>40</v>
      </c>
      <c r="G53">
        <v>0</v>
      </c>
      <c r="H53">
        <v>100</v>
      </c>
      <c r="K53">
        <v>1</v>
      </c>
      <c r="L53" t="s">
        <v>41</v>
      </c>
      <c r="M53" t="s">
        <v>89</v>
      </c>
      <c r="N53" s="11">
        <v>2958465</v>
      </c>
      <c r="P53">
        <v>0</v>
      </c>
      <c r="U53">
        <v>4</v>
      </c>
      <c r="V53">
        <v>1</v>
      </c>
      <c r="W53" t="s">
        <v>42</v>
      </c>
      <c r="X53">
        <v>0</v>
      </c>
    </row>
    <row r="54" spans="1:24" x14ac:dyDescent="0.25">
      <c r="A54">
        <v>1</v>
      </c>
      <c r="B54" s="10">
        <v>591108240752</v>
      </c>
      <c r="C54">
        <v>40</v>
      </c>
      <c r="D54" s="10">
        <v>5952792407</v>
      </c>
      <c r="F54" t="s">
        <v>40</v>
      </c>
      <c r="G54">
        <v>0</v>
      </c>
      <c r="H54">
        <v>100</v>
      </c>
      <c r="K54">
        <v>1</v>
      </c>
      <c r="L54" t="s">
        <v>41</v>
      </c>
      <c r="M54" t="s">
        <v>89</v>
      </c>
      <c r="N54" s="11">
        <v>2958465</v>
      </c>
      <c r="P54">
        <v>0</v>
      </c>
      <c r="U54">
        <v>4</v>
      </c>
      <c r="V54">
        <v>1</v>
      </c>
      <c r="W54" t="s">
        <v>42</v>
      </c>
      <c r="X54">
        <v>0</v>
      </c>
    </row>
    <row r="55" spans="1:24" x14ac:dyDescent="0.25">
      <c r="A55">
        <v>1</v>
      </c>
      <c r="B55" s="10">
        <v>591108240752</v>
      </c>
      <c r="C55">
        <v>50</v>
      </c>
      <c r="D55" s="10">
        <v>59102307</v>
      </c>
      <c r="F55" t="s">
        <v>40</v>
      </c>
      <c r="G55">
        <v>0</v>
      </c>
      <c r="H55">
        <v>100</v>
      </c>
      <c r="K55">
        <v>2</v>
      </c>
      <c r="L55" t="s">
        <v>41</v>
      </c>
      <c r="M55" t="s">
        <v>89</v>
      </c>
      <c r="N55" s="11">
        <v>2958465</v>
      </c>
      <c r="P55">
        <v>0</v>
      </c>
      <c r="U55">
        <v>4</v>
      </c>
      <c r="V55">
        <v>1</v>
      </c>
      <c r="W55" t="s">
        <v>42</v>
      </c>
      <c r="X55">
        <v>0</v>
      </c>
    </row>
    <row r="56" spans="1:24" x14ac:dyDescent="0.25">
      <c r="A56">
        <v>1</v>
      </c>
      <c r="B56" s="10">
        <v>591108240752</v>
      </c>
      <c r="C56">
        <v>60</v>
      </c>
      <c r="D56" s="10">
        <v>12421252</v>
      </c>
      <c r="F56" t="s">
        <v>40</v>
      </c>
      <c r="G56">
        <v>0</v>
      </c>
      <c r="H56">
        <v>100</v>
      </c>
      <c r="K56">
        <v>1</v>
      </c>
      <c r="L56" t="s">
        <v>41</v>
      </c>
      <c r="M56" t="s">
        <v>89</v>
      </c>
      <c r="N56" s="11">
        <v>2958465</v>
      </c>
      <c r="P56">
        <v>0</v>
      </c>
      <c r="U56">
        <v>4</v>
      </c>
      <c r="V56">
        <v>1</v>
      </c>
      <c r="W56" t="s">
        <v>42</v>
      </c>
      <c r="X56">
        <v>0</v>
      </c>
    </row>
    <row r="57" spans="1:24" x14ac:dyDescent="0.25">
      <c r="A57">
        <v>1</v>
      </c>
      <c r="B57" s="10">
        <v>591108240752</v>
      </c>
      <c r="C57">
        <v>70</v>
      </c>
      <c r="D57" s="10">
        <v>5997499</v>
      </c>
      <c r="F57" t="s">
        <v>68</v>
      </c>
      <c r="G57">
        <v>0</v>
      </c>
      <c r="H57">
        <v>100</v>
      </c>
      <c r="K57">
        <v>1</v>
      </c>
      <c r="L57" t="s">
        <v>41</v>
      </c>
      <c r="M57" t="s">
        <v>89</v>
      </c>
      <c r="N57" s="11">
        <v>2958465</v>
      </c>
      <c r="P57">
        <v>0</v>
      </c>
      <c r="U57">
        <v>4</v>
      </c>
      <c r="V57">
        <v>1</v>
      </c>
      <c r="W57" t="s">
        <v>42</v>
      </c>
      <c r="X57">
        <v>0</v>
      </c>
    </row>
    <row r="58" spans="1:24" x14ac:dyDescent="0.25">
      <c r="A58">
        <v>1</v>
      </c>
      <c r="B58" s="10">
        <v>591108240105</v>
      </c>
      <c r="C58">
        <v>10</v>
      </c>
      <c r="D58" s="10">
        <v>5959672101</v>
      </c>
      <c r="F58" t="s">
        <v>40</v>
      </c>
      <c r="G58">
        <v>0</v>
      </c>
      <c r="H58">
        <v>100</v>
      </c>
      <c r="K58">
        <v>1</v>
      </c>
      <c r="L58" t="s">
        <v>41</v>
      </c>
      <c r="M58" t="s">
        <v>89</v>
      </c>
      <c r="N58" s="11">
        <v>2958465</v>
      </c>
      <c r="P58">
        <v>0</v>
      </c>
      <c r="U58">
        <v>4</v>
      </c>
      <c r="V58">
        <v>1</v>
      </c>
      <c r="W58" t="s">
        <v>42</v>
      </c>
      <c r="X58">
        <v>0</v>
      </c>
    </row>
    <row r="59" spans="1:24" x14ac:dyDescent="0.25">
      <c r="A59">
        <v>1</v>
      </c>
      <c r="B59" s="10">
        <v>591108240105</v>
      </c>
      <c r="C59">
        <v>20</v>
      </c>
      <c r="D59" s="10">
        <v>5959692101</v>
      </c>
      <c r="F59" t="s">
        <v>40</v>
      </c>
      <c r="G59">
        <v>0</v>
      </c>
      <c r="H59">
        <v>100</v>
      </c>
      <c r="K59">
        <v>1</v>
      </c>
      <c r="L59" t="s">
        <v>41</v>
      </c>
      <c r="M59" t="s">
        <v>89</v>
      </c>
      <c r="N59" s="11">
        <v>2958465</v>
      </c>
      <c r="P59">
        <v>0</v>
      </c>
      <c r="U59">
        <v>4</v>
      </c>
      <c r="V59">
        <v>1</v>
      </c>
      <c r="W59" t="s">
        <v>42</v>
      </c>
      <c r="X59">
        <v>0</v>
      </c>
    </row>
    <row r="60" spans="1:24" x14ac:dyDescent="0.25">
      <c r="A60">
        <v>1</v>
      </c>
      <c r="B60" s="10">
        <v>591108240105</v>
      </c>
      <c r="C60">
        <v>30</v>
      </c>
      <c r="D60" s="10">
        <v>5952482101</v>
      </c>
      <c r="F60" t="s">
        <v>40</v>
      </c>
      <c r="G60">
        <v>0</v>
      </c>
      <c r="H60">
        <v>100</v>
      </c>
      <c r="K60">
        <v>1</v>
      </c>
      <c r="L60" t="s">
        <v>41</v>
      </c>
      <c r="M60" t="s">
        <v>89</v>
      </c>
      <c r="N60" s="11">
        <v>2958465</v>
      </c>
      <c r="P60">
        <v>0</v>
      </c>
      <c r="U60">
        <v>4</v>
      </c>
      <c r="V60">
        <v>1</v>
      </c>
      <c r="W60" t="s">
        <v>42</v>
      </c>
      <c r="X60">
        <v>0</v>
      </c>
    </row>
    <row r="61" spans="1:24" x14ac:dyDescent="0.25">
      <c r="A61">
        <v>1</v>
      </c>
      <c r="B61" s="10">
        <v>591108240105</v>
      </c>
      <c r="C61">
        <v>40</v>
      </c>
      <c r="D61" s="10">
        <v>5952792401</v>
      </c>
      <c r="F61" t="s">
        <v>40</v>
      </c>
      <c r="G61">
        <v>0</v>
      </c>
      <c r="H61">
        <v>100</v>
      </c>
      <c r="K61">
        <v>1</v>
      </c>
      <c r="L61" t="s">
        <v>41</v>
      </c>
      <c r="M61" t="s">
        <v>89</v>
      </c>
      <c r="N61" s="11">
        <v>2958465</v>
      </c>
      <c r="P61">
        <v>0</v>
      </c>
      <c r="U61">
        <v>4</v>
      </c>
      <c r="V61">
        <v>1</v>
      </c>
      <c r="W61" t="s">
        <v>42</v>
      </c>
      <c r="X61">
        <v>0</v>
      </c>
    </row>
    <row r="62" spans="1:24" x14ac:dyDescent="0.25">
      <c r="A62">
        <v>1</v>
      </c>
      <c r="B62" s="10">
        <v>591108240105</v>
      </c>
      <c r="C62">
        <v>50</v>
      </c>
      <c r="D62" s="10">
        <v>59102301</v>
      </c>
      <c r="F62" t="s">
        <v>40</v>
      </c>
      <c r="G62">
        <v>0</v>
      </c>
      <c r="H62">
        <v>100</v>
      </c>
      <c r="K62">
        <v>2</v>
      </c>
      <c r="L62" t="s">
        <v>41</v>
      </c>
      <c r="M62" t="s">
        <v>89</v>
      </c>
      <c r="N62" s="11">
        <v>2958465</v>
      </c>
      <c r="P62">
        <v>0</v>
      </c>
      <c r="U62">
        <v>4</v>
      </c>
      <c r="V62">
        <v>1</v>
      </c>
      <c r="W62" t="s">
        <v>42</v>
      </c>
      <c r="X62">
        <v>0</v>
      </c>
    </row>
    <row r="63" spans="1:24" x14ac:dyDescent="0.25">
      <c r="A63">
        <v>1</v>
      </c>
      <c r="B63" s="10">
        <v>591108240105</v>
      </c>
      <c r="C63">
        <v>60</v>
      </c>
      <c r="D63" s="10">
        <v>18102421205</v>
      </c>
      <c r="F63" t="s">
        <v>40</v>
      </c>
      <c r="G63">
        <v>0</v>
      </c>
      <c r="H63">
        <v>100</v>
      </c>
      <c r="K63">
        <v>1</v>
      </c>
      <c r="L63" t="s">
        <v>41</v>
      </c>
      <c r="M63" t="s">
        <v>89</v>
      </c>
      <c r="N63" s="11">
        <v>2958465</v>
      </c>
      <c r="P63">
        <v>0</v>
      </c>
      <c r="U63">
        <v>4</v>
      </c>
      <c r="V63">
        <v>1</v>
      </c>
      <c r="W63" t="s">
        <v>42</v>
      </c>
      <c r="X63">
        <v>0</v>
      </c>
    </row>
    <row r="64" spans="1:24" x14ac:dyDescent="0.25">
      <c r="A64">
        <v>1</v>
      </c>
      <c r="B64" s="10">
        <v>591108240105</v>
      </c>
      <c r="C64">
        <v>70</v>
      </c>
      <c r="D64" s="10">
        <v>5997499</v>
      </c>
      <c r="F64" t="s">
        <v>68</v>
      </c>
      <c r="G64">
        <v>0</v>
      </c>
      <c r="H64">
        <v>100</v>
      </c>
      <c r="K64">
        <v>1</v>
      </c>
      <c r="L64" t="s">
        <v>41</v>
      </c>
      <c r="M64" t="s">
        <v>89</v>
      </c>
      <c r="N64" s="11">
        <v>2958465</v>
      </c>
      <c r="P64">
        <v>0</v>
      </c>
      <c r="U64">
        <v>4</v>
      </c>
      <c r="V64">
        <v>1</v>
      </c>
      <c r="W64" t="s">
        <v>42</v>
      </c>
      <c r="X64">
        <v>0</v>
      </c>
    </row>
    <row r="65" spans="1:24" x14ac:dyDescent="0.25">
      <c r="A65">
        <v>1</v>
      </c>
      <c r="B65" s="10">
        <v>591108240205</v>
      </c>
      <c r="C65">
        <v>10</v>
      </c>
      <c r="D65" s="10">
        <v>5959672102</v>
      </c>
      <c r="F65" t="s">
        <v>40</v>
      </c>
      <c r="G65">
        <v>0</v>
      </c>
      <c r="H65">
        <v>100</v>
      </c>
      <c r="K65">
        <v>1</v>
      </c>
      <c r="L65" t="s">
        <v>41</v>
      </c>
      <c r="M65" t="s">
        <v>89</v>
      </c>
      <c r="N65" s="11">
        <v>2958465</v>
      </c>
      <c r="P65">
        <v>0</v>
      </c>
      <c r="U65">
        <v>4</v>
      </c>
      <c r="V65">
        <v>1</v>
      </c>
      <c r="W65" t="s">
        <v>42</v>
      </c>
      <c r="X65">
        <v>0</v>
      </c>
    </row>
    <row r="66" spans="1:24" x14ac:dyDescent="0.25">
      <c r="A66">
        <v>1</v>
      </c>
      <c r="B66" s="10">
        <v>591108240205</v>
      </c>
      <c r="C66">
        <v>20</v>
      </c>
      <c r="D66" s="10">
        <v>5959692102</v>
      </c>
      <c r="F66" t="s">
        <v>40</v>
      </c>
      <c r="G66">
        <v>0</v>
      </c>
      <c r="H66">
        <v>100</v>
      </c>
      <c r="K66">
        <v>1</v>
      </c>
      <c r="L66" t="s">
        <v>41</v>
      </c>
      <c r="M66" t="s">
        <v>89</v>
      </c>
      <c r="N66" s="11">
        <v>2958465</v>
      </c>
      <c r="P66">
        <v>0</v>
      </c>
      <c r="U66">
        <v>4</v>
      </c>
      <c r="V66">
        <v>1</v>
      </c>
      <c r="W66" t="s">
        <v>42</v>
      </c>
      <c r="X66">
        <v>0</v>
      </c>
    </row>
    <row r="67" spans="1:24" x14ac:dyDescent="0.25">
      <c r="A67">
        <v>1</v>
      </c>
      <c r="B67" s="10">
        <v>591108240205</v>
      </c>
      <c r="C67">
        <v>30</v>
      </c>
      <c r="D67" s="10">
        <v>5952482102</v>
      </c>
      <c r="F67" t="s">
        <v>40</v>
      </c>
      <c r="G67">
        <v>0</v>
      </c>
      <c r="H67">
        <v>100</v>
      </c>
      <c r="K67">
        <v>1</v>
      </c>
      <c r="L67" t="s">
        <v>41</v>
      </c>
      <c r="M67" t="s">
        <v>89</v>
      </c>
      <c r="N67" s="11">
        <v>2958465</v>
      </c>
      <c r="P67">
        <v>0</v>
      </c>
      <c r="U67">
        <v>4</v>
      </c>
      <c r="V67">
        <v>1</v>
      </c>
      <c r="W67" t="s">
        <v>42</v>
      </c>
      <c r="X67">
        <v>0</v>
      </c>
    </row>
    <row r="68" spans="1:24" x14ac:dyDescent="0.25">
      <c r="A68">
        <v>1</v>
      </c>
      <c r="B68" s="10">
        <v>591108240205</v>
      </c>
      <c r="C68">
        <v>40</v>
      </c>
      <c r="D68" s="10">
        <v>5952792402</v>
      </c>
      <c r="F68" t="s">
        <v>40</v>
      </c>
      <c r="G68">
        <v>0</v>
      </c>
      <c r="H68">
        <v>100</v>
      </c>
      <c r="K68">
        <v>1</v>
      </c>
      <c r="L68" t="s">
        <v>41</v>
      </c>
      <c r="M68" t="s">
        <v>89</v>
      </c>
      <c r="N68" s="11">
        <v>2958465</v>
      </c>
      <c r="P68">
        <v>0</v>
      </c>
      <c r="U68">
        <v>4</v>
      </c>
      <c r="V68">
        <v>1</v>
      </c>
      <c r="W68" t="s">
        <v>42</v>
      </c>
      <c r="X68">
        <v>0</v>
      </c>
    </row>
    <row r="69" spans="1:24" x14ac:dyDescent="0.25">
      <c r="A69">
        <v>1</v>
      </c>
      <c r="B69" s="10">
        <v>591108240205</v>
      </c>
      <c r="C69">
        <v>50</v>
      </c>
      <c r="D69" s="10">
        <v>59102302</v>
      </c>
      <c r="F69" t="s">
        <v>40</v>
      </c>
      <c r="G69">
        <v>0</v>
      </c>
      <c r="H69">
        <v>100</v>
      </c>
      <c r="K69">
        <v>2</v>
      </c>
      <c r="L69" t="s">
        <v>41</v>
      </c>
      <c r="M69" t="s">
        <v>89</v>
      </c>
      <c r="N69" s="11">
        <v>2958465</v>
      </c>
      <c r="P69">
        <v>0</v>
      </c>
      <c r="U69">
        <v>4</v>
      </c>
      <c r="V69">
        <v>1</v>
      </c>
      <c r="W69" t="s">
        <v>42</v>
      </c>
      <c r="X69">
        <v>0</v>
      </c>
    </row>
    <row r="70" spans="1:24" x14ac:dyDescent="0.25">
      <c r="A70">
        <v>1</v>
      </c>
      <c r="B70" s="10">
        <v>591108240205</v>
      </c>
      <c r="C70">
        <v>60</v>
      </c>
      <c r="D70" s="10">
        <v>18102421205</v>
      </c>
      <c r="F70" t="s">
        <v>40</v>
      </c>
      <c r="G70">
        <v>0</v>
      </c>
      <c r="H70">
        <v>100</v>
      </c>
      <c r="K70">
        <v>1</v>
      </c>
      <c r="L70" t="s">
        <v>41</v>
      </c>
      <c r="M70" t="s">
        <v>89</v>
      </c>
      <c r="N70" s="11">
        <v>2958465</v>
      </c>
      <c r="P70">
        <v>0</v>
      </c>
      <c r="U70">
        <v>4</v>
      </c>
      <c r="V70">
        <v>1</v>
      </c>
      <c r="W70" t="s">
        <v>42</v>
      </c>
      <c r="X70">
        <v>0</v>
      </c>
    </row>
    <row r="71" spans="1:24" x14ac:dyDescent="0.25">
      <c r="A71">
        <v>1</v>
      </c>
      <c r="B71" s="10">
        <v>591108240205</v>
      </c>
      <c r="C71">
        <v>70</v>
      </c>
      <c r="D71" s="10">
        <v>5997499</v>
      </c>
      <c r="F71" t="s">
        <v>68</v>
      </c>
      <c r="G71">
        <v>0</v>
      </c>
      <c r="H71">
        <v>100</v>
      </c>
      <c r="K71">
        <v>1</v>
      </c>
      <c r="L71" t="s">
        <v>41</v>
      </c>
      <c r="M71" t="s">
        <v>89</v>
      </c>
      <c r="N71" s="11">
        <v>2958465</v>
      </c>
      <c r="P71">
        <v>0</v>
      </c>
      <c r="U71">
        <v>4</v>
      </c>
      <c r="V71">
        <v>1</v>
      </c>
      <c r="W71" t="s">
        <v>42</v>
      </c>
      <c r="X71">
        <v>0</v>
      </c>
    </row>
    <row r="72" spans="1:24" x14ac:dyDescent="0.25">
      <c r="A72">
        <v>1</v>
      </c>
      <c r="B72" s="10">
        <v>591108240305</v>
      </c>
      <c r="C72">
        <v>10</v>
      </c>
      <c r="D72" s="10">
        <v>5959672103</v>
      </c>
      <c r="F72" t="s">
        <v>40</v>
      </c>
      <c r="G72">
        <v>0</v>
      </c>
      <c r="H72">
        <v>100</v>
      </c>
      <c r="K72">
        <v>1</v>
      </c>
      <c r="L72" t="s">
        <v>41</v>
      </c>
      <c r="M72" t="s">
        <v>89</v>
      </c>
      <c r="N72" s="11">
        <v>2958465</v>
      </c>
      <c r="P72">
        <v>0</v>
      </c>
      <c r="U72">
        <v>4</v>
      </c>
      <c r="V72">
        <v>1</v>
      </c>
      <c r="W72" t="s">
        <v>42</v>
      </c>
      <c r="X72">
        <v>0</v>
      </c>
    </row>
    <row r="73" spans="1:24" x14ac:dyDescent="0.25">
      <c r="A73">
        <v>1</v>
      </c>
      <c r="B73" s="10">
        <v>591108240305</v>
      </c>
      <c r="C73">
        <v>20</v>
      </c>
      <c r="D73" s="10">
        <v>5959692103</v>
      </c>
      <c r="F73" t="s">
        <v>40</v>
      </c>
      <c r="G73">
        <v>0</v>
      </c>
      <c r="H73">
        <v>100</v>
      </c>
      <c r="K73">
        <v>1</v>
      </c>
      <c r="L73" t="s">
        <v>41</v>
      </c>
      <c r="M73" t="s">
        <v>89</v>
      </c>
      <c r="N73" s="11">
        <v>2958465</v>
      </c>
      <c r="P73">
        <v>0</v>
      </c>
      <c r="U73">
        <v>4</v>
      </c>
      <c r="V73">
        <v>1</v>
      </c>
      <c r="W73" t="s">
        <v>42</v>
      </c>
      <c r="X73">
        <v>0</v>
      </c>
    </row>
    <row r="74" spans="1:24" x14ac:dyDescent="0.25">
      <c r="A74">
        <v>1</v>
      </c>
      <c r="B74" s="10">
        <v>591108240305</v>
      </c>
      <c r="C74">
        <v>30</v>
      </c>
      <c r="D74" s="10">
        <v>5952482103</v>
      </c>
      <c r="F74" t="s">
        <v>40</v>
      </c>
      <c r="G74">
        <v>0</v>
      </c>
      <c r="H74">
        <v>100</v>
      </c>
      <c r="K74">
        <v>1</v>
      </c>
      <c r="L74" t="s">
        <v>41</v>
      </c>
      <c r="M74" t="s">
        <v>89</v>
      </c>
      <c r="N74" s="11">
        <v>2958465</v>
      </c>
      <c r="P74">
        <v>0</v>
      </c>
      <c r="U74">
        <v>4</v>
      </c>
      <c r="V74">
        <v>1</v>
      </c>
      <c r="W74" t="s">
        <v>42</v>
      </c>
      <c r="X74">
        <v>0</v>
      </c>
    </row>
    <row r="75" spans="1:24" x14ac:dyDescent="0.25">
      <c r="A75">
        <v>1</v>
      </c>
      <c r="B75" s="10">
        <v>591108240305</v>
      </c>
      <c r="C75">
        <v>40</v>
      </c>
      <c r="D75" s="10">
        <v>5952792403</v>
      </c>
      <c r="F75" t="s">
        <v>40</v>
      </c>
      <c r="G75">
        <v>0</v>
      </c>
      <c r="H75">
        <v>100</v>
      </c>
      <c r="K75">
        <v>1</v>
      </c>
      <c r="L75" t="s">
        <v>41</v>
      </c>
      <c r="M75" t="s">
        <v>89</v>
      </c>
      <c r="N75" s="11">
        <v>2958465</v>
      </c>
      <c r="P75">
        <v>0</v>
      </c>
      <c r="U75">
        <v>4</v>
      </c>
      <c r="V75">
        <v>1</v>
      </c>
      <c r="W75" t="s">
        <v>42</v>
      </c>
      <c r="X75">
        <v>0</v>
      </c>
    </row>
    <row r="76" spans="1:24" x14ac:dyDescent="0.25">
      <c r="A76">
        <v>1</v>
      </c>
      <c r="B76" s="10">
        <v>591108240305</v>
      </c>
      <c r="C76">
        <v>50</v>
      </c>
      <c r="D76" s="10">
        <v>59102303</v>
      </c>
      <c r="F76" t="s">
        <v>40</v>
      </c>
      <c r="G76">
        <v>0</v>
      </c>
      <c r="H76">
        <v>100</v>
      </c>
      <c r="K76">
        <v>2</v>
      </c>
      <c r="L76" t="s">
        <v>41</v>
      </c>
      <c r="M76" t="s">
        <v>89</v>
      </c>
      <c r="N76" s="11">
        <v>2958465</v>
      </c>
      <c r="P76">
        <v>0</v>
      </c>
      <c r="U76">
        <v>4</v>
      </c>
      <c r="V76">
        <v>1</v>
      </c>
      <c r="W76" t="s">
        <v>42</v>
      </c>
      <c r="X76">
        <v>0</v>
      </c>
    </row>
    <row r="77" spans="1:24" x14ac:dyDescent="0.25">
      <c r="A77">
        <v>1</v>
      </c>
      <c r="B77" s="10">
        <v>591108240305</v>
      </c>
      <c r="C77">
        <v>60</v>
      </c>
      <c r="D77" s="10">
        <v>18102421205</v>
      </c>
      <c r="F77" t="s">
        <v>40</v>
      </c>
      <c r="G77">
        <v>0</v>
      </c>
      <c r="H77">
        <v>100</v>
      </c>
      <c r="K77">
        <v>1</v>
      </c>
      <c r="L77" t="s">
        <v>41</v>
      </c>
      <c r="M77" t="s">
        <v>89</v>
      </c>
      <c r="N77" s="11">
        <v>2958465</v>
      </c>
      <c r="P77">
        <v>0</v>
      </c>
      <c r="U77">
        <v>4</v>
      </c>
      <c r="V77">
        <v>1</v>
      </c>
      <c r="W77" t="s">
        <v>42</v>
      </c>
      <c r="X77">
        <v>0</v>
      </c>
    </row>
    <row r="78" spans="1:24" x14ac:dyDescent="0.25">
      <c r="A78">
        <v>1</v>
      </c>
      <c r="B78" s="10">
        <v>591108240305</v>
      </c>
      <c r="C78">
        <v>70</v>
      </c>
      <c r="D78" s="10">
        <v>5997499</v>
      </c>
      <c r="F78" t="s">
        <v>68</v>
      </c>
      <c r="G78">
        <v>0</v>
      </c>
      <c r="H78">
        <v>100</v>
      </c>
      <c r="K78">
        <v>1</v>
      </c>
      <c r="L78" t="s">
        <v>41</v>
      </c>
      <c r="M78" t="s">
        <v>89</v>
      </c>
      <c r="N78" s="11">
        <v>2958465</v>
      </c>
      <c r="P78">
        <v>0</v>
      </c>
      <c r="U78">
        <v>4</v>
      </c>
      <c r="V78">
        <v>1</v>
      </c>
      <c r="W78" t="s">
        <v>42</v>
      </c>
      <c r="X78">
        <v>0</v>
      </c>
    </row>
    <row r="79" spans="1:24" x14ac:dyDescent="0.25">
      <c r="A79">
        <v>1</v>
      </c>
      <c r="B79" s="10">
        <v>591108240405</v>
      </c>
      <c r="C79">
        <v>10</v>
      </c>
      <c r="D79" s="10">
        <v>5959672104</v>
      </c>
      <c r="F79" t="s">
        <v>40</v>
      </c>
      <c r="G79">
        <v>0</v>
      </c>
      <c r="H79">
        <v>100</v>
      </c>
      <c r="K79">
        <v>1</v>
      </c>
      <c r="L79" t="s">
        <v>41</v>
      </c>
      <c r="M79" t="s">
        <v>89</v>
      </c>
      <c r="N79" s="11">
        <v>2958465</v>
      </c>
      <c r="P79">
        <v>0</v>
      </c>
      <c r="U79">
        <v>4</v>
      </c>
      <c r="V79">
        <v>1</v>
      </c>
      <c r="W79" t="s">
        <v>42</v>
      </c>
      <c r="X79">
        <v>0</v>
      </c>
    </row>
    <row r="80" spans="1:24" x14ac:dyDescent="0.25">
      <c r="A80">
        <v>1</v>
      </c>
      <c r="B80" s="10">
        <v>591108240405</v>
      </c>
      <c r="C80">
        <v>20</v>
      </c>
      <c r="D80" s="10">
        <v>5959692104</v>
      </c>
      <c r="F80" t="s">
        <v>40</v>
      </c>
      <c r="G80">
        <v>0</v>
      </c>
      <c r="H80">
        <v>100</v>
      </c>
      <c r="K80">
        <v>1</v>
      </c>
      <c r="L80" t="s">
        <v>41</v>
      </c>
      <c r="M80" t="s">
        <v>89</v>
      </c>
      <c r="N80" s="11">
        <v>2958465</v>
      </c>
      <c r="P80">
        <v>0</v>
      </c>
      <c r="U80">
        <v>4</v>
      </c>
      <c r="V80">
        <v>1</v>
      </c>
      <c r="W80" t="s">
        <v>42</v>
      </c>
      <c r="X80">
        <v>0</v>
      </c>
    </row>
    <row r="81" spans="1:24" x14ac:dyDescent="0.25">
      <c r="A81">
        <v>1</v>
      </c>
      <c r="B81" s="10">
        <v>591108240405</v>
      </c>
      <c r="C81">
        <v>30</v>
      </c>
      <c r="D81" s="10">
        <v>5952482104</v>
      </c>
      <c r="F81" t="s">
        <v>40</v>
      </c>
      <c r="G81">
        <v>0</v>
      </c>
      <c r="H81">
        <v>100</v>
      </c>
      <c r="K81">
        <v>1</v>
      </c>
      <c r="L81" t="s">
        <v>41</v>
      </c>
      <c r="M81" t="s">
        <v>89</v>
      </c>
      <c r="N81" s="11">
        <v>2958465</v>
      </c>
      <c r="P81">
        <v>0</v>
      </c>
      <c r="U81">
        <v>4</v>
      </c>
      <c r="V81">
        <v>1</v>
      </c>
      <c r="W81" t="s">
        <v>42</v>
      </c>
      <c r="X81">
        <v>0</v>
      </c>
    </row>
    <row r="82" spans="1:24" x14ac:dyDescent="0.25">
      <c r="A82">
        <v>1</v>
      </c>
      <c r="B82" s="10">
        <v>591108240405</v>
      </c>
      <c r="C82">
        <v>40</v>
      </c>
      <c r="D82" s="10">
        <v>5952792404</v>
      </c>
      <c r="F82" t="s">
        <v>40</v>
      </c>
      <c r="G82">
        <v>0</v>
      </c>
      <c r="H82">
        <v>100</v>
      </c>
      <c r="K82">
        <v>1</v>
      </c>
      <c r="L82" t="s">
        <v>41</v>
      </c>
      <c r="M82" t="s">
        <v>89</v>
      </c>
      <c r="N82" s="11">
        <v>2958465</v>
      </c>
      <c r="P82">
        <v>0</v>
      </c>
      <c r="U82">
        <v>4</v>
      </c>
      <c r="V82">
        <v>1</v>
      </c>
      <c r="W82" t="s">
        <v>42</v>
      </c>
      <c r="X82">
        <v>0</v>
      </c>
    </row>
    <row r="83" spans="1:24" x14ac:dyDescent="0.25">
      <c r="A83">
        <v>1</v>
      </c>
      <c r="B83" s="10">
        <v>591108240405</v>
      </c>
      <c r="C83">
        <v>50</v>
      </c>
      <c r="D83" s="10">
        <v>59102304</v>
      </c>
      <c r="F83" t="s">
        <v>40</v>
      </c>
      <c r="G83">
        <v>0</v>
      </c>
      <c r="H83">
        <v>100</v>
      </c>
      <c r="K83">
        <v>2</v>
      </c>
      <c r="L83" t="s">
        <v>41</v>
      </c>
      <c r="M83" t="s">
        <v>89</v>
      </c>
      <c r="N83" s="11">
        <v>2958465</v>
      </c>
      <c r="P83">
        <v>0</v>
      </c>
      <c r="U83">
        <v>4</v>
      </c>
      <c r="V83">
        <v>1</v>
      </c>
      <c r="W83" t="s">
        <v>42</v>
      </c>
      <c r="X83">
        <v>0</v>
      </c>
    </row>
    <row r="84" spans="1:24" x14ac:dyDescent="0.25">
      <c r="A84">
        <v>1</v>
      </c>
      <c r="B84" s="10">
        <v>591108240405</v>
      </c>
      <c r="C84">
        <v>60</v>
      </c>
      <c r="D84" s="10">
        <v>18102421205</v>
      </c>
      <c r="F84" t="s">
        <v>40</v>
      </c>
      <c r="G84">
        <v>0</v>
      </c>
      <c r="H84">
        <v>100</v>
      </c>
      <c r="K84">
        <v>1</v>
      </c>
      <c r="L84" t="s">
        <v>41</v>
      </c>
      <c r="M84" t="s">
        <v>89</v>
      </c>
      <c r="N84" s="11">
        <v>2958465</v>
      </c>
      <c r="P84">
        <v>0</v>
      </c>
      <c r="U84">
        <v>4</v>
      </c>
      <c r="V84">
        <v>1</v>
      </c>
      <c r="W84" t="s">
        <v>42</v>
      </c>
      <c r="X84">
        <v>0</v>
      </c>
    </row>
    <row r="85" spans="1:24" x14ac:dyDescent="0.25">
      <c r="A85">
        <v>1</v>
      </c>
      <c r="B85" s="10">
        <v>591108240405</v>
      </c>
      <c r="C85">
        <v>70</v>
      </c>
      <c r="D85" s="10">
        <v>5997499</v>
      </c>
      <c r="F85" t="s">
        <v>68</v>
      </c>
      <c r="G85">
        <v>0</v>
      </c>
      <c r="H85">
        <v>100</v>
      </c>
      <c r="K85">
        <v>1</v>
      </c>
      <c r="L85" t="s">
        <v>41</v>
      </c>
      <c r="M85" t="s">
        <v>89</v>
      </c>
      <c r="N85" s="11">
        <v>2958465</v>
      </c>
      <c r="P85">
        <v>0</v>
      </c>
      <c r="U85">
        <v>4</v>
      </c>
      <c r="V85">
        <v>1</v>
      </c>
      <c r="W85" t="s">
        <v>42</v>
      </c>
      <c r="X85">
        <v>0</v>
      </c>
    </row>
    <row r="86" spans="1:24" x14ac:dyDescent="0.25">
      <c r="A86">
        <v>1</v>
      </c>
      <c r="B86" s="10">
        <v>591108240505</v>
      </c>
      <c r="C86">
        <v>10</v>
      </c>
      <c r="D86" s="10">
        <v>5959672105</v>
      </c>
      <c r="F86" t="s">
        <v>40</v>
      </c>
      <c r="G86">
        <v>0</v>
      </c>
      <c r="H86">
        <v>100</v>
      </c>
      <c r="K86">
        <v>1</v>
      </c>
      <c r="L86" t="s">
        <v>41</v>
      </c>
      <c r="M86" t="s">
        <v>89</v>
      </c>
      <c r="N86" s="11">
        <v>2958465</v>
      </c>
      <c r="P86">
        <v>0</v>
      </c>
      <c r="U86">
        <v>4</v>
      </c>
      <c r="V86">
        <v>1</v>
      </c>
      <c r="W86" t="s">
        <v>42</v>
      </c>
      <c r="X86">
        <v>0</v>
      </c>
    </row>
    <row r="87" spans="1:24" x14ac:dyDescent="0.25">
      <c r="A87">
        <v>1</v>
      </c>
      <c r="B87" s="10">
        <v>591108240505</v>
      </c>
      <c r="C87">
        <v>20</v>
      </c>
      <c r="D87" s="10">
        <v>5959692105</v>
      </c>
      <c r="F87" t="s">
        <v>40</v>
      </c>
      <c r="G87">
        <v>0</v>
      </c>
      <c r="H87">
        <v>100</v>
      </c>
      <c r="K87">
        <v>1</v>
      </c>
      <c r="L87" t="s">
        <v>41</v>
      </c>
      <c r="M87" t="s">
        <v>89</v>
      </c>
      <c r="N87" s="11">
        <v>2958465</v>
      </c>
      <c r="P87">
        <v>0</v>
      </c>
      <c r="U87">
        <v>4</v>
      </c>
      <c r="V87">
        <v>1</v>
      </c>
      <c r="W87" t="s">
        <v>42</v>
      </c>
      <c r="X87">
        <v>0</v>
      </c>
    </row>
    <row r="88" spans="1:24" x14ac:dyDescent="0.25">
      <c r="A88">
        <v>1</v>
      </c>
      <c r="B88" s="10">
        <v>591108240505</v>
      </c>
      <c r="C88">
        <v>30</v>
      </c>
      <c r="D88" s="10">
        <v>5952482105</v>
      </c>
      <c r="F88" t="s">
        <v>40</v>
      </c>
      <c r="G88">
        <v>0</v>
      </c>
      <c r="H88">
        <v>100</v>
      </c>
      <c r="K88">
        <v>1</v>
      </c>
      <c r="L88" t="s">
        <v>41</v>
      </c>
      <c r="M88" t="s">
        <v>89</v>
      </c>
      <c r="N88" s="11">
        <v>2958465</v>
      </c>
      <c r="P88">
        <v>0</v>
      </c>
      <c r="U88">
        <v>4</v>
      </c>
      <c r="V88">
        <v>1</v>
      </c>
      <c r="W88" t="s">
        <v>42</v>
      </c>
      <c r="X88">
        <v>0</v>
      </c>
    </row>
    <row r="89" spans="1:24" x14ac:dyDescent="0.25">
      <c r="A89">
        <v>1</v>
      </c>
      <c r="B89" s="10">
        <v>591108240505</v>
      </c>
      <c r="C89">
        <v>40</v>
      </c>
      <c r="D89" s="10">
        <v>5952792405</v>
      </c>
      <c r="F89" t="s">
        <v>40</v>
      </c>
      <c r="G89">
        <v>0</v>
      </c>
      <c r="H89">
        <v>100</v>
      </c>
      <c r="K89">
        <v>1</v>
      </c>
      <c r="L89" t="s">
        <v>41</v>
      </c>
      <c r="M89" t="s">
        <v>89</v>
      </c>
      <c r="N89" s="11">
        <v>2958465</v>
      </c>
      <c r="P89">
        <v>0</v>
      </c>
      <c r="U89">
        <v>4</v>
      </c>
      <c r="V89">
        <v>1</v>
      </c>
      <c r="W89" t="s">
        <v>42</v>
      </c>
      <c r="X89">
        <v>0</v>
      </c>
    </row>
    <row r="90" spans="1:24" x14ac:dyDescent="0.25">
      <c r="A90">
        <v>1</v>
      </c>
      <c r="B90" s="10">
        <v>591108240505</v>
      </c>
      <c r="C90">
        <v>50</v>
      </c>
      <c r="D90" s="10">
        <v>59102305</v>
      </c>
      <c r="F90" t="s">
        <v>40</v>
      </c>
      <c r="G90">
        <v>0</v>
      </c>
      <c r="H90">
        <v>100</v>
      </c>
      <c r="K90">
        <v>2</v>
      </c>
      <c r="L90" t="s">
        <v>41</v>
      </c>
      <c r="M90" t="s">
        <v>89</v>
      </c>
      <c r="N90" s="11">
        <v>2958465</v>
      </c>
      <c r="P90">
        <v>0</v>
      </c>
      <c r="U90">
        <v>4</v>
      </c>
      <c r="V90">
        <v>1</v>
      </c>
      <c r="W90" t="s">
        <v>42</v>
      </c>
      <c r="X90">
        <v>0</v>
      </c>
    </row>
    <row r="91" spans="1:24" x14ac:dyDescent="0.25">
      <c r="A91">
        <v>1</v>
      </c>
      <c r="B91" s="10">
        <v>591108240505</v>
      </c>
      <c r="C91">
        <v>60</v>
      </c>
      <c r="D91" s="10">
        <v>18102421205</v>
      </c>
      <c r="F91" t="s">
        <v>40</v>
      </c>
      <c r="G91">
        <v>0</v>
      </c>
      <c r="H91">
        <v>100</v>
      </c>
      <c r="K91">
        <v>1</v>
      </c>
      <c r="L91" t="s">
        <v>41</v>
      </c>
      <c r="M91" t="s">
        <v>89</v>
      </c>
      <c r="N91" s="11">
        <v>2958465</v>
      </c>
      <c r="P91">
        <v>0</v>
      </c>
      <c r="U91">
        <v>4</v>
      </c>
      <c r="V91">
        <v>1</v>
      </c>
      <c r="W91" t="s">
        <v>42</v>
      </c>
      <c r="X91">
        <v>0</v>
      </c>
    </row>
    <row r="92" spans="1:24" x14ac:dyDescent="0.25">
      <c r="A92">
        <v>1</v>
      </c>
      <c r="B92" s="10">
        <v>591108240505</v>
      </c>
      <c r="C92">
        <v>70</v>
      </c>
      <c r="D92" s="10">
        <v>5997499</v>
      </c>
      <c r="F92" t="s">
        <v>68</v>
      </c>
      <c r="G92">
        <v>0</v>
      </c>
      <c r="H92">
        <v>100</v>
      </c>
      <c r="K92">
        <v>1</v>
      </c>
      <c r="L92" t="s">
        <v>41</v>
      </c>
      <c r="M92" t="s">
        <v>89</v>
      </c>
      <c r="N92" s="11">
        <v>2958465</v>
      </c>
      <c r="P92">
        <v>0</v>
      </c>
      <c r="U92">
        <v>4</v>
      </c>
      <c r="V92">
        <v>1</v>
      </c>
      <c r="W92" t="s">
        <v>42</v>
      </c>
      <c r="X92">
        <v>0</v>
      </c>
    </row>
    <row r="93" spans="1:24" x14ac:dyDescent="0.25">
      <c r="A93">
        <v>1</v>
      </c>
      <c r="B93" s="10">
        <v>591108240605</v>
      </c>
      <c r="C93">
        <v>10</v>
      </c>
      <c r="D93" s="10">
        <v>5959672106</v>
      </c>
      <c r="F93" t="s">
        <v>40</v>
      </c>
      <c r="G93">
        <v>0</v>
      </c>
      <c r="H93">
        <v>100</v>
      </c>
      <c r="K93">
        <v>1</v>
      </c>
      <c r="L93" t="s">
        <v>41</v>
      </c>
      <c r="M93" t="s">
        <v>89</v>
      </c>
      <c r="N93" s="11">
        <v>2958465</v>
      </c>
      <c r="P93">
        <v>0</v>
      </c>
      <c r="U93">
        <v>4</v>
      </c>
      <c r="V93">
        <v>1</v>
      </c>
      <c r="W93" t="s">
        <v>42</v>
      </c>
      <c r="X93">
        <v>0</v>
      </c>
    </row>
    <row r="94" spans="1:24" x14ac:dyDescent="0.25">
      <c r="A94">
        <v>1</v>
      </c>
      <c r="B94" s="10">
        <v>591108240605</v>
      </c>
      <c r="C94">
        <v>20</v>
      </c>
      <c r="D94" s="10">
        <v>5959692106</v>
      </c>
      <c r="F94" t="s">
        <v>40</v>
      </c>
      <c r="G94">
        <v>0</v>
      </c>
      <c r="H94">
        <v>100</v>
      </c>
      <c r="K94">
        <v>1</v>
      </c>
      <c r="L94" t="s">
        <v>41</v>
      </c>
      <c r="M94" t="s">
        <v>89</v>
      </c>
      <c r="N94" s="11">
        <v>2958465</v>
      </c>
      <c r="P94">
        <v>0</v>
      </c>
      <c r="U94">
        <v>4</v>
      </c>
      <c r="V94">
        <v>1</v>
      </c>
      <c r="W94" t="s">
        <v>42</v>
      </c>
      <c r="X94">
        <v>0</v>
      </c>
    </row>
    <row r="95" spans="1:24" x14ac:dyDescent="0.25">
      <c r="A95">
        <v>1</v>
      </c>
      <c r="B95" s="10">
        <v>591108240605</v>
      </c>
      <c r="C95">
        <v>30</v>
      </c>
      <c r="D95" s="10">
        <v>5952482106</v>
      </c>
      <c r="F95" t="s">
        <v>40</v>
      </c>
      <c r="G95">
        <v>0</v>
      </c>
      <c r="H95">
        <v>100</v>
      </c>
      <c r="K95">
        <v>1</v>
      </c>
      <c r="L95" t="s">
        <v>41</v>
      </c>
      <c r="M95" t="s">
        <v>89</v>
      </c>
      <c r="N95" s="11">
        <v>2958465</v>
      </c>
      <c r="P95">
        <v>0</v>
      </c>
      <c r="U95">
        <v>4</v>
      </c>
      <c r="V95">
        <v>1</v>
      </c>
      <c r="W95" t="s">
        <v>42</v>
      </c>
      <c r="X95">
        <v>0</v>
      </c>
    </row>
    <row r="96" spans="1:24" x14ac:dyDescent="0.25">
      <c r="A96">
        <v>1</v>
      </c>
      <c r="B96" s="10">
        <v>591108240605</v>
      </c>
      <c r="C96">
        <v>40</v>
      </c>
      <c r="D96" s="10">
        <v>5952792406</v>
      </c>
      <c r="F96" t="s">
        <v>40</v>
      </c>
      <c r="G96">
        <v>0</v>
      </c>
      <c r="H96">
        <v>100</v>
      </c>
      <c r="K96">
        <v>1</v>
      </c>
      <c r="L96" t="s">
        <v>41</v>
      </c>
      <c r="M96" t="s">
        <v>89</v>
      </c>
      <c r="N96" s="11">
        <v>2958465</v>
      </c>
      <c r="P96">
        <v>0</v>
      </c>
      <c r="U96">
        <v>4</v>
      </c>
      <c r="V96">
        <v>1</v>
      </c>
      <c r="W96" t="s">
        <v>42</v>
      </c>
      <c r="X96">
        <v>0</v>
      </c>
    </row>
    <row r="97" spans="1:24" x14ac:dyDescent="0.25">
      <c r="A97">
        <v>1</v>
      </c>
      <c r="B97" s="10">
        <v>591108240605</v>
      </c>
      <c r="C97">
        <v>50</v>
      </c>
      <c r="D97" s="10">
        <v>59102306</v>
      </c>
      <c r="F97" t="s">
        <v>40</v>
      </c>
      <c r="G97">
        <v>0</v>
      </c>
      <c r="H97">
        <v>100</v>
      </c>
      <c r="K97">
        <v>2</v>
      </c>
      <c r="L97" t="s">
        <v>41</v>
      </c>
      <c r="M97" t="s">
        <v>89</v>
      </c>
      <c r="N97" s="11">
        <v>2958465</v>
      </c>
      <c r="P97">
        <v>0</v>
      </c>
      <c r="U97">
        <v>4</v>
      </c>
      <c r="V97">
        <v>1</v>
      </c>
      <c r="W97" t="s">
        <v>42</v>
      </c>
      <c r="X97">
        <v>0</v>
      </c>
    </row>
    <row r="98" spans="1:24" x14ac:dyDescent="0.25">
      <c r="A98">
        <v>1</v>
      </c>
      <c r="B98" s="10">
        <v>591108240605</v>
      </c>
      <c r="C98">
        <v>60</v>
      </c>
      <c r="D98" s="10">
        <v>18102421205</v>
      </c>
      <c r="F98" t="s">
        <v>40</v>
      </c>
      <c r="G98">
        <v>0</v>
      </c>
      <c r="H98">
        <v>100</v>
      </c>
      <c r="K98">
        <v>1</v>
      </c>
      <c r="L98" t="s">
        <v>41</v>
      </c>
      <c r="M98" t="s">
        <v>89</v>
      </c>
      <c r="N98" s="11">
        <v>2958465</v>
      </c>
      <c r="P98">
        <v>0</v>
      </c>
      <c r="U98">
        <v>4</v>
      </c>
      <c r="V98">
        <v>1</v>
      </c>
      <c r="W98" t="s">
        <v>42</v>
      </c>
      <c r="X98">
        <v>0</v>
      </c>
    </row>
    <row r="99" spans="1:24" x14ac:dyDescent="0.25">
      <c r="A99">
        <v>1</v>
      </c>
      <c r="B99" s="10">
        <v>591108240605</v>
      </c>
      <c r="C99">
        <v>70</v>
      </c>
      <c r="D99" s="10">
        <v>5997499</v>
      </c>
      <c r="F99" t="s">
        <v>68</v>
      </c>
      <c r="G99">
        <v>0</v>
      </c>
      <c r="H99">
        <v>100</v>
      </c>
      <c r="K99">
        <v>1</v>
      </c>
      <c r="L99" t="s">
        <v>41</v>
      </c>
      <c r="M99" t="s">
        <v>89</v>
      </c>
      <c r="N99" s="11">
        <v>2958465</v>
      </c>
      <c r="P99">
        <v>0</v>
      </c>
      <c r="U99">
        <v>4</v>
      </c>
      <c r="V99">
        <v>1</v>
      </c>
      <c r="W99" t="s">
        <v>42</v>
      </c>
      <c r="X99">
        <v>0</v>
      </c>
    </row>
    <row r="100" spans="1:24" x14ac:dyDescent="0.25">
      <c r="A100">
        <v>1</v>
      </c>
      <c r="B100" s="10">
        <v>591108240705</v>
      </c>
      <c r="C100">
        <v>10</v>
      </c>
      <c r="D100" s="10">
        <v>5959672107</v>
      </c>
      <c r="F100" t="s">
        <v>40</v>
      </c>
      <c r="G100">
        <v>0</v>
      </c>
      <c r="H100">
        <v>100</v>
      </c>
      <c r="K100">
        <v>1</v>
      </c>
      <c r="L100" t="s">
        <v>41</v>
      </c>
      <c r="M100" t="s">
        <v>89</v>
      </c>
      <c r="N100" s="11">
        <v>2958465</v>
      </c>
      <c r="P100">
        <v>0</v>
      </c>
      <c r="U100">
        <v>4</v>
      </c>
      <c r="V100">
        <v>1</v>
      </c>
      <c r="W100" t="s">
        <v>42</v>
      </c>
      <c r="X100">
        <v>0</v>
      </c>
    </row>
    <row r="101" spans="1:24" x14ac:dyDescent="0.25">
      <c r="A101">
        <v>1</v>
      </c>
      <c r="B101" s="10">
        <v>591108240705</v>
      </c>
      <c r="C101">
        <v>20</v>
      </c>
      <c r="D101" s="10">
        <v>5959692107</v>
      </c>
      <c r="F101" t="s">
        <v>40</v>
      </c>
      <c r="G101">
        <v>0</v>
      </c>
      <c r="H101">
        <v>100</v>
      </c>
      <c r="K101">
        <v>1</v>
      </c>
      <c r="L101" t="s">
        <v>41</v>
      </c>
      <c r="M101" t="s">
        <v>89</v>
      </c>
      <c r="N101" s="11">
        <v>2958465</v>
      </c>
      <c r="P101">
        <v>0</v>
      </c>
      <c r="U101">
        <v>4</v>
      </c>
      <c r="V101">
        <v>1</v>
      </c>
      <c r="W101" t="s">
        <v>42</v>
      </c>
      <c r="X101">
        <v>0</v>
      </c>
    </row>
    <row r="102" spans="1:24" x14ac:dyDescent="0.25">
      <c r="A102">
        <v>1</v>
      </c>
      <c r="B102" s="10">
        <v>591108240705</v>
      </c>
      <c r="C102">
        <v>30</v>
      </c>
      <c r="D102" s="10">
        <v>5952482107</v>
      </c>
      <c r="F102" t="s">
        <v>40</v>
      </c>
      <c r="G102">
        <v>0</v>
      </c>
      <c r="H102">
        <v>100</v>
      </c>
      <c r="K102">
        <v>1</v>
      </c>
      <c r="L102" t="s">
        <v>41</v>
      </c>
      <c r="M102" t="s">
        <v>89</v>
      </c>
      <c r="N102" s="11">
        <v>2958465</v>
      </c>
      <c r="P102">
        <v>0</v>
      </c>
      <c r="U102">
        <v>4</v>
      </c>
      <c r="V102">
        <v>1</v>
      </c>
      <c r="W102" t="s">
        <v>42</v>
      </c>
      <c r="X102">
        <v>0</v>
      </c>
    </row>
    <row r="103" spans="1:24" x14ac:dyDescent="0.25">
      <c r="A103">
        <v>1</v>
      </c>
      <c r="B103" s="10">
        <v>591108240705</v>
      </c>
      <c r="C103">
        <v>40</v>
      </c>
      <c r="D103" s="10">
        <v>5952792407</v>
      </c>
      <c r="F103" t="s">
        <v>40</v>
      </c>
      <c r="G103">
        <v>0</v>
      </c>
      <c r="H103">
        <v>100</v>
      </c>
      <c r="K103">
        <v>1</v>
      </c>
      <c r="L103" t="s">
        <v>41</v>
      </c>
      <c r="M103" t="s">
        <v>89</v>
      </c>
      <c r="N103" s="11">
        <v>2958465</v>
      </c>
      <c r="P103">
        <v>0</v>
      </c>
      <c r="U103">
        <v>4</v>
      </c>
      <c r="V103">
        <v>1</v>
      </c>
      <c r="W103" t="s">
        <v>42</v>
      </c>
      <c r="X103">
        <v>0</v>
      </c>
    </row>
    <row r="104" spans="1:24" x14ac:dyDescent="0.25">
      <c r="A104">
        <v>1</v>
      </c>
      <c r="B104" s="10">
        <v>591108240705</v>
      </c>
      <c r="C104">
        <v>50</v>
      </c>
      <c r="D104" s="10">
        <v>59102307</v>
      </c>
      <c r="F104" t="s">
        <v>40</v>
      </c>
      <c r="G104">
        <v>0</v>
      </c>
      <c r="H104">
        <v>100</v>
      </c>
      <c r="K104">
        <v>2</v>
      </c>
      <c r="L104" t="s">
        <v>41</v>
      </c>
      <c r="M104" t="s">
        <v>89</v>
      </c>
      <c r="N104" s="11">
        <v>2958465</v>
      </c>
      <c r="P104">
        <v>0</v>
      </c>
      <c r="U104">
        <v>4</v>
      </c>
      <c r="V104">
        <v>1</v>
      </c>
      <c r="W104" t="s">
        <v>42</v>
      </c>
      <c r="X104">
        <v>0</v>
      </c>
    </row>
    <row r="105" spans="1:24" x14ac:dyDescent="0.25">
      <c r="A105">
        <v>1</v>
      </c>
      <c r="B105" s="10">
        <v>591108240705</v>
      </c>
      <c r="C105">
        <v>60</v>
      </c>
      <c r="D105" s="10">
        <v>18102421205</v>
      </c>
      <c r="F105" t="s">
        <v>40</v>
      </c>
      <c r="G105">
        <v>0</v>
      </c>
      <c r="H105">
        <v>100</v>
      </c>
      <c r="K105">
        <v>1</v>
      </c>
      <c r="L105" t="s">
        <v>41</v>
      </c>
      <c r="M105" t="s">
        <v>89</v>
      </c>
      <c r="N105" s="11">
        <v>2958465</v>
      </c>
      <c r="P105">
        <v>0</v>
      </c>
      <c r="U105">
        <v>4</v>
      </c>
      <c r="V105">
        <v>1</v>
      </c>
      <c r="W105" t="s">
        <v>42</v>
      </c>
      <c r="X105">
        <v>0</v>
      </c>
    </row>
    <row r="106" spans="1:24" x14ac:dyDescent="0.25">
      <c r="A106">
        <v>1</v>
      </c>
      <c r="B106" s="10">
        <v>591108240705</v>
      </c>
      <c r="C106">
        <v>70</v>
      </c>
      <c r="D106" s="10">
        <v>5997499</v>
      </c>
      <c r="F106" t="s">
        <v>68</v>
      </c>
      <c r="G106">
        <v>0</v>
      </c>
      <c r="H106">
        <v>100</v>
      </c>
      <c r="K106">
        <v>1</v>
      </c>
      <c r="L106" t="s">
        <v>41</v>
      </c>
      <c r="M106" t="s">
        <v>89</v>
      </c>
      <c r="N106" s="11">
        <v>2958465</v>
      </c>
      <c r="P106">
        <v>0</v>
      </c>
      <c r="U106">
        <v>4</v>
      </c>
      <c r="V106">
        <v>1</v>
      </c>
      <c r="W106" t="s">
        <v>42</v>
      </c>
      <c r="X106">
        <v>0</v>
      </c>
    </row>
    <row r="107" spans="1:24" x14ac:dyDescent="0.25">
      <c r="A107">
        <v>1</v>
      </c>
      <c r="B107" s="10">
        <v>591108240805</v>
      </c>
      <c r="C107">
        <v>10</v>
      </c>
      <c r="D107" s="10">
        <v>5959672108</v>
      </c>
      <c r="F107" t="s">
        <v>40</v>
      </c>
      <c r="G107">
        <v>0</v>
      </c>
      <c r="H107">
        <v>100</v>
      </c>
      <c r="K107">
        <v>1</v>
      </c>
      <c r="L107" t="s">
        <v>41</v>
      </c>
      <c r="M107" t="s">
        <v>89</v>
      </c>
      <c r="N107" s="11">
        <v>2958465</v>
      </c>
      <c r="P107">
        <v>0</v>
      </c>
      <c r="U107">
        <v>4</v>
      </c>
      <c r="V107">
        <v>1</v>
      </c>
      <c r="W107" t="s">
        <v>42</v>
      </c>
      <c r="X107">
        <v>0</v>
      </c>
    </row>
    <row r="108" spans="1:24" x14ac:dyDescent="0.25">
      <c r="A108">
        <v>1</v>
      </c>
      <c r="B108" s="10">
        <v>591108240805</v>
      </c>
      <c r="C108">
        <v>20</v>
      </c>
      <c r="D108" s="10">
        <v>5959692108</v>
      </c>
      <c r="F108" t="s">
        <v>40</v>
      </c>
      <c r="G108">
        <v>0</v>
      </c>
      <c r="H108">
        <v>100</v>
      </c>
      <c r="K108">
        <v>1</v>
      </c>
      <c r="L108" t="s">
        <v>41</v>
      </c>
      <c r="M108" t="s">
        <v>89</v>
      </c>
      <c r="N108" s="11">
        <v>2958465</v>
      </c>
      <c r="P108">
        <v>0</v>
      </c>
      <c r="U108">
        <v>4</v>
      </c>
      <c r="V108">
        <v>1</v>
      </c>
      <c r="W108" t="s">
        <v>42</v>
      </c>
      <c r="X108">
        <v>0</v>
      </c>
    </row>
    <row r="109" spans="1:24" x14ac:dyDescent="0.25">
      <c r="A109">
        <v>1</v>
      </c>
      <c r="B109" s="10">
        <v>591108240805</v>
      </c>
      <c r="C109">
        <v>30</v>
      </c>
      <c r="D109" s="10">
        <v>5952482108</v>
      </c>
      <c r="F109" t="s">
        <v>40</v>
      </c>
      <c r="G109">
        <v>0</v>
      </c>
      <c r="H109">
        <v>100</v>
      </c>
      <c r="K109">
        <v>1</v>
      </c>
      <c r="L109" t="s">
        <v>41</v>
      </c>
      <c r="M109" t="s">
        <v>89</v>
      </c>
      <c r="N109" s="11">
        <v>2958465</v>
      </c>
      <c r="P109">
        <v>0</v>
      </c>
      <c r="U109">
        <v>4</v>
      </c>
      <c r="V109">
        <v>1</v>
      </c>
      <c r="W109" t="s">
        <v>42</v>
      </c>
      <c r="X109">
        <v>0</v>
      </c>
    </row>
    <row r="110" spans="1:24" x14ac:dyDescent="0.25">
      <c r="A110">
        <v>1</v>
      </c>
      <c r="B110" s="10">
        <v>591108240805</v>
      </c>
      <c r="C110">
        <v>40</v>
      </c>
      <c r="D110" s="10">
        <v>5952792408</v>
      </c>
      <c r="F110" t="s">
        <v>40</v>
      </c>
      <c r="G110">
        <v>0</v>
      </c>
      <c r="H110">
        <v>100</v>
      </c>
      <c r="K110">
        <v>1</v>
      </c>
      <c r="L110" t="s">
        <v>41</v>
      </c>
      <c r="M110" t="s">
        <v>89</v>
      </c>
      <c r="N110" s="11">
        <v>2958465</v>
      </c>
      <c r="P110">
        <v>0</v>
      </c>
      <c r="U110">
        <v>4</v>
      </c>
      <c r="V110">
        <v>1</v>
      </c>
      <c r="W110" t="s">
        <v>42</v>
      </c>
      <c r="X110">
        <v>0</v>
      </c>
    </row>
    <row r="111" spans="1:24" x14ac:dyDescent="0.25">
      <c r="A111">
        <v>1</v>
      </c>
      <c r="B111" s="10">
        <v>591108240805</v>
      </c>
      <c r="C111">
        <v>50</v>
      </c>
      <c r="D111" s="10">
        <v>59102308</v>
      </c>
      <c r="F111" t="s">
        <v>40</v>
      </c>
      <c r="G111">
        <v>0</v>
      </c>
      <c r="H111">
        <v>100</v>
      </c>
      <c r="K111">
        <v>2</v>
      </c>
      <c r="L111" t="s">
        <v>41</v>
      </c>
      <c r="M111" t="s">
        <v>89</v>
      </c>
      <c r="N111" s="11">
        <v>2958465</v>
      </c>
      <c r="P111">
        <v>0</v>
      </c>
      <c r="U111">
        <v>4</v>
      </c>
      <c r="V111">
        <v>1</v>
      </c>
      <c r="W111" t="s">
        <v>42</v>
      </c>
      <c r="X111">
        <v>0</v>
      </c>
    </row>
    <row r="112" spans="1:24" x14ac:dyDescent="0.25">
      <c r="A112">
        <v>1</v>
      </c>
      <c r="B112" s="10">
        <v>591108240805</v>
      </c>
      <c r="C112">
        <v>60</v>
      </c>
      <c r="D112" s="10">
        <v>18102421205</v>
      </c>
      <c r="F112" t="s">
        <v>40</v>
      </c>
      <c r="G112">
        <v>0</v>
      </c>
      <c r="H112">
        <v>100</v>
      </c>
      <c r="K112">
        <v>1</v>
      </c>
      <c r="L112" t="s">
        <v>41</v>
      </c>
      <c r="M112" t="s">
        <v>89</v>
      </c>
      <c r="N112" s="11">
        <v>2958465</v>
      </c>
      <c r="P112">
        <v>0</v>
      </c>
      <c r="U112">
        <v>4</v>
      </c>
      <c r="V112">
        <v>1</v>
      </c>
      <c r="W112" t="s">
        <v>42</v>
      </c>
      <c r="X112">
        <v>0</v>
      </c>
    </row>
    <row r="113" spans="1:24" x14ac:dyDescent="0.25">
      <c r="A113">
        <v>1</v>
      </c>
      <c r="B113" s="10">
        <v>591108240805</v>
      </c>
      <c r="C113">
        <v>70</v>
      </c>
      <c r="D113" s="10">
        <v>5997499</v>
      </c>
      <c r="F113" t="s">
        <v>68</v>
      </c>
      <c r="G113">
        <v>0</v>
      </c>
      <c r="H113">
        <v>100</v>
      </c>
      <c r="K113">
        <v>1</v>
      </c>
      <c r="L113" t="s">
        <v>41</v>
      </c>
      <c r="M113" t="s">
        <v>89</v>
      </c>
      <c r="N113" s="11">
        <v>2958465</v>
      </c>
      <c r="P113">
        <v>0</v>
      </c>
      <c r="U113">
        <v>4</v>
      </c>
      <c r="V113">
        <v>1</v>
      </c>
      <c r="W113" t="s">
        <v>42</v>
      </c>
      <c r="X113">
        <v>0</v>
      </c>
    </row>
    <row r="114" spans="1:24" x14ac:dyDescent="0.25">
      <c r="A114">
        <v>1</v>
      </c>
      <c r="B114" s="10">
        <v>591108240905</v>
      </c>
      <c r="C114">
        <v>10</v>
      </c>
      <c r="D114" s="10">
        <v>5959672109</v>
      </c>
      <c r="F114" t="s">
        <v>40</v>
      </c>
      <c r="G114">
        <v>0</v>
      </c>
      <c r="H114">
        <v>100</v>
      </c>
      <c r="K114">
        <v>1</v>
      </c>
      <c r="L114" t="s">
        <v>41</v>
      </c>
      <c r="M114" t="s">
        <v>89</v>
      </c>
      <c r="N114" s="11">
        <v>2958465</v>
      </c>
      <c r="P114">
        <v>0</v>
      </c>
      <c r="U114">
        <v>4</v>
      </c>
      <c r="V114">
        <v>1</v>
      </c>
      <c r="W114" t="s">
        <v>42</v>
      </c>
      <c r="X114">
        <v>0</v>
      </c>
    </row>
    <row r="115" spans="1:24" x14ac:dyDescent="0.25">
      <c r="A115">
        <v>1</v>
      </c>
      <c r="B115" s="10">
        <v>591108240905</v>
      </c>
      <c r="C115">
        <v>20</v>
      </c>
      <c r="D115" s="10">
        <v>5959692109</v>
      </c>
      <c r="F115" t="s">
        <v>40</v>
      </c>
      <c r="G115">
        <v>0</v>
      </c>
      <c r="H115">
        <v>100</v>
      </c>
      <c r="K115">
        <v>1</v>
      </c>
      <c r="L115" t="s">
        <v>41</v>
      </c>
      <c r="M115" t="s">
        <v>89</v>
      </c>
      <c r="N115" s="11">
        <v>2958465</v>
      </c>
      <c r="P115">
        <v>0</v>
      </c>
      <c r="U115">
        <v>4</v>
      </c>
      <c r="V115">
        <v>1</v>
      </c>
      <c r="W115" t="s">
        <v>42</v>
      </c>
      <c r="X115">
        <v>0</v>
      </c>
    </row>
    <row r="116" spans="1:24" x14ac:dyDescent="0.25">
      <c r="A116">
        <v>1</v>
      </c>
      <c r="B116" s="10">
        <v>591108240905</v>
      </c>
      <c r="C116">
        <v>30</v>
      </c>
      <c r="D116" s="10">
        <v>5952482109</v>
      </c>
      <c r="F116" t="s">
        <v>40</v>
      </c>
      <c r="G116">
        <v>0</v>
      </c>
      <c r="H116">
        <v>100</v>
      </c>
      <c r="K116">
        <v>1</v>
      </c>
      <c r="L116" t="s">
        <v>41</v>
      </c>
      <c r="M116" t="s">
        <v>89</v>
      </c>
      <c r="N116" s="11">
        <v>2958465</v>
      </c>
      <c r="P116">
        <v>0</v>
      </c>
      <c r="U116">
        <v>4</v>
      </c>
      <c r="V116">
        <v>1</v>
      </c>
      <c r="W116" t="s">
        <v>42</v>
      </c>
      <c r="X116">
        <v>0</v>
      </c>
    </row>
    <row r="117" spans="1:24" x14ac:dyDescent="0.25">
      <c r="A117">
        <v>1</v>
      </c>
      <c r="B117" s="10">
        <v>591108240905</v>
      </c>
      <c r="C117">
        <v>40</v>
      </c>
      <c r="D117" s="10">
        <v>5952792409</v>
      </c>
      <c r="F117" t="s">
        <v>40</v>
      </c>
      <c r="G117">
        <v>0</v>
      </c>
      <c r="H117">
        <v>100</v>
      </c>
      <c r="K117">
        <v>1</v>
      </c>
      <c r="L117" t="s">
        <v>41</v>
      </c>
      <c r="M117" t="s">
        <v>89</v>
      </c>
      <c r="N117" s="11">
        <v>2958465</v>
      </c>
      <c r="P117">
        <v>0</v>
      </c>
      <c r="U117">
        <v>4</v>
      </c>
      <c r="V117">
        <v>1</v>
      </c>
      <c r="W117" t="s">
        <v>42</v>
      </c>
      <c r="X117">
        <v>0</v>
      </c>
    </row>
    <row r="118" spans="1:24" x14ac:dyDescent="0.25">
      <c r="A118">
        <v>1</v>
      </c>
      <c r="B118" s="10">
        <v>591108240905</v>
      </c>
      <c r="C118">
        <v>50</v>
      </c>
      <c r="D118" s="10">
        <v>59102309</v>
      </c>
      <c r="F118" t="s">
        <v>40</v>
      </c>
      <c r="G118">
        <v>0</v>
      </c>
      <c r="H118">
        <v>100</v>
      </c>
      <c r="K118">
        <v>2</v>
      </c>
      <c r="L118" t="s">
        <v>41</v>
      </c>
      <c r="M118" t="s">
        <v>89</v>
      </c>
      <c r="N118" s="11">
        <v>2958465</v>
      </c>
      <c r="P118">
        <v>0</v>
      </c>
      <c r="U118">
        <v>4</v>
      </c>
      <c r="V118">
        <v>1</v>
      </c>
      <c r="W118" t="s">
        <v>42</v>
      </c>
      <c r="X118">
        <v>0</v>
      </c>
    </row>
    <row r="119" spans="1:24" x14ac:dyDescent="0.25">
      <c r="A119">
        <v>1</v>
      </c>
      <c r="B119" s="10">
        <v>591108240905</v>
      </c>
      <c r="C119">
        <v>60</v>
      </c>
      <c r="D119" s="10">
        <v>18102421205</v>
      </c>
      <c r="F119" t="s">
        <v>40</v>
      </c>
      <c r="G119">
        <v>0</v>
      </c>
      <c r="H119">
        <v>100</v>
      </c>
      <c r="K119">
        <v>1</v>
      </c>
      <c r="L119" t="s">
        <v>41</v>
      </c>
      <c r="M119" t="s">
        <v>89</v>
      </c>
      <c r="N119" s="11">
        <v>2958465</v>
      </c>
      <c r="P119">
        <v>0</v>
      </c>
      <c r="U119">
        <v>4</v>
      </c>
      <c r="V119">
        <v>1</v>
      </c>
      <c r="W119" t="s">
        <v>42</v>
      </c>
      <c r="X119">
        <v>0</v>
      </c>
    </row>
    <row r="120" spans="1:24" x14ac:dyDescent="0.25">
      <c r="A120">
        <v>1</v>
      </c>
      <c r="B120" s="10">
        <v>591108240905</v>
      </c>
      <c r="C120">
        <v>70</v>
      </c>
      <c r="D120" s="10">
        <v>5997499</v>
      </c>
      <c r="F120" t="s">
        <v>68</v>
      </c>
      <c r="G120">
        <v>0</v>
      </c>
      <c r="H120">
        <v>100</v>
      </c>
      <c r="K120">
        <v>1</v>
      </c>
      <c r="L120" t="s">
        <v>41</v>
      </c>
      <c r="M120" t="s">
        <v>89</v>
      </c>
      <c r="N120" s="11">
        <v>2958465</v>
      </c>
      <c r="P120">
        <v>0</v>
      </c>
      <c r="U120">
        <v>4</v>
      </c>
      <c r="V120">
        <v>1</v>
      </c>
      <c r="W120" t="s">
        <v>42</v>
      </c>
      <c r="X120">
        <v>0</v>
      </c>
    </row>
    <row r="121" spans="1:24" x14ac:dyDescent="0.25">
      <c r="A121">
        <v>1</v>
      </c>
      <c r="B121" s="10">
        <v>591108241005</v>
      </c>
      <c r="C121">
        <v>10</v>
      </c>
      <c r="D121" s="10">
        <v>5959672110</v>
      </c>
      <c r="F121" t="s">
        <v>40</v>
      </c>
      <c r="G121">
        <v>0</v>
      </c>
      <c r="H121">
        <v>100</v>
      </c>
      <c r="K121">
        <v>1</v>
      </c>
      <c r="L121" t="s">
        <v>41</v>
      </c>
      <c r="M121" t="s">
        <v>89</v>
      </c>
      <c r="N121" s="11">
        <v>2958465</v>
      </c>
      <c r="P121">
        <v>0</v>
      </c>
      <c r="U121">
        <v>4</v>
      </c>
      <c r="V121">
        <v>1</v>
      </c>
      <c r="W121" t="s">
        <v>42</v>
      </c>
      <c r="X121">
        <v>0</v>
      </c>
    </row>
    <row r="122" spans="1:24" x14ac:dyDescent="0.25">
      <c r="A122">
        <v>1</v>
      </c>
      <c r="B122" s="10">
        <v>591108241005</v>
      </c>
      <c r="C122">
        <v>20</v>
      </c>
      <c r="D122" s="10">
        <v>5959692110</v>
      </c>
      <c r="F122" t="s">
        <v>40</v>
      </c>
      <c r="G122">
        <v>0</v>
      </c>
      <c r="H122">
        <v>100</v>
      </c>
      <c r="K122">
        <v>1</v>
      </c>
      <c r="L122" t="s">
        <v>41</v>
      </c>
      <c r="M122" t="s">
        <v>89</v>
      </c>
      <c r="N122" s="11">
        <v>2958465</v>
      </c>
      <c r="P122">
        <v>0</v>
      </c>
      <c r="U122">
        <v>4</v>
      </c>
      <c r="V122">
        <v>1</v>
      </c>
      <c r="W122" t="s">
        <v>42</v>
      </c>
      <c r="X122">
        <v>0</v>
      </c>
    </row>
    <row r="123" spans="1:24" x14ac:dyDescent="0.25">
      <c r="A123">
        <v>1</v>
      </c>
      <c r="B123" s="10">
        <v>591108241005</v>
      </c>
      <c r="C123">
        <v>30</v>
      </c>
      <c r="D123" s="10">
        <v>5952482110</v>
      </c>
      <c r="F123" t="s">
        <v>40</v>
      </c>
      <c r="G123">
        <v>0</v>
      </c>
      <c r="H123">
        <v>100</v>
      </c>
      <c r="K123">
        <v>1</v>
      </c>
      <c r="L123" t="s">
        <v>41</v>
      </c>
      <c r="M123" t="s">
        <v>89</v>
      </c>
      <c r="N123" s="11">
        <v>2958465</v>
      </c>
      <c r="P123">
        <v>0</v>
      </c>
      <c r="U123">
        <v>4</v>
      </c>
      <c r="V123">
        <v>1</v>
      </c>
      <c r="W123" t="s">
        <v>42</v>
      </c>
      <c r="X123">
        <v>0</v>
      </c>
    </row>
    <row r="124" spans="1:24" x14ac:dyDescent="0.25">
      <c r="A124">
        <v>1</v>
      </c>
      <c r="B124" s="10">
        <v>591108241005</v>
      </c>
      <c r="C124">
        <v>40</v>
      </c>
      <c r="D124" s="10">
        <v>5952792410</v>
      </c>
      <c r="F124" t="s">
        <v>40</v>
      </c>
      <c r="G124">
        <v>0</v>
      </c>
      <c r="H124">
        <v>100</v>
      </c>
      <c r="K124">
        <v>1</v>
      </c>
      <c r="L124" t="s">
        <v>41</v>
      </c>
      <c r="M124" t="s">
        <v>89</v>
      </c>
      <c r="N124" s="11">
        <v>2958465</v>
      </c>
      <c r="P124">
        <v>0</v>
      </c>
      <c r="U124">
        <v>4</v>
      </c>
      <c r="V124">
        <v>1</v>
      </c>
      <c r="W124" t="s">
        <v>42</v>
      </c>
      <c r="X124">
        <v>0</v>
      </c>
    </row>
    <row r="125" spans="1:24" x14ac:dyDescent="0.25">
      <c r="A125">
        <v>1</v>
      </c>
      <c r="B125" s="10">
        <v>591108241005</v>
      </c>
      <c r="C125">
        <v>50</v>
      </c>
      <c r="D125" s="10">
        <v>59102310</v>
      </c>
      <c r="F125" t="s">
        <v>40</v>
      </c>
      <c r="G125">
        <v>0</v>
      </c>
      <c r="H125">
        <v>100</v>
      </c>
      <c r="K125">
        <v>2</v>
      </c>
      <c r="L125" t="s">
        <v>41</v>
      </c>
      <c r="M125" t="s">
        <v>89</v>
      </c>
      <c r="N125" s="11">
        <v>2958465</v>
      </c>
      <c r="P125">
        <v>0</v>
      </c>
      <c r="U125">
        <v>4</v>
      </c>
      <c r="V125">
        <v>1</v>
      </c>
      <c r="W125" t="s">
        <v>42</v>
      </c>
      <c r="X125">
        <v>0</v>
      </c>
    </row>
    <row r="126" spans="1:24" x14ac:dyDescent="0.25">
      <c r="A126">
        <v>1</v>
      </c>
      <c r="B126" s="10">
        <v>591108241005</v>
      </c>
      <c r="C126">
        <v>60</v>
      </c>
      <c r="D126" s="10">
        <v>18102421205</v>
      </c>
      <c r="F126" t="s">
        <v>40</v>
      </c>
      <c r="G126">
        <v>0</v>
      </c>
      <c r="H126">
        <v>100</v>
      </c>
      <c r="K126">
        <v>1</v>
      </c>
      <c r="L126" t="s">
        <v>41</v>
      </c>
      <c r="M126" t="s">
        <v>89</v>
      </c>
      <c r="N126" s="11">
        <v>2958465</v>
      </c>
      <c r="P126">
        <v>0</v>
      </c>
      <c r="U126">
        <v>4</v>
      </c>
      <c r="V126">
        <v>1</v>
      </c>
      <c r="W126" t="s">
        <v>42</v>
      </c>
      <c r="X126">
        <v>0</v>
      </c>
    </row>
    <row r="127" spans="1:24" x14ac:dyDescent="0.25">
      <c r="A127">
        <v>1</v>
      </c>
      <c r="B127" s="10">
        <v>591108241005</v>
      </c>
      <c r="C127">
        <v>70</v>
      </c>
      <c r="D127" s="10">
        <v>5997499</v>
      </c>
      <c r="F127" t="s">
        <v>68</v>
      </c>
      <c r="G127">
        <v>0</v>
      </c>
      <c r="H127">
        <v>100</v>
      </c>
      <c r="K127">
        <v>1</v>
      </c>
      <c r="L127" t="s">
        <v>41</v>
      </c>
      <c r="M127" t="s">
        <v>89</v>
      </c>
      <c r="N127" s="11">
        <v>2958465</v>
      </c>
      <c r="P127">
        <v>0</v>
      </c>
      <c r="U127">
        <v>4</v>
      </c>
      <c r="V127">
        <v>1</v>
      </c>
      <c r="W127" t="s">
        <v>42</v>
      </c>
      <c r="X127">
        <v>0</v>
      </c>
    </row>
    <row r="128" spans="1:24" x14ac:dyDescent="0.25">
      <c r="A128">
        <v>1</v>
      </c>
      <c r="B128" s="10">
        <v>591108240112</v>
      </c>
      <c r="C128">
        <v>10</v>
      </c>
      <c r="D128" s="10">
        <v>5959672101</v>
      </c>
      <c r="F128" t="s">
        <v>40</v>
      </c>
      <c r="G128">
        <v>0</v>
      </c>
      <c r="H128">
        <v>100</v>
      </c>
      <c r="K128">
        <v>1</v>
      </c>
      <c r="L128" t="s">
        <v>41</v>
      </c>
      <c r="M128" t="s">
        <v>89</v>
      </c>
      <c r="N128" s="11">
        <v>2958465</v>
      </c>
      <c r="P128">
        <v>0</v>
      </c>
      <c r="U128">
        <v>4</v>
      </c>
      <c r="V128">
        <v>1</v>
      </c>
      <c r="W128" t="s">
        <v>42</v>
      </c>
      <c r="X128">
        <v>0</v>
      </c>
    </row>
    <row r="129" spans="1:24" x14ac:dyDescent="0.25">
      <c r="A129">
        <v>1</v>
      </c>
      <c r="B129" s="10">
        <v>591108240112</v>
      </c>
      <c r="C129">
        <v>20</v>
      </c>
      <c r="D129" s="10">
        <v>5959692101</v>
      </c>
      <c r="F129" t="s">
        <v>40</v>
      </c>
      <c r="G129">
        <v>0</v>
      </c>
      <c r="H129">
        <v>100</v>
      </c>
      <c r="K129">
        <v>1</v>
      </c>
      <c r="L129" t="s">
        <v>41</v>
      </c>
      <c r="M129" t="s">
        <v>89</v>
      </c>
      <c r="N129" s="11">
        <v>2958465</v>
      </c>
      <c r="P129">
        <v>0</v>
      </c>
      <c r="U129">
        <v>4</v>
      </c>
      <c r="V129">
        <v>1</v>
      </c>
      <c r="W129" t="s">
        <v>42</v>
      </c>
      <c r="X129">
        <v>0</v>
      </c>
    </row>
    <row r="130" spans="1:24" x14ac:dyDescent="0.25">
      <c r="A130">
        <v>1</v>
      </c>
      <c r="B130" s="10">
        <v>591108240112</v>
      </c>
      <c r="C130">
        <v>30</v>
      </c>
      <c r="D130" s="10">
        <v>5952482101</v>
      </c>
      <c r="F130" t="s">
        <v>40</v>
      </c>
      <c r="G130">
        <v>0</v>
      </c>
      <c r="H130">
        <v>100</v>
      </c>
      <c r="K130">
        <v>1</v>
      </c>
      <c r="L130" t="s">
        <v>41</v>
      </c>
      <c r="M130" t="s">
        <v>89</v>
      </c>
      <c r="N130" s="11">
        <v>2958465</v>
      </c>
      <c r="P130">
        <v>0</v>
      </c>
      <c r="U130">
        <v>4</v>
      </c>
      <c r="V130">
        <v>1</v>
      </c>
      <c r="W130" t="s">
        <v>42</v>
      </c>
      <c r="X130">
        <v>0</v>
      </c>
    </row>
    <row r="131" spans="1:24" x14ac:dyDescent="0.25">
      <c r="A131">
        <v>1</v>
      </c>
      <c r="B131" s="10">
        <v>591108240112</v>
      </c>
      <c r="C131">
        <v>40</v>
      </c>
      <c r="D131" s="10">
        <v>5952792401</v>
      </c>
      <c r="F131" t="s">
        <v>40</v>
      </c>
      <c r="G131">
        <v>0</v>
      </c>
      <c r="H131">
        <v>100</v>
      </c>
      <c r="K131">
        <v>1</v>
      </c>
      <c r="L131" t="s">
        <v>41</v>
      </c>
      <c r="M131" t="s">
        <v>89</v>
      </c>
      <c r="N131" s="11">
        <v>2958465</v>
      </c>
      <c r="P131">
        <v>0</v>
      </c>
      <c r="U131">
        <v>4</v>
      </c>
      <c r="V131">
        <v>1</v>
      </c>
      <c r="W131" t="s">
        <v>42</v>
      </c>
      <c r="X131">
        <v>0</v>
      </c>
    </row>
    <row r="132" spans="1:24" x14ac:dyDescent="0.25">
      <c r="A132">
        <v>1</v>
      </c>
      <c r="B132" s="10">
        <v>591108240112</v>
      </c>
      <c r="C132">
        <v>50</v>
      </c>
      <c r="D132" s="10">
        <v>59102301</v>
      </c>
      <c r="F132" t="s">
        <v>40</v>
      </c>
      <c r="G132">
        <v>0</v>
      </c>
      <c r="H132">
        <v>100</v>
      </c>
      <c r="K132">
        <v>2</v>
      </c>
      <c r="L132" t="s">
        <v>41</v>
      </c>
      <c r="M132" t="s">
        <v>89</v>
      </c>
      <c r="N132" s="11">
        <v>2958465</v>
      </c>
      <c r="P132">
        <v>0</v>
      </c>
      <c r="U132">
        <v>4</v>
      </c>
      <c r="V132">
        <v>1</v>
      </c>
      <c r="W132" t="s">
        <v>42</v>
      </c>
      <c r="X132">
        <v>0</v>
      </c>
    </row>
    <row r="133" spans="1:24" x14ac:dyDescent="0.25">
      <c r="A133">
        <v>1</v>
      </c>
      <c r="B133" s="10">
        <v>591108240112</v>
      </c>
      <c r="C133">
        <v>60</v>
      </c>
      <c r="D133" s="10">
        <v>12421212</v>
      </c>
      <c r="F133" t="s">
        <v>40</v>
      </c>
      <c r="G133">
        <v>0</v>
      </c>
      <c r="H133">
        <v>100</v>
      </c>
      <c r="K133">
        <v>1</v>
      </c>
      <c r="L133" t="s">
        <v>41</v>
      </c>
      <c r="M133" t="s">
        <v>89</v>
      </c>
      <c r="N133" s="11">
        <v>2958465</v>
      </c>
      <c r="P133">
        <v>0</v>
      </c>
      <c r="U133">
        <v>4</v>
      </c>
      <c r="V133">
        <v>1</v>
      </c>
      <c r="W133" t="s">
        <v>42</v>
      </c>
      <c r="X133">
        <v>0</v>
      </c>
    </row>
    <row r="134" spans="1:24" x14ac:dyDescent="0.25">
      <c r="A134">
        <v>1</v>
      </c>
      <c r="B134" s="10">
        <v>591108240112</v>
      </c>
      <c r="C134">
        <v>70</v>
      </c>
      <c r="D134" s="10">
        <v>5997499</v>
      </c>
      <c r="F134" t="s">
        <v>68</v>
      </c>
      <c r="G134">
        <v>0</v>
      </c>
      <c r="H134">
        <v>100</v>
      </c>
      <c r="K134">
        <v>1</v>
      </c>
      <c r="L134" t="s">
        <v>41</v>
      </c>
      <c r="M134" t="s">
        <v>89</v>
      </c>
      <c r="N134" s="11">
        <v>2958465</v>
      </c>
      <c r="P134">
        <v>0</v>
      </c>
      <c r="U134">
        <v>4</v>
      </c>
      <c r="V134">
        <v>1</v>
      </c>
      <c r="W134" t="s">
        <v>42</v>
      </c>
      <c r="X134">
        <v>0</v>
      </c>
    </row>
    <row r="135" spans="1:24" x14ac:dyDescent="0.25">
      <c r="A135">
        <v>1</v>
      </c>
      <c r="B135" s="10">
        <v>591108240212</v>
      </c>
      <c r="C135">
        <v>10</v>
      </c>
      <c r="D135" s="10">
        <v>5959672102</v>
      </c>
      <c r="F135" t="s">
        <v>40</v>
      </c>
      <c r="G135">
        <v>0</v>
      </c>
      <c r="H135">
        <v>100</v>
      </c>
      <c r="K135">
        <v>1</v>
      </c>
      <c r="L135" t="s">
        <v>41</v>
      </c>
      <c r="M135" t="s">
        <v>89</v>
      </c>
      <c r="N135" s="11">
        <v>2958465</v>
      </c>
      <c r="P135">
        <v>0</v>
      </c>
      <c r="U135">
        <v>4</v>
      </c>
      <c r="V135">
        <v>1</v>
      </c>
      <c r="W135" t="s">
        <v>42</v>
      </c>
      <c r="X135">
        <v>0</v>
      </c>
    </row>
    <row r="136" spans="1:24" x14ac:dyDescent="0.25">
      <c r="A136">
        <v>1</v>
      </c>
      <c r="B136" s="10">
        <v>591108240212</v>
      </c>
      <c r="C136">
        <v>20</v>
      </c>
      <c r="D136" s="10">
        <v>5959692102</v>
      </c>
      <c r="F136" t="s">
        <v>40</v>
      </c>
      <c r="G136">
        <v>0</v>
      </c>
      <c r="H136">
        <v>100</v>
      </c>
      <c r="K136">
        <v>1</v>
      </c>
      <c r="L136" t="s">
        <v>41</v>
      </c>
      <c r="M136" t="s">
        <v>89</v>
      </c>
      <c r="N136" s="11">
        <v>2958465</v>
      </c>
      <c r="P136">
        <v>0</v>
      </c>
      <c r="U136">
        <v>4</v>
      </c>
      <c r="V136">
        <v>1</v>
      </c>
      <c r="W136" t="s">
        <v>42</v>
      </c>
      <c r="X136">
        <v>0</v>
      </c>
    </row>
    <row r="137" spans="1:24" x14ac:dyDescent="0.25">
      <c r="A137">
        <v>1</v>
      </c>
      <c r="B137" s="10">
        <v>591108240212</v>
      </c>
      <c r="C137">
        <v>30</v>
      </c>
      <c r="D137" s="10">
        <v>5952482102</v>
      </c>
      <c r="F137" t="s">
        <v>40</v>
      </c>
      <c r="G137">
        <v>0</v>
      </c>
      <c r="H137">
        <v>100</v>
      </c>
      <c r="K137">
        <v>1</v>
      </c>
      <c r="L137" t="s">
        <v>41</v>
      </c>
      <c r="M137" t="s">
        <v>89</v>
      </c>
      <c r="N137" s="11">
        <v>2958465</v>
      </c>
      <c r="P137">
        <v>0</v>
      </c>
      <c r="U137">
        <v>4</v>
      </c>
      <c r="V137">
        <v>1</v>
      </c>
      <c r="W137" t="s">
        <v>42</v>
      </c>
      <c r="X137">
        <v>0</v>
      </c>
    </row>
    <row r="138" spans="1:24" x14ac:dyDescent="0.25">
      <c r="A138">
        <v>1</v>
      </c>
      <c r="B138" s="10">
        <v>591108240212</v>
      </c>
      <c r="C138">
        <v>40</v>
      </c>
      <c r="D138" s="10">
        <v>5952792402</v>
      </c>
      <c r="F138" t="s">
        <v>40</v>
      </c>
      <c r="G138">
        <v>0</v>
      </c>
      <c r="H138">
        <v>100</v>
      </c>
      <c r="K138">
        <v>1</v>
      </c>
      <c r="L138" t="s">
        <v>41</v>
      </c>
      <c r="M138" t="s">
        <v>89</v>
      </c>
      <c r="N138" s="11">
        <v>2958465</v>
      </c>
      <c r="P138">
        <v>0</v>
      </c>
      <c r="U138">
        <v>4</v>
      </c>
      <c r="V138">
        <v>1</v>
      </c>
      <c r="W138" t="s">
        <v>42</v>
      </c>
      <c r="X138">
        <v>0</v>
      </c>
    </row>
    <row r="139" spans="1:24" x14ac:dyDescent="0.25">
      <c r="A139">
        <v>1</v>
      </c>
      <c r="B139" s="10">
        <v>591108240212</v>
      </c>
      <c r="C139">
        <v>50</v>
      </c>
      <c r="D139" s="10">
        <v>59102302</v>
      </c>
      <c r="F139" t="s">
        <v>40</v>
      </c>
      <c r="G139">
        <v>0</v>
      </c>
      <c r="H139">
        <v>100</v>
      </c>
      <c r="K139">
        <v>2</v>
      </c>
      <c r="L139" t="s">
        <v>41</v>
      </c>
      <c r="M139" t="s">
        <v>89</v>
      </c>
      <c r="N139" s="11">
        <v>2958465</v>
      </c>
      <c r="P139">
        <v>0</v>
      </c>
      <c r="U139">
        <v>4</v>
      </c>
      <c r="V139">
        <v>1</v>
      </c>
      <c r="W139" t="s">
        <v>42</v>
      </c>
      <c r="X139">
        <v>0</v>
      </c>
    </row>
    <row r="140" spans="1:24" x14ac:dyDescent="0.25">
      <c r="A140">
        <v>1</v>
      </c>
      <c r="B140" s="10">
        <v>591108240212</v>
      </c>
      <c r="C140">
        <v>60</v>
      </c>
      <c r="D140" s="10">
        <v>12421212</v>
      </c>
      <c r="F140" t="s">
        <v>40</v>
      </c>
      <c r="G140">
        <v>0</v>
      </c>
      <c r="H140">
        <v>100</v>
      </c>
      <c r="K140">
        <v>1</v>
      </c>
      <c r="L140" t="s">
        <v>41</v>
      </c>
      <c r="M140" t="s">
        <v>89</v>
      </c>
      <c r="N140" s="11">
        <v>2958465</v>
      </c>
      <c r="P140">
        <v>0</v>
      </c>
      <c r="U140">
        <v>4</v>
      </c>
      <c r="V140">
        <v>1</v>
      </c>
      <c r="W140" t="s">
        <v>42</v>
      </c>
      <c r="X140">
        <v>0</v>
      </c>
    </row>
    <row r="141" spans="1:24" x14ac:dyDescent="0.25">
      <c r="A141">
        <v>1</v>
      </c>
      <c r="B141" s="10">
        <v>591108240212</v>
      </c>
      <c r="C141">
        <v>70</v>
      </c>
      <c r="D141" s="10">
        <v>5997499</v>
      </c>
      <c r="F141" t="s">
        <v>68</v>
      </c>
      <c r="G141">
        <v>0</v>
      </c>
      <c r="H141">
        <v>100</v>
      </c>
      <c r="K141">
        <v>1</v>
      </c>
      <c r="L141" t="s">
        <v>41</v>
      </c>
      <c r="M141" t="s">
        <v>89</v>
      </c>
      <c r="N141" s="11">
        <v>2958465</v>
      </c>
      <c r="P141">
        <v>0</v>
      </c>
      <c r="U141">
        <v>4</v>
      </c>
      <c r="V141">
        <v>1</v>
      </c>
      <c r="W141" t="s">
        <v>42</v>
      </c>
      <c r="X141">
        <v>0</v>
      </c>
    </row>
    <row r="142" spans="1:24" x14ac:dyDescent="0.25">
      <c r="A142">
        <v>1</v>
      </c>
      <c r="B142" s="10">
        <v>591108240312</v>
      </c>
      <c r="C142">
        <v>10</v>
      </c>
      <c r="D142" s="10">
        <v>5959672103</v>
      </c>
      <c r="F142" t="s">
        <v>40</v>
      </c>
      <c r="G142">
        <v>0</v>
      </c>
      <c r="H142">
        <v>100</v>
      </c>
      <c r="K142">
        <v>1</v>
      </c>
      <c r="L142" t="s">
        <v>41</v>
      </c>
      <c r="M142" t="s">
        <v>89</v>
      </c>
      <c r="N142" s="11">
        <v>2958465</v>
      </c>
      <c r="P142">
        <v>0</v>
      </c>
      <c r="U142">
        <v>4</v>
      </c>
      <c r="V142">
        <v>1</v>
      </c>
      <c r="W142" t="s">
        <v>42</v>
      </c>
      <c r="X142">
        <v>0</v>
      </c>
    </row>
    <row r="143" spans="1:24" x14ac:dyDescent="0.25">
      <c r="A143">
        <v>1</v>
      </c>
      <c r="B143" s="10">
        <v>591108240312</v>
      </c>
      <c r="C143">
        <v>20</v>
      </c>
      <c r="D143" s="10">
        <v>5959692103</v>
      </c>
      <c r="F143" t="s">
        <v>40</v>
      </c>
      <c r="G143">
        <v>0</v>
      </c>
      <c r="H143">
        <v>100</v>
      </c>
      <c r="K143">
        <v>1</v>
      </c>
      <c r="L143" t="s">
        <v>41</v>
      </c>
      <c r="M143" t="s">
        <v>89</v>
      </c>
      <c r="N143" s="11">
        <v>2958465</v>
      </c>
      <c r="P143">
        <v>0</v>
      </c>
      <c r="U143">
        <v>4</v>
      </c>
      <c r="V143">
        <v>1</v>
      </c>
      <c r="W143" t="s">
        <v>42</v>
      </c>
      <c r="X143">
        <v>0</v>
      </c>
    </row>
    <row r="144" spans="1:24" x14ac:dyDescent="0.25">
      <c r="A144">
        <v>1</v>
      </c>
      <c r="B144" s="10">
        <v>591108240312</v>
      </c>
      <c r="C144">
        <v>30</v>
      </c>
      <c r="D144" s="10">
        <v>5952482103</v>
      </c>
      <c r="F144" t="s">
        <v>40</v>
      </c>
      <c r="G144">
        <v>0</v>
      </c>
      <c r="H144">
        <v>100</v>
      </c>
      <c r="K144">
        <v>1</v>
      </c>
      <c r="L144" t="s">
        <v>41</v>
      </c>
      <c r="M144" t="s">
        <v>89</v>
      </c>
      <c r="N144" s="11">
        <v>2958465</v>
      </c>
      <c r="P144">
        <v>0</v>
      </c>
      <c r="U144">
        <v>4</v>
      </c>
      <c r="V144">
        <v>1</v>
      </c>
      <c r="W144" t="s">
        <v>42</v>
      </c>
      <c r="X144">
        <v>0</v>
      </c>
    </row>
    <row r="145" spans="1:24" x14ac:dyDescent="0.25">
      <c r="A145">
        <v>1</v>
      </c>
      <c r="B145" s="10">
        <v>591108240312</v>
      </c>
      <c r="C145">
        <v>40</v>
      </c>
      <c r="D145" s="10">
        <v>5952792403</v>
      </c>
      <c r="F145" t="s">
        <v>40</v>
      </c>
      <c r="G145">
        <v>0</v>
      </c>
      <c r="H145">
        <v>100</v>
      </c>
      <c r="K145">
        <v>1</v>
      </c>
      <c r="L145" t="s">
        <v>41</v>
      </c>
      <c r="M145" t="s">
        <v>89</v>
      </c>
      <c r="N145" s="11">
        <v>2958465</v>
      </c>
      <c r="P145">
        <v>0</v>
      </c>
      <c r="U145">
        <v>4</v>
      </c>
      <c r="V145">
        <v>1</v>
      </c>
      <c r="W145" t="s">
        <v>42</v>
      </c>
      <c r="X145">
        <v>0</v>
      </c>
    </row>
    <row r="146" spans="1:24" x14ac:dyDescent="0.25">
      <c r="A146">
        <v>1</v>
      </c>
      <c r="B146" s="10">
        <v>591108240312</v>
      </c>
      <c r="C146">
        <v>50</v>
      </c>
      <c r="D146" s="10">
        <v>59102303</v>
      </c>
      <c r="F146" t="s">
        <v>40</v>
      </c>
      <c r="G146">
        <v>0</v>
      </c>
      <c r="H146">
        <v>100</v>
      </c>
      <c r="K146">
        <v>2</v>
      </c>
      <c r="L146" t="s">
        <v>41</v>
      </c>
      <c r="M146" t="s">
        <v>89</v>
      </c>
      <c r="N146" s="11">
        <v>2958465</v>
      </c>
      <c r="P146">
        <v>0</v>
      </c>
      <c r="U146">
        <v>4</v>
      </c>
      <c r="V146">
        <v>1</v>
      </c>
      <c r="W146" t="s">
        <v>42</v>
      </c>
      <c r="X146">
        <v>0</v>
      </c>
    </row>
    <row r="147" spans="1:24" x14ac:dyDescent="0.25">
      <c r="A147">
        <v>1</v>
      </c>
      <c r="B147" s="10">
        <v>591108240312</v>
      </c>
      <c r="C147">
        <v>60</v>
      </c>
      <c r="D147" s="10">
        <v>12421212</v>
      </c>
      <c r="F147" t="s">
        <v>40</v>
      </c>
      <c r="G147">
        <v>0</v>
      </c>
      <c r="H147">
        <v>100</v>
      </c>
      <c r="K147">
        <v>1</v>
      </c>
      <c r="L147" t="s">
        <v>41</v>
      </c>
      <c r="M147" t="s">
        <v>89</v>
      </c>
      <c r="N147" s="11">
        <v>2958465</v>
      </c>
      <c r="P147">
        <v>0</v>
      </c>
      <c r="U147">
        <v>4</v>
      </c>
      <c r="V147">
        <v>1</v>
      </c>
      <c r="W147" t="s">
        <v>42</v>
      </c>
      <c r="X147">
        <v>0</v>
      </c>
    </row>
    <row r="148" spans="1:24" x14ac:dyDescent="0.25">
      <c r="A148">
        <v>1</v>
      </c>
      <c r="B148" s="10">
        <v>591108240312</v>
      </c>
      <c r="C148">
        <v>70</v>
      </c>
      <c r="D148" s="10">
        <v>5997499</v>
      </c>
      <c r="F148" t="s">
        <v>68</v>
      </c>
      <c r="G148">
        <v>0</v>
      </c>
      <c r="H148">
        <v>100</v>
      </c>
      <c r="K148">
        <v>1</v>
      </c>
      <c r="L148" t="s">
        <v>41</v>
      </c>
      <c r="M148" t="s">
        <v>89</v>
      </c>
      <c r="N148" s="11">
        <v>2958465</v>
      </c>
      <c r="P148">
        <v>0</v>
      </c>
      <c r="U148">
        <v>4</v>
      </c>
      <c r="V148">
        <v>1</v>
      </c>
      <c r="W148" t="s">
        <v>42</v>
      </c>
      <c r="X148">
        <v>0</v>
      </c>
    </row>
    <row r="149" spans="1:24" x14ac:dyDescent="0.25">
      <c r="A149">
        <v>1</v>
      </c>
      <c r="B149" s="10">
        <v>591108240405</v>
      </c>
      <c r="C149">
        <v>10</v>
      </c>
      <c r="D149" s="10">
        <v>5959672104</v>
      </c>
      <c r="F149" t="s">
        <v>40</v>
      </c>
      <c r="G149">
        <v>0</v>
      </c>
      <c r="H149">
        <v>100</v>
      </c>
      <c r="K149">
        <v>1</v>
      </c>
      <c r="L149" t="s">
        <v>41</v>
      </c>
      <c r="M149" t="s">
        <v>89</v>
      </c>
      <c r="N149" s="11">
        <v>2958465</v>
      </c>
      <c r="P149">
        <v>0</v>
      </c>
      <c r="U149">
        <v>4</v>
      </c>
      <c r="V149">
        <v>1</v>
      </c>
      <c r="W149" t="s">
        <v>42</v>
      </c>
      <c r="X149">
        <v>0</v>
      </c>
    </row>
    <row r="150" spans="1:24" x14ac:dyDescent="0.25">
      <c r="A150">
        <v>1</v>
      </c>
      <c r="B150" s="10">
        <v>591108240405</v>
      </c>
      <c r="C150">
        <v>20</v>
      </c>
      <c r="D150" s="10">
        <v>5959692104</v>
      </c>
      <c r="F150" t="s">
        <v>40</v>
      </c>
      <c r="G150">
        <v>0</v>
      </c>
      <c r="H150">
        <v>100</v>
      </c>
      <c r="K150">
        <v>1</v>
      </c>
      <c r="L150" t="s">
        <v>41</v>
      </c>
      <c r="M150" t="s">
        <v>89</v>
      </c>
      <c r="N150" s="11">
        <v>2958465</v>
      </c>
      <c r="P150">
        <v>0</v>
      </c>
      <c r="U150">
        <v>4</v>
      </c>
      <c r="V150">
        <v>1</v>
      </c>
      <c r="W150" t="s">
        <v>42</v>
      </c>
      <c r="X150">
        <v>0</v>
      </c>
    </row>
    <row r="151" spans="1:24" x14ac:dyDescent="0.25">
      <c r="A151">
        <v>1</v>
      </c>
      <c r="B151" s="10">
        <v>591108240405</v>
      </c>
      <c r="C151">
        <v>30</v>
      </c>
      <c r="D151" s="10">
        <v>5952482104</v>
      </c>
      <c r="F151" t="s">
        <v>40</v>
      </c>
      <c r="G151">
        <v>0</v>
      </c>
      <c r="H151">
        <v>100</v>
      </c>
      <c r="K151">
        <v>1</v>
      </c>
      <c r="L151" t="s">
        <v>41</v>
      </c>
      <c r="M151" t="s">
        <v>89</v>
      </c>
      <c r="N151" s="11">
        <v>2958465</v>
      </c>
      <c r="P151">
        <v>0</v>
      </c>
      <c r="U151">
        <v>4</v>
      </c>
      <c r="V151">
        <v>1</v>
      </c>
      <c r="W151" t="s">
        <v>42</v>
      </c>
      <c r="X151">
        <v>0</v>
      </c>
    </row>
    <row r="152" spans="1:24" x14ac:dyDescent="0.25">
      <c r="A152">
        <v>1</v>
      </c>
      <c r="B152" s="10">
        <v>591108240405</v>
      </c>
      <c r="C152">
        <v>40</v>
      </c>
      <c r="D152" s="10">
        <v>5952792404</v>
      </c>
      <c r="F152" t="s">
        <v>40</v>
      </c>
      <c r="G152">
        <v>0</v>
      </c>
      <c r="H152">
        <v>100</v>
      </c>
      <c r="K152">
        <v>1</v>
      </c>
      <c r="L152" t="s">
        <v>41</v>
      </c>
      <c r="M152" t="s">
        <v>89</v>
      </c>
      <c r="N152" s="11">
        <v>2958465</v>
      </c>
      <c r="P152">
        <v>0</v>
      </c>
      <c r="U152">
        <v>4</v>
      </c>
      <c r="V152">
        <v>1</v>
      </c>
      <c r="W152" t="s">
        <v>42</v>
      </c>
      <c r="X152">
        <v>0</v>
      </c>
    </row>
    <row r="153" spans="1:24" x14ac:dyDescent="0.25">
      <c r="A153">
        <v>1</v>
      </c>
      <c r="B153" s="10">
        <v>591108240405</v>
      </c>
      <c r="C153">
        <v>50</v>
      </c>
      <c r="D153" s="10">
        <v>59102304</v>
      </c>
      <c r="F153" t="s">
        <v>40</v>
      </c>
      <c r="G153">
        <v>0</v>
      </c>
      <c r="H153">
        <v>100</v>
      </c>
      <c r="K153">
        <v>2</v>
      </c>
      <c r="L153" t="s">
        <v>41</v>
      </c>
      <c r="M153" t="s">
        <v>89</v>
      </c>
      <c r="N153" s="11">
        <v>2958465</v>
      </c>
      <c r="P153">
        <v>0</v>
      </c>
      <c r="U153">
        <v>4</v>
      </c>
      <c r="V153">
        <v>1</v>
      </c>
      <c r="W153" t="s">
        <v>42</v>
      </c>
      <c r="X153">
        <v>0</v>
      </c>
    </row>
    <row r="154" spans="1:24" x14ac:dyDescent="0.25">
      <c r="A154">
        <v>1</v>
      </c>
      <c r="B154" s="10">
        <v>591108240405</v>
      </c>
      <c r="C154">
        <v>60</v>
      </c>
      <c r="D154" s="10">
        <v>18102421205</v>
      </c>
      <c r="F154" t="s">
        <v>40</v>
      </c>
      <c r="G154">
        <v>0</v>
      </c>
      <c r="H154">
        <v>100</v>
      </c>
      <c r="K154">
        <v>1</v>
      </c>
      <c r="L154" t="s">
        <v>41</v>
      </c>
      <c r="M154" t="s">
        <v>89</v>
      </c>
      <c r="N154" s="11">
        <v>2958465</v>
      </c>
      <c r="P154">
        <v>0</v>
      </c>
      <c r="U154">
        <v>4</v>
      </c>
      <c r="V154">
        <v>1</v>
      </c>
      <c r="W154" t="s">
        <v>42</v>
      </c>
      <c r="X154">
        <v>0</v>
      </c>
    </row>
    <row r="155" spans="1:24" x14ac:dyDescent="0.25">
      <c r="A155">
        <v>1</v>
      </c>
      <c r="B155" s="10">
        <v>591108240405</v>
      </c>
      <c r="C155">
        <v>70</v>
      </c>
      <c r="D155" s="10">
        <v>5997499</v>
      </c>
      <c r="F155" t="s">
        <v>68</v>
      </c>
      <c r="G155">
        <v>0</v>
      </c>
      <c r="H155">
        <v>100</v>
      </c>
      <c r="K155">
        <v>1</v>
      </c>
      <c r="L155" t="s">
        <v>41</v>
      </c>
      <c r="M155" t="s">
        <v>89</v>
      </c>
      <c r="N155" s="11">
        <v>2958465</v>
      </c>
      <c r="P155">
        <v>0</v>
      </c>
      <c r="U155">
        <v>4</v>
      </c>
      <c r="V155">
        <v>1</v>
      </c>
      <c r="W155" t="s">
        <v>42</v>
      </c>
      <c r="X155">
        <v>0</v>
      </c>
    </row>
    <row r="156" spans="1:24" x14ac:dyDescent="0.25">
      <c r="A156">
        <v>1</v>
      </c>
      <c r="B156" s="10">
        <v>591108240512</v>
      </c>
      <c r="C156">
        <v>10</v>
      </c>
      <c r="D156" s="10">
        <v>5959672105</v>
      </c>
      <c r="F156" t="s">
        <v>40</v>
      </c>
      <c r="G156">
        <v>0</v>
      </c>
      <c r="H156">
        <v>100</v>
      </c>
      <c r="K156">
        <v>1</v>
      </c>
      <c r="L156" t="s">
        <v>41</v>
      </c>
      <c r="M156" t="s">
        <v>89</v>
      </c>
      <c r="N156" s="11">
        <v>2958465</v>
      </c>
      <c r="P156">
        <v>0</v>
      </c>
      <c r="U156">
        <v>4</v>
      </c>
      <c r="V156">
        <v>1</v>
      </c>
      <c r="W156" t="s">
        <v>42</v>
      </c>
      <c r="X156">
        <v>0</v>
      </c>
    </row>
    <row r="157" spans="1:24" x14ac:dyDescent="0.25">
      <c r="A157">
        <v>1</v>
      </c>
      <c r="B157" s="10">
        <v>591108240512</v>
      </c>
      <c r="C157">
        <v>20</v>
      </c>
      <c r="D157" s="10">
        <v>5959692105</v>
      </c>
      <c r="F157" t="s">
        <v>40</v>
      </c>
      <c r="G157">
        <v>0</v>
      </c>
      <c r="H157">
        <v>100</v>
      </c>
      <c r="K157">
        <v>1</v>
      </c>
      <c r="L157" t="s">
        <v>41</v>
      </c>
      <c r="M157" t="s">
        <v>89</v>
      </c>
      <c r="N157" s="11">
        <v>2958465</v>
      </c>
      <c r="P157">
        <v>0</v>
      </c>
      <c r="U157">
        <v>4</v>
      </c>
      <c r="V157">
        <v>1</v>
      </c>
      <c r="W157" t="s">
        <v>42</v>
      </c>
      <c r="X157">
        <v>0</v>
      </c>
    </row>
    <row r="158" spans="1:24" x14ac:dyDescent="0.25">
      <c r="A158">
        <v>1</v>
      </c>
      <c r="B158" s="10">
        <v>591108240512</v>
      </c>
      <c r="C158">
        <v>30</v>
      </c>
      <c r="D158" s="10">
        <v>5952482105</v>
      </c>
      <c r="F158" t="s">
        <v>40</v>
      </c>
      <c r="G158">
        <v>0</v>
      </c>
      <c r="H158">
        <v>100</v>
      </c>
      <c r="K158">
        <v>1</v>
      </c>
      <c r="L158" t="s">
        <v>41</v>
      </c>
      <c r="M158" t="s">
        <v>89</v>
      </c>
      <c r="N158" s="11">
        <v>2958465</v>
      </c>
      <c r="P158">
        <v>0</v>
      </c>
      <c r="U158">
        <v>4</v>
      </c>
      <c r="V158">
        <v>1</v>
      </c>
      <c r="W158" t="s">
        <v>42</v>
      </c>
      <c r="X158">
        <v>0</v>
      </c>
    </row>
    <row r="159" spans="1:24" x14ac:dyDescent="0.25">
      <c r="A159">
        <v>1</v>
      </c>
      <c r="B159" s="10">
        <v>591108240512</v>
      </c>
      <c r="C159">
        <v>40</v>
      </c>
      <c r="D159" s="10">
        <v>5952792405</v>
      </c>
      <c r="F159" t="s">
        <v>40</v>
      </c>
      <c r="G159">
        <v>0</v>
      </c>
      <c r="H159">
        <v>100</v>
      </c>
      <c r="K159">
        <v>1</v>
      </c>
      <c r="L159" t="s">
        <v>41</v>
      </c>
      <c r="M159" t="s">
        <v>89</v>
      </c>
      <c r="N159" s="11">
        <v>2958465</v>
      </c>
      <c r="P159">
        <v>0</v>
      </c>
      <c r="U159">
        <v>4</v>
      </c>
      <c r="V159">
        <v>1</v>
      </c>
      <c r="W159" t="s">
        <v>42</v>
      </c>
      <c r="X159">
        <v>0</v>
      </c>
    </row>
    <row r="160" spans="1:24" x14ac:dyDescent="0.25">
      <c r="A160">
        <v>1</v>
      </c>
      <c r="B160" s="10">
        <v>591108240512</v>
      </c>
      <c r="C160">
        <v>50</v>
      </c>
      <c r="D160" s="10">
        <v>59102305</v>
      </c>
      <c r="F160" t="s">
        <v>40</v>
      </c>
      <c r="G160">
        <v>0</v>
      </c>
      <c r="H160">
        <v>100</v>
      </c>
      <c r="K160">
        <v>2</v>
      </c>
      <c r="L160" t="s">
        <v>41</v>
      </c>
      <c r="M160" t="s">
        <v>89</v>
      </c>
      <c r="N160" s="11">
        <v>2958465</v>
      </c>
      <c r="P160">
        <v>0</v>
      </c>
      <c r="U160">
        <v>4</v>
      </c>
      <c r="V160">
        <v>1</v>
      </c>
      <c r="W160" t="s">
        <v>42</v>
      </c>
      <c r="X160">
        <v>0</v>
      </c>
    </row>
    <row r="161" spans="1:24" x14ac:dyDescent="0.25">
      <c r="A161">
        <v>1</v>
      </c>
      <c r="B161" s="10">
        <v>591108240512</v>
      </c>
      <c r="C161">
        <v>60</v>
      </c>
      <c r="D161" s="10">
        <v>12421212</v>
      </c>
      <c r="F161" t="s">
        <v>40</v>
      </c>
      <c r="G161">
        <v>0</v>
      </c>
      <c r="H161">
        <v>100</v>
      </c>
      <c r="K161">
        <v>1</v>
      </c>
      <c r="L161" t="s">
        <v>41</v>
      </c>
      <c r="M161" t="s">
        <v>89</v>
      </c>
      <c r="N161" s="11">
        <v>2958465</v>
      </c>
      <c r="P161">
        <v>0</v>
      </c>
      <c r="U161">
        <v>4</v>
      </c>
      <c r="V161">
        <v>1</v>
      </c>
      <c r="W161" t="s">
        <v>42</v>
      </c>
      <c r="X161">
        <v>0</v>
      </c>
    </row>
    <row r="162" spans="1:24" x14ac:dyDescent="0.25">
      <c r="A162">
        <v>1</v>
      </c>
      <c r="B162" s="10">
        <v>591108240512</v>
      </c>
      <c r="C162">
        <v>70</v>
      </c>
      <c r="D162" s="10">
        <v>5997499</v>
      </c>
      <c r="F162" t="s">
        <v>68</v>
      </c>
      <c r="G162">
        <v>0</v>
      </c>
      <c r="H162">
        <v>100</v>
      </c>
      <c r="K162">
        <v>1</v>
      </c>
      <c r="L162" t="s">
        <v>41</v>
      </c>
      <c r="M162" t="s">
        <v>89</v>
      </c>
      <c r="N162" s="11">
        <v>2958465</v>
      </c>
      <c r="P162">
        <v>0</v>
      </c>
      <c r="U162">
        <v>4</v>
      </c>
      <c r="V162">
        <v>1</v>
      </c>
      <c r="W162" t="s">
        <v>42</v>
      </c>
      <c r="X162">
        <v>0</v>
      </c>
    </row>
    <row r="163" spans="1:24" x14ac:dyDescent="0.25">
      <c r="A163">
        <v>1</v>
      </c>
      <c r="B163" s="10">
        <v>591108240612</v>
      </c>
      <c r="C163">
        <v>10</v>
      </c>
      <c r="D163" s="10">
        <v>5959672106</v>
      </c>
      <c r="F163" t="s">
        <v>40</v>
      </c>
      <c r="G163">
        <v>0</v>
      </c>
      <c r="H163">
        <v>100</v>
      </c>
      <c r="K163">
        <v>1</v>
      </c>
      <c r="L163" t="s">
        <v>41</v>
      </c>
      <c r="M163" t="s">
        <v>89</v>
      </c>
      <c r="N163" s="11">
        <v>2958465</v>
      </c>
      <c r="P163">
        <v>0</v>
      </c>
      <c r="U163">
        <v>4</v>
      </c>
      <c r="V163">
        <v>1</v>
      </c>
      <c r="W163" t="s">
        <v>42</v>
      </c>
      <c r="X163">
        <v>0</v>
      </c>
    </row>
    <row r="164" spans="1:24" x14ac:dyDescent="0.25">
      <c r="A164">
        <v>1</v>
      </c>
      <c r="B164" s="10">
        <v>591108240612</v>
      </c>
      <c r="C164">
        <v>20</v>
      </c>
      <c r="D164" s="10">
        <v>5959692106</v>
      </c>
      <c r="F164" t="s">
        <v>40</v>
      </c>
      <c r="G164">
        <v>0</v>
      </c>
      <c r="H164">
        <v>100</v>
      </c>
      <c r="K164">
        <v>1</v>
      </c>
      <c r="L164" t="s">
        <v>41</v>
      </c>
      <c r="M164" t="s">
        <v>89</v>
      </c>
      <c r="N164" s="11">
        <v>2958465</v>
      </c>
      <c r="P164">
        <v>0</v>
      </c>
      <c r="U164">
        <v>4</v>
      </c>
      <c r="V164">
        <v>1</v>
      </c>
      <c r="W164" t="s">
        <v>42</v>
      </c>
      <c r="X164">
        <v>0</v>
      </c>
    </row>
    <row r="165" spans="1:24" x14ac:dyDescent="0.25">
      <c r="A165">
        <v>1</v>
      </c>
      <c r="B165" s="10">
        <v>591108240612</v>
      </c>
      <c r="C165">
        <v>30</v>
      </c>
      <c r="D165" s="10">
        <v>5952482106</v>
      </c>
      <c r="F165" t="s">
        <v>40</v>
      </c>
      <c r="G165">
        <v>0</v>
      </c>
      <c r="H165">
        <v>100</v>
      </c>
      <c r="K165">
        <v>1</v>
      </c>
      <c r="L165" t="s">
        <v>41</v>
      </c>
      <c r="M165" t="s">
        <v>89</v>
      </c>
      <c r="N165" s="11">
        <v>2958465</v>
      </c>
      <c r="P165">
        <v>0</v>
      </c>
      <c r="U165">
        <v>4</v>
      </c>
      <c r="V165">
        <v>1</v>
      </c>
      <c r="W165" t="s">
        <v>42</v>
      </c>
      <c r="X165">
        <v>0</v>
      </c>
    </row>
    <row r="166" spans="1:24" x14ac:dyDescent="0.25">
      <c r="A166">
        <v>1</v>
      </c>
      <c r="B166" s="10">
        <v>591108240612</v>
      </c>
      <c r="C166">
        <v>40</v>
      </c>
      <c r="D166" s="10">
        <v>5952792406</v>
      </c>
      <c r="F166" t="s">
        <v>40</v>
      </c>
      <c r="G166">
        <v>0</v>
      </c>
      <c r="H166">
        <v>100</v>
      </c>
      <c r="K166">
        <v>1</v>
      </c>
      <c r="L166" t="s">
        <v>41</v>
      </c>
      <c r="M166" t="s">
        <v>89</v>
      </c>
      <c r="N166" s="11">
        <v>2958465</v>
      </c>
      <c r="P166">
        <v>0</v>
      </c>
      <c r="U166">
        <v>4</v>
      </c>
      <c r="V166">
        <v>1</v>
      </c>
      <c r="W166" t="s">
        <v>42</v>
      </c>
      <c r="X166">
        <v>0</v>
      </c>
    </row>
    <row r="167" spans="1:24" x14ac:dyDescent="0.25">
      <c r="A167">
        <v>1</v>
      </c>
      <c r="B167" s="10">
        <v>591108240612</v>
      </c>
      <c r="C167">
        <v>50</v>
      </c>
      <c r="D167" s="10">
        <v>59102306</v>
      </c>
      <c r="F167" t="s">
        <v>40</v>
      </c>
      <c r="G167">
        <v>0</v>
      </c>
      <c r="H167">
        <v>100</v>
      </c>
      <c r="K167">
        <v>2</v>
      </c>
      <c r="L167" t="s">
        <v>41</v>
      </c>
      <c r="M167" t="s">
        <v>89</v>
      </c>
      <c r="N167" s="11">
        <v>2958465</v>
      </c>
      <c r="P167">
        <v>0</v>
      </c>
      <c r="U167">
        <v>4</v>
      </c>
      <c r="V167">
        <v>1</v>
      </c>
      <c r="W167" t="s">
        <v>42</v>
      </c>
      <c r="X167">
        <v>0</v>
      </c>
    </row>
    <row r="168" spans="1:24" x14ac:dyDescent="0.25">
      <c r="A168">
        <v>1</v>
      </c>
      <c r="B168" s="10">
        <v>591108240612</v>
      </c>
      <c r="C168">
        <v>60</v>
      </c>
      <c r="D168" s="10">
        <v>12421212</v>
      </c>
      <c r="F168" t="s">
        <v>40</v>
      </c>
      <c r="G168">
        <v>0</v>
      </c>
      <c r="H168">
        <v>100</v>
      </c>
      <c r="K168">
        <v>1</v>
      </c>
      <c r="L168" t="s">
        <v>41</v>
      </c>
      <c r="M168" t="s">
        <v>89</v>
      </c>
      <c r="N168" s="11">
        <v>2958465</v>
      </c>
      <c r="P168">
        <v>0</v>
      </c>
      <c r="U168">
        <v>4</v>
      </c>
      <c r="V168">
        <v>1</v>
      </c>
      <c r="W168" t="s">
        <v>42</v>
      </c>
      <c r="X168">
        <v>0</v>
      </c>
    </row>
    <row r="169" spans="1:24" x14ac:dyDescent="0.25">
      <c r="A169">
        <v>1</v>
      </c>
      <c r="B169" s="10">
        <v>591108240612</v>
      </c>
      <c r="C169">
        <v>70</v>
      </c>
      <c r="D169" s="10">
        <v>5997499</v>
      </c>
      <c r="F169" t="s">
        <v>68</v>
      </c>
      <c r="G169">
        <v>0</v>
      </c>
      <c r="H169">
        <v>100</v>
      </c>
      <c r="K169">
        <v>1</v>
      </c>
      <c r="L169" t="s">
        <v>41</v>
      </c>
      <c r="M169" t="s">
        <v>89</v>
      </c>
      <c r="N169" s="11">
        <v>2958465</v>
      </c>
      <c r="P169">
        <v>0</v>
      </c>
      <c r="U169">
        <v>4</v>
      </c>
      <c r="V169">
        <v>1</v>
      </c>
      <c r="W169" t="s">
        <v>42</v>
      </c>
      <c r="X169">
        <v>0</v>
      </c>
    </row>
    <row r="170" spans="1:24" x14ac:dyDescent="0.25">
      <c r="A170">
        <v>1</v>
      </c>
      <c r="B170" s="10">
        <v>591108240712</v>
      </c>
      <c r="C170">
        <v>10</v>
      </c>
      <c r="D170" s="10">
        <v>5959672107</v>
      </c>
      <c r="F170" t="s">
        <v>40</v>
      </c>
      <c r="G170">
        <v>0</v>
      </c>
      <c r="H170">
        <v>100</v>
      </c>
      <c r="K170">
        <v>1</v>
      </c>
      <c r="L170" t="s">
        <v>41</v>
      </c>
      <c r="M170" t="s">
        <v>89</v>
      </c>
      <c r="N170" s="11">
        <v>2958465</v>
      </c>
      <c r="P170">
        <v>0</v>
      </c>
      <c r="U170">
        <v>4</v>
      </c>
      <c r="V170">
        <v>1</v>
      </c>
      <c r="W170" t="s">
        <v>42</v>
      </c>
      <c r="X170">
        <v>0</v>
      </c>
    </row>
    <row r="171" spans="1:24" x14ac:dyDescent="0.25">
      <c r="A171">
        <v>1</v>
      </c>
      <c r="B171" s="10">
        <v>591108240712</v>
      </c>
      <c r="C171">
        <v>20</v>
      </c>
      <c r="D171" s="10">
        <v>5959692107</v>
      </c>
      <c r="F171" t="s">
        <v>40</v>
      </c>
      <c r="G171">
        <v>0</v>
      </c>
      <c r="H171">
        <v>100</v>
      </c>
      <c r="K171">
        <v>1</v>
      </c>
      <c r="L171" t="s">
        <v>41</v>
      </c>
      <c r="M171" t="s">
        <v>89</v>
      </c>
      <c r="N171" s="11">
        <v>2958465</v>
      </c>
      <c r="P171">
        <v>0</v>
      </c>
      <c r="U171">
        <v>4</v>
      </c>
      <c r="V171">
        <v>1</v>
      </c>
      <c r="W171" t="s">
        <v>42</v>
      </c>
      <c r="X171">
        <v>0</v>
      </c>
    </row>
    <row r="172" spans="1:24" x14ac:dyDescent="0.25">
      <c r="A172">
        <v>1</v>
      </c>
      <c r="B172" s="10">
        <v>591108240712</v>
      </c>
      <c r="C172">
        <v>30</v>
      </c>
      <c r="D172" s="10">
        <v>5952482107</v>
      </c>
      <c r="F172" t="s">
        <v>40</v>
      </c>
      <c r="G172">
        <v>0</v>
      </c>
      <c r="H172">
        <v>100</v>
      </c>
      <c r="K172">
        <v>1</v>
      </c>
      <c r="L172" t="s">
        <v>41</v>
      </c>
      <c r="M172" t="s">
        <v>89</v>
      </c>
      <c r="N172" s="11">
        <v>2958465</v>
      </c>
      <c r="P172">
        <v>0</v>
      </c>
      <c r="U172">
        <v>4</v>
      </c>
      <c r="V172">
        <v>1</v>
      </c>
      <c r="W172" t="s">
        <v>42</v>
      </c>
      <c r="X172">
        <v>0</v>
      </c>
    </row>
    <row r="173" spans="1:24" x14ac:dyDescent="0.25">
      <c r="A173">
        <v>1</v>
      </c>
      <c r="B173" s="10">
        <v>591108240712</v>
      </c>
      <c r="C173">
        <v>40</v>
      </c>
      <c r="D173" s="10">
        <v>5952792407</v>
      </c>
      <c r="F173" t="s">
        <v>40</v>
      </c>
      <c r="G173">
        <v>0</v>
      </c>
      <c r="H173">
        <v>100</v>
      </c>
      <c r="K173">
        <v>1</v>
      </c>
      <c r="L173" t="s">
        <v>41</v>
      </c>
      <c r="M173" t="s">
        <v>89</v>
      </c>
      <c r="N173" s="11">
        <v>2958465</v>
      </c>
      <c r="P173">
        <v>0</v>
      </c>
      <c r="U173">
        <v>4</v>
      </c>
      <c r="V173">
        <v>1</v>
      </c>
      <c r="W173" t="s">
        <v>42</v>
      </c>
      <c r="X173">
        <v>0</v>
      </c>
    </row>
    <row r="174" spans="1:24" x14ac:dyDescent="0.25">
      <c r="A174">
        <v>1</v>
      </c>
      <c r="B174" s="10">
        <v>591108240712</v>
      </c>
      <c r="C174">
        <v>50</v>
      </c>
      <c r="D174" s="10">
        <v>59102307</v>
      </c>
      <c r="F174" t="s">
        <v>40</v>
      </c>
      <c r="G174">
        <v>0</v>
      </c>
      <c r="H174">
        <v>100</v>
      </c>
      <c r="K174">
        <v>2</v>
      </c>
      <c r="L174" t="s">
        <v>41</v>
      </c>
      <c r="M174" t="s">
        <v>89</v>
      </c>
      <c r="N174" s="11">
        <v>2958465</v>
      </c>
      <c r="P174">
        <v>0</v>
      </c>
      <c r="U174">
        <v>4</v>
      </c>
      <c r="V174">
        <v>1</v>
      </c>
      <c r="W174" t="s">
        <v>42</v>
      </c>
      <c r="X174">
        <v>0</v>
      </c>
    </row>
    <row r="175" spans="1:24" x14ac:dyDescent="0.25">
      <c r="A175">
        <v>1</v>
      </c>
      <c r="B175" s="10">
        <v>591108240712</v>
      </c>
      <c r="C175">
        <v>60</v>
      </c>
      <c r="D175" s="10">
        <v>12421212</v>
      </c>
      <c r="F175" t="s">
        <v>40</v>
      </c>
      <c r="G175">
        <v>0</v>
      </c>
      <c r="H175">
        <v>100</v>
      </c>
      <c r="K175">
        <v>1</v>
      </c>
      <c r="L175" t="s">
        <v>41</v>
      </c>
      <c r="M175" t="s">
        <v>89</v>
      </c>
      <c r="N175" s="11">
        <v>2958465</v>
      </c>
      <c r="P175">
        <v>0</v>
      </c>
      <c r="U175">
        <v>4</v>
      </c>
      <c r="V175">
        <v>1</v>
      </c>
      <c r="W175" t="s">
        <v>42</v>
      </c>
      <c r="X175">
        <v>0</v>
      </c>
    </row>
    <row r="176" spans="1:24" x14ac:dyDescent="0.25">
      <c r="A176">
        <v>1</v>
      </c>
      <c r="B176" s="10">
        <v>591108240712</v>
      </c>
      <c r="C176">
        <v>70</v>
      </c>
      <c r="D176" s="10">
        <v>5997499</v>
      </c>
      <c r="F176" t="s">
        <v>68</v>
      </c>
      <c r="G176">
        <v>0</v>
      </c>
      <c r="H176">
        <v>100</v>
      </c>
      <c r="K176">
        <v>1</v>
      </c>
      <c r="L176" t="s">
        <v>41</v>
      </c>
      <c r="M176" t="s">
        <v>89</v>
      </c>
      <c r="N176" s="11">
        <v>2958465</v>
      </c>
      <c r="P176">
        <v>0</v>
      </c>
      <c r="U176">
        <v>4</v>
      </c>
      <c r="V176">
        <v>1</v>
      </c>
      <c r="W176" t="s">
        <v>42</v>
      </c>
      <c r="X176">
        <v>0</v>
      </c>
    </row>
    <row r="177" spans="1:24" x14ac:dyDescent="0.25">
      <c r="A177">
        <v>1</v>
      </c>
      <c r="B177" s="10">
        <v>591108240912</v>
      </c>
      <c r="C177">
        <v>10</v>
      </c>
      <c r="D177" s="10">
        <v>5959672109</v>
      </c>
      <c r="F177" t="s">
        <v>40</v>
      </c>
      <c r="G177">
        <v>0</v>
      </c>
      <c r="H177">
        <v>100</v>
      </c>
      <c r="K177">
        <v>1</v>
      </c>
      <c r="L177" t="s">
        <v>41</v>
      </c>
      <c r="M177" t="s">
        <v>89</v>
      </c>
      <c r="N177" s="11">
        <v>2958465</v>
      </c>
      <c r="P177">
        <v>0</v>
      </c>
      <c r="U177">
        <v>4</v>
      </c>
      <c r="V177">
        <v>1</v>
      </c>
      <c r="W177" t="s">
        <v>42</v>
      </c>
      <c r="X177">
        <v>0</v>
      </c>
    </row>
    <row r="178" spans="1:24" x14ac:dyDescent="0.25">
      <c r="A178">
        <v>1</v>
      </c>
      <c r="B178" s="10">
        <v>591108240912</v>
      </c>
      <c r="C178">
        <v>20</v>
      </c>
      <c r="D178" s="10">
        <v>5959692109</v>
      </c>
      <c r="F178" t="s">
        <v>40</v>
      </c>
      <c r="G178">
        <v>0</v>
      </c>
      <c r="H178">
        <v>100</v>
      </c>
      <c r="K178">
        <v>1</v>
      </c>
      <c r="L178" t="s">
        <v>41</v>
      </c>
      <c r="M178" t="s">
        <v>89</v>
      </c>
      <c r="N178" s="11">
        <v>2958465</v>
      </c>
      <c r="P178">
        <v>0</v>
      </c>
      <c r="U178">
        <v>4</v>
      </c>
      <c r="V178">
        <v>1</v>
      </c>
      <c r="W178" t="s">
        <v>42</v>
      </c>
      <c r="X178">
        <v>0</v>
      </c>
    </row>
    <row r="179" spans="1:24" x14ac:dyDescent="0.25">
      <c r="A179">
        <v>1</v>
      </c>
      <c r="B179" s="10">
        <v>591108240912</v>
      </c>
      <c r="C179">
        <v>30</v>
      </c>
      <c r="D179" s="10">
        <v>5952482109</v>
      </c>
      <c r="F179" t="s">
        <v>40</v>
      </c>
      <c r="G179">
        <v>0</v>
      </c>
      <c r="H179">
        <v>100</v>
      </c>
      <c r="K179">
        <v>1</v>
      </c>
      <c r="L179" t="s">
        <v>41</v>
      </c>
      <c r="M179" t="s">
        <v>89</v>
      </c>
      <c r="N179" s="11">
        <v>2958465</v>
      </c>
      <c r="P179">
        <v>0</v>
      </c>
      <c r="U179">
        <v>4</v>
      </c>
      <c r="V179">
        <v>1</v>
      </c>
      <c r="W179" t="s">
        <v>42</v>
      </c>
      <c r="X179">
        <v>0</v>
      </c>
    </row>
    <row r="180" spans="1:24" x14ac:dyDescent="0.25">
      <c r="A180">
        <v>1</v>
      </c>
      <c r="B180" s="10">
        <v>591108240912</v>
      </c>
      <c r="C180">
        <v>40</v>
      </c>
      <c r="D180" s="10">
        <v>5952792409</v>
      </c>
      <c r="F180" t="s">
        <v>40</v>
      </c>
      <c r="G180">
        <v>0</v>
      </c>
      <c r="H180">
        <v>100</v>
      </c>
      <c r="K180">
        <v>1</v>
      </c>
      <c r="L180" t="s">
        <v>41</v>
      </c>
      <c r="M180" t="s">
        <v>89</v>
      </c>
      <c r="N180" s="11">
        <v>2958465</v>
      </c>
      <c r="P180">
        <v>0</v>
      </c>
      <c r="U180">
        <v>4</v>
      </c>
      <c r="V180">
        <v>1</v>
      </c>
      <c r="W180" t="s">
        <v>42</v>
      </c>
      <c r="X180">
        <v>0</v>
      </c>
    </row>
    <row r="181" spans="1:24" x14ac:dyDescent="0.25">
      <c r="A181">
        <v>1</v>
      </c>
      <c r="B181" s="10">
        <v>591108240912</v>
      </c>
      <c r="C181">
        <v>50</v>
      </c>
      <c r="D181" s="10">
        <v>59102309</v>
      </c>
      <c r="F181" t="s">
        <v>40</v>
      </c>
      <c r="G181">
        <v>0</v>
      </c>
      <c r="H181">
        <v>100</v>
      </c>
      <c r="K181">
        <v>2</v>
      </c>
      <c r="L181" t="s">
        <v>41</v>
      </c>
      <c r="M181" t="s">
        <v>89</v>
      </c>
      <c r="N181" s="11">
        <v>2958465</v>
      </c>
      <c r="P181">
        <v>0</v>
      </c>
      <c r="U181">
        <v>4</v>
      </c>
      <c r="V181">
        <v>1</v>
      </c>
      <c r="W181" t="s">
        <v>42</v>
      </c>
      <c r="X181">
        <v>0</v>
      </c>
    </row>
    <row r="182" spans="1:24" x14ac:dyDescent="0.25">
      <c r="A182">
        <v>1</v>
      </c>
      <c r="B182" s="10">
        <v>591108240912</v>
      </c>
      <c r="C182">
        <v>60</v>
      </c>
      <c r="D182" s="10">
        <v>12421212</v>
      </c>
      <c r="F182" t="s">
        <v>40</v>
      </c>
      <c r="G182">
        <v>0</v>
      </c>
      <c r="H182">
        <v>100</v>
      </c>
      <c r="K182">
        <v>1</v>
      </c>
      <c r="L182" t="s">
        <v>41</v>
      </c>
      <c r="M182" t="s">
        <v>89</v>
      </c>
      <c r="N182" s="11">
        <v>2958465</v>
      </c>
      <c r="P182">
        <v>0</v>
      </c>
      <c r="U182">
        <v>4</v>
      </c>
      <c r="V182">
        <v>1</v>
      </c>
      <c r="W182" t="s">
        <v>42</v>
      </c>
      <c r="X182">
        <v>0</v>
      </c>
    </row>
    <row r="183" spans="1:24" x14ac:dyDescent="0.25">
      <c r="A183">
        <v>1</v>
      </c>
      <c r="B183" s="10">
        <v>591108240912</v>
      </c>
      <c r="C183">
        <v>70</v>
      </c>
      <c r="D183" s="10">
        <v>5997499</v>
      </c>
      <c r="F183" t="s">
        <v>68</v>
      </c>
      <c r="G183">
        <v>0</v>
      </c>
      <c r="H183">
        <v>100</v>
      </c>
      <c r="K183">
        <v>1</v>
      </c>
      <c r="L183" t="s">
        <v>41</v>
      </c>
      <c r="M183" t="s">
        <v>89</v>
      </c>
      <c r="N183" s="11">
        <v>2958465</v>
      </c>
      <c r="P183">
        <v>0</v>
      </c>
      <c r="U183">
        <v>4</v>
      </c>
      <c r="V183">
        <v>1</v>
      </c>
      <c r="W183" t="s">
        <v>42</v>
      </c>
      <c r="X183">
        <v>0</v>
      </c>
    </row>
    <row r="184" spans="1:24" x14ac:dyDescent="0.25">
      <c r="A184">
        <v>1</v>
      </c>
      <c r="B184" s="10">
        <v>591108240127</v>
      </c>
      <c r="C184">
        <v>10</v>
      </c>
      <c r="D184" s="10">
        <v>5959672101</v>
      </c>
      <c r="F184" t="s">
        <v>40</v>
      </c>
      <c r="G184">
        <v>0</v>
      </c>
      <c r="H184">
        <v>100</v>
      </c>
      <c r="K184">
        <v>1</v>
      </c>
      <c r="L184" t="s">
        <v>41</v>
      </c>
      <c r="M184" t="s">
        <v>89</v>
      </c>
      <c r="N184" s="11">
        <v>2958465</v>
      </c>
      <c r="P184">
        <v>0</v>
      </c>
      <c r="U184">
        <v>4</v>
      </c>
      <c r="V184">
        <v>1</v>
      </c>
      <c r="W184" t="s">
        <v>42</v>
      </c>
      <c r="X184">
        <v>0</v>
      </c>
    </row>
    <row r="185" spans="1:24" x14ac:dyDescent="0.25">
      <c r="A185">
        <v>1</v>
      </c>
      <c r="B185" s="10">
        <v>591108240127</v>
      </c>
      <c r="C185">
        <v>20</v>
      </c>
      <c r="D185" s="10">
        <v>5959692101</v>
      </c>
      <c r="F185" t="s">
        <v>40</v>
      </c>
      <c r="G185">
        <v>0</v>
      </c>
      <c r="H185">
        <v>100</v>
      </c>
      <c r="K185">
        <v>1</v>
      </c>
      <c r="L185" t="s">
        <v>41</v>
      </c>
      <c r="M185" t="s">
        <v>89</v>
      </c>
      <c r="N185" s="11">
        <v>2958465</v>
      </c>
      <c r="P185">
        <v>0</v>
      </c>
      <c r="U185">
        <v>4</v>
      </c>
      <c r="V185">
        <v>1</v>
      </c>
      <c r="W185" t="s">
        <v>42</v>
      </c>
      <c r="X185">
        <v>0</v>
      </c>
    </row>
    <row r="186" spans="1:24" x14ac:dyDescent="0.25">
      <c r="A186">
        <v>1</v>
      </c>
      <c r="B186" s="10">
        <v>591108240127</v>
      </c>
      <c r="C186">
        <v>30</v>
      </c>
      <c r="D186" s="10">
        <v>5952482101</v>
      </c>
      <c r="F186" t="s">
        <v>40</v>
      </c>
      <c r="G186">
        <v>0</v>
      </c>
      <c r="H186">
        <v>100</v>
      </c>
      <c r="K186">
        <v>1</v>
      </c>
      <c r="L186" t="s">
        <v>41</v>
      </c>
      <c r="M186" t="s">
        <v>89</v>
      </c>
      <c r="N186" s="11">
        <v>2958465</v>
      </c>
      <c r="P186">
        <v>0</v>
      </c>
      <c r="U186">
        <v>4</v>
      </c>
      <c r="V186">
        <v>1</v>
      </c>
      <c r="W186" t="s">
        <v>42</v>
      </c>
      <c r="X186">
        <v>0</v>
      </c>
    </row>
    <row r="187" spans="1:24" x14ac:dyDescent="0.25">
      <c r="A187">
        <v>1</v>
      </c>
      <c r="B187" s="10">
        <v>591108240127</v>
      </c>
      <c r="C187">
        <v>40</v>
      </c>
      <c r="D187" s="10">
        <v>5952792401</v>
      </c>
      <c r="F187" t="s">
        <v>40</v>
      </c>
      <c r="G187">
        <v>0</v>
      </c>
      <c r="H187">
        <v>100</v>
      </c>
      <c r="K187">
        <v>1</v>
      </c>
      <c r="L187" t="s">
        <v>41</v>
      </c>
      <c r="M187" t="s">
        <v>89</v>
      </c>
      <c r="N187" s="11">
        <v>2958465</v>
      </c>
      <c r="P187">
        <v>0</v>
      </c>
      <c r="U187">
        <v>4</v>
      </c>
      <c r="V187">
        <v>1</v>
      </c>
      <c r="W187" t="s">
        <v>42</v>
      </c>
      <c r="X187">
        <v>0</v>
      </c>
    </row>
    <row r="188" spans="1:24" x14ac:dyDescent="0.25">
      <c r="A188">
        <v>1</v>
      </c>
      <c r="B188" s="10">
        <v>591108240127</v>
      </c>
      <c r="C188">
        <v>50</v>
      </c>
      <c r="D188" s="10">
        <v>59102301</v>
      </c>
      <c r="F188" t="s">
        <v>40</v>
      </c>
      <c r="G188">
        <v>0</v>
      </c>
      <c r="H188">
        <v>100</v>
      </c>
      <c r="K188">
        <v>2</v>
      </c>
      <c r="L188" t="s">
        <v>41</v>
      </c>
      <c r="M188" t="s">
        <v>89</v>
      </c>
      <c r="N188" s="11">
        <v>2958465</v>
      </c>
      <c r="P188">
        <v>0</v>
      </c>
      <c r="U188">
        <v>4</v>
      </c>
      <c r="V188">
        <v>1</v>
      </c>
      <c r="W188" t="s">
        <v>42</v>
      </c>
      <c r="X188">
        <v>0</v>
      </c>
    </row>
    <row r="189" spans="1:24" x14ac:dyDescent="0.25">
      <c r="A189">
        <v>1</v>
      </c>
      <c r="B189" s="10">
        <v>591108240127</v>
      </c>
      <c r="C189">
        <v>60</v>
      </c>
      <c r="D189" s="10">
        <v>18102421227</v>
      </c>
      <c r="F189" t="s">
        <v>40</v>
      </c>
      <c r="G189">
        <v>0</v>
      </c>
      <c r="H189">
        <v>100</v>
      </c>
      <c r="K189">
        <v>1</v>
      </c>
      <c r="L189" t="s">
        <v>41</v>
      </c>
      <c r="M189" t="s">
        <v>89</v>
      </c>
      <c r="N189" s="11">
        <v>2958465</v>
      </c>
      <c r="P189">
        <v>0</v>
      </c>
      <c r="U189">
        <v>4</v>
      </c>
      <c r="V189">
        <v>1</v>
      </c>
      <c r="W189" t="s">
        <v>42</v>
      </c>
      <c r="X189">
        <v>0</v>
      </c>
    </row>
    <row r="190" spans="1:24" x14ac:dyDescent="0.25">
      <c r="A190">
        <v>1</v>
      </c>
      <c r="B190" s="10">
        <v>591108240127</v>
      </c>
      <c r="C190">
        <v>70</v>
      </c>
      <c r="D190" s="10">
        <v>5997499</v>
      </c>
      <c r="F190" t="s">
        <v>68</v>
      </c>
      <c r="G190">
        <v>0</v>
      </c>
      <c r="H190">
        <v>100</v>
      </c>
      <c r="K190">
        <v>1</v>
      </c>
      <c r="L190" t="s">
        <v>41</v>
      </c>
      <c r="M190" t="s">
        <v>89</v>
      </c>
      <c r="N190" s="11">
        <v>2958465</v>
      </c>
      <c r="P190">
        <v>0</v>
      </c>
      <c r="U190">
        <v>4</v>
      </c>
      <c r="V190">
        <v>1</v>
      </c>
      <c r="W190" t="s">
        <v>42</v>
      </c>
      <c r="X190">
        <v>0</v>
      </c>
    </row>
    <row r="191" spans="1:24" x14ac:dyDescent="0.25">
      <c r="A191">
        <v>1</v>
      </c>
      <c r="B191" s="10">
        <v>591108240227</v>
      </c>
      <c r="C191">
        <v>10</v>
      </c>
      <c r="D191" s="10">
        <v>5959672102</v>
      </c>
      <c r="F191" t="s">
        <v>40</v>
      </c>
      <c r="G191">
        <v>0</v>
      </c>
      <c r="H191">
        <v>100</v>
      </c>
      <c r="K191">
        <v>1</v>
      </c>
      <c r="L191" t="s">
        <v>41</v>
      </c>
      <c r="M191" t="s">
        <v>89</v>
      </c>
      <c r="N191" s="11">
        <v>2958465</v>
      </c>
      <c r="P191">
        <v>0</v>
      </c>
      <c r="U191">
        <v>4</v>
      </c>
      <c r="V191">
        <v>1</v>
      </c>
      <c r="W191" t="s">
        <v>42</v>
      </c>
      <c r="X191">
        <v>0</v>
      </c>
    </row>
    <row r="192" spans="1:24" x14ac:dyDescent="0.25">
      <c r="A192">
        <v>1</v>
      </c>
      <c r="B192" s="10">
        <v>591108240227</v>
      </c>
      <c r="C192">
        <v>20</v>
      </c>
      <c r="D192" s="10">
        <v>5959692102</v>
      </c>
      <c r="F192" t="s">
        <v>40</v>
      </c>
      <c r="G192">
        <v>0</v>
      </c>
      <c r="H192">
        <v>100</v>
      </c>
      <c r="K192">
        <v>1</v>
      </c>
      <c r="L192" t="s">
        <v>41</v>
      </c>
      <c r="M192" t="s">
        <v>89</v>
      </c>
      <c r="N192" s="11">
        <v>2958465</v>
      </c>
      <c r="P192">
        <v>0</v>
      </c>
      <c r="U192">
        <v>4</v>
      </c>
      <c r="V192">
        <v>1</v>
      </c>
      <c r="W192" t="s">
        <v>42</v>
      </c>
      <c r="X192">
        <v>0</v>
      </c>
    </row>
    <row r="193" spans="1:24" x14ac:dyDescent="0.25">
      <c r="A193">
        <v>1</v>
      </c>
      <c r="B193" s="10">
        <v>591108240227</v>
      </c>
      <c r="C193">
        <v>30</v>
      </c>
      <c r="D193" s="10">
        <v>5952482102</v>
      </c>
      <c r="F193" t="s">
        <v>40</v>
      </c>
      <c r="G193">
        <v>0</v>
      </c>
      <c r="H193">
        <v>100</v>
      </c>
      <c r="K193">
        <v>1</v>
      </c>
      <c r="L193" t="s">
        <v>41</v>
      </c>
      <c r="M193" t="s">
        <v>89</v>
      </c>
      <c r="N193" s="11">
        <v>2958465</v>
      </c>
      <c r="P193">
        <v>0</v>
      </c>
      <c r="U193">
        <v>4</v>
      </c>
      <c r="V193">
        <v>1</v>
      </c>
      <c r="W193" t="s">
        <v>42</v>
      </c>
      <c r="X193">
        <v>0</v>
      </c>
    </row>
    <row r="194" spans="1:24" x14ac:dyDescent="0.25">
      <c r="A194">
        <v>1</v>
      </c>
      <c r="B194" s="10">
        <v>591108240227</v>
      </c>
      <c r="C194">
        <v>40</v>
      </c>
      <c r="D194" s="10">
        <v>5952792402</v>
      </c>
      <c r="F194" t="s">
        <v>40</v>
      </c>
      <c r="G194">
        <v>0</v>
      </c>
      <c r="H194">
        <v>100</v>
      </c>
      <c r="K194">
        <v>1</v>
      </c>
      <c r="L194" t="s">
        <v>41</v>
      </c>
      <c r="M194" t="s">
        <v>89</v>
      </c>
      <c r="N194" s="11">
        <v>2958465</v>
      </c>
      <c r="P194">
        <v>0</v>
      </c>
      <c r="U194">
        <v>4</v>
      </c>
      <c r="V194">
        <v>1</v>
      </c>
      <c r="W194" t="s">
        <v>42</v>
      </c>
      <c r="X194">
        <v>0</v>
      </c>
    </row>
    <row r="195" spans="1:24" x14ac:dyDescent="0.25">
      <c r="A195">
        <v>1</v>
      </c>
      <c r="B195" s="10">
        <v>591108240227</v>
      </c>
      <c r="C195">
        <v>50</v>
      </c>
      <c r="D195" s="10">
        <v>59102302</v>
      </c>
      <c r="F195" t="s">
        <v>40</v>
      </c>
      <c r="G195">
        <v>0</v>
      </c>
      <c r="H195">
        <v>100</v>
      </c>
      <c r="K195">
        <v>2</v>
      </c>
      <c r="L195" t="s">
        <v>41</v>
      </c>
      <c r="M195" t="s">
        <v>89</v>
      </c>
      <c r="N195" s="11">
        <v>2958465</v>
      </c>
      <c r="P195">
        <v>0</v>
      </c>
      <c r="U195">
        <v>4</v>
      </c>
      <c r="V195">
        <v>1</v>
      </c>
      <c r="W195" t="s">
        <v>42</v>
      </c>
      <c r="X195">
        <v>0</v>
      </c>
    </row>
    <row r="196" spans="1:24" x14ac:dyDescent="0.25">
      <c r="A196">
        <v>1</v>
      </c>
      <c r="B196" s="10">
        <v>591108240227</v>
      </c>
      <c r="C196">
        <v>60</v>
      </c>
      <c r="D196" s="10">
        <v>18102421227</v>
      </c>
      <c r="F196" t="s">
        <v>40</v>
      </c>
      <c r="G196">
        <v>0</v>
      </c>
      <c r="H196">
        <v>100</v>
      </c>
      <c r="K196">
        <v>1</v>
      </c>
      <c r="L196" t="s">
        <v>41</v>
      </c>
      <c r="M196" t="s">
        <v>89</v>
      </c>
      <c r="N196" s="11">
        <v>2958465</v>
      </c>
      <c r="P196">
        <v>0</v>
      </c>
      <c r="U196">
        <v>4</v>
      </c>
      <c r="V196">
        <v>1</v>
      </c>
      <c r="W196" t="s">
        <v>42</v>
      </c>
      <c r="X196">
        <v>0</v>
      </c>
    </row>
    <row r="197" spans="1:24" x14ac:dyDescent="0.25">
      <c r="A197">
        <v>1</v>
      </c>
      <c r="B197" s="10">
        <v>591108240227</v>
      </c>
      <c r="C197">
        <v>70</v>
      </c>
      <c r="D197" s="10">
        <v>5997499</v>
      </c>
      <c r="F197" t="s">
        <v>68</v>
      </c>
      <c r="G197">
        <v>0</v>
      </c>
      <c r="H197">
        <v>100</v>
      </c>
      <c r="K197">
        <v>1</v>
      </c>
      <c r="L197" t="s">
        <v>41</v>
      </c>
      <c r="M197" t="s">
        <v>89</v>
      </c>
      <c r="N197" s="11">
        <v>2958465</v>
      </c>
      <c r="P197">
        <v>0</v>
      </c>
      <c r="U197">
        <v>4</v>
      </c>
      <c r="V197">
        <v>1</v>
      </c>
      <c r="W197" t="s">
        <v>42</v>
      </c>
      <c r="X197">
        <v>0</v>
      </c>
    </row>
    <row r="198" spans="1:24" x14ac:dyDescent="0.25">
      <c r="A198">
        <v>1</v>
      </c>
      <c r="B198" s="10">
        <v>591108240327</v>
      </c>
      <c r="C198">
        <v>10</v>
      </c>
      <c r="D198" s="10">
        <v>5959672103</v>
      </c>
      <c r="F198" t="s">
        <v>40</v>
      </c>
      <c r="G198">
        <v>0</v>
      </c>
      <c r="H198">
        <v>100</v>
      </c>
      <c r="K198">
        <v>1</v>
      </c>
      <c r="L198" t="s">
        <v>41</v>
      </c>
      <c r="M198" t="s">
        <v>89</v>
      </c>
      <c r="N198" s="11">
        <v>2958465</v>
      </c>
      <c r="P198">
        <v>0</v>
      </c>
      <c r="U198">
        <v>4</v>
      </c>
      <c r="V198">
        <v>1</v>
      </c>
      <c r="W198" t="s">
        <v>42</v>
      </c>
      <c r="X198">
        <v>0</v>
      </c>
    </row>
    <row r="199" spans="1:24" x14ac:dyDescent="0.25">
      <c r="A199">
        <v>1</v>
      </c>
      <c r="B199" s="10">
        <v>591108240327</v>
      </c>
      <c r="C199">
        <v>20</v>
      </c>
      <c r="D199" s="10">
        <v>5959692103</v>
      </c>
      <c r="F199" t="s">
        <v>40</v>
      </c>
      <c r="G199">
        <v>0</v>
      </c>
      <c r="H199">
        <v>100</v>
      </c>
      <c r="K199">
        <v>1</v>
      </c>
      <c r="L199" t="s">
        <v>41</v>
      </c>
      <c r="M199" t="s">
        <v>89</v>
      </c>
      <c r="N199" s="11">
        <v>2958465</v>
      </c>
      <c r="P199">
        <v>0</v>
      </c>
      <c r="U199">
        <v>4</v>
      </c>
      <c r="V199">
        <v>1</v>
      </c>
      <c r="W199" t="s">
        <v>42</v>
      </c>
      <c r="X199">
        <v>0</v>
      </c>
    </row>
    <row r="200" spans="1:24" x14ac:dyDescent="0.25">
      <c r="A200">
        <v>1</v>
      </c>
      <c r="B200" s="10">
        <v>591108240327</v>
      </c>
      <c r="C200">
        <v>30</v>
      </c>
      <c r="D200" s="10">
        <v>5952482103</v>
      </c>
      <c r="F200" t="s">
        <v>40</v>
      </c>
      <c r="G200">
        <v>0</v>
      </c>
      <c r="H200">
        <v>100</v>
      </c>
      <c r="K200">
        <v>1</v>
      </c>
      <c r="L200" t="s">
        <v>41</v>
      </c>
      <c r="M200" t="s">
        <v>89</v>
      </c>
      <c r="N200" s="11">
        <v>2958465</v>
      </c>
      <c r="P200">
        <v>0</v>
      </c>
      <c r="U200">
        <v>4</v>
      </c>
      <c r="V200">
        <v>1</v>
      </c>
      <c r="W200" t="s">
        <v>42</v>
      </c>
      <c r="X200">
        <v>0</v>
      </c>
    </row>
    <row r="201" spans="1:24" x14ac:dyDescent="0.25">
      <c r="A201">
        <v>1</v>
      </c>
      <c r="B201" s="10">
        <v>591108240327</v>
      </c>
      <c r="C201">
        <v>40</v>
      </c>
      <c r="D201" s="10">
        <v>5952792403</v>
      </c>
      <c r="F201" t="s">
        <v>40</v>
      </c>
      <c r="G201">
        <v>0</v>
      </c>
      <c r="H201">
        <v>100</v>
      </c>
      <c r="K201">
        <v>1</v>
      </c>
      <c r="L201" t="s">
        <v>41</v>
      </c>
      <c r="M201" t="s">
        <v>89</v>
      </c>
      <c r="N201" s="11">
        <v>2958465</v>
      </c>
      <c r="P201">
        <v>0</v>
      </c>
      <c r="U201">
        <v>4</v>
      </c>
      <c r="V201">
        <v>1</v>
      </c>
      <c r="W201" t="s">
        <v>42</v>
      </c>
      <c r="X201">
        <v>0</v>
      </c>
    </row>
    <row r="202" spans="1:24" x14ac:dyDescent="0.25">
      <c r="A202">
        <v>1</v>
      </c>
      <c r="B202" s="10">
        <v>591108240327</v>
      </c>
      <c r="C202">
        <v>50</v>
      </c>
      <c r="D202" s="10">
        <v>59102303</v>
      </c>
      <c r="F202" t="s">
        <v>40</v>
      </c>
      <c r="G202">
        <v>0</v>
      </c>
      <c r="H202">
        <v>100</v>
      </c>
      <c r="K202">
        <v>2</v>
      </c>
      <c r="L202" t="s">
        <v>41</v>
      </c>
      <c r="M202" t="s">
        <v>89</v>
      </c>
      <c r="N202" s="11">
        <v>2958465</v>
      </c>
      <c r="P202">
        <v>0</v>
      </c>
      <c r="U202">
        <v>4</v>
      </c>
      <c r="V202">
        <v>1</v>
      </c>
      <c r="W202" t="s">
        <v>42</v>
      </c>
      <c r="X202">
        <v>0</v>
      </c>
    </row>
    <row r="203" spans="1:24" x14ac:dyDescent="0.25">
      <c r="A203">
        <v>1</v>
      </c>
      <c r="B203" s="10">
        <v>591108240327</v>
      </c>
      <c r="C203">
        <v>60</v>
      </c>
      <c r="D203" s="10">
        <v>18102421227</v>
      </c>
      <c r="F203" t="s">
        <v>40</v>
      </c>
      <c r="G203">
        <v>0</v>
      </c>
      <c r="H203">
        <v>100</v>
      </c>
      <c r="K203">
        <v>1</v>
      </c>
      <c r="L203" t="s">
        <v>41</v>
      </c>
      <c r="M203" t="s">
        <v>89</v>
      </c>
      <c r="N203" s="11">
        <v>2958465</v>
      </c>
      <c r="P203">
        <v>0</v>
      </c>
      <c r="U203">
        <v>4</v>
      </c>
      <c r="V203">
        <v>1</v>
      </c>
      <c r="W203" t="s">
        <v>42</v>
      </c>
      <c r="X203">
        <v>0</v>
      </c>
    </row>
    <row r="204" spans="1:24" x14ac:dyDescent="0.25">
      <c r="A204">
        <v>1</v>
      </c>
      <c r="B204" s="10">
        <v>591108240327</v>
      </c>
      <c r="C204">
        <v>70</v>
      </c>
      <c r="D204" s="10">
        <v>5997499</v>
      </c>
      <c r="F204" t="s">
        <v>68</v>
      </c>
      <c r="G204">
        <v>0</v>
      </c>
      <c r="H204">
        <v>100</v>
      </c>
      <c r="K204">
        <v>1</v>
      </c>
      <c r="L204" t="s">
        <v>41</v>
      </c>
      <c r="M204" t="s">
        <v>89</v>
      </c>
      <c r="N204" s="11">
        <v>2958465</v>
      </c>
      <c r="P204">
        <v>0</v>
      </c>
      <c r="U204">
        <v>4</v>
      </c>
      <c r="V204">
        <v>1</v>
      </c>
      <c r="W204" t="s">
        <v>42</v>
      </c>
      <c r="X204">
        <v>0</v>
      </c>
    </row>
    <row r="205" spans="1:24" x14ac:dyDescent="0.25">
      <c r="A205">
        <v>1</v>
      </c>
      <c r="B205" s="10">
        <v>591108240427</v>
      </c>
      <c r="C205">
        <v>10</v>
      </c>
      <c r="D205" s="10">
        <v>5959672104</v>
      </c>
      <c r="F205" t="s">
        <v>40</v>
      </c>
      <c r="G205">
        <v>0</v>
      </c>
      <c r="H205">
        <v>100</v>
      </c>
      <c r="K205">
        <v>1</v>
      </c>
      <c r="L205" t="s">
        <v>41</v>
      </c>
      <c r="M205" t="s">
        <v>89</v>
      </c>
      <c r="N205" s="11">
        <v>2958465</v>
      </c>
      <c r="P205">
        <v>0</v>
      </c>
      <c r="U205">
        <v>4</v>
      </c>
      <c r="V205">
        <v>1</v>
      </c>
      <c r="W205" t="s">
        <v>42</v>
      </c>
      <c r="X205">
        <v>0</v>
      </c>
    </row>
    <row r="206" spans="1:24" x14ac:dyDescent="0.25">
      <c r="A206">
        <v>1</v>
      </c>
      <c r="B206" s="10">
        <v>591108240427</v>
      </c>
      <c r="C206">
        <v>20</v>
      </c>
      <c r="D206" s="10">
        <v>5959692104</v>
      </c>
      <c r="F206" t="s">
        <v>40</v>
      </c>
      <c r="G206">
        <v>0</v>
      </c>
      <c r="H206">
        <v>100</v>
      </c>
      <c r="K206">
        <v>1</v>
      </c>
      <c r="L206" t="s">
        <v>41</v>
      </c>
      <c r="M206" t="s">
        <v>89</v>
      </c>
      <c r="N206" s="11">
        <v>2958465</v>
      </c>
      <c r="P206">
        <v>0</v>
      </c>
      <c r="U206">
        <v>4</v>
      </c>
      <c r="V206">
        <v>1</v>
      </c>
      <c r="W206" t="s">
        <v>42</v>
      </c>
      <c r="X206">
        <v>0</v>
      </c>
    </row>
    <row r="207" spans="1:24" x14ac:dyDescent="0.25">
      <c r="A207">
        <v>1</v>
      </c>
      <c r="B207" s="10">
        <v>591108240427</v>
      </c>
      <c r="C207">
        <v>30</v>
      </c>
      <c r="D207" s="10">
        <v>5952482104</v>
      </c>
      <c r="F207" t="s">
        <v>40</v>
      </c>
      <c r="G207">
        <v>0</v>
      </c>
      <c r="H207">
        <v>100</v>
      </c>
      <c r="K207">
        <v>1</v>
      </c>
      <c r="L207" t="s">
        <v>41</v>
      </c>
      <c r="M207" t="s">
        <v>89</v>
      </c>
      <c r="N207" s="11">
        <v>2958465</v>
      </c>
      <c r="P207">
        <v>0</v>
      </c>
      <c r="U207">
        <v>4</v>
      </c>
      <c r="V207">
        <v>1</v>
      </c>
      <c r="W207" t="s">
        <v>42</v>
      </c>
      <c r="X207">
        <v>0</v>
      </c>
    </row>
    <row r="208" spans="1:24" x14ac:dyDescent="0.25">
      <c r="A208">
        <v>1</v>
      </c>
      <c r="B208" s="10">
        <v>591108240427</v>
      </c>
      <c r="C208">
        <v>40</v>
      </c>
      <c r="D208" s="10">
        <v>5952792404</v>
      </c>
      <c r="F208" t="s">
        <v>40</v>
      </c>
      <c r="G208">
        <v>0</v>
      </c>
      <c r="H208">
        <v>100</v>
      </c>
      <c r="K208">
        <v>1</v>
      </c>
      <c r="L208" t="s">
        <v>41</v>
      </c>
      <c r="M208" t="s">
        <v>89</v>
      </c>
      <c r="N208" s="11">
        <v>2958465</v>
      </c>
      <c r="P208">
        <v>0</v>
      </c>
      <c r="U208">
        <v>4</v>
      </c>
      <c r="V208">
        <v>1</v>
      </c>
      <c r="W208" t="s">
        <v>42</v>
      </c>
      <c r="X208">
        <v>0</v>
      </c>
    </row>
    <row r="209" spans="1:24" x14ac:dyDescent="0.25">
      <c r="A209">
        <v>1</v>
      </c>
      <c r="B209" s="10">
        <v>591108240427</v>
      </c>
      <c r="C209">
        <v>50</v>
      </c>
      <c r="D209" s="10">
        <v>59102304</v>
      </c>
      <c r="F209" t="s">
        <v>40</v>
      </c>
      <c r="G209">
        <v>0</v>
      </c>
      <c r="H209">
        <v>100</v>
      </c>
      <c r="K209">
        <v>2</v>
      </c>
      <c r="L209" t="s">
        <v>41</v>
      </c>
      <c r="M209" t="s">
        <v>89</v>
      </c>
      <c r="N209" s="11">
        <v>2958465</v>
      </c>
      <c r="P209">
        <v>0</v>
      </c>
      <c r="U209">
        <v>4</v>
      </c>
      <c r="V209">
        <v>1</v>
      </c>
      <c r="W209" t="s">
        <v>42</v>
      </c>
      <c r="X209">
        <v>0</v>
      </c>
    </row>
    <row r="210" spans="1:24" x14ac:dyDescent="0.25">
      <c r="A210">
        <v>1</v>
      </c>
      <c r="B210" s="10">
        <v>591108240427</v>
      </c>
      <c r="C210">
        <v>60</v>
      </c>
      <c r="D210" s="10">
        <v>18102421227</v>
      </c>
      <c r="F210" t="s">
        <v>40</v>
      </c>
      <c r="G210">
        <v>0</v>
      </c>
      <c r="H210">
        <v>100</v>
      </c>
      <c r="K210">
        <v>1</v>
      </c>
      <c r="L210" t="s">
        <v>41</v>
      </c>
      <c r="M210" t="s">
        <v>89</v>
      </c>
      <c r="N210" s="11">
        <v>2958465</v>
      </c>
      <c r="P210">
        <v>0</v>
      </c>
      <c r="U210">
        <v>4</v>
      </c>
      <c r="V210">
        <v>1</v>
      </c>
      <c r="W210" t="s">
        <v>42</v>
      </c>
      <c r="X210">
        <v>0</v>
      </c>
    </row>
    <row r="211" spans="1:24" x14ac:dyDescent="0.25">
      <c r="A211">
        <v>1</v>
      </c>
      <c r="B211" s="10">
        <v>591108240427</v>
      </c>
      <c r="C211">
        <v>70</v>
      </c>
      <c r="D211" s="10">
        <v>5997499</v>
      </c>
      <c r="F211" t="s">
        <v>68</v>
      </c>
      <c r="G211">
        <v>0</v>
      </c>
      <c r="H211">
        <v>100</v>
      </c>
      <c r="K211">
        <v>1</v>
      </c>
      <c r="L211" t="s">
        <v>41</v>
      </c>
      <c r="M211" t="s">
        <v>89</v>
      </c>
      <c r="N211" s="11">
        <v>2958465</v>
      </c>
      <c r="P211">
        <v>0</v>
      </c>
      <c r="U211">
        <v>4</v>
      </c>
      <c r="V211">
        <v>1</v>
      </c>
      <c r="W211" t="s">
        <v>42</v>
      </c>
      <c r="X211">
        <v>0</v>
      </c>
    </row>
    <row r="212" spans="1:24" x14ac:dyDescent="0.25">
      <c r="A212">
        <v>1</v>
      </c>
      <c r="B212" s="10">
        <v>591108240527</v>
      </c>
      <c r="C212">
        <v>10</v>
      </c>
      <c r="D212" s="10">
        <v>5959672105</v>
      </c>
      <c r="F212" t="s">
        <v>40</v>
      </c>
      <c r="G212">
        <v>0</v>
      </c>
      <c r="H212">
        <v>100</v>
      </c>
      <c r="K212">
        <v>1</v>
      </c>
      <c r="L212" t="s">
        <v>41</v>
      </c>
      <c r="M212" t="s">
        <v>89</v>
      </c>
      <c r="N212" s="11">
        <v>2958465</v>
      </c>
      <c r="P212">
        <v>0</v>
      </c>
      <c r="U212">
        <v>4</v>
      </c>
      <c r="V212">
        <v>1</v>
      </c>
      <c r="W212" t="s">
        <v>42</v>
      </c>
      <c r="X212">
        <v>0</v>
      </c>
    </row>
    <row r="213" spans="1:24" x14ac:dyDescent="0.25">
      <c r="A213">
        <v>1</v>
      </c>
      <c r="B213" s="10">
        <v>591108240527</v>
      </c>
      <c r="C213">
        <v>20</v>
      </c>
      <c r="D213" s="10">
        <v>5959692105</v>
      </c>
      <c r="F213" t="s">
        <v>40</v>
      </c>
      <c r="G213">
        <v>0</v>
      </c>
      <c r="H213">
        <v>100</v>
      </c>
      <c r="K213">
        <v>1</v>
      </c>
      <c r="L213" t="s">
        <v>41</v>
      </c>
      <c r="M213" t="s">
        <v>89</v>
      </c>
      <c r="N213" s="11">
        <v>2958465</v>
      </c>
      <c r="P213">
        <v>0</v>
      </c>
      <c r="U213">
        <v>4</v>
      </c>
      <c r="V213">
        <v>1</v>
      </c>
      <c r="W213" t="s">
        <v>42</v>
      </c>
      <c r="X213">
        <v>0</v>
      </c>
    </row>
    <row r="214" spans="1:24" x14ac:dyDescent="0.25">
      <c r="A214">
        <v>1</v>
      </c>
      <c r="B214" s="10">
        <v>591108240527</v>
      </c>
      <c r="C214">
        <v>30</v>
      </c>
      <c r="D214" s="10">
        <v>5952482105</v>
      </c>
      <c r="F214" t="s">
        <v>40</v>
      </c>
      <c r="G214">
        <v>0</v>
      </c>
      <c r="H214">
        <v>100</v>
      </c>
      <c r="K214">
        <v>1</v>
      </c>
      <c r="L214" t="s">
        <v>41</v>
      </c>
      <c r="M214" t="s">
        <v>89</v>
      </c>
      <c r="N214" s="11">
        <v>2958465</v>
      </c>
      <c r="P214">
        <v>0</v>
      </c>
      <c r="U214">
        <v>4</v>
      </c>
      <c r="V214">
        <v>1</v>
      </c>
      <c r="W214" t="s">
        <v>42</v>
      </c>
      <c r="X214">
        <v>0</v>
      </c>
    </row>
    <row r="215" spans="1:24" x14ac:dyDescent="0.25">
      <c r="A215">
        <v>1</v>
      </c>
      <c r="B215" s="10">
        <v>591108240527</v>
      </c>
      <c r="C215">
        <v>40</v>
      </c>
      <c r="D215" s="10">
        <v>5952792405</v>
      </c>
      <c r="F215" t="s">
        <v>40</v>
      </c>
      <c r="G215">
        <v>0</v>
      </c>
      <c r="H215">
        <v>100</v>
      </c>
      <c r="K215">
        <v>1</v>
      </c>
      <c r="L215" t="s">
        <v>41</v>
      </c>
      <c r="M215" t="s">
        <v>89</v>
      </c>
      <c r="N215" s="11">
        <v>2958465</v>
      </c>
      <c r="P215">
        <v>0</v>
      </c>
      <c r="U215">
        <v>4</v>
      </c>
      <c r="V215">
        <v>1</v>
      </c>
      <c r="W215" t="s">
        <v>42</v>
      </c>
      <c r="X215">
        <v>0</v>
      </c>
    </row>
    <row r="216" spans="1:24" x14ac:dyDescent="0.25">
      <c r="A216">
        <v>1</v>
      </c>
      <c r="B216" s="10">
        <v>591108240527</v>
      </c>
      <c r="C216">
        <v>50</v>
      </c>
      <c r="D216" s="10">
        <v>59102305</v>
      </c>
      <c r="F216" t="s">
        <v>40</v>
      </c>
      <c r="G216">
        <v>0</v>
      </c>
      <c r="H216">
        <v>100</v>
      </c>
      <c r="K216">
        <v>2</v>
      </c>
      <c r="L216" t="s">
        <v>41</v>
      </c>
      <c r="M216" t="s">
        <v>89</v>
      </c>
      <c r="N216" s="11">
        <v>2958465</v>
      </c>
      <c r="P216">
        <v>0</v>
      </c>
      <c r="U216">
        <v>4</v>
      </c>
      <c r="V216">
        <v>1</v>
      </c>
      <c r="W216" t="s">
        <v>42</v>
      </c>
      <c r="X216">
        <v>0</v>
      </c>
    </row>
    <row r="217" spans="1:24" x14ac:dyDescent="0.25">
      <c r="A217">
        <v>1</v>
      </c>
      <c r="B217" s="10">
        <v>591108240527</v>
      </c>
      <c r="C217">
        <v>60</v>
      </c>
      <c r="D217" s="10">
        <v>18102421227</v>
      </c>
      <c r="F217" t="s">
        <v>40</v>
      </c>
      <c r="G217">
        <v>0</v>
      </c>
      <c r="H217">
        <v>100</v>
      </c>
      <c r="K217">
        <v>1</v>
      </c>
      <c r="L217" t="s">
        <v>41</v>
      </c>
      <c r="M217" t="s">
        <v>89</v>
      </c>
      <c r="N217" s="11">
        <v>2958465</v>
      </c>
      <c r="P217">
        <v>0</v>
      </c>
      <c r="U217">
        <v>4</v>
      </c>
      <c r="V217">
        <v>1</v>
      </c>
      <c r="W217" t="s">
        <v>42</v>
      </c>
      <c r="X217">
        <v>0</v>
      </c>
    </row>
    <row r="218" spans="1:24" x14ac:dyDescent="0.25">
      <c r="A218">
        <v>1</v>
      </c>
      <c r="B218" s="10">
        <v>591108240527</v>
      </c>
      <c r="C218">
        <v>70</v>
      </c>
      <c r="D218" s="10">
        <v>5997499</v>
      </c>
      <c r="F218" t="s">
        <v>68</v>
      </c>
      <c r="G218">
        <v>0</v>
      </c>
      <c r="H218">
        <v>100</v>
      </c>
      <c r="K218">
        <v>1</v>
      </c>
      <c r="L218" t="s">
        <v>41</v>
      </c>
      <c r="M218" t="s">
        <v>89</v>
      </c>
      <c r="N218" s="11">
        <v>2958465</v>
      </c>
      <c r="P218">
        <v>0</v>
      </c>
      <c r="U218">
        <v>4</v>
      </c>
      <c r="V218">
        <v>1</v>
      </c>
      <c r="W218" t="s">
        <v>42</v>
      </c>
      <c r="X218">
        <v>0</v>
      </c>
    </row>
    <row r="219" spans="1:24" x14ac:dyDescent="0.25">
      <c r="A219">
        <v>1</v>
      </c>
      <c r="B219" s="10">
        <v>591108240627</v>
      </c>
      <c r="C219">
        <v>10</v>
      </c>
      <c r="D219" s="10">
        <v>5959672106</v>
      </c>
      <c r="F219" t="s">
        <v>40</v>
      </c>
      <c r="G219">
        <v>0</v>
      </c>
      <c r="H219">
        <v>100</v>
      </c>
      <c r="K219">
        <v>1</v>
      </c>
      <c r="L219" t="s">
        <v>41</v>
      </c>
      <c r="M219" t="s">
        <v>89</v>
      </c>
      <c r="N219" s="11">
        <v>2958465</v>
      </c>
      <c r="P219">
        <v>0</v>
      </c>
      <c r="U219">
        <v>4</v>
      </c>
      <c r="V219">
        <v>1</v>
      </c>
      <c r="W219" t="s">
        <v>42</v>
      </c>
      <c r="X219">
        <v>0</v>
      </c>
    </row>
    <row r="220" spans="1:24" x14ac:dyDescent="0.25">
      <c r="A220">
        <v>1</v>
      </c>
      <c r="B220" s="10">
        <v>591108240627</v>
      </c>
      <c r="C220">
        <v>20</v>
      </c>
      <c r="D220" s="10">
        <v>5959692106</v>
      </c>
      <c r="F220" t="s">
        <v>40</v>
      </c>
      <c r="G220">
        <v>0</v>
      </c>
      <c r="H220">
        <v>100</v>
      </c>
      <c r="K220">
        <v>1</v>
      </c>
      <c r="L220" t="s">
        <v>41</v>
      </c>
      <c r="M220" t="s">
        <v>89</v>
      </c>
      <c r="N220" s="11">
        <v>2958465</v>
      </c>
      <c r="P220">
        <v>0</v>
      </c>
      <c r="U220">
        <v>4</v>
      </c>
      <c r="V220">
        <v>1</v>
      </c>
      <c r="W220" t="s">
        <v>42</v>
      </c>
      <c r="X220">
        <v>0</v>
      </c>
    </row>
    <row r="221" spans="1:24" x14ac:dyDescent="0.25">
      <c r="A221">
        <v>1</v>
      </c>
      <c r="B221" s="10">
        <v>591108240627</v>
      </c>
      <c r="C221">
        <v>30</v>
      </c>
      <c r="D221" s="10">
        <v>5952482106</v>
      </c>
      <c r="F221" t="s">
        <v>40</v>
      </c>
      <c r="G221">
        <v>0</v>
      </c>
      <c r="H221">
        <v>100</v>
      </c>
      <c r="K221">
        <v>1</v>
      </c>
      <c r="L221" t="s">
        <v>41</v>
      </c>
      <c r="M221" t="s">
        <v>89</v>
      </c>
      <c r="N221" s="11">
        <v>2958465</v>
      </c>
      <c r="P221">
        <v>0</v>
      </c>
      <c r="U221">
        <v>4</v>
      </c>
      <c r="V221">
        <v>1</v>
      </c>
      <c r="W221" t="s">
        <v>42</v>
      </c>
      <c r="X221">
        <v>0</v>
      </c>
    </row>
    <row r="222" spans="1:24" x14ac:dyDescent="0.25">
      <c r="A222">
        <v>1</v>
      </c>
      <c r="B222" s="10">
        <v>591108240627</v>
      </c>
      <c r="C222">
        <v>40</v>
      </c>
      <c r="D222" s="10">
        <v>5952792406</v>
      </c>
      <c r="F222" t="s">
        <v>40</v>
      </c>
      <c r="G222">
        <v>0</v>
      </c>
      <c r="H222">
        <v>100</v>
      </c>
      <c r="K222">
        <v>1</v>
      </c>
      <c r="L222" t="s">
        <v>41</v>
      </c>
      <c r="M222" t="s">
        <v>89</v>
      </c>
      <c r="N222" s="11">
        <v>2958465</v>
      </c>
      <c r="P222">
        <v>0</v>
      </c>
      <c r="U222">
        <v>4</v>
      </c>
      <c r="V222">
        <v>1</v>
      </c>
      <c r="W222" t="s">
        <v>42</v>
      </c>
      <c r="X222">
        <v>0</v>
      </c>
    </row>
    <row r="223" spans="1:24" x14ac:dyDescent="0.25">
      <c r="A223">
        <v>1</v>
      </c>
      <c r="B223" s="10">
        <v>591108240627</v>
      </c>
      <c r="C223">
        <v>50</v>
      </c>
      <c r="D223" s="10">
        <v>59102306</v>
      </c>
      <c r="F223" t="s">
        <v>40</v>
      </c>
      <c r="G223">
        <v>0</v>
      </c>
      <c r="H223">
        <v>100</v>
      </c>
      <c r="K223">
        <v>2</v>
      </c>
      <c r="L223" t="s">
        <v>41</v>
      </c>
      <c r="M223" t="s">
        <v>89</v>
      </c>
      <c r="N223" s="11">
        <v>2958465</v>
      </c>
      <c r="P223">
        <v>0</v>
      </c>
      <c r="U223">
        <v>4</v>
      </c>
      <c r="V223">
        <v>1</v>
      </c>
      <c r="W223" t="s">
        <v>42</v>
      </c>
      <c r="X223">
        <v>0</v>
      </c>
    </row>
    <row r="224" spans="1:24" x14ac:dyDescent="0.25">
      <c r="A224">
        <v>1</v>
      </c>
      <c r="B224" s="10">
        <v>591108240627</v>
      </c>
      <c r="C224">
        <v>60</v>
      </c>
      <c r="D224" s="10">
        <v>18102421227</v>
      </c>
      <c r="F224" t="s">
        <v>40</v>
      </c>
      <c r="G224">
        <v>0</v>
      </c>
      <c r="H224">
        <v>100</v>
      </c>
      <c r="K224">
        <v>1</v>
      </c>
      <c r="L224" t="s">
        <v>41</v>
      </c>
      <c r="M224" t="s">
        <v>89</v>
      </c>
      <c r="N224" s="11">
        <v>2958465</v>
      </c>
      <c r="P224">
        <v>0</v>
      </c>
      <c r="U224">
        <v>4</v>
      </c>
      <c r="V224">
        <v>1</v>
      </c>
      <c r="W224" t="s">
        <v>42</v>
      </c>
      <c r="X224">
        <v>0</v>
      </c>
    </row>
    <row r="225" spans="1:24" x14ac:dyDescent="0.25">
      <c r="A225">
        <v>1</v>
      </c>
      <c r="B225" s="10">
        <v>591108240627</v>
      </c>
      <c r="C225">
        <v>70</v>
      </c>
      <c r="D225" s="10">
        <v>5997499</v>
      </c>
      <c r="F225" t="s">
        <v>68</v>
      </c>
      <c r="G225">
        <v>0</v>
      </c>
      <c r="H225">
        <v>100</v>
      </c>
      <c r="K225">
        <v>1</v>
      </c>
      <c r="L225" t="s">
        <v>41</v>
      </c>
      <c r="M225" t="s">
        <v>89</v>
      </c>
      <c r="N225" s="11">
        <v>2958465</v>
      </c>
      <c r="P225">
        <v>0</v>
      </c>
      <c r="U225">
        <v>4</v>
      </c>
      <c r="V225">
        <v>1</v>
      </c>
      <c r="W225" t="s">
        <v>42</v>
      </c>
      <c r="X225">
        <v>0</v>
      </c>
    </row>
    <row r="226" spans="1:24" x14ac:dyDescent="0.25">
      <c r="A226">
        <v>1</v>
      </c>
      <c r="B226" s="10">
        <v>591108240727</v>
      </c>
      <c r="C226">
        <v>10</v>
      </c>
      <c r="D226" s="10">
        <v>5959672107</v>
      </c>
      <c r="F226" t="s">
        <v>40</v>
      </c>
      <c r="G226">
        <v>0</v>
      </c>
      <c r="H226">
        <v>100</v>
      </c>
      <c r="K226">
        <v>1</v>
      </c>
      <c r="L226" t="s">
        <v>41</v>
      </c>
      <c r="M226" t="s">
        <v>89</v>
      </c>
      <c r="N226" s="11">
        <v>2958465</v>
      </c>
      <c r="P226">
        <v>0</v>
      </c>
      <c r="U226">
        <v>4</v>
      </c>
      <c r="V226">
        <v>1</v>
      </c>
      <c r="W226" t="s">
        <v>42</v>
      </c>
      <c r="X226">
        <v>0</v>
      </c>
    </row>
    <row r="227" spans="1:24" x14ac:dyDescent="0.25">
      <c r="A227">
        <v>1</v>
      </c>
      <c r="B227" s="10">
        <v>591108240727</v>
      </c>
      <c r="C227">
        <v>20</v>
      </c>
      <c r="D227" s="10">
        <v>5959692107</v>
      </c>
      <c r="F227" t="s">
        <v>40</v>
      </c>
      <c r="G227">
        <v>0</v>
      </c>
      <c r="H227">
        <v>100</v>
      </c>
      <c r="K227">
        <v>1</v>
      </c>
      <c r="L227" t="s">
        <v>41</v>
      </c>
      <c r="M227" t="s">
        <v>89</v>
      </c>
      <c r="N227" s="11">
        <v>2958465</v>
      </c>
      <c r="P227">
        <v>0</v>
      </c>
      <c r="U227">
        <v>4</v>
      </c>
      <c r="V227">
        <v>1</v>
      </c>
      <c r="W227" t="s">
        <v>42</v>
      </c>
      <c r="X227">
        <v>0</v>
      </c>
    </row>
    <row r="228" spans="1:24" x14ac:dyDescent="0.25">
      <c r="A228">
        <v>1</v>
      </c>
      <c r="B228" s="10">
        <v>591108240727</v>
      </c>
      <c r="C228">
        <v>30</v>
      </c>
      <c r="D228" s="10">
        <v>5952482107</v>
      </c>
      <c r="F228" t="s">
        <v>40</v>
      </c>
      <c r="G228">
        <v>0</v>
      </c>
      <c r="H228">
        <v>100</v>
      </c>
      <c r="K228">
        <v>1</v>
      </c>
      <c r="L228" t="s">
        <v>41</v>
      </c>
      <c r="M228" t="s">
        <v>89</v>
      </c>
      <c r="N228" s="11">
        <v>2958465</v>
      </c>
      <c r="P228">
        <v>0</v>
      </c>
      <c r="U228">
        <v>4</v>
      </c>
      <c r="V228">
        <v>1</v>
      </c>
      <c r="W228" t="s">
        <v>42</v>
      </c>
      <c r="X228">
        <v>0</v>
      </c>
    </row>
    <row r="229" spans="1:24" x14ac:dyDescent="0.25">
      <c r="A229">
        <v>1</v>
      </c>
      <c r="B229" s="10">
        <v>591108240727</v>
      </c>
      <c r="C229">
        <v>40</v>
      </c>
      <c r="D229" s="10">
        <v>5952792407</v>
      </c>
      <c r="F229" t="s">
        <v>40</v>
      </c>
      <c r="G229">
        <v>0</v>
      </c>
      <c r="H229">
        <v>100</v>
      </c>
      <c r="K229">
        <v>1</v>
      </c>
      <c r="L229" t="s">
        <v>41</v>
      </c>
      <c r="M229" t="s">
        <v>89</v>
      </c>
      <c r="N229" s="11">
        <v>2958465</v>
      </c>
      <c r="P229">
        <v>0</v>
      </c>
      <c r="U229">
        <v>4</v>
      </c>
      <c r="V229">
        <v>1</v>
      </c>
      <c r="W229" t="s">
        <v>42</v>
      </c>
      <c r="X229">
        <v>0</v>
      </c>
    </row>
    <row r="230" spans="1:24" x14ac:dyDescent="0.25">
      <c r="A230">
        <v>1</v>
      </c>
      <c r="B230" s="10">
        <v>591108240727</v>
      </c>
      <c r="C230">
        <v>50</v>
      </c>
      <c r="D230" s="10">
        <v>59102307</v>
      </c>
      <c r="F230" t="s">
        <v>40</v>
      </c>
      <c r="G230">
        <v>0</v>
      </c>
      <c r="H230">
        <v>100</v>
      </c>
      <c r="K230">
        <v>2</v>
      </c>
      <c r="L230" t="s">
        <v>41</v>
      </c>
      <c r="M230" t="s">
        <v>89</v>
      </c>
      <c r="N230" s="11">
        <v>2958465</v>
      </c>
      <c r="P230">
        <v>0</v>
      </c>
      <c r="U230">
        <v>4</v>
      </c>
      <c r="V230">
        <v>1</v>
      </c>
      <c r="W230" t="s">
        <v>42</v>
      </c>
      <c r="X230">
        <v>0</v>
      </c>
    </row>
    <row r="231" spans="1:24" x14ac:dyDescent="0.25">
      <c r="A231">
        <v>1</v>
      </c>
      <c r="B231" s="10">
        <v>591108240727</v>
      </c>
      <c r="C231">
        <v>60</v>
      </c>
      <c r="D231" s="10">
        <v>18102421227</v>
      </c>
      <c r="F231" t="s">
        <v>40</v>
      </c>
      <c r="G231">
        <v>0</v>
      </c>
      <c r="H231">
        <v>100</v>
      </c>
      <c r="K231">
        <v>1</v>
      </c>
      <c r="L231" t="s">
        <v>41</v>
      </c>
      <c r="M231" t="s">
        <v>89</v>
      </c>
      <c r="N231" s="11">
        <v>2958465</v>
      </c>
      <c r="P231">
        <v>0</v>
      </c>
      <c r="U231">
        <v>4</v>
      </c>
      <c r="V231">
        <v>1</v>
      </c>
      <c r="W231" t="s">
        <v>42</v>
      </c>
      <c r="X231">
        <v>0</v>
      </c>
    </row>
    <row r="232" spans="1:24" x14ac:dyDescent="0.25">
      <c r="A232">
        <v>1</v>
      </c>
      <c r="B232" s="10">
        <v>591108240727</v>
      </c>
      <c r="C232">
        <v>70</v>
      </c>
      <c r="D232" s="10">
        <v>5997499</v>
      </c>
      <c r="F232" t="s">
        <v>68</v>
      </c>
      <c r="G232">
        <v>0</v>
      </c>
      <c r="H232">
        <v>100</v>
      </c>
      <c r="K232">
        <v>1</v>
      </c>
      <c r="L232" t="s">
        <v>41</v>
      </c>
      <c r="M232" t="s">
        <v>89</v>
      </c>
      <c r="N232" s="11">
        <v>2958465</v>
      </c>
      <c r="P232">
        <v>0</v>
      </c>
      <c r="U232">
        <v>4</v>
      </c>
      <c r="V232">
        <v>1</v>
      </c>
      <c r="W232" t="s">
        <v>42</v>
      </c>
      <c r="X232">
        <v>0</v>
      </c>
    </row>
    <row r="233" spans="1:24" x14ac:dyDescent="0.25">
      <c r="A233">
        <v>1</v>
      </c>
      <c r="B233" s="10">
        <v>591108240827</v>
      </c>
      <c r="C233">
        <v>10</v>
      </c>
      <c r="D233" s="10">
        <v>5959672108</v>
      </c>
      <c r="F233" t="s">
        <v>40</v>
      </c>
      <c r="G233">
        <v>0</v>
      </c>
      <c r="H233">
        <v>100</v>
      </c>
      <c r="K233">
        <v>1</v>
      </c>
      <c r="L233" t="s">
        <v>41</v>
      </c>
      <c r="M233" t="s">
        <v>89</v>
      </c>
      <c r="N233" s="11">
        <v>2958465</v>
      </c>
      <c r="P233">
        <v>0</v>
      </c>
      <c r="U233">
        <v>4</v>
      </c>
      <c r="V233">
        <v>1</v>
      </c>
      <c r="W233" t="s">
        <v>42</v>
      </c>
      <c r="X233">
        <v>0</v>
      </c>
    </row>
    <row r="234" spans="1:24" x14ac:dyDescent="0.25">
      <c r="A234">
        <v>1</v>
      </c>
      <c r="B234" s="10">
        <v>591108240827</v>
      </c>
      <c r="C234">
        <v>20</v>
      </c>
      <c r="D234" s="10">
        <v>5959692108</v>
      </c>
      <c r="F234" t="s">
        <v>40</v>
      </c>
      <c r="G234">
        <v>0</v>
      </c>
      <c r="H234">
        <v>100</v>
      </c>
      <c r="K234">
        <v>1</v>
      </c>
      <c r="L234" t="s">
        <v>41</v>
      </c>
      <c r="M234" t="s">
        <v>89</v>
      </c>
      <c r="N234" s="11">
        <v>2958465</v>
      </c>
      <c r="P234">
        <v>0</v>
      </c>
      <c r="U234">
        <v>4</v>
      </c>
      <c r="V234">
        <v>1</v>
      </c>
      <c r="W234" t="s">
        <v>42</v>
      </c>
      <c r="X234">
        <v>0</v>
      </c>
    </row>
    <row r="235" spans="1:24" x14ac:dyDescent="0.25">
      <c r="A235">
        <v>1</v>
      </c>
      <c r="B235" s="10">
        <v>591108240827</v>
      </c>
      <c r="C235">
        <v>30</v>
      </c>
      <c r="D235" s="10">
        <v>5952482108</v>
      </c>
      <c r="F235" t="s">
        <v>40</v>
      </c>
      <c r="G235">
        <v>0</v>
      </c>
      <c r="H235">
        <v>100</v>
      </c>
      <c r="K235">
        <v>1</v>
      </c>
      <c r="L235" t="s">
        <v>41</v>
      </c>
      <c r="M235" t="s">
        <v>89</v>
      </c>
      <c r="N235" s="11">
        <v>2958465</v>
      </c>
      <c r="P235">
        <v>0</v>
      </c>
      <c r="U235">
        <v>4</v>
      </c>
      <c r="V235">
        <v>1</v>
      </c>
      <c r="W235" t="s">
        <v>42</v>
      </c>
      <c r="X235">
        <v>0</v>
      </c>
    </row>
    <row r="236" spans="1:24" x14ac:dyDescent="0.25">
      <c r="A236">
        <v>1</v>
      </c>
      <c r="B236" s="10">
        <v>591108240827</v>
      </c>
      <c r="C236">
        <v>40</v>
      </c>
      <c r="D236" s="10">
        <v>5952792408</v>
      </c>
      <c r="F236" t="s">
        <v>40</v>
      </c>
      <c r="G236">
        <v>0</v>
      </c>
      <c r="H236">
        <v>100</v>
      </c>
      <c r="K236">
        <v>1</v>
      </c>
      <c r="L236" t="s">
        <v>41</v>
      </c>
      <c r="M236" t="s">
        <v>89</v>
      </c>
      <c r="N236" s="11">
        <v>2958465</v>
      </c>
      <c r="P236">
        <v>0</v>
      </c>
      <c r="U236">
        <v>4</v>
      </c>
      <c r="V236">
        <v>1</v>
      </c>
      <c r="W236" t="s">
        <v>42</v>
      </c>
      <c r="X236">
        <v>0</v>
      </c>
    </row>
    <row r="237" spans="1:24" x14ac:dyDescent="0.25">
      <c r="A237">
        <v>1</v>
      </c>
      <c r="B237" s="10">
        <v>591108240827</v>
      </c>
      <c r="C237">
        <v>50</v>
      </c>
      <c r="D237" s="10">
        <v>59102308</v>
      </c>
      <c r="F237" t="s">
        <v>40</v>
      </c>
      <c r="G237">
        <v>0</v>
      </c>
      <c r="H237">
        <v>100</v>
      </c>
      <c r="K237">
        <v>2</v>
      </c>
      <c r="L237" t="s">
        <v>41</v>
      </c>
      <c r="M237" t="s">
        <v>89</v>
      </c>
      <c r="N237" s="11">
        <v>2958465</v>
      </c>
      <c r="P237">
        <v>0</v>
      </c>
      <c r="U237">
        <v>4</v>
      </c>
      <c r="V237">
        <v>1</v>
      </c>
      <c r="W237" t="s">
        <v>42</v>
      </c>
      <c r="X237">
        <v>0</v>
      </c>
    </row>
    <row r="238" spans="1:24" x14ac:dyDescent="0.25">
      <c r="A238">
        <v>1</v>
      </c>
      <c r="B238" s="10">
        <v>591108240827</v>
      </c>
      <c r="C238">
        <v>60</v>
      </c>
      <c r="D238" s="10">
        <v>18102421227</v>
      </c>
      <c r="F238" t="s">
        <v>40</v>
      </c>
      <c r="G238">
        <v>0</v>
      </c>
      <c r="H238">
        <v>100</v>
      </c>
      <c r="K238">
        <v>1</v>
      </c>
      <c r="L238" t="s">
        <v>41</v>
      </c>
      <c r="M238" t="s">
        <v>89</v>
      </c>
      <c r="N238" s="11">
        <v>2958465</v>
      </c>
      <c r="P238">
        <v>0</v>
      </c>
      <c r="U238">
        <v>4</v>
      </c>
      <c r="V238">
        <v>1</v>
      </c>
      <c r="W238" t="s">
        <v>42</v>
      </c>
      <c r="X238">
        <v>0</v>
      </c>
    </row>
    <row r="239" spans="1:24" x14ac:dyDescent="0.25">
      <c r="A239">
        <v>1</v>
      </c>
      <c r="B239" s="10">
        <v>591108240827</v>
      </c>
      <c r="C239">
        <v>70</v>
      </c>
      <c r="D239" s="10">
        <v>5997499</v>
      </c>
      <c r="F239" t="s">
        <v>68</v>
      </c>
      <c r="G239">
        <v>0</v>
      </c>
      <c r="H239">
        <v>100</v>
      </c>
      <c r="K239">
        <v>1</v>
      </c>
      <c r="L239" t="s">
        <v>41</v>
      </c>
      <c r="M239" t="s">
        <v>89</v>
      </c>
      <c r="N239" s="11">
        <v>2958465</v>
      </c>
      <c r="P239">
        <v>0</v>
      </c>
      <c r="U239">
        <v>4</v>
      </c>
      <c r="V239">
        <v>1</v>
      </c>
      <c r="W239" t="s">
        <v>42</v>
      </c>
      <c r="X239">
        <v>0</v>
      </c>
    </row>
    <row r="240" spans="1:24" x14ac:dyDescent="0.25">
      <c r="A240">
        <v>1</v>
      </c>
      <c r="B240" s="10">
        <v>591108241027</v>
      </c>
      <c r="C240">
        <v>10</v>
      </c>
      <c r="D240" s="10">
        <v>5959672110</v>
      </c>
      <c r="F240" t="s">
        <v>40</v>
      </c>
      <c r="G240">
        <v>0</v>
      </c>
      <c r="H240">
        <v>100</v>
      </c>
      <c r="K240">
        <v>1</v>
      </c>
      <c r="L240" t="s">
        <v>41</v>
      </c>
      <c r="M240" t="s">
        <v>89</v>
      </c>
      <c r="N240" s="11">
        <v>2958465</v>
      </c>
      <c r="P240">
        <v>0</v>
      </c>
      <c r="U240">
        <v>4</v>
      </c>
      <c r="V240">
        <v>1</v>
      </c>
      <c r="W240" t="s">
        <v>42</v>
      </c>
      <c r="X240">
        <v>0</v>
      </c>
    </row>
    <row r="241" spans="1:24" x14ac:dyDescent="0.25">
      <c r="A241">
        <v>1</v>
      </c>
      <c r="B241" s="10">
        <v>591108241027</v>
      </c>
      <c r="C241">
        <v>20</v>
      </c>
      <c r="D241" s="10">
        <v>5959692110</v>
      </c>
      <c r="F241" t="s">
        <v>40</v>
      </c>
      <c r="G241">
        <v>0</v>
      </c>
      <c r="H241">
        <v>100</v>
      </c>
      <c r="K241">
        <v>1</v>
      </c>
      <c r="L241" t="s">
        <v>41</v>
      </c>
      <c r="M241" t="s">
        <v>89</v>
      </c>
      <c r="N241" s="11">
        <v>2958465</v>
      </c>
      <c r="P241">
        <v>0</v>
      </c>
      <c r="U241">
        <v>4</v>
      </c>
      <c r="V241">
        <v>1</v>
      </c>
      <c r="W241" t="s">
        <v>42</v>
      </c>
      <c r="X241">
        <v>0</v>
      </c>
    </row>
    <row r="242" spans="1:24" x14ac:dyDescent="0.25">
      <c r="A242">
        <v>1</v>
      </c>
      <c r="B242" s="10">
        <v>591108241027</v>
      </c>
      <c r="C242">
        <v>30</v>
      </c>
      <c r="D242" s="10">
        <v>5952482110</v>
      </c>
      <c r="F242" t="s">
        <v>40</v>
      </c>
      <c r="G242">
        <v>0</v>
      </c>
      <c r="H242">
        <v>100</v>
      </c>
      <c r="K242">
        <v>1</v>
      </c>
      <c r="L242" t="s">
        <v>41</v>
      </c>
      <c r="M242" t="s">
        <v>89</v>
      </c>
      <c r="N242" s="11">
        <v>2958465</v>
      </c>
      <c r="P242">
        <v>0</v>
      </c>
      <c r="U242">
        <v>4</v>
      </c>
      <c r="V242">
        <v>1</v>
      </c>
      <c r="W242" t="s">
        <v>42</v>
      </c>
      <c r="X242">
        <v>0</v>
      </c>
    </row>
    <row r="243" spans="1:24" x14ac:dyDescent="0.25">
      <c r="A243">
        <v>1</v>
      </c>
      <c r="B243" s="10">
        <v>591108241027</v>
      </c>
      <c r="C243">
        <v>40</v>
      </c>
      <c r="D243" s="10">
        <v>5952792410</v>
      </c>
      <c r="F243" t="s">
        <v>40</v>
      </c>
      <c r="G243">
        <v>0</v>
      </c>
      <c r="H243">
        <v>100</v>
      </c>
      <c r="K243">
        <v>1</v>
      </c>
      <c r="L243" t="s">
        <v>41</v>
      </c>
      <c r="M243" t="s">
        <v>89</v>
      </c>
      <c r="N243" s="11">
        <v>2958465</v>
      </c>
      <c r="P243">
        <v>0</v>
      </c>
      <c r="U243">
        <v>4</v>
      </c>
      <c r="V243">
        <v>1</v>
      </c>
      <c r="W243" t="s">
        <v>42</v>
      </c>
      <c r="X243">
        <v>0</v>
      </c>
    </row>
    <row r="244" spans="1:24" x14ac:dyDescent="0.25">
      <c r="A244">
        <v>1</v>
      </c>
      <c r="B244" s="10">
        <v>591108241027</v>
      </c>
      <c r="C244">
        <v>50</v>
      </c>
      <c r="D244" s="10">
        <v>59102310</v>
      </c>
      <c r="F244" t="s">
        <v>40</v>
      </c>
      <c r="G244">
        <v>0</v>
      </c>
      <c r="H244">
        <v>100</v>
      </c>
      <c r="K244">
        <v>2</v>
      </c>
      <c r="L244" t="s">
        <v>41</v>
      </c>
      <c r="M244" t="s">
        <v>89</v>
      </c>
      <c r="N244" s="11">
        <v>2958465</v>
      </c>
      <c r="P244">
        <v>0</v>
      </c>
      <c r="U244">
        <v>4</v>
      </c>
      <c r="V244">
        <v>1</v>
      </c>
      <c r="W244" t="s">
        <v>42</v>
      </c>
      <c r="X244">
        <v>0</v>
      </c>
    </row>
    <row r="245" spans="1:24" x14ac:dyDescent="0.25">
      <c r="A245">
        <v>1</v>
      </c>
      <c r="B245" s="10">
        <v>591108241027</v>
      </c>
      <c r="C245">
        <v>60</v>
      </c>
      <c r="D245" s="10">
        <v>18102421227</v>
      </c>
      <c r="F245" t="s">
        <v>40</v>
      </c>
      <c r="G245">
        <v>0</v>
      </c>
      <c r="H245">
        <v>100</v>
      </c>
      <c r="K245">
        <v>1</v>
      </c>
      <c r="L245" t="s">
        <v>41</v>
      </c>
      <c r="M245" t="s">
        <v>89</v>
      </c>
      <c r="N245" s="11">
        <v>2958465</v>
      </c>
      <c r="P245">
        <v>0</v>
      </c>
      <c r="U245">
        <v>4</v>
      </c>
      <c r="V245">
        <v>1</v>
      </c>
      <c r="W245" t="s">
        <v>42</v>
      </c>
      <c r="X245">
        <v>0</v>
      </c>
    </row>
    <row r="246" spans="1:24" x14ac:dyDescent="0.25">
      <c r="A246">
        <v>1</v>
      </c>
      <c r="B246" s="10">
        <v>591108241027</v>
      </c>
      <c r="C246">
        <v>70</v>
      </c>
      <c r="D246" s="10">
        <v>5997499</v>
      </c>
      <c r="F246" t="s">
        <v>68</v>
      </c>
      <c r="G246">
        <v>0</v>
      </c>
      <c r="H246">
        <v>100</v>
      </c>
      <c r="K246">
        <v>1</v>
      </c>
      <c r="L246" t="s">
        <v>41</v>
      </c>
      <c r="M246" t="s">
        <v>89</v>
      </c>
      <c r="N246" s="11">
        <v>2958465</v>
      </c>
      <c r="P246">
        <v>0</v>
      </c>
      <c r="U246">
        <v>4</v>
      </c>
      <c r="V246">
        <v>1</v>
      </c>
      <c r="W246" t="s">
        <v>42</v>
      </c>
      <c r="X246">
        <v>0</v>
      </c>
    </row>
    <row r="247" spans="1:24" x14ac:dyDescent="0.25">
      <c r="A247">
        <v>1</v>
      </c>
      <c r="B247" s="10">
        <v>591108240126</v>
      </c>
      <c r="C247">
        <v>10</v>
      </c>
      <c r="D247" s="10">
        <v>5959672101</v>
      </c>
      <c r="F247" t="s">
        <v>40</v>
      </c>
      <c r="G247">
        <v>0</v>
      </c>
      <c r="H247">
        <v>100</v>
      </c>
      <c r="K247">
        <v>1</v>
      </c>
      <c r="L247" t="s">
        <v>41</v>
      </c>
      <c r="M247" t="s">
        <v>89</v>
      </c>
      <c r="N247" s="11">
        <v>2958465</v>
      </c>
      <c r="P247">
        <v>0</v>
      </c>
      <c r="U247">
        <v>4</v>
      </c>
      <c r="V247">
        <v>1</v>
      </c>
      <c r="W247" t="s">
        <v>42</v>
      </c>
      <c r="X247">
        <v>0</v>
      </c>
    </row>
    <row r="248" spans="1:24" x14ac:dyDescent="0.25">
      <c r="A248">
        <v>1</v>
      </c>
      <c r="B248" s="10">
        <v>591108240126</v>
      </c>
      <c r="C248">
        <v>20</v>
      </c>
      <c r="D248" s="10">
        <v>5959692101</v>
      </c>
      <c r="F248" t="s">
        <v>40</v>
      </c>
      <c r="G248">
        <v>0</v>
      </c>
      <c r="H248">
        <v>100</v>
      </c>
      <c r="K248">
        <v>1</v>
      </c>
      <c r="L248" t="s">
        <v>41</v>
      </c>
      <c r="M248" t="s">
        <v>89</v>
      </c>
      <c r="N248" s="11">
        <v>2958465</v>
      </c>
      <c r="P248">
        <v>0</v>
      </c>
      <c r="U248">
        <v>4</v>
      </c>
      <c r="V248">
        <v>1</v>
      </c>
      <c r="W248" t="s">
        <v>42</v>
      </c>
      <c r="X248">
        <v>0</v>
      </c>
    </row>
    <row r="249" spans="1:24" x14ac:dyDescent="0.25">
      <c r="A249">
        <v>1</v>
      </c>
      <c r="B249" s="10">
        <v>591108240126</v>
      </c>
      <c r="C249">
        <v>30</v>
      </c>
      <c r="D249" s="10">
        <v>5952482101</v>
      </c>
      <c r="F249" t="s">
        <v>40</v>
      </c>
      <c r="G249">
        <v>0</v>
      </c>
      <c r="H249">
        <v>100</v>
      </c>
      <c r="K249">
        <v>1</v>
      </c>
      <c r="L249" t="s">
        <v>41</v>
      </c>
      <c r="M249" t="s">
        <v>89</v>
      </c>
      <c r="N249" s="11">
        <v>2958465</v>
      </c>
      <c r="P249">
        <v>0</v>
      </c>
      <c r="U249">
        <v>4</v>
      </c>
      <c r="V249">
        <v>1</v>
      </c>
      <c r="W249" t="s">
        <v>42</v>
      </c>
      <c r="X249">
        <v>0</v>
      </c>
    </row>
    <row r="250" spans="1:24" x14ac:dyDescent="0.25">
      <c r="A250">
        <v>1</v>
      </c>
      <c r="B250" s="10">
        <v>591108240126</v>
      </c>
      <c r="C250">
        <v>40</v>
      </c>
      <c r="D250" s="10">
        <v>5952792401</v>
      </c>
      <c r="F250" t="s">
        <v>40</v>
      </c>
      <c r="G250">
        <v>0</v>
      </c>
      <c r="H250">
        <v>100</v>
      </c>
      <c r="K250">
        <v>1</v>
      </c>
      <c r="L250" t="s">
        <v>41</v>
      </c>
      <c r="M250" t="s">
        <v>89</v>
      </c>
      <c r="N250" s="11">
        <v>2958465</v>
      </c>
      <c r="P250">
        <v>0</v>
      </c>
      <c r="U250">
        <v>4</v>
      </c>
      <c r="V250">
        <v>1</v>
      </c>
      <c r="W250" t="s">
        <v>42</v>
      </c>
      <c r="X250">
        <v>0</v>
      </c>
    </row>
    <row r="251" spans="1:24" x14ac:dyDescent="0.25">
      <c r="A251">
        <v>1</v>
      </c>
      <c r="B251" s="10">
        <v>591108240126</v>
      </c>
      <c r="C251">
        <v>50</v>
      </c>
      <c r="D251" s="10">
        <v>59102301</v>
      </c>
      <c r="F251" t="s">
        <v>40</v>
      </c>
      <c r="G251">
        <v>0</v>
      </c>
      <c r="H251">
        <v>100</v>
      </c>
      <c r="K251">
        <v>2</v>
      </c>
      <c r="L251" t="s">
        <v>41</v>
      </c>
      <c r="M251" t="s">
        <v>89</v>
      </c>
      <c r="N251" s="11">
        <v>2958465</v>
      </c>
      <c r="P251">
        <v>0</v>
      </c>
      <c r="U251">
        <v>4</v>
      </c>
      <c r="V251">
        <v>1</v>
      </c>
      <c r="W251" t="s">
        <v>42</v>
      </c>
      <c r="X251">
        <v>0</v>
      </c>
    </row>
    <row r="252" spans="1:24" x14ac:dyDescent="0.25">
      <c r="A252">
        <v>1</v>
      </c>
      <c r="B252" s="10">
        <v>591108240126</v>
      </c>
      <c r="C252">
        <v>60</v>
      </c>
      <c r="D252" s="10">
        <v>18102421226</v>
      </c>
      <c r="F252" t="s">
        <v>40</v>
      </c>
      <c r="G252">
        <v>0</v>
      </c>
      <c r="H252">
        <v>100</v>
      </c>
      <c r="K252">
        <v>1</v>
      </c>
      <c r="L252" t="s">
        <v>41</v>
      </c>
      <c r="M252" t="s">
        <v>89</v>
      </c>
      <c r="N252" s="11">
        <v>2958465</v>
      </c>
      <c r="P252">
        <v>0</v>
      </c>
      <c r="U252">
        <v>4</v>
      </c>
      <c r="V252">
        <v>1</v>
      </c>
      <c r="W252" t="s">
        <v>42</v>
      </c>
      <c r="X252">
        <v>0</v>
      </c>
    </row>
    <row r="253" spans="1:24" x14ac:dyDescent="0.25">
      <c r="A253">
        <v>1</v>
      </c>
      <c r="B253" s="10">
        <v>591108240126</v>
      </c>
      <c r="C253">
        <v>70</v>
      </c>
      <c r="D253" s="10">
        <v>5997499</v>
      </c>
      <c r="F253" t="s">
        <v>68</v>
      </c>
      <c r="G253">
        <v>0</v>
      </c>
      <c r="H253">
        <v>100</v>
      </c>
      <c r="K253">
        <v>1</v>
      </c>
      <c r="L253" t="s">
        <v>41</v>
      </c>
      <c r="M253" t="s">
        <v>89</v>
      </c>
      <c r="N253" s="11">
        <v>2958465</v>
      </c>
      <c r="P253">
        <v>0</v>
      </c>
      <c r="U253">
        <v>4</v>
      </c>
      <c r="V253">
        <v>1</v>
      </c>
      <c r="W253" t="s">
        <v>42</v>
      </c>
      <c r="X253">
        <v>0</v>
      </c>
    </row>
    <row r="254" spans="1:24" x14ac:dyDescent="0.25">
      <c r="A254">
        <v>1</v>
      </c>
      <c r="B254" s="10">
        <v>591108240226</v>
      </c>
      <c r="C254">
        <v>10</v>
      </c>
      <c r="D254" s="10">
        <v>5959672102</v>
      </c>
      <c r="F254" t="s">
        <v>40</v>
      </c>
      <c r="G254">
        <v>0</v>
      </c>
      <c r="H254">
        <v>100</v>
      </c>
      <c r="K254">
        <v>1</v>
      </c>
      <c r="L254" t="s">
        <v>41</v>
      </c>
      <c r="M254" t="s">
        <v>89</v>
      </c>
      <c r="N254" s="11">
        <v>2958465</v>
      </c>
      <c r="P254">
        <v>0</v>
      </c>
      <c r="U254">
        <v>4</v>
      </c>
      <c r="V254">
        <v>1</v>
      </c>
      <c r="W254" t="s">
        <v>42</v>
      </c>
      <c r="X254">
        <v>0</v>
      </c>
    </row>
    <row r="255" spans="1:24" x14ac:dyDescent="0.25">
      <c r="A255">
        <v>1</v>
      </c>
      <c r="B255" s="10">
        <v>591108240226</v>
      </c>
      <c r="C255">
        <v>20</v>
      </c>
      <c r="D255" s="10">
        <v>5959692102</v>
      </c>
      <c r="F255" t="s">
        <v>40</v>
      </c>
      <c r="G255">
        <v>0</v>
      </c>
      <c r="H255">
        <v>100</v>
      </c>
      <c r="K255">
        <v>1</v>
      </c>
      <c r="L255" t="s">
        <v>41</v>
      </c>
      <c r="M255" t="s">
        <v>89</v>
      </c>
      <c r="N255" s="11">
        <v>2958465</v>
      </c>
      <c r="P255">
        <v>0</v>
      </c>
      <c r="U255">
        <v>4</v>
      </c>
      <c r="V255">
        <v>1</v>
      </c>
      <c r="W255" t="s">
        <v>42</v>
      </c>
      <c r="X255">
        <v>0</v>
      </c>
    </row>
    <row r="256" spans="1:24" x14ac:dyDescent="0.25">
      <c r="A256">
        <v>1</v>
      </c>
      <c r="B256" s="10">
        <v>591108240226</v>
      </c>
      <c r="C256">
        <v>30</v>
      </c>
      <c r="D256" s="10">
        <v>5952482102</v>
      </c>
      <c r="F256" t="s">
        <v>40</v>
      </c>
      <c r="G256">
        <v>0</v>
      </c>
      <c r="H256">
        <v>100</v>
      </c>
      <c r="K256">
        <v>1</v>
      </c>
      <c r="L256" t="s">
        <v>41</v>
      </c>
      <c r="M256" t="s">
        <v>89</v>
      </c>
      <c r="N256" s="11">
        <v>2958465</v>
      </c>
      <c r="P256">
        <v>0</v>
      </c>
      <c r="U256">
        <v>4</v>
      </c>
      <c r="V256">
        <v>1</v>
      </c>
      <c r="W256" t="s">
        <v>42</v>
      </c>
      <c r="X256">
        <v>0</v>
      </c>
    </row>
    <row r="257" spans="1:24" x14ac:dyDescent="0.25">
      <c r="A257">
        <v>1</v>
      </c>
      <c r="B257" s="10">
        <v>591108240226</v>
      </c>
      <c r="C257">
        <v>40</v>
      </c>
      <c r="D257" s="10">
        <v>5952792402</v>
      </c>
      <c r="F257" t="s">
        <v>40</v>
      </c>
      <c r="G257">
        <v>0</v>
      </c>
      <c r="H257">
        <v>100</v>
      </c>
      <c r="K257">
        <v>1</v>
      </c>
      <c r="L257" t="s">
        <v>41</v>
      </c>
      <c r="M257" t="s">
        <v>89</v>
      </c>
      <c r="N257" s="11">
        <v>2958465</v>
      </c>
      <c r="P257">
        <v>0</v>
      </c>
      <c r="U257">
        <v>4</v>
      </c>
      <c r="V257">
        <v>1</v>
      </c>
      <c r="W257" t="s">
        <v>42</v>
      </c>
      <c r="X257">
        <v>0</v>
      </c>
    </row>
    <row r="258" spans="1:24" x14ac:dyDescent="0.25">
      <c r="A258">
        <v>1</v>
      </c>
      <c r="B258" s="10">
        <v>591108240226</v>
      </c>
      <c r="C258">
        <v>50</v>
      </c>
      <c r="D258" s="10">
        <v>59102302</v>
      </c>
      <c r="F258" t="s">
        <v>40</v>
      </c>
      <c r="G258">
        <v>0</v>
      </c>
      <c r="H258">
        <v>100</v>
      </c>
      <c r="K258">
        <v>2</v>
      </c>
      <c r="L258" t="s">
        <v>41</v>
      </c>
      <c r="M258" t="s">
        <v>89</v>
      </c>
      <c r="N258" s="11">
        <v>2958465</v>
      </c>
      <c r="P258">
        <v>0</v>
      </c>
      <c r="U258">
        <v>4</v>
      </c>
      <c r="V258">
        <v>1</v>
      </c>
      <c r="W258" t="s">
        <v>42</v>
      </c>
      <c r="X258">
        <v>0</v>
      </c>
    </row>
    <row r="259" spans="1:24" x14ac:dyDescent="0.25">
      <c r="A259">
        <v>1</v>
      </c>
      <c r="B259" s="10">
        <v>591108240226</v>
      </c>
      <c r="C259">
        <v>60</v>
      </c>
      <c r="D259" s="10">
        <v>18102421226</v>
      </c>
      <c r="F259" t="s">
        <v>40</v>
      </c>
      <c r="G259">
        <v>0</v>
      </c>
      <c r="H259">
        <v>100</v>
      </c>
      <c r="K259">
        <v>1</v>
      </c>
      <c r="L259" t="s">
        <v>41</v>
      </c>
      <c r="M259" t="s">
        <v>89</v>
      </c>
      <c r="N259" s="11">
        <v>2958465</v>
      </c>
      <c r="P259">
        <v>0</v>
      </c>
      <c r="U259">
        <v>4</v>
      </c>
      <c r="V259">
        <v>1</v>
      </c>
      <c r="W259" t="s">
        <v>42</v>
      </c>
      <c r="X259">
        <v>0</v>
      </c>
    </row>
    <row r="260" spans="1:24" x14ac:dyDescent="0.25">
      <c r="A260">
        <v>1</v>
      </c>
      <c r="B260" s="10">
        <v>591108240226</v>
      </c>
      <c r="C260">
        <v>70</v>
      </c>
      <c r="D260" s="10">
        <v>5997499</v>
      </c>
      <c r="F260" t="s">
        <v>68</v>
      </c>
      <c r="G260">
        <v>0</v>
      </c>
      <c r="H260">
        <v>100</v>
      </c>
      <c r="K260">
        <v>1</v>
      </c>
      <c r="L260" t="s">
        <v>41</v>
      </c>
      <c r="M260" t="s">
        <v>89</v>
      </c>
      <c r="N260" s="11">
        <v>2958465</v>
      </c>
      <c r="P260">
        <v>0</v>
      </c>
      <c r="U260">
        <v>4</v>
      </c>
      <c r="V260">
        <v>1</v>
      </c>
      <c r="W260" t="s">
        <v>42</v>
      </c>
      <c r="X260">
        <v>0</v>
      </c>
    </row>
    <row r="261" spans="1:24" x14ac:dyDescent="0.25">
      <c r="A261">
        <v>1</v>
      </c>
      <c r="B261" s="10">
        <v>591108240326</v>
      </c>
      <c r="C261">
        <v>10</v>
      </c>
      <c r="D261" s="10">
        <v>5959672103</v>
      </c>
      <c r="F261" t="s">
        <v>40</v>
      </c>
      <c r="G261">
        <v>0</v>
      </c>
      <c r="H261">
        <v>100</v>
      </c>
      <c r="K261">
        <v>1</v>
      </c>
      <c r="L261" t="s">
        <v>41</v>
      </c>
      <c r="M261" t="s">
        <v>89</v>
      </c>
      <c r="N261" s="11">
        <v>2958465</v>
      </c>
      <c r="P261">
        <v>0</v>
      </c>
      <c r="U261">
        <v>4</v>
      </c>
      <c r="V261">
        <v>1</v>
      </c>
      <c r="W261" t="s">
        <v>42</v>
      </c>
      <c r="X261">
        <v>0</v>
      </c>
    </row>
    <row r="262" spans="1:24" x14ac:dyDescent="0.25">
      <c r="A262">
        <v>1</v>
      </c>
      <c r="B262" s="10">
        <v>591108240326</v>
      </c>
      <c r="C262">
        <v>20</v>
      </c>
      <c r="D262" s="10">
        <v>5959692103</v>
      </c>
      <c r="F262" t="s">
        <v>40</v>
      </c>
      <c r="G262">
        <v>0</v>
      </c>
      <c r="H262">
        <v>100</v>
      </c>
      <c r="K262">
        <v>1</v>
      </c>
      <c r="L262" t="s">
        <v>41</v>
      </c>
      <c r="M262" t="s">
        <v>89</v>
      </c>
      <c r="N262" s="11">
        <v>2958465</v>
      </c>
      <c r="P262">
        <v>0</v>
      </c>
      <c r="U262">
        <v>4</v>
      </c>
      <c r="V262">
        <v>1</v>
      </c>
      <c r="W262" t="s">
        <v>42</v>
      </c>
      <c r="X262">
        <v>0</v>
      </c>
    </row>
    <row r="263" spans="1:24" x14ac:dyDescent="0.25">
      <c r="A263">
        <v>1</v>
      </c>
      <c r="B263" s="10">
        <v>591108240326</v>
      </c>
      <c r="C263">
        <v>30</v>
      </c>
      <c r="D263" s="10">
        <v>5952482103</v>
      </c>
      <c r="F263" t="s">
        <v>40</v>
      </c>
      <c r="G263">
        <v>0</v>
      </c>
      <c r="H263">
        <v>100</v>
      </c>
      <c r="K263">
        <v>1</v>
      </c>
      <c r="L263" t="s">
        <v>41</v>
      </c>
      <c r="M263" t="s">
        <v>89</v>
      </c>
      <c r="N263" s="11">
        <v>2958465</v>
      </c>
      <c r="P263">
        <v>0</v>
      </c>
      <c r="U263">
        <v>4</v>
      </c>
      <c r="V263">
        <v>1</v>
      </c>
      <c r="W263" t="s">
        <v>42</v>
      </c>
      <c r="X263">
        <v>0</v>
      </c>
    </row>
    <row r="264" spans="1:24" x14ac:dyDescent="0.25">
      <c r="A264">
        <v>1</v>
      </c>
      <c r="B264" s="10">
        <v>591108240326</v>
      </c>
      <c r="C264">
        <v>40</v>
      </c>
      <c r="D264" s="10">
        <v>5952792403</v>
      </c>
      <c r="F264" t="s">
        <v>40</v>
      </c>
      <c r="G264">
        <v>0</v>
      </c>
      <c r="H264">
        <v>100</v>
      </c>
      <c r="K264">
        <v>1</v>
      </c>
      <c r="L264" t="s">
        <v>41</v>
      </c>
      <c r="M264" t="s">
        <v>89</v>
      </c>
      <c r="N264" s="11">
        <v>2958465</v>
      </c>
      <c r="P264">
        <v>0</v>
      </c>
      <c r="U264">
        <v>4</v>
      </c>
      <c r="V264">
        <v>1</v>
      </c>
      <c r="W264" t="s">
        <v>42</v>
      </c>
      <c r="X264">
        <v>0</v>
      </c>
    </row>
    <row r="265" spans="1:24" x14ac:dyDescent="0.25">
      <c r="A265">
        <v>1</v>
      </c>
      <c r="B265" s="10">
        <v>591108240326</v>
      </c>
      <c r="C265">
        <v>50</v>
      </c>
      <c r="D265" s="10">
        <v>59102303</v>
      </c>
      <c r="F265" t="s">
        <v>40</v>
      </c>
      <c r="G265">
        <v>0</v>
      </c>
      <c r="H265">
        <v>100</v>
      </c>
      <c r="K265">
        <v>2</v>
      </c>
      <c r="L265" t="s">
        <v>41</v>
      </c>
      <c r="M265" t="s">
        <v>89</v>
      </c>
      <c r="N265" s="11">
        <v>2958465</v>
      </c>
      <c r="P265">
        <v>0</v>
      </c>
      <c r="U265">
        <v>4</v>
      </c>
      <c r="V265">
        <v>1</v>
      </c>
      <c r="W265" t="s">
        <v>42</v>
      </c>
      <c r="X265">
        <v>0</v>
      </c>
    </row>
    <row r="266" spans="1:24" x14ac:dyDescent="0.25">
      <c r="A266">
        <v>1</v>
      </c>
      <c r="B266" s="10">
        <v>591108240326</v>
      </c>
      <c r="C266">
        <v>60</v>
      </c>
      <c r="D266" s="10">
        <v>18102421226</v>
      </c>
      <c r="F266" t="s">
        <v>40</v>
      </c>
      <c r="G266">
        <v>0</v>
      </c>
      <c r="H266">
        <v>100</v>
      </c>
      <c r="K266">
        <v>1</v>
      </c>
      <c r="L266" t="s">
        <v>41</v>
      </c>
      <c r="M266" t="s">
        <v>89</v>
      </c>
      <c r="N266" s="11">
        <v>2958465</v>
      </c>
      <c r="P266">
        <v>0</v>
      </c>
      <c r="U266">
        <v>4</v>
      </c>
      <c r="V266">
        <v>1</v>
      </c>
      <c r="W266" t="s">
        <v>42</v>
      </c>
      <c r="X266">
        <v>0</v>
      </c>
    </row>
    <row r="267" spans="1:24" x14ac:dyDescent="0.25">
      <c r="A267">
        <v>1</v>
      </c>
      <c r="B267" s="10">
        <v>591108240326</v>
      </c>
      <c r="C267">
        <v>70</v>
      </c>
      <c r="D267" s="10">
        <v>5997499</v>
      </c>
      <c r="F267" t="s">
        <v>68</v>
      </c>
      <c r="G267">
        <v>0</v>
      </c>
      <c r="H267">
        <v>100</v>
      </c>
      <c r="K267">
        <v>1</v>
      </c>
      <c r="L267" t="s">
        <v>41</v>
      </c>
      <c r="M267" t="s">
        <v>89</v>
      </c>
      <c r="N267" s="11">
        <v>2958465</v>
      </c>
      <c r="P267">
        <v>0</v>
      </c>
      <c r="U267">
        <v>4</v>
      </c>
      <c r="V267">
        <v>1</v>
      </c>
      <c r="W267" t="s">
        <v>42</v>
      </c>
      <c r="X267">
        <v>0</v>
      </c>
    </row>
    <row r="268" spans="1:24" x14ac:dyDescent="0.25">
      <c r="A268">
        <v>1</v>
      </c>
      <c r="B268" s="10">
        <v>591108240426</v>
      </c>
      <c r="C268">
        <v>10</v>
      </c>
      <c r="D268" s="10">
        <v>5959672104</v>
      </c>
      <c r="F268" t="s">
        <v>40</v>
      </c>
      <c r="G268">
        <v>0</v>
      </c>
      <c r="H268">
        <v>100</v>
      </c>
      <c r="K268">
        <v>1</v>
      </c>
      <c r="L268" t="s">
        <v>41</v>
      </c>
      <c r="M268" t="s">
        <v>89</v>
      </c>
      <c r="N268" s="11">
        <v>2958465</v>
      </c>
      <c r="P268">
        <v>0</v>
      </c>
      <c r="U268">
        <v>4</v>
      </c>
      <c r="V268">
        <v>1</v>
      </c>
      <c r="W268" t="s">
        <v>42</v>
      </c>
      <c r="X268">
        <v>0</v>
      </c>
    </row>
    <row r="269" spans="1:24" x14ac:dyDescent="0.25">
      <c r="A269">
        <v>1</v>
      </c>
      <c r="B269" s="10">
        <v>591108240426</v>
      </c>
      <c r="C269">
        <v>20</v>
      </c>
      <c r="D269" s="10">
        <v>5959692104</v>
      </c>
      <c r="F269" t="s">
        <v>40</v>
      </c>
      <c r="G269">
        <v>0</v>
      </c>
      <c r="H269">
        <v>100</v>
      </c>
      <c r="K269">
        <v>1</v>
      </c>
      <c r="L269" t="s">
        <v>41</v>
      </c>
      <c r="M269" t="s">
        <v>89</v>
      </c>
      <c r="N269" s="11">
        <v>2958465</v>
      </c>
      <c r="P269">
        <v>0</v>
      </c>
      <c r="U269">
        <v>4</v>
      </c>
      <c r="V269">
        <v>1</v>
      </c>
      <c r="W269" t="s">
        <v>42</v>
      </c>
      <c r="X269">
        <v>0</v>
      </c>
    </row>
    <row r="270" spans="1:24" x14ac:dyDescent="0.25">
      <c r="A270">
        <v>1</v>
      </c>
      <c r="B270" s="10">
        <v>591108240426</v>
      </c>
      <c r="C270">
        <v>30</v>
      </c>
      <c r="D270" s="10">
        <v>5952482104</v>
      </c>
      <c r="F270" t="s">
        <v>40</v>
      </c>
      <c r="G270">
        <v>0</v>
      </c>
      <c r="H270">
        <v>100</v>
      </c>
      <c r="K270">
        <v>1</v>
      </c>
      <c r="L270" t="s">
        <v>41</v>
      </c>
      <c r="M270" t="s">
        <v>89</v>
      </c>
      <c r="N270" s="11">
        <v>2958465</v>
      </c>
      <c r="P270">
        <v>0</v>
      </c>
      <c r="U270">
        <v>4</v>
      </c>
      <c r="V270">
        <v>1</v>
      </c>
      <c r="W270" t="s">
        <v>42</v>
      </c>
      <c r="X270">
        <v>0</v>
      </c>
    </row>
    <row r="271" spans="1:24" x14ac:dyDescent="0.25">
      <c r="A271">
        <v>1</v>
      </c>
      <c r="B271" s="10">
        <v>591108240426</v>
      </c>
      <c r="C271">
        <v>40</v>
      </c>
      <c r="D271" s="10">
        <v>5952792404</v>
      </c>
      <c r="F271" t="s">
        <v>40</v>
      </c>
      <c r="G271">
        <v>0</v>
      </c>
      <c r="H271">
        <v>100</v>
      </c>
      <c r="K271">
        <v>1</v>
      </c>
      <c r="L271" t="s">
        <v>41</v>
      </c>
      <c r="M271" t="s">
        <v>89</v>
      </c>
      <c r="N271" s="11">
        <v>2958465</v>
      </c>
      <c r="P271">
        <v>0</v>
      </c>
      <c r="U271">
        <v>4</v>
      </c>
      <c r="V271">
        <v>1</v>
      </c>
      <c r="W271" t="s">
        <v>42</v>
      </c>
      <c r="X271">
        <v>0</v>
      </c>
    </row>
    <row r="272" spans="1:24" x14ac:dyDescent="0.25">
      <c r="A272">
        <v>1</v>
      </c>
      <c r="B272" s="10">
        <v>591108240426</v>
      </c>
      <c r="C272">
        <v>50</v>
      </c>
      <c r="D272" s="10">
        <v>59102304</v>
      </c>
      <c r="F272" t="s">
        <v>40</v>
      </c>
      <c r="G272">
        <v>0</v>
      </c>
      <c r="H272">
        <v>100</v>
      </c>
      <c r="K272">
        <v>2</v>
      </c>
      <c r="L272" t="s">
        <v>41</v>
      </c>
      <c r="M272" t="s">
        <v>89</v>
      </c>
      <c r="N272" s="11">
        <v>2958465</v>
      </c>
      <c r="P272">
        <v>0</v>
      </c>
      <c r="U272">
        <v>4</v>
      </c>
      <c r="V272">
        <v>1</v>
      </c>
      <c r="W272" t="s">
        <v>42</v>
      </c>
      <c r="X272">
        <v>0</v>
      </c>
    </row>
    <row r="273" spans="1:24" x14ac:dyDescent="0.25">
      <c r="A273">
        <v>1</v>
      </c>
      <c r="B273" s="10">
        <v>591108240426</v>
      </c>
      <c r="C273">
        <v>60</v>
      </c>
      <c r="D273" s="10">
        <v>18102421226</v>
      </c>
      <c r="F273" t="s">
        <v>40</v>
      </c>
      <c r="G273">
        <v>0</v>
      </c>
      <c r="H273">
        <v>100</v>
      </c>
      <c r="K273">
        <v>1</v>
      </c>
      <c r="L273" t="s">
        <v>41</v>
      </c>
      <c r="M273" t="s">
        <v>89</v>
      </c>
      <c r="N273" s="11">
        <v>2958465</v>
      </c>
      <c r="P273">
        <v>0</v>
      </c>
      <c r="U273">
        <v>4</v>
      </c>
      <c r="V273">
        <v>1</v>
      </c>
      <c r="W273" t="s">
        <v>42</v>
      </c>
      <c r="X273">
        <v>0</v>
      </c>
    </row>
    <row r="274" spans="1:24" x14ac:dyDescent="0.25">
      <c r="A274">
        <v>1</v>
      </c>
      <c r="B274" s="10">
        <v>591108240426</v>
      </c>
      <c r="C274">
        <v>70</v>
      </c>
      <c r="D274" s="10">
        <v>5997499</v>
      </c>
      <c r="F274" t="s">
        <v>68</v>
      </c>
      <c r="G274">
        <v>0</v>
      </c>
      <c r="H274">
        <v>100</v>
      </c>
      <c r="K274">
        <v>1</v>
      </c>
      <c r="L274" t="s">
        <v>41</v>
      </c>
      <c r="M274" t="s">
        <v>89</v>
      </c>
      <c r="N274" s="11">
        <v>2958465</v>
      </c>
      <c r="P274">
        <v>0</v>
      </c>
      <c r="U274">
        <v>4</v>
      </c>
      <c r="V274">
        <v>1</v>
      </c>
      <c r="W274" t="s">
        <v>42</v>
      </c>
      <c r="X274">
        <v>0</v>
      </c>
    </row>
    <row r="275" spans="1:24" x14ac:dyDescent="0.25">
      <c r="A275">
        <v>1</v>
      </c>
      <c r="B275" s="10">
        <v>591108240526</v>
      </c>
      <c r="C275">
        <v>10</v>
      </c>
      <c r="D275" s="10">
        <v>5959672105</v>
      </c>
      <c r="F275" t="s">
        <v>40</v>
      </c>
      <c r="G275">
        <v>0</v>
      </c>
      <c r="H275">
        <v>100</v>
      </c>
      <c r="K275">
        <v>1</v>
      </c>
      <c r="L275" t="s">
        <v>41</v>
      </c>
      <c r="M275" t="s">
        <v>89</v>
      </c>
      <c r="N275" s="11">
        <v>2958465</v>
      </c>
      <c r="P275">
        <v>0</v>
      </c>
      <c r="U275">
        <v>4</v>
      </c>
      <c r="V275">
        <v>1</v>
      </c>
      <c r="W275" t="s">
        <v>42</v>
      </c>
      <c r="X275">
        <v>0</v>
      </c>
    </row>
    <row r="276" spans="1:24" x14ac:dyDescent="0.25">
      <c r="A276">
        <v>1</v>
      </c>
      <c r="B276" s="10">
        <v>591108240526</v>
      </c>
      <c r="C276">
        <v>20</v>
      </c>
      <c r="D276" s="10">
        <v>5959692105</v>
      </c>
      <c r="F276" t="s">
        <v>40</v>
      </c>
      <c r="G276">
        <v>0</v>
      </c>
      <c r="H276">
        <v>100</v>
      </c>
      <c r="K276">
        <v>1</v>
      </c>
      <c r="L276" t="s">
        <v>41</v>
      </c>
      <c r="M276" t="s">
        <v>89</v>
      </c>
      <c r="N276" s="11">
        <v>2958465</v>
      </c>
      <c r="P276">
        <v>0</v>
      </c>
      <c r="U276">
        <v>4</v>
      </c>
      <c r="V276">
        <v>1</v>
      </c>
      <c r="W276" t="s">
        <v>42</v>
      </c>
      <c r="X276">
        <v>0</v>
      </c>
    </row>
    <row r="277" spans="1:24" x14ac:dyDescent="0.25">
      <c r="A277">
        <v>1</v>
      </c>
      <c r="B277" s="10">
        <v>591108240526</v>
      </c>
      <c r="C277">
        <v>30</v>
      </c>
      <c r="D277" s="10">
        <v>5952482105</v>
      </c>
      <c r="F277" t="s">
        <v>40</v>
      </c>
      <c r="G277">
        <v>0</v>
      </c>
      <c r="H277">
        <v>100</v>
      </c>
      <c r="K277">
        <v>1</v>
      </c>
      <c r="L277" t="s">
        <v>41</v>
      </c>
      <c r="M277" t="s">
        <v>89</v>
      </c>
      <c r="N277" s="11">
        <v>2958465</v>
      </c>
      <c r="P277">
        <v>0</v>
      </c>
      <c r="U277">
        <v>4</v>
      </c>
      <c r="V277">
        <v>1</v>
      </c>
      <c r="W277" t="s">
        <v>42</v>
      </c>
      <c r="X277">
        <v>0</v>
      </c>
    </row>
    <row r="278" spans="1:24" x14ac:dyDescent="0.25">
      <c r="A278">
        <v>1</v>
      </c>
      <c r="B278" s="10">
        <v>591108240526</v>
      </c>
      <c r="C278">
        <v>40</v>
      </c>
      <c r="D278" s="10">
        <v>5952792405</v>
      </c>
      <c r="F278" t="s">
        <v>40</v>
      </c>
      <c r="G278">
        <v>0</v>
      </c>
      <c r="H278">
        <v>100</v>
      </c>
      <c r="K278">
        <v>1</v>
      </c>
      <c r="L278" t="s">
        <v>41</v>
      </c>
      <c r="M278" t="s">
        <v>89</v>
      </c>
      <c r="N278" s="11">
        <v>2958465</v>
      </c>
      <c r="P278">
        <v>0</v>
      </c>
      <c r="U278">
        <v>4</v>
      </c>
      <c r="V278">
        <v>1</v>
      </c>
      <c r="W278" t="s">
        <v>42</v>
      </c>
      <c r="X278">
        <v>0</v>
      </c>
    </row>
    <row r="279" spans="1:24" x14ac:dyDescent="0.25">
      <c r="A279">
        <v>1</v>
      </c>
      <c r="B279" s="10">
        <v>591108240526</v>
      </c>
      <c r="C279">
        <v>50</v>
      </c>
      <c r="D279" s="10">
        <v>59102305</v>
      </c>
      <c r="F279" t="s">
        <v>40</v>
      </c>
      <c r="G279">
        <v>0</v>
      </c>
      <c r="H279">
        <v>100</v>
      </c>
      <c r="K279">
        <v>2</v>
      </c>
      <c r="L279" t="s">
        <v>41</v>
      </c>
      <c r="M279" t="s">
        <v>89</v>
      </c>
      <c r="N279" s="11">
        <v>2958465</v>
      </c>
      <c r="P279">
        <v>0</v>
      </c>
      <c r="U279">
        <v>4</v>
      </c>
      <c r="V279">
        <v>1</v>
      </c>
      <c r="W279" t="s">
        <v>42</v>
      </c>
      <c r="X279">
        <v>0</v>
      </c>
    </row>
    <row r="280" spans="1:24" x14ac:dyDescent="0.25">
      <c r="A280">
        <v>1</v>
      </c>
      <c r="B280" s="10">
        <v>591108240526</v>
      </c>
      <c r="C280">
        <v>60</v>
      </c>
      <c r="D280" s="10">
        <v>18102421226</v>
      </c>
      <c r="F280" t="s">
        <v>40</v>
      </c>
      <c r="G280">
        <v>0</v>
      </c>
      <c r="H280">
        <v>100</v>
      </c>
      <c r="K280">
        <v>1</v>
      </c>
      <c r="L280" t="s">
        <v>41</v>
      </c>
      <c r="M280" t="s">
        <v>89</v>
      </c>
      <c r="N280" s="11">
        <v>2958465</v>
      </c>
      <c r="P280">
        <v>0</v>
      </c>
      <c r="U280">
        <v>4</v>
      </c>
      <c r="V280">
        <v>1</v>
      </c>
      <c r="W280" t="s">
        <v>42</v>
      </c>
      <c r="X280">
        <v>0</v>
      </c>
    </row>
    <row r="281" spans="1:24" x14ac:dyDescent="0.25">
      <c r="A281">
        <v>1</v>
      </c>
      <c r="B281" s="10">
        <v>591108240526</v>
      </c>
      <c r="C281">
        <v>70</v>
      </c>
      <c r="D281" s="10">
        <v>5997499</v>
      </c>
      <c r="F281" t="s">
        <v>68</v>
      </c>
      <c r="G281">
        <v>0</v>
      </c>
      <c r="H281">
        <v>100</v>
      </c>
      <c r="K281">
        <v>1</v>
      </c>
      <c r="L281" t="s">
        <v>41</v>
      </c>
      <c r="M281" t="s">
        <v>89</v>
      </c>
      <c r="N281" s="11">
        <v>2958465</v>
      </c>
      <c r="P281">
        <v>0</v>
      </c>
      <c r="U281">
        <v>4</v>
      </c>
      <c r="V281">
        <v>1</v>
      </c>
      <c r="W281" t="s">
        <v>42</v>
      </c>
      <c r="X281">
        <v>0</v>
      </c>
    </row>
    <row r="282" spans="1:24" x14ac:dyDescent="0.25">
      <c r="A282">
        <v>1</v>
      </c>
      <c r="B282" s="10">
        <v>591108240626</v>
      </c>
      <c r="C282">
        <v>10</v>
      </c>
      <c r="D282" s="10">
        <v>5959672106</v>
      </c>
      <c r="F282" t="s">
        <v>40</v>
      </c>
      <c r="G282">
        <v>0</v>
      </c>
      <c r="H282">
        <v>100</v>
      </c>
      <c r="K282">
        <v>1</v>
      </c>
      <c r="L282" t="s">
        <v>41</v>
      </c>
      <c r="M282" t="s">
        <v>89</v>
      </c>
      <c r="N282" s="11">
        <v>2958465</v>
      </c>
      <c r="P282">
        <v>0</v>
      </c>
      <c r="U282">
        <v>4</v>
      </c>
      <c r="V282">
        <v>1</v>
      </c>
      <c r="W282" t="s">
        <v>42</v>
      </c>
      <c r="X282">
        <v>0</v>
      </c>
    </row>
    <row r="283" spans="1:24" x14ac:dyDescent="0.25">
      <c r="A283">
        <v>1</v>
      </c>
      <c r="B283" s="10">
        <v>591108240626</v>
      </c>
      <c r="C283">
        <v>20</v>
      </c>
      <c r="D283" s="10">
        <v>5959692106</v>
      </c>
      <c r="F283" t="s">
        <v>40</v>
      </c>
      <c r="G283">
        <v>0</v>
      </c>
      <c r="H283">
        <v>100</v>
      </c>
      <c r="K283">
        <v>1</v>
      </c>
      <c r="L283" t="s">
        <v>41</v>
      </c>
      <c r="M283" t="s">
        <v>89</v>
      </c>
      <c r="N283" s="11">
        <v>2958465</v>
      </c>
      <c r="P283">
        <v>0</v>
      </c>
      <c r="U283">
        <v>4</v>
      </c>
      <c r="V283">
        <v>1</v>
      </c>
      <c r="W283" t="s">
        <v>42</v>
      </c>
      <c r="X283">
        <v>0</v>
      </c>
    </row>
    <row r="284" spans="1:24" x14ac:dyDescent="0.25">
      <c r="A284">
        <v>1</v>
      </c>
      <c r="B284" s="10">
        <v>591108240626</v>
      </c>
      <c r="C284">
        <v>30</v>
      </c>
      <c r="D284" s="10">
        <v>5952482106</v>
      </c>
      <c r="F284" t="s">
        <v>40</v>
      </c>
      <c r="G284">
        <v>0</v>
      </c>
      <c r="H284">
        <v>100</v>
      </c>
      <c r="K284">
        <v>1</v>
      </c>
      <c r="L284" t="s">
        <v>41</v>
      </c>
      <c r="M284" t="s">
        <v>89</v>
      </c>
      <c r="N284" s="11">
        <v>2958465</v>
      </c>
      <c r="P284">
        <v>0</v>
      </c>
      <c r="U284">
        <v>4</v>
      </c>
      <c r="V284">
        <v>1</v>
      </c>
      <c r="W284" t="s">
        <v>42</v>
      </c>
      <c r="X284">
        <v>0</v>
      </c>
    </row>
    <row r="285" spans="1:24" x14ac:dyDescent="0.25">
      <c r="A285">
        <v>1</v>
      </c>
      <c r="B285" s="10">
        <v>591108240626</v>
      </c>
      <c r="C285">
        <v>40</v>
      </c>
      <c r="D285" s="10">
        <v>5952792406</v>
      </c>
      <c r="F285" t="s">
        <v>40</v>
      </c>
      <c r="G285">
        <v>0</v>
      </c>
      <c r="H285">
        <v>100</v>
      </c>
      <c r="K285">
        <v>1</v>
      </c>
      <c r="L285" t="s">
        <v>41</v>
      </c>
      <c r="M285" t="s">
        <v>89</v>
      </c>
      <c r="N285" s="11">
        <v>2958465</v>
      </c>
      <c r="P285">
        <v>0</v>
      </c>
      <c r="U285">
        <v>4</v>
      </c>
      <c r="V285">
        <v>1</v>
      </c>
      <c r="W285" t="s">
        <v>42</v>
      </c>
      <c r="X285">
        <v>0</v>
      </c>
    </row>
    <row r="286" spans="1:24" x14ac:dyDescent="0.25">
      <c r="A286">
        <v>1</v>
      </c>
      <c r="B286" s="10">
        <v>591108240626</v>
      </c>
      <c r="C286">
        <v>50</v>
      </c>
      <c r="D286" s="10">
        <v>59102306</v>
      </c>
      <c r="F286" t="s">
        <v>40</v>
      </c>
      <c r="G286">
        <v>0</v>
      </c>
      <c r="H286">
        <v>100</v>
      </c>
      <c r="K286">
        <v>2</v>
      </c>
      <c r="L286" t="s">
        <v>41</v>
      </c>
      <c r="M286" t="s">
        <v>89</v>
      </c>
      <c r="N286" s="11">
        <v>2958465</v>
      </c>
      <c r="P286">
        <v>0</v>
      </c>
      <c r="U286">
        <v>4</v>
      </c>
      <c r="V286">
        <v>1</v>
      </c>
      <c r="W286" t="s">
        <v>42</v>
      </c>
      <c r="X286">
        <v>0</v>
      </c>
    </row>
    <row r="287" spans="1:24" x14ac:dyDescent="0.25">
      <c r="A287">
        <v>1</v>
      </c>
      <c r="B287" s="10">
        <v>591108240626</v>
      </c>
      <c r="C287">
        <v>60</v>
      </c>
      <c r="D287" s="10">
        <v>18102421226</v>
      </c>
      <c r="F287" t="s">
        <v>40</v>
      </c>
      <c r="G287">
        <v>0</v>
      </c>
      <c r="H287">
        <v>100</v>
      </c>
      <c r="K287">
        <v>1</v>
      </c>
      <c r="L287" t="s">
        <v>41</v>
      </c>
      <c r="M287" t="s">
        <v>89</v>
      </c>
      <c r="N287" s="11">
        <v>2958465</v>
      </c>
      <c r="P287">
        <v>0</v>
      </c>
      <c r="U287">
        <v>4</v>
      </c>
      <c r="V287">
        <v>1</v>
      </c>
      <c r="W287" t="s">
        <v>42</v>
      </c>
      <c r="X287">
        <v>0</v>
      </c>
    </row>
    <row r="288" spans="1:24" x14ac:dyDescent="0.25">
      <c r="A288">
        <v>1</v>
      </c>
      <c r="B288" s="10">
        <v>591108240626</v>
      </c>
      <c r="C288">
        <v>70</v>
      </c>
      <c r="D288" s="10">
        <v>5997499</v>
      </c>
      <c r="F288" t="s">
        <v>68</v>
      </c>
      <c r="G288">
        <v>0</v>
      </c>
      <c r="H288">
        <v>100</v>
      </c>
      <c r="K288">
        <v>1</v>
      </c>
      <c r="L288" t="s">
        <v>41</v>
      </c>
      <c r="M288" t="s">
        <v>89</v>
      </c>
      <c r="N288" s="11">
        <v>2958465</v>
      </c>
      <c r="P288">
        <v>0</v>
      </c>
      <c r="U288">
        <v>4</v>
      </c>
      <c r="V288">
        <v>1</v>
      </c>
      <c r="W288" t="s">
        <v>42</v>
      </c>
      <c r="X288">
        <v>0</v>
      </c>
    </row>
    <row r="289" spans="1:24" x14ac:dyDescent="0.25">
      <c r="A289">
        <v>1</v>
      </c>
      <c r="B289" s="10">
        <v>591108240726</v>
      </c>
      <c r="C289">
        <v>10</v>
      </c>
      <c r="D289" s="10">
        <v>5959672107</v>
      </c>
      <c r="F289" t="s">
        <v>40</v>
      </c>
      <c r="G289">
        <v>0</v>
      </c>
      <c r="H289">
        <v>100</v>
      </c>
      <c r="K289">
        <v>1</v>
      </c>
      <c r="L289" t="s">
        <v>41</v>
      </c>
      <c r="M289" t="s">
        <v>89</v>
      </c>
      <c r="N289" s="11">
        <v>2958465</v>
      </c>
      <c r="P289">
        <v>0</v>
      </c>
      <c r="U289">
        <v>4</v>
      </c>
      <c r="V289">
        <v>1</v>
      </c>
      <c r="W289" t="s">
        <v>42</v>
      </c>
      <c r="X289">
        <v>0</v>
      </c>
    </row>
    <row r="290" spans="1:24" x14ac:dyDescent="0.25">
      <c r="A290">
        <v>1</v>
      </c>
      <c r="B290" s="10">
        <v>591108240726</v>
      </c>
      <c r="C290">
        <v>20</v>
      </c>
      <c r="D290" s="10">
        <v>5959692107</v>
      </c>
      <c r="F290" t="s">
        <v>40</v>
      </c>
      <c r="G290">
        <v>0</v>
      </c>
      <c r="H290">
        <v>100</v>
      </c>
      <c r="K290">
        <v>1</v>
      </c>
      <c r="L290" t="s">
        <v>41</v>
      </c>
      <c r="M290" t="s">
        <v>89</v>
      </c>
      <c r="N290" s="11">
        <v>2958465</v>
      </c>
      <c r="P290">
        <v>0</v>
      </c>
      <c r="U290">
        <v>4</v>
      </c>
      <c r="V290">
        <v>1</v>
      </c>
      <c r="W290" t="s">
        <v>42</v>
      </c>
      <c r="X290">
        <v>0</v>
      </c>
    </row>
    <row r="291" spans="1:24" x14ac:dyDescent="0.25">
      <c r="A291">
        <v>1</v>
      </c>
      <c r="B291" s="10">
        <v>591108240726</v>
      </c>
      <c r="C291">
        <v>30</v>
      </c>
      <c r="D291" s="10">
        <v>5952482107</v>
      </c>
      <c r="F291" t="s">
        <v>40</v>
      </c>
      <c r="G291">
        <v>0</v>
      </c>
      <c r="H291">
        <v>100</v>
      </c>
      <c r="K291">
        <v>1</v>
      </c>
      <c r="L291" t="s">
        <v>41</v>
      </c>
      <c r="M291" t="s">
        <v>89</v>
      </c>
      <c r="N291" s="11">
        <v>2958465</v>
      </c>
      <c r="P291">
        <v>0</v>
      </c>
      <c r="U291">
        <v>4</v>
      </c>
      <c r="V291">
        <v>1</v>
      </c>
      <c r="W291" t="s">
        <v>42</v>
      </c>
      <c r="X291">
        <v>0</v>
      </c>
    </row>
    <row r="292" spans="1:24" x14ac:dyDescent="0.25">
      <c r="A292">
        <v>1</v>
      </c>
      <c r="B292" s="10">
        <v>591108240726</v>
      </c>
      <c r="C292">
        <v>40</v>
      </c>
      <c r="D292" s="10">
        <v>5952792407</v>
      </c>
      <c r="F292" t="s">
        <v>40</v>
      </c>
      <c r="G292">
        <v>0</v>
      </c>
      <c r="H292">
        <v>100</v>
      </c>
      <c r="K292">
        <v>1</v>
      </c>
      <c r="L292" t="s">
        <v>41</v>
      </c>
      <c r="M292" t="s">
        <v>89</v>
      </c>
      <c r="N292" s="11">
        <v>2958465</v>
      </c>
      <c r="P292">
        <v>0</v>
      </c>
      <c r="U292">
        <v>4</v>
      </c>
      <c r="V292">
        <v>1</v>
      </c>
      <c r="W292" t="s">
        <v>42</v>
      </c>
      <c r="X292">
        <v>0</v>
      </c>
    </row>
    <row r="293" spans="1:24" x14ac:dyDescent="0.25">
      <c r="A293">
        <v>1</v>
      </c>
      <c r="B293" s="10">
        <v>591108240726</v>
      </c>
      <c r="C293">
        <v>50</v>
      </c>
      <c r="D293" s="10">
        <v>59102307</v>
      </c>
      <c r="F293" t="s">
        <v>40</v>
      </c>
      <c r="G293">
        <v>0</v>
      </c>
      <c r="H293">
        <v>100</v>
      </c>
      <c r="K293">
        <v>2</v>
      </c>
      <c r="L293" t="s">
        <v>41</v>
      </c>
      <c r="M293" t="s">
        <v>89</v>
      </c>
      <c r="N293" s="11">
        <v>2958465</v>
      </c>
      <c r="P293">
        <v>0</v>
      </c>
      <c r="U293">
        <v>4</v>
      </c>
      <c r="V293">
        <v>1</v>
      </c>
      <c r="W293" t="s">
        <v>42</v>
      </c>
      <c r="X293">
        <v>0</v>
      </c>
    </row>
    <row r="294" spans="1:24" x14ac:dyDescent="0.25">
      <c r="A294">
        <v>1</v>
      </c>
      <c r="B294" s="10">
        <v>591108240726</v>
      </c>
      <c r="C294">
        <v>60</v>
      </c>
      <c r="D294" s="10">
        <v>18102421226</v>
      </c>
      <c r="F294" t="s">
        <v>40</v>
      </c>
      <c r="G294">
        <v>0</v>
      </c>
      <c r="H294">
        <v>100</v>
      </c>
      <c r="K294">
        <v>1</v>
      </c>
      <c r="L294" t="s">
        <v>41</v>
      </c>
      <c r="M294" t="s">
        <v>89</v>
      </c>
      <c r="N294" s="11">
        <v>2958465</v>
      </c>
      <c r="P294">
        <v>0</v>
      </c>
      <c r="U294">
        <v>4</v>
      </c>
      <c r="V294">
        <v>1</v>
      </c>
      <c r="W294" t="s">
        <v>42</v>
      </c>
      <c r="X294">
        <v>0</v>
      </c>
    </row>
    <row r="295" spans="1:24" x14ac:dyDescent="0.25">
      <c r="A295">
        <v>1</v>
      </c>
      <c r="B295" s="10">
        <v>591108240726</v>
      </c>
      <c r="C295">
        <v>70</v>
      </c>
      <c r="D295" s="10">
        <v>5997499</v>
      </c>
      <c r="F295" t="s">
        <v>68</v>
      </c>
      <c r="G295">
        <v>0</v>
      </c>
      <c r="H295">
        <v>100</v>
      </c>
      <c r="K295">
        <v>1</v>
      </c>
      <c r="L295" t="s">
        <v>41</v>
      </c>
      <c r="M295" t="s">
        <v>89</v>
      </c>
      <c r="N295" s="11">
        <v>2958465</v>
      </c>
      <c r="P295">
        <v>0</v>
      </c>
      <c r="U295">
        <v>4</v>
      </c>
      <c r="V295">
        <v>1</v>
      </c>
      <c r="W295" t="s">
        <v>42</v>
      </c>
      <c r="X295">
        <v>0</v>
      </c>
    </row>
    <row r="296" spans="1:24" x14ac:dyDescent="0.25">
      <c r="A296">
        <v>1</v>
      </c>
      <c r="B296" s="10">
        <v>591108240826</v>
      </c>
      <c r="C296">
        <v>10</v>
      </c>
      <c r="D296" s="10">
        <v>5959672108</v>
      </c>
      <c r="F296" t="s">
        <v>40</v>
      </c>
      <c r="G296">
        <v>0</v>
      </c>
      <c r="H296">
        <v>100</v>
      </c>
      <c r="K296">
        <v>1</v>
      </c>
      <c r="L296" t="s">
        <v>41</v>
      </c>
      <c r="M296" t="s">
        <v>89</v>
      </c>
      <c r="N296" s="11">
        <v>2958465</v>
      </c>
      <c r="P296">
        <v>0</v>
      </c>
      <c r="U296">
        <v>4</v>
      </c>
      <c r="V296">
        <v>1</v>
      </c>
      <c r="W296" t="s">
        <v>42</v>
      </c>
      <c r="X296">
        <v>0</v>
      </c>
    </row>
    <row r="297" spans="1:24" x14ac:dyDescent="0.25">
      <c r="A297">
        <v>1</v>
      </c>
      <c r="B297" s="10">
        <v>591108240826</v>
      </c>
      <c r="C297">
        <v>20</v>
      </c>
      <c r="D297" s="10">
        <v>5959692108</v>
      </c>
      <c r="F297" t="s">
        <v>40</v>
      </c>
      <c r="G297">
        <v>0</v>
      </c>
      <c r="H297">
        <v>100</v>
      </c>
      <c r="K297">
        <v>1</v>
      </c>
      <c r="L297" t="s">
        <v>41</v>
      </c>
      <c r="M297" t="s">
        <v>89</v>
      </c>
      <c r="N297" s="11">
        <v>2958465</v>
      </c>
      <c r="P297">
        <v>0</v>
      </c>
      <c r="U297">
        <v>4</v>
      </c>
      <c r="V297">
        <v>1</v>
      </c>
      <c r="W297" t="s">
        <v>42</v>
      </c>
      <c r="X297">
        <v>0</v>
      </c>
    </row>
    <row r="298" spans="1:24" x14ac:dyDescent="0.25">
      <c r="A298">
        <v>1</v>
      </c>
      <c r="B298" s="10">
        <v>591108240826</v>
      </c>
      <c r="C298">
        <v>30</v>
      </c>
      <c r="D298" s="10">
        <v>5952482108</v>
      </c>
      <c r="F298" t="s">
        <v>40</v>
      </c>
      <c r="G298">
        <v>0</v>
      </c>
      <c r="H298">
        <v>100</v>
      </c>
      <c r="K298">
        <v>1</v>
      </c>
      <c r="L298" t="s">
        <v>41</v>
      </c>
      <c r="M298" t="s">
        <v>89</v>
      </c>
      <c r="N298" s="11">
        <v>2958465</v>
      </c>
      <c r="P298">
        <v>0</v>
      </c>
      <c r="U298">
        <v>4</v>
      </c>
      <c r="V298">
        <v>1</v>
      </c>
      <c r="W298" t="s">
        <v>42</v>
      </c>
      <c r="X298">
        <v>0</v>
      </c>
    </row>
    <row r="299" spans="1:24" x14ac:dyDescent="0.25">
      <c r="A299">
        <v>1</v>
      </c>
      <c r="B299" s="10">
        <v>591108240826</v>
      </c>
      <c r="C299">
        <v>40</v>
      </c>
      <c r="D299" s="10">
        <v>5952792408</v>
      </c>
      <c r="F299" t="s">
        <v>40</v>
      </c>
      <c r="G299">
        <v>0</v>
      </c>
      <c r="H299">
        <v>100</v>
      </c>
      <c r="K299">
        <v>1</v>
      </c>
      <c r="L299" t="s">
        <v>41</v>
      </c>
      <c r="M299" t="s">
        <v>89</v>
      </c>
      <c r="N299" s="11">
        <v>2958465</v>
      </c>
      <c r="P299">
        <v>0</v>
      </c>
      <c r="U299">
        <v>4</v>
      </c>
      <c r="V299">
        <v>1</v>
      </c>
      <c r="W299" t="s">
        <v>42</v>
      </c>
      <c r="X299">
        <v>0</v>
      </c>
    </row>
    <row r="300" spans="1:24" x14ac:dyDescent="0.25">
      <c r="A300">
        <v>1</v>
      </c>
      <c r="B300" s="10">
        <v>591108240826</v>
      </c>
      <c r="C300">
        <v>50</v>
      </c>
      <c r="D300" s="10">
        <v>59102308</v>
      </c>
      <c r="F300" t="s">
        <v>40</v>
      </c>
      <c r="G300">
        <v>0</v>
      </c>
      <c r="H300">
        <v>100</v>
      </c>
      <c r="K300">
        <v>2</v>
      </c>
      <c r="L300" t="s">
        <v>41</v>
      </c>
      <c r="M300" t="s">
        <v>89</v>
      </c>
      <c r="N300" s="11">
        <v>2958465</v>
      </c>
      <c r="P300">
        <v>0</v>
      </c>
      <c r="U300">
        <v>4</v>
      </c>
      <c r="V300">
        <v>1</v>
      </c>
      <c r="W300" t="s">
        <v>42</v>
      </c>
      <c r="X300">
        <v>0</v>
      </c>
    </row>
    <row r="301" spans="1:24" x14ac:dyDescent="0.25">
      <c r="A301">
        <v>1</v>
      </c>
      <c r="B301" s="10">
        <v>591108240826</v>
      </c>
      <c r="C301">
        <v>60</v>
      </c>
      <c r="D301" s="10">
        <v>18102421226</v>
      </c>
      <c r="F301" t="s">
        <v>40</v>
      </c>
      <c r="G301">
        <v>0</v>
      </c>
      <c r="H301">
        <v>100</v>
      </c>
      <c r="K301">
        <v>1</v>
      </c>
      <c r="L301" t="s">
        <v>41</v>
      </c>
      <c r="M301" t="s">
        <v>89</v>
      </c>
      <c r="N301" s="11">
        <v>2958465</v>
      </c>
      <c r="P301">
        <v>0</v>
      </c>
      <c r="U301">
        <v>4</v>
      </c>
      <c r="V301">
        <v>1</v>
      </c>
      <c r="W301" t="s">
        <v>42</v>
      </c>
      <c r="X301">
        <v>0</v>
      </c>
    </row>
    <row r="302" spans="1:24" x14ac:dyDescent="0.25">
      <c r="A302">
        <v>1</v>
      </c>
      <c r="B302" s="10">
        <v>591108240826</v>
      </c>
      <c r="C302">
        <v>70</v>
      </c>
      <c r="D302" s="10">
        <v>5997499</v>
      </c>
      <c r="F302" t="s">
        <v>68</v>
      </c>
      <c r="G302">
        <v>0</v>
      </c>
      <c r="H302">
        <v>100</v>
      </c>
      <c r="K302">
        <v>1</v>
      </c>
      <c r="L302" t="s">
        <v>41</v>
      </c>
      <c r="M302" t="s">
        <v>89</v>
      </c>
      <c r="N302" s="11">
        <v>2958465</v>
      </c>
      <c r="P302">
        <v>0</v>
      </c>
      <c r="U302">
        <v>4</v>
      </c>
      <c r="V302">
        <v>1</v>
      </c>
      <c r="W302" t="s">
        <v>42</v>
      </c>
      <c r="X302">
        <v>0</v>
      </c>
    </row>
    <row r="303" spans="1:24" x14ac:dyDescent="0.25">
      <c r="A303">
        <v>1</v>
      </c>
      <c r="B303" s="10">
        <v>591108240926</v>
      </c>
      <c r="C303">
        <v>10</v>
      </c>
      <c r="D303" s="10">
        <v>5959672109</v>
      </c>
      <c r="F303" t="s">
        <v>40</v>
      </c>
      <c r="G303">
        <v>0</v>
      </c>
      <c r="H303">
        <v>100</v>
      </c>
      <c r="K303">
        <v>1</v>
      </c>
      <c r="L303" t="s">
        <v>41</v>
      </c>
      <c r="M303" t="s">
        <v>89</v>
      </c>
      <c r="N303" s="11">
        <v>2958465</v>
      </c>
      <c r="P303">
        <v>0</v>
      </c>
      <c r="U303">
        <v>4</v>
      </c>
      <c r="V303">
        <v>1</v>
      </c>
      <c r="W303" t="s">
        <v>42</v>
      </c>
      <c r="X303">
        <v>0</v>
      </c>
    </row>
    <row r="304" spans="1:24" x14ac:dyDescent="0.25">
      <c r="A304">
        <v>1</v>
      </c>
      <c r="B304" s="10">
        <v>591108240926</v>
      </c>
      <c r="C304">
        <v>20</v>
      </c>
      <c r="D304" s="10">
        <v>5959692109</v>
      </c>
      <c r="F304" t="s">
        <v>40</v>
      </c>
      <c r="G304">
        <v>0</v>
      </c>
      <c r="H304">
        <v>100</v>
      </c>
      <c r="K304">
        <v>1</v>
      </c>
      <c r="L304" t="s">
        <v>41</v>
      </c>
      <c r="M304" t="s">
        <v>89</v>
      </c>
      <c r="N304" s="11">
        <v>2958465</v>
      </c>
      <c r="P304">
        <v>0</v>
      </c>
      <c r="U304">
        <v>4</v>
      </c>
      <c r="V304">
        <v>1</v>
      </c>
      <c r="W304" t="s">
        <v>42</v>
      </c>
      <c r="X304">
        <v>0</v>
      </c>
    </row>
    <row r="305" spans="1:24" x14ac:dyDescent="0.25">
      <c r="A305">
        <v>1</v>
      </c>
      <c r="B305" s="10">
        <v>591108240926</v>
      </c>
      <c r="C305">
        <v>30</v>
      </c>
      <c r="D305" s="10">
        <v>5952482109</v>
      </c>
      <c r="F305" t="s">
        <v>40</v>
      </c>
      <c r="G305">
        <v>0</v>
      </c>
      <c r="H305">
        <v>100</v>
      </c>
      <c r="K305">
        <v>1</v>
      </c>
      <c r="L305" t="s">
        <v>41</v>
      </c>
      <c r="M305" t="s">
        <v>89</v>
      </c>
      <c r="N305" s="11">
        <v>2958465</v>
      </c>
      <c r="P305">
        <v>0</v>
      </c>
      <c r="U305">
        <v>4</v>
      </c>
      <c r="V305">
        <v>1</v>
      </c>
      <c r="W305" t="s">
        <v>42</v>
      </c>
      <c r="X305">
        <v>0</v>
      </c>
    </row>
    <row r="306" spans="1:24" x14ac:dyDescent="0.25">
      <c r="A306">
        <v>1</v>
      </c>
      <c r="B306" s="10">
        <v>591108240926</v>
      </c>
      <c r="C306">
        <v>40</v>
      </c>
      <c r="D306" s="10">
        <v>5952792409</v>
      </c>
      <c r="F306" t="s">
        <v>40</v>
      </c>
      <c r="G306">
        <v>0</v>
      </c>
      <c r="H306">
        <v>100</v>
      </c>
      <c r="K306">
        <v>1</v>
      </c>
      <c r="L306" t="s">
        <v>41</v>
      </c>
      <c r="M306" t="s">
        <v>89</v>
      </c>
      <c r="N306" s="11">
        <v>2958465</v>
      </c>
      <c r="P306">
        <v>0</v>
      </c>
      <c r="U306">
        <v>4</v>
      </c>
      <c r="V306">
        <v>1</v>
      </c>
      <c r="W306" t="s">
        <v>42</v>
      </c>
      <c r="X306">
        <v>0</v>
      </c>
    </row>
    <row r="307" spans="1:24" x14ac:dyDescent="0.25">
      <c r="A307">
        <v>1</v>
      </c>
      <c r="B307" s="10">
        <v>591108240926</v>
      </c>
      <c r="C307">
        <v>50</v>
      </c>
      <c r="D307" s="10">
        <v>59102309</v>
      </c>
      <c r="F307" t="s">
        <v>40</v>
      </c>
      <c r="G307">
        <v>0</v>
      </c>
      <c r="H307">
        <v>100</v>
      </c>
      <c r="K307">
        <v>2</v>
      </c>
      <c r="L307" t="s">
        <v>41</v>
      </c>
      <c r="M307" t="s">
        <v>89</v>
      </c>
      <c r="N307" s="11">
        <v>2958465</v>
      </c>
      <c r="P307">
        <v>0</v>
      </c>
      <c r="U307">
        <v>4</v>
      </c>
      <c r="V307">
        <v>1</v>
      </c>
      <c r="W307" t="s">
        <v>42</v>
      </c>
      <c r="X307">
        <v>0</v>
      </c>
    </row>
    <row r="308" spans="1:24" x14ac:dyDescent="0.25">
      <c r="A308">
        <v>1</v>
      </c>
      <c r="B308" s="10">
        <v>591108240926</v>
      </c>
      <c r="C308">
        <v>60</v>
      </c>
      <c r="D308" s="10">
        <v>18102421226</v>
      </c>
      <c r="F308" t="s">
        <v>40</v>
      </c>
      <c r="G308">
        <v>0</v>
      </c>
      <c r="H308">
        <v>100</v>
      </c>
      <c r="K308">
        <v>1</v>
      </c>
      <c r="L308" t="s">
        <v>41</v>
      </c>
      <c r="M308" t="s">
        <v>89</v>
      </c>
      <c r="N308" s="11">
        <v>2958465</v>
      </c>
      <c r="P308">
        <v>0</v>
      </c>
      <c r="U308">
        <v>4</v>
      </c>
      <c r="V308">
        <v>1</v>
      </c>
      <c r="W308" t="s">
        <v>42</v>
      </c>
      <c r="X308">
        <v>0</v>
      </c>
    </row>
    <row r="309" spans="1:24" x14ac:dyDescent="0.25">
      <c r="A309">
        <v>1</v>
      </c>
      <c r="B309" s="10">
        <v>591108240926</v>
      </c>
      <c r="C309">
        <v>70</v>
      </c>
      <c r="D309" s="10">
        <v>5997499</v>
      </c>
      <c r="F309" t="s">
        <v>68</v>
      </c>
      <c r="G309">
        <v>0</v>
      </c>
      <c r="H309">
        <v>100</v>
      </c>
      <c r="K309">
        <v>1</v>
      </c>
      <c r="L309" t="s">
        <v>41</v>
      </c>
      <c r="M309" t="s">
        <v>89</v>
      </c>
      <c r="N309" s="11">
        <v>2958465</v>
      </c>
      <c r="P309">
        <v>0</v>
      </c>
      <c r="U309">
        <v>4</v>
      </c>
      <c r="V309">
        <v>1</v>
      </c>
      <c r="W309" t="s">
        <v>42</v>
      </c>
      <c r="X309">
        <v>0</v>
      </c>
    </row>
    <row r="310" spans="1:24" x14ac:dyDescent="0.25">
      <c r="A310">
        <v>1</v>
      </c>
      <c r="B310" s="10">
        <v>591108240113</v>
      </c>
      <c r="C310">
        <v>10</v>
      </c>
      <c r="D310" s="10">
        <v>5959672101</v>
      </c>
      <c r="F310" t="s">
        <v>40</v>
      </c>
      <c r="G310">
        <v>0</v>
      </c>
      <c r="H310">
        <v>100</v>
      </c>
      <c r="K310">
        <v>1</v>
      </c>
      <c r="L310" t="s">
        <v>41</v>
      </c>
      <c r="M310" t="s">
        <v>89</v>
      </c>
      <c r="N310" s="11">
        <v>2958465</v>
      </c>
      <c r="P310">
        <v>0</v>
      </c>
      <c r="U310">
        <v>4</v>
      </c>
      <c r="V310">
        <v>1</v>
      </c>
      <c r="W310" t="s">
        <v>42</v>
      </c>
      <c r="X310">
        <v>0</v>
      </c>
    </row>
    <row r="311" spans="1:24" x14ac:dyDescent="0.25">
      <c r="A311">
        <v>1</v>
      </c>
      <c r="B311" s="10">
        <v>591108240113</v>
      </c>
      <c r="C311">
        <v>20</v>
      </c>
      <c r="D311" s="10">
        <v>5959692101</v>
      </c>
      <c r="F311" t="s">
        <v>40</v>
      </c>
      <c r="G311">
        <v>0</v>
      </c>
      <c r="H311">
        <v>100</v>
      </c>
      <c r="K311">
        <v>1</v>
      </c>
      <c r="L311" t="s">
        <v>41</v>
      </c>
      <c r="M311" t="s">
        <v>89</v>
      </c>
      <c r="N311" s="11">
        <v>2958465</v>
      </c>
      <c r="P311">
        <v>0</v>
      </c>
      <c r="U311">
        <v>4</v>
      </c>
      <c r="V311">
        <v>1</v>
      </c>
      <c r="W311" t="s">
        <v>42</v>
      </c>
      <c r="X311">
        <v>0</v>
      </c>
    </row>
    <row r="312" spans="1:24" x14ac:dyDescent="0.25">
      <c r="A312">
        <v>1</v>
      </c>
      <c r="B312" s="10">
        <v>591108240113</v>
      </c>
      <c r="C312">
        <v>30</v>
      </c>
      <c r="D312" s="10">
        <v>5952482101</v>
      </c>
      <c r="F312" t="s">
        <v>40</v>
      </c>
      <c r="G312">
        <v>0</v>
      </c>
      <c r="H312">
        <v>100</v>
      </c>
      <c r="K312">
        <v>1</v>
      </c>
      <c r="L312" t="s">
        <v>41</v>
      </c>
      <c r="M312" t="s">
        <v>89</v>
      </c>
      <c r="N312" s="11">
        <v>2958465</v>
      </c>
      <c r="P312">
        <v>0</v>
      </c>
      <c r="U312">
        <v>4</v>
      </c>
      <c r="V312">
        <v>1</v>
      </c>
      <c r="W312" t="s">
        <v>42</v>
      </c>
      <c r="X312">
        <v>0</v>
      </c>
    </row>
    <row r="313" spans="1:24" x14ac:dyDescent="0.25">
      <c r="A313">
        <v>1</v>
      </c>
      <c r="B313" s="10">
        <v>591108240113</v>
      </c>
      <c r="C313">
        <v>40</v>
      </c>
      <c r="D313" s="10">
        <v>5952792401</v>
      </c>
      <c r="F313" t="s">
        <v>40</v>
      </c>
      <c r="G313">
        <v>0</v>
      </c>
      <c r="H313">
        <v>100</v>
      </c>
      <c r="K313">
        <v>1</v>
      </c>
      <c r="L313" t="s">
        <v>41</v>
      </c>
      <c r="M313" t="s">
        <v>89</v>
      </c>
      <c r="N313" s="11">
        <v>2958465</v>
      </c>
      <c r="P313">
        <v>0</v>
      </c>
      <c r="U313">
        <v>4</v>
      </c>
      <c r="V313">
        <v>1</v>
      </c>
      <c r="W313" t="s">
        <v>42</v>
      </c>
      <c r="X313">
        <v>0</v>
      </c>
    </row>
    <row r="314" spans="1:24" x14ac:dyDescent="0.25">
      <c r="A314">
        <v>1</v>
      </c>
      <c r="B314" s="10">
        <v>591108240113</v>
      </c>
      <c r="C314">
        <v>50</v>
      </c>
      <c r="D314" s="10">
        <v>59102301</v>
      </c>
      <c r="F314" t="s">
        <v>40</v>
      </c>
      <c r="G314">
        <v>0</v>
      </c>
      <c r="H314">
        <v>100</v>
      </c>
      <c r="K314">
        <v>2</v>
      </c>
      <c r="L314" t="s">
        <v>41</v>
      </c>
      <c r="M314" t="s">
        <v>89</v>
      </c>
      <c r="N314" s="11">
        <v>2958465</v>
      </c>
      <c r="P314">
        <v>0</v>
      </c>
      <c r="U314">
        <v>4</v>
      </c>
      <c r="V314">
        <v>1</v>
      </c>
      <c r="W314" t="s">
        <v>42</v>
      </c>
      <c r="X314">
        <v>0</v>
      </c>
    </row>
    <row r="315" spans="1:24" x14ac:dyDescent="0.25">
      <c r="A315">
        <v>1</v>
      </c>
      <c r="B315" s="10">
        <v>591108240113</v>
      </c>
      <c r="C315">
        <v>60</v>
      </c>
      <c r="D315" s="10">
        <v>12421213</v>
      </c>
      <c r="F315" t="s">
        <v>40</v>
      </c>
      <c r="G315">
        <v>0</v>
      </c>
      <c r="H315">
        <v>100</v>
      </c>
      <c r="K315">
        <v>1</v>
      </c>
      <c r="L315" t="s">
        <v>41</v>
      </c>
      <c r="M315" t="s">
        <v>89</v>
      </c>
      <c r="N315" s="11">
        <v>2958465</v>
      </c>
      <c r="P315">
        <v>0</v>
      </c>
      <c r="U315">
        <v>4</v>
      </c>
      <c r="V315">
        <v>1</v>
      </c>
      <c r="W315" t="s">
        <v>42</v>
      </c>
      <c r="X315">
        <v>0</v>
      </c>
    </row>
    <row r="316" spans="1:24" x14ac:dyDescent="0.25">
      <c r="A316">
        <v>1</v>
      </c>
      <c r="B316" s="10">
        <v>591108240113</v>
      </c>
      <c r="C316">
        <v>70</v>
      </c>
      <c r="D316" s="10">
        <v>5997499</v>
      </c>
      <c r="F316" t="s">
        <v>68</v>
      </c>
      <c r="G316">
        <v>0</v>
      </c>
      <c r="H316">
        <v>100</v>
      </c>
      <c r="K316">
        <v>1</v>
      </c>
      <c r="L316" t="s">
        <v>41</v>
      </c>
      <c r="M316" t="s">
        <v>89</v>
      </c>
      <c r="N316" s="11">
        <v>2958465</v>
      </c>
      <c r="P316">
        <v>0</v>
      </c>
      <c r="U316">
        <v>4</v>
      </c>
      <c r="V316">
        <v>1</v>
      </c>
      <c r="W316" t="s">
        <v>42</v>
      </c>
      <c r="X316">
        <v>0</v>
      </c>
    </row>
    <row r="317" spans="1:24" x14ac:dyDescent="0.25">
      <c r="A317">
        <v>1</v>
      </c>
      <c r="B317" s="10">
        <v>591108240213</v>
      </c>
      <c r="C317">
        <v>10</v>
      </c>
      <c r="D317" s="10">
        <v>5959672102</v>
      </c>
      <c r="F317" t="s">
        <v>40</v>
      </c>
      <c r="G317">
        <v>0</v>
      </c>
      <c r="H317">
        <v>100</v>
      </c>
      <c r="K317">
        <v>1</v>
      </c>
      <c r="L317" t="s">
        <v>41</v>
      </c>
      <c r="M317" t="s">
        <v>89</v>
      </c>
      <c r="N317" s="11">
        <v>2958465</v>
      </c>
      <c r="P317">
        <v>0</v>
      </c>
      <c r="U317">
        <v>4</v>
      </c>
      <c r="V317">
        <v>1</v>
      </c>
      <c r="W317" t="s">
        <v>42</v>
      </c>
      <c r="X317">
        <v>0</v>
      </c>
    </row>
    <row r="318" spans="1:24" x14ac:dyDescent="0.25">
      <c r="A318">
        <v>1</v>
      </c>
      <c r="B318" s="10">
        <v>591108240213</v>
      </c>
      <c r="C318">
        <v>20</v>
      </c>
      <c r="D318" s="10">
        <v>5959692102</v>
      </c>
      <c r="F318" t="s">
        <v>40</v>
      </c>
      <c r="G318">
        <v>0</v>
      </c>
      <c r="H318">
        <v>100</v>
      </c>
      <c r="K318">
        <v>1</v>
      </c>
      <c r="L318" t="s">
        <v>41</v>
      </c>
      <c r="M318" t="s">
        <v>89</v>
      </c>
      <c r="N318" s="11">
        <v>2958465</v>
      </c>
      <c r="P318">
        <v>0</v>
      </c>
      <c r="U318">
        <v>4</v>
      </c>
      <c r="V318">
        <v>1</v>
      </c>
      <c r="W318" t="s">
        <v>42</v>
      </c>
      <c r="X318">
        <v>0</v>
      </c>
    </row>
    <row r="319" spans="1:24" x14ac:dyDescent="0.25">
      <c r="A319">
        <v>1</v>
      </c>
      <c r="B319" s="10">
        <v>591108240213</v>
      </c>
      <c r="C319">
        <v>30</v>
      </c>
      <c r="D319" s="10">
        <v>5952482102</v>
      </c>
      <c r="F319" t="s">
        <v>40</v>
      </c>
      <c r="G319">
        <v>0</v>
      </c>
      <c r="H319">
        <v>100</v>
      </c>
      <c r="K319">
        <v>1</v>
      </c>
      <c r="L319" t="s">
        <v>41</v>
      </c>
      <c r="M319" t="s">
        <v>89</v>
      </c>
      <c r="N319" s="11">
        <v>2958465</v>
      </c>
      <c r="P319">
        <v>0</v>
      </c>
      <c r="U319">
        <v>4</v>
      </c>
      <c r="V319">
        <v>1</v>
      </c>
      <c r="W319" t="s">
        <v>42</v>
      </c>
      <c r="X319">
        <v>0</v>
      </c>
    </row>
    <row r="320" spans="1:24" x14ac:dyDescent="0.25">
      <c r="A320">
        <v>1</v>
      </c>
      <c r="B320" s="10">
        <v>591108240213</v>
      </c>
      <c r="C320">
        <v>40</v>
      </c>
      <c r="D320" s="10">
        <v>5952792402</v>
      </c>
      <c r="F320" t="s">
        <v>40</v>
      </c>
      <c r="G320">
        <v>0</v>
      </c>
      <c r="H320">
        <v>100</v>
      </c>
      <c r="K320">
        <v>1</v>
      </c>
      <c r="L320" t="s">
        <v>41</v>
      </c>
      <c r="M320" t="s">
        <v>89</v>
      </c>
      <c r="N320" s="11">
        <v>2958465</v>
      </c>
      <c r="P320">
        <v>0</v>
      </c>
      <c r="U320">
        <v>4</v>
      </c>
      <c r="V320">
        <v>1</v>
      </c>
      <c r="W320" t="s">
        <v>42</v>
      </c>
      <c r="X320">
        <v>0</v>
      </c>
    </row>
    <row r="321" spans="1:24" x14ac:dyDescent="0.25">
      <c r="A321">
        <v>1</v>
      </c>
      <c r="B321" s="10">
        <v>591108240213</v>
      </c>
      <c r="C321">
        <v>50</v>
      </c>
      <c r="D321" s="10">
        <v>59102302</v>
      </c>
      <c r="F321" t="s">
        <v>40</v>
      </c>
      <c r="G321">
        <v>0</v>
      </c>
      <c r="H321">
        <v>100</v>
      </c>
      <c r="K321">
        <v>2</v>
      </c>
      <c r="L321" t="s">
        <v>41</v>
      </c>
      <c r="M321" t="s">
        <v>89</v>
      </c>
      <c r="N321" s="11">
        <v>2958465</v>
      </c>
      <c r="P321">
        <v>0</v>
      </c>
      <c r="U321">
        <v>4</v>
      </c>
      <c r="V321">
        <v>1</v>
      </c>
      <c r="W321" t="s">
        <v>42</v>
      </c>
      <c r="X321">
        <v>0</v>
      </c>
    </row>
    <row r="322" spans="1:24" x14ac:dyDescent="0.25">
      <c r="A322">
        <v>1</v>
      </c>
      <c r="B322" s="10">
        <v>591108240213</v>
      </c>
      <c r="C322">
        <v>60</v>
      </c>
      <c r="D322" s="10">
        <v>12421213</v>
      </c>
      <c r="F322" t="s">
        <v>40</v>
      </c>
      <c r="G322">
        <v>0</v>
      </c>
      <c r="H322">
        <v>100</v>
      </c>
      <c r="K322">
        <v>1</v>
      </c>
      <c r="L322" t="s">
        <v>41</v>
      </c>
      <c r="M322" t="s">
        <v>89</v>
      </c>
      <c r="N322" s="11">
        <v>2958465</v>
      </c>
      <c r="P322">
        <v>0</v>
      </c>
      <c r="U322">
        <v>4</v>
      </c>
      <c r="V322">
        <v>1</v>
      </c>
      <c r="W322" t="s">
        <v>42</v>
      </c>
      <c r="X322">
        <v>0</v>
      </c>
    </row>
    <row r="323" spans="1:24" x14ac:dyDescent="0.25">
      <c r="A323">
        <v>1</v>
      </c>
      <c r="B323" s="10">
        <v>591108240213</v>
      </c>
      <c r="C323">
        <v>70</v>
      </c>
      <c r="D323" s="10">
        <v>5997499</v>
      </c>
      <c r="F323" t="s">
        <v>68</v>
      </c>
      <c r="G323">
        <v>0</v>
      </c>
      <c r="H323">
        <v>100</v>
      </c>
      <c r="K323">
        <v>1</v>
      </c>
      <c r="L323" t="s">
        <v>41</v>
      </c>
      <c r="M323" t="s">
        <v>89</v>
      </c>
      <c r="N323" s="11">
        <v>2958465</v>
      </c>
      <c r="P323">
        <v>0</v>
      </c>
      <c r="U323">
        <v>4</v>
      </c>
      <c r="V323">
        <v>1</v>
      </c>
      <c r="W323" t="s">
        <v>42</v>
      </c>
      <c r="X323">
        <v>0</v>
      </c>
    </row>
    <row r="324" spans="1:24" x14ac:dyDescent="0.25">
      <c r="A324">
        <v>1</v>
      </c>
      <c r="B324" s="10">
        <v>591108240313</v>
      </c>
      <c r="C324">
        <v>10</v>
      </c>
      <c r="D324" s="10">
        <v>5959672103</v>
      </c>
      <c r="F324" t="s">
        <v>40</v>
      </c>
      <c r="G324">
        <v>0</v>
      </c>
      <c r="H324">
        <v>100</v>
      </c>
      <c r="K324">
        <v>1</v>
      </c>
      <c r="L324" t="s">
        <v>41</v>
      </c>
      <c r="M324" t="s">
        <v>89</v>
      </c>
      <c r="N324" s="11">
        <v>2958465</v>
      </c>
      <c r="P324">
        <v>0</v>
      </c>
      <c r="U324">
        <v>4</v>
      </c>
      <c r="V324">
        <v>1</v>
      </c>
      <c r="W324" t="s">
        <v>42</v>
      </c>
      <c r="X324">
        <v>0</v>
      </c>
    </row>
    <row r="325" spans="1:24" x14ac:dyDescent="0.25">
      <c r="A325">
        <v>1</v>
      </c>
      <c r="B325" s="10">
        <v>591108240313</v>
      </c>
      <c r="C325">
        <v>20</v>
      </c>
      <c r="D325" s="10">
        <v>5959692103</v>
      </c>
      <c r="F325" t="s">
        <v>40</v>
      </c>
      <c r="G325">
        <v>0</v>
      </c>
      <c r="H325">
        <v>100</v>
      </c>
      <c r="K325">
        <v>1</v>
      </c>
      <c r="L325" t="s">
        <v>41</v>
      </c>
      <c r="M325" t="s">
        <v>89</v>
      </c>
      <c r="N325" s="11">
        <v>2958465</v>
      </c>
      <c r="P325">
        <v>0</v>
      </c>
      <c r="U325">
        <v>4</v>
      </c>
      <c r="V325">
        <v>1</v>
      </c>
      <c r="W325" t="s">
        <v>42</v>
      </c>
      <c r="X325">
        <v>0</v>
      </c>
    </row>
    <row r="326" spans="1:24" x14ac:dyDescent="0.25">
      <c r="A326">
        <v>1</v>
      </c>
      <c r="B326" s="10">
        <v>591108240313</v>
      </c>
      <c r="C326">
        <v>30</v>
      </c>
      <c r="D326" s="10">
        <v>5952482103</v>
      </c>
      <c r="F326" t="s">
        <v>40</v>
      </c>
      <c r="G326">
        <v>0</v>
      </c>
      <c r="H326">
        <v>100</v>
      </c>
      <c r="K326">
        <v>1</v>
      </c>
      <c r="L326" t="s">
        <v>41</v>
      </c>
      <c r="M326" t="s">
        <v>89</v>
      </c>
      <c r="N326" s="11">
        <v>2958465</v>
      </c>
      <c r="P326">
        <v>0</v>
      </c>
      <c r="U326">
        <v>4</v>
      </c>
      <c r="V326">
        <v>1</v>
      </c>
      <c r="W326" t="s">
        <v>42</v>
      </c>
      <c r="X326">
        <v>0</v>
      </c>
    </row>
    <row r="327" spans="1:24" x14ac:dyDescent="0.25">
      <c r="A327">
        <v>1</v>
      </c>
      <c r="B327" s="10">
        <v>591108240313</v>
      </c>
      <c r="C327">
        <v>40</v>
      </c>
      <c r="D327" s="10">
        <v>5952792403</v>
      </c>
      <c r="F327" t="s">
        <v>40</v>
      </c>
      <c r="G327">
        <v>0</v>
      </c>
      <c r="H327">
        <v>100</v>
      </c>
      <c r="K327">
        <v>1</v>
      </c>
      <c r="L327" t="s">
        <v>41</v>
      </c>
      <c r="M327" t="s">
        <v>89</v>
      </c>
      <c r="N327" s="11">
        <v>2958465</v>
      </c>
      <c r="P327">
        <v>0</v>
      </c>
      <c r="U327">
        <v>4</v>
      </c>
      <c r="V327">
        <v>1</v>
      </c>
      <c r="W327" t="s">
        <v>42</v>
      </c>
      <c r="X327">
        <v>0</v>
      </c>
    </row>
    <row r="328" spans="1:24" x14ac:dyDescent="0.25">
      <c r="A328">
        <v>1</v>
      </c>
      <c r="B328" s="10">
        <v>591108240313</v>
      </c>
      <c r="C328">
        <v>50</v>
      </c>
      <c r="D328" s="10">
        <v>59102303</v>
      </c>
      <c r="F328" t="s">
        <v>40</v>
      </c>
      <c r="G328">
        <v>0</v>
      </c>
      <c r="H328">
        <v>100</v>
      </c>
      <c r="K328">
        <v>2</v>
      </c>
      <c r="L328" t="s">
        <v>41</v>
      </c>
      <c r="M328" t="s">
        <v>89</v>
      </c>
      <c r="N328" s="11">
        <v>2958465</v>
      </c>
      <c r="P328">
        <v>0</v>
      </c>
      <c r="U328">
        <v>4</v>
      </c>
      <c r="V328">
        <v>1</v>
      </c>
      <c r="W328" t="s">
        <v>42</v>
      </c>
      <c r="X328">
        <v>0</v>
      </c>
    </row>
    <row r="329" spans="1:24" x14ac:dyDescent="0.25">
      <c r="A329">
        <v>1</v>
      </c>
      <c r="B329" s="10">
        <v>591108240313</v>
      </c>
      <c r="C329">
        <v>60</v>
      </c>
      <c r="D329" s="10">
        <v>12421213</v>
      </c>
      <c r="F329" t="s">
        <v>40</v>
      </c>
      <c r="G329">
        <v>0</v>
      </c>
      <c r="H329">
        <v>100</v>
      </c>
      <c r="K329">
        <v>1</v>
      </c>
      <c r="L329" t="s">
        <v>41</v>
      </c>
      <c r="M329" t="s">
        <v>89</v>
      </c>
      <c r="N329" s="11">
        <v>2958465</v>
      </c>
      <c r="P329">
        <v>0</v>
      </c>
      <c r="U329">
        <v>4</v>
      </c>
      <c r="V329">
        <v>1</v>
      </c>
      <c r="W329" t="s">
        <v>42</v>
      </c>
      <c r="X329">
        <v>0</v>
      </c>
    </row>
    <row r="330" spans="1:24" x14ac:dyDescent="0.25">
      <c r="A330">
        <v>1</v>
      </c>
      <c r="B330" s="10">
        <v>591108240313</v>
      </c>
      <c r="C330">
        <v>70</v>
      </c>
      <c r="D330" s="10">
        <v>5997499</v>
      </c>
      <c r="F330" t="s">
        <v>68</v>
      </c>
      <c r="G330">
        <v>0</v>
      </c>
      <c r="H330">
        <v>100</v>
      </c>
      <c r="K330">
        <v>1</v>
      </c>
      <c r="L330" t="s">
        <v>41</v>
      </c>
      <c r="M330" t="s">
        <v>89</v>
      </c>
      <c r="N330" s="11">
        <v>2958465</v>
      </c>
      <c r="P330">
        <v>0</v>
      </c>
      <c r="U330">
        <v>4</v>
      </c>
      <c r="V330">
        <v>1</v>
      </c>
      <c r="W330" t="s">
        <v>42</v>
      </c>
      <c r="X330">
        <v>0</v>
      </c>
    </row>
    <row r="331" spans="1:24" x14ac:dyDescent="0.25">
      <c r="A331">
        <v>1</v>
      </c>
      <c r="B331" s="10">
        <v>591108240413</v>
      </c>
      <c r="C331">
        <v>10</v>
      </c>
      <c r="D331" s="10">
        <v>5959672104</v>
      </c>
      <c r="F331" t="s">
        <v>40</v>
      </c>
      <c r="G331">
        <v>0</v>
      </c>
      <c r="H331">
        <v>100</v>
      </c>
      <c r="K331">
        <v>1</v>
      </c>
      <c r="L331" t="s">
        <v>41</v>
      </c>
      <c r="M331" t="s">
        <v>89</v>
      </c>
      <c r="N331" s="11">
        <v>2958465</v>
      </c>
      <c r="P331">
        <v>0</v>
      </c>
      <c r="U331">
        <v>4</v>
      </c>
      <c r="V331">
        <v>1</v>
      </c>
      <c r="W331" t="s">
        <v>42</v>
      </c>
      <c r="X331">
        <v>0</v>
      </c>
    </row>
    <row r="332" spans="1:24" x14ac:dyDescent="0.25">
      <c r="A332">
        <v>1</v>
      </c>
      <c r="B332" s="10">
        <v>591108240413</v>
      </c>
      <c r="C332">
        <v>20</v>
      </c>
      <c r="D332" s="10">
        <v>5959692104</v>
      </c>
      <c r="F332" t="s">
        <v>40</v>
      </c>
      <c r="G332">
        <v>0</v>
      </c>
      <c r="H332">
        <v>100</v>
      </c>
      <c r="K332">
        <v>1</v>
      </c>
      <c r="L332" t="s">
        <v>41</v>
      </c>
      <c r="M332" t="s">
        <v>89</v>
      </c>
      <c r="N332" s="11">
        <v>2958465</v>
      </c>
      <c r="P332">
        <v>0</v>
      </c>
      <c r="U332">
        <v>4</v>
      </c>
      <c r="V332">
        <v>1</v>
      </c>
      <c r="W332" t="s">
        <v>42</v>
      </c>
      <c r="X332">
        <v>0</v>
      </c>
    </row>
    <row r="333" spans="1:24" x14ac:dyDescent="0.25">
      <c r="A333">
        <v>1</v>
      </c>
      <c r="B333" s="10">
        <v>591108240413</v>
      </c>
      <c r="C333">
        <v>30</v>
      </c>
      <c r="D333" s="10">
        <v>5952482104</v>
      </c>
      <c r="F333" t="s">
        <v>40</v>
      </c>
      <c r="G333">
        <v>0</v>
      </c>
      <c r="H333">
        <v>100</v>
      </c>
      <c r="K333">
        <v>1</v>
      </c>
      <c r="L333" t="s">
        <v>41</v>
      </c>
      <c r="M333" t="s">
        <v>89</v>
      </c>
      <c r="N333" s="11">
        <v>2958465</v>
      </c>
      <c r="P333">
        <v>0</v>
      </c>
      <c r="U333">
        <v>4</v>
      </c>
      <c r="V333">
        <v>1</v>
      </c>
      <c r="W333" t="s">
        <v>42</v>
      </c>
      <c r="X333">
        <v>0</v>
      </c>
    </row>
    <row r="334" spans="1:24" x14ac:dyDescent="0.25">
      <c r="A334">
        <v>1</v>
      </c>
      <c r="B334" s="10">
        <v>591108240413</v>
      </c>
      <c r="C334">
        <v>40</v>
      </c>
      <c r="D334" s="10">
        <v>5952792404</v>
      </c>
      <c r="F334" t="s">
        <v>40</v>
      </c>
      <c r="G334">
        <v>0</v>
      </c>
      <c r="H334">
        <v>100</v>
      </c>
      <c r="K334">
        <v>1</v>
      </c>
      <c r="L334" t="s">
        <v>41</v>
      </c>
      <c r="M334" t="s">
        <v>89</v>
      </c>
      <c r="N334" s="11">
        <v>2958465</v>
      </c>
      <c r="P334">
        <v>0</v>
      </c>
      <c r="U334">
        <v>4</v>
      </c>
      <c r="V334">
        <v>1</v>
      </c>
      <c r="W334" t="s">
        <v>42</v>
      </c>
      <c r="X334">
        <v>0</v>
      </c>
    </row>
    <row r="335" spans="1:24" x14ac:dyDescent="0.25">
      <c r="A335">
        <v>1</v>
      </c>
      <c r="B335" s="10">
        <v>591108240413</v>
      </c>
      <c r="C335">
        <v>50</v>
      </c>
      <c r="D335" s="10">
        <v>59102304</v>
      </c>
      <c r="F335" t="s">
        <v>40</v>
      </c>
      <c r="G335">
        <v>0</v>
      </c>
      <c r="H335">
        <v>100</v>
      </c>
      <c r="K335">
        <v>2</v>
      </c>
      <c r="L335" t="s">
        <v>41</v>
      </c>
      <c r="M335" t="s">
        <v>89</v>
      </c>
      <c r="N335" s="11">
        <v>2958465</v>
      </c>
      <c r="P335">
        <v>0</v>
      </c>
      <c r="U335">
        <v>4</v>
      </c>
      <c r="V335">
        <v>1</v>
      </c>
      <c r="W335" t="s">
        <v>42</v>
      </c>
      <c r="X335">
        <v>0</v>
      </c>
    </row>
    <row r="336" spans="1:24" x14ac:dyDescent="0.25">
      <c r="A336">
        <v>1</v>
      </c>
      <c r="B336" s="10">
        <v>591108240413</v>
      </c>
      <c r="C336">
        <v>60</v>
      </c>
      <c r="D336" s="10">
        <v>12421213</v>
      </c>
      <c r="F336" t="s">
        <v>40</v>
      </c>
      <c r="G336">
        <v>0</v>
      </c>
      <c r="H336">
        <v>100</v>
      </c>
      <c r="K336">
        <v>1</v>
      </c>
      <c r="L336" t="s">
        <v>41</v>
      </c>
      <c r="M336" t="s">
        <v>89</v>
      </c>
      <c r="N336" s="11">
        <v>2958465</v>
      </c>
      <c r="P336">
        <v>0</v>
      </c>
      <c r="U336">
        <v>4</v>
      </c>
      <c r="V336">
        <v>1</v>
      </c>
      <c r="W336" t="s">
        <v>42</v>
      </c>
      <c r="X336">
        <v>0</v>
      </c>
    </row>
    <row r="337" spans="1:24" x14ac:dyDescent="0.25">
      <c r="A337">
        <v>1</v>
      </c>
      <c r="B337" s="10">
        <v>591108240413</v>
      </c>
      <c r="C337">
        <v>70</v>
      </c>
      <c r="D337" s="10">
        <v>5997499</v>
      </c>
      <c r="F337" t="s">
        <v>68</v>
      </c>
      <c r="G337">
        <v>0</v>
      </c>
      <c r="H337">
        <v>100</v>
      </c>
      <c r="K337">
        <v>1</v>
      </c>
      <c r="L337" t="s">
        <v>41</v>
      </c>
      <c r="M337" t="s">
        <v>89</v>
      </c>
      <c r="N337" s="11">
        <v>2958465</v>
      </c>
      <c r="P337">
        <v>0</v>
      </c>
      <c r="U337">
        <v>4</v>
      </c>
      <c r="V337">
        <v>1</v>
      </c>
      <c r="W337" t="s">
        <v>42</v>
      </c>
      <c r="X337">
        <v>0</v>
      </c>
    </row>
    <row r="338" spans="1:24" x14ac:dyDescent="0.25">
      <c r="A338">
        <v>1</v>
      </c>
      <c r="B338" s="10">
        <v>591108240513</v>
      </c>
      <c r="C338">
        <v>10</v>
      </c>
      <c r="D338" s="10">
        <v>5959672105</v>
      </c>
      <c r="F338" t="s">
        <v>40</v>
      </c>
      <c r="G338">
        <v>0</v>
      </c>
      <c r="H338">
        <v>100</v>
      </c>
      <c r="K338">
        <v>1</v>
      </c>
      <c r="L338" t="s">
        <v>41</v>
      </c>
      <c r="M338" t="s">
        <v>89</v>
      </c>
      <c r="N338" s="11">
        <v>2958465</v>
      </c>
      <c r="P338">
        <v>0</v>
      </c>
      <c r="U338">
        <v>4</v>
      </c>
      <c r="V338">
        <v>1</v>
      </c>
      <c r="W338" t="s">
        <v>42</v>
      </c>
      <c r="X338">
        <v>0</v>
      </c>
    </row>
    <row r="339" spans="1:24" x14ac:dyDescent="0.25">
      <c r="A339">
        <v>1</v>
      </c>
      <c r="B339" s="10">
        <v>591108240513</v>
      </c>
      <c r="C339">
        <v>20</v>
      </c>
      <c r="D339" s="10">
        <v>5959692105</v>
      </c>
      <c r="F339" t="s">
        <v>40</v>
      </c>
      <c r="G339">
        <v>0</v>
      </c>
      <c r="H339">
        <v>100</v>
      </c>
      <c r="K339">
        <v>1</v>
      </c>
      <c r="L339" t="s">
        <v>41</v>
      </c>
      <c r="M339" t="s">
        <v>89</v>
      </c>
      <c r="N339" s="11">
        <v>2958465</v>
      </c>
      <c r="P339">
        <v>0</v>
      </c>
      <c r="U339">
        <v>4</v>
      </c>
      <c r="V339">
        <v>1</v>
      </c>
      <c r="W339" t="s">
        <v>42</v>
      </c>
      <c r="X339">
        <v>0</v>
      </c>
    </row>
    <row r="340" spans="1:24" x14ac:dyDescent="0.25">
      <c r="A340">
        <v>1</v>
      </c>
      <c r="B340" s="10">
        <v>591108240513</v>
      </c>
      <c r="C340">
        <v>30</v>
      </c>
      <c r="D340" s="10">
        <v>5952482105</v>
      </c>
      <c r="F340" t="s">
        <v>40</v>
      </c>
      <c r="G340">
        <v>0</v>
      </c>
      <c r="H340">
        <v>100</v>
      </c>
      <c r="K340">
        <v>1</v>
      </c>
      <c r="L340" t="s">
        <v>41</v>
      </c>
      <c r="M340" t="s">
        <v>89</v>
      </c>
      <c r="N340" s="11">
        <v>2958465</v>
      </c>
      <c r="P340">
        <v>0</v>
      </c>
      <c r="U340">
        <v>4</v>
      </c>
      <c r="V340">
        <v>1</v>
      </c>
      <c r="W340" t="s">
        <v>42</v>
      </c>
      <c r="X340">
        <v>0</v>
      </c>
    </row>
    <row r="341" spans="1:24" x14ac:dyDescent="0.25">
      <c r="A341">
        <v>1</v>
      </c>
      <c r="B341" s="10">
        <v>591108240513</v>
      </c>
      <c r="C341">
        <v>40</v>
      </c>
      <c r="D341" s="10">
        <v>5952792405</v>
      </c>
      <c r="F341" t="s">
        <v>40</v>
      </c>
      <c r="G341">
        <v>0</v>
      </c>
      <c r="H341">
        <v>100</v>
      </c>
      <c r="K341">
        <v>1</v>
      </c>
      <c r="L341" t="s">
        <v>41</v>
      </c>
      <c r="M341" t="s">
        <v>89</v>
      </c>
      <c r="N341" s="11">
        <v>2958465</v>
      </c>
      <c r="P341">
        <v>0</v>
      </c>
      <c r="U341">
        <v>4</v>
      </c>
      <c r="V341">
        <v>1</v>
      </c>
      <c r="W341" t="s">
        <v>42</v>
      </c>
      <c r="X341">
        <v>0</v>
      </c>
    </row>
    <row r="342" spans="1:24" x14ac:dyDescent="0.25">
      <c r="A342">
        <v>1</v>
      </c>
      <c r="B342" s="10">
        <v>591108240513</v>
      </c>
      <c r="C342">
        <v>50</v>
      </c>
      <c r="D342" s="10">
        <v>59102305</v>
      </c>
      <c r="F342" t="s">
        <v>40</v>
      </c>
      <c r="G342">
        <v>0</v>
      </c>
      <c r="H342">
        <v>100</v>
      </c>
      <c r="K342">
        <v>2</v>
      </c>
      <c r="L342" t="s">
        <v>41</v>
      </c>
      <c r="M342" t="s">
        <v>89</v>
      </c>
      <c r="N342" s="11">
        <v>2958465</v>
      </c>
      <c r="P342">
        <v>0</v>
      </c>
      <c r="U342">
        <v>4</v>
      </c>
      <c r="V342">
        <v>1</v>
      </c>
      <c r="W342" t="s">
        <v>42</v>
      </c>
      <c r="X342">
        <v>0</v>
      </c>
    </row>
    <row r="343" spans="1:24" x14ac:dyDescent="0.25">
      <c r="A343">
        <v>1</v>
      </c>
      <c r="B343" s="10">
        <v>591108240513</v>
      </c>
      <c r="C343">
        <v>60</v>
      </c>
      <c r="D343" s="10">
        <v>12421213</v>
      </c>
      <c r="F343" t="s">
        <v>40</v>
      </c>
      <c r="G343">
        <v>0</v>
      </c>
      <c r="H343">
        <v>100</v>
      </c>
      <c r="K343">
        <v>1</v>
      </c>
      <c r="L343" t="s">
        <v>41</v>
      </c>
      <c r="M343" t="s">
        <v>89</v>
      </c>
      <c r="N343" s="11">
        <v>2958465</v>
      </c>
      <c r="P343">
        <v>0</v>
      </c>
      <c r="U343">
        <v>4</v>
      </c>
      <c r="V343">
        <v>1</v>
      </c>
      <c r="W343" t="s">
        <v>42</v>
      </c>
      <c r="X343">
        <v>0</v>
      </c>
    </row>
    <row r="344" spans="1:24" x14ac:dyDescent="0.25">
      <c r="A344">
        <v>1</v>
      </c>
      <c r="B344" s="10">
        <v>591108240513</v>
      </c>
      <c r="C344">
        <v>70</v>
      </c>
      <c r="D344" s="10">
        <v>5997499</v>
      </c>
      <c r="F344" t="s">
        <v>68</v>
      </c>
      <c r="G344">
        <v>0</v>
      </c>
      <c r="H344">
        <v>100</v>
      </c>
      <c r="K344">
        <v>1</v>
      </c>
      <c r="L344" t="s">
        <v>41</v>
      </c>
      <c r="M344" t="s">
        <v>89</v>
      </c>
      <c r="N344" s="11">
        <v>2958465</v>
      </c>
      <c r="P344">
        <v>0</v>
      </c>
      <c r="U344">
        <v>4</v>
      </c>
      <c r="V344">
        <v>1</v>
      </c>
      <c r="W344" t="s">
        <v>42</v>
      </c>
      <c r="X344">
        <v>0</v>
      </c>
    </row>
    <row r="345" spans="1:24" x14ac:dyDescent="0.25">
      <c r="A345">
        <v>1</v>
      </c>
      <c r="B345" s="10">
        <v>591108240613</v>
      </c>
      <c r="C345">
        <v>10</v>
      </c>
      <c r="D345" s="10">
        <v>5959672106</v>
      </c>
      <c r="F345" t="s">
        <v>40</v>
      </c>
      <c r="G345">
        <v>0</v>
      </c>
      <c r="H345">
        <v>100</v>
      </c>
      <c r="K345">
        <v>1</v>
      </c>
      <c r="L345" t="s">
        <v>41</v>
      </c>
      <c r="M345" t="s">
        <v>89</v>
      </c>
      <c r="N345" s="11">
        <v>2958465</v>
      </c>
      <c r="P345">
        <v>0</v>
      </c>
      <c r="U345">
        <v>4</v>
      </c>
      <c r="V345">
        <v>1</v>
      </c>
      <c r="W345" t="s">
        <v>42</v>
      </c>
      <c r="X345">
        <v>0</v>
      </c>
    </row>
    <row r="346" spans="1:24" x14ac:dyDescent="0.25">
      <c r="A346">
        <v>1</v>
      </c>
      <c r="B346" s="10">
        <v>591108240613</v>
      </c>
      <c r="C346">
        <v>20</v>
      </c>
      <c r="D346" s="10">
        <v>5959692106</v>
      </c>
      <c r="F346" t="s">
        <v>40</v>
      </c>
      <c r="G346">
        <v>0</v>
      </c>
      <c r="H346">
        <v>100</v>
      </c>
      <c r="K346">
        <v>1</v>
      </c>
      <c r="L346" t="s">
        <v>41</v>
      </c>
      <c r="M346" t="s">
        <v>89</v>
      </c>
      <c r="N346" s="11">
        <v>2958465</v>
      </c>
      <c r="P346">
        <v>0</v>
      </c>
      <c r="U346">
        <v>4</v>
      </c>
      <c r="V346">
        <v>1</v>
      </c>
      <c r="W346" t="s">
        <v>42</v>
      </c>
      <c r="X346">
        <v>0</v>
      </c>
    </row>
    <row r="347" spans="1:24" x14ac:dyDescent="0.25">
      <c r="A347">
        <v>1</v>
      </c>
      <c r="B347" s="10">
        <v>591108240613</v>
      </c>
      <c r="C347">
        <v>30</v>
      </c>
      <c r="D347" s="10">
        <v>5952482106</v>
      </c>
      <c r="F347" t="s">
        <v>40</v>
      </c>
      <c r="G347">
        <v>0</v>
      </c>
      <c r="H347">
        <v>100</v>
      </c>
      <c r="K347">
        <v>1</v>
      </c>
      <c r="L347" t="s">
        <v>41</v>
      </c>
      <c r="M347" t="s">
        <v>89</v>
      </c>
      <c r="N347" s="11">
        <v>2958465</v>
      </c>
      <c r="P347">
        <v>0</v>
      </c>
      <c r="U347">
        <v>4</v>
      </c>
      <c r="V347">
        <v>1</v>
      </c>
      <c r="W347" t="s">
        <v>42</v>
      </c>
      <c r="X347">
        <v>0</v>
      </c>
    </row>
    <row r="348" spans="1:24" x14ac:dyDescent="0.25">
      <c r="A348">
        <v>1</v>
      </c>
      <c r="B348" s="10">
        <v>591108240613</v>
      </c>
      <c r="C348">
        <v>40</v>
      </c>
      <c r="D348" s="10">
        <v>5952792406</v>
      </c>
      <c r="F348" t="s">
        <v>40</v>
      </c>
      <c r="G348">
        <v>0</v>
      </c>
      <c r="H348">
        <v>100</v>
      </c>
      <c r="K348">
        <v>1</v>
      </c>
      <c r="L348" t="s">
        <v>41</v>
      </c>
      <c r="M348" t="s">
        <v>89</v>
      </c>
      <c r="N348" s="11">
        <v>2958465</v>
      </c>
      <c r="P348">
        <v>0</v>
      </c>
      <c r="U348">
        <v>4</v>
      </c>
      <c r="V348">
        <v>1</v>
      </c>
      <c r="W348" t="s">
        <v>42</v>
      </c>
      <c r="X348">
        <v>0</v>
      </c>
    </row>
    <row r="349" spans="1:24" x14ac:dyDescent="0.25">
      <c r="A349">
        <v>1</v>
      </c>
      <c r="B349" s="10">
        <v>591108240613</v>
      </c>
      <c r="C349">
        <v>50</v>
      </c>
      <c r="D349" s="10">
        <v>59102306</v>
      </c>
      <c r="F349" t="s">
        <v>40</v>
      </c>
      <c r="G349">
        <v>0</v>
      </c>
      <c r="H349">
        <v>100</v>
      </c>
      <c r="K349">
        <v>2</v>
      </c>
      <c r="L349" t="s">
        <v>41</v>
      </c>
      <c r="M349" t="s">
        <v>89</v>
      </c>
      <c r="N349" s="11">
        <v>2958465</v>
      </c>
      <c r="P349">
        <v>0</v>
      </c>
      <c r="U349">
        <v>4</v>
      </c>
      <c r="V349">
        <v>1</v>
      </c>
      <c r="W349" t="s">
        <v>42</v>
      </c>
      <c r="X349">
        <v>0</v>
      </c>
    </row>
    <row r="350" spans="1:24" x14ac:dyDescent="0.25">
      <c r="A350">
        <v>1</v>
      </c>
      <c r="B350" s="10">
        <v>591108240613</v>
      </c>
      <c r="C350">
        <v>60</v>
      </c>
      <c r="D350" s="10">
        <v>12421213</v>
      </c>
      <c r="F350" t="s">
        <v>40</v>
      </c>
      <c r="G350">
        <v>0</v>
      </c>
      <c r="H350">
        <v>100</v>
      </c>
      <c r="K350">
        <v>1</v>
      </c>
      <c r="L350" t="s">
        <v>41</v>
      </c>
      <c r="M350" t="s">
        <v>89</v>
      </c>
      <c r="N350" s="11">
        <v>2958465</v>
      </c>
      <c r="P350">
        <v>0</v>
      </c>
      <c r="U350">
        <v>4</v>
      </c>
      <c r="V350">
        <v>1</v>
      </c>
      <c r="W350" t="s">
        <v>42</v>
      </c>
      <c r="X350">
        <v>0</v>
      </c>
    </row>
    <row r="351" spans="1:24" x14ac:dyDescent="0.25">
      <c r="A351">
        <v>1</v>
      </c>
      <c r="B351" s="10">
        <v>591108240613</v>
      </c>
      <c r="C351">
        <v>70</v>
      </c>
      <c r="D351" s="10">
        <v>5997499</v>
      </c>
      <c r="F351" t="s">
        <v>68</v>
      </c>
      <c r="G351">
        <v>0</v>
      </c>
      <c r="H351">
        <v>100</v>
      </c>
      <c r="K351">
        <v>1</v>
      </c>
      <c r="L351" t="s">
        <v>41</v>
      </c>
      <c r="M351" t="s">
        <v>89</v>
      </c>
      <c r="N351" s="11">
        <v>2958465</v>
      </c>
      <c r="P351">
        <v>0</v>
      </c>
      <c r="U351">
        <v>4</v>
      </c>
      <c r="V351">
        <v>1</v>
      </c>
      <c r="W351" t="s">
        <v>42</v>
      </c>
      <c r="X351">
        <v>0</v>
      </c>
    </row>
    <row r="352" spans="1:24" x14ac:dyDescent="0.25">
      <c r="A352">
        <v>1</v>
      </c>
      <c r="B352" s="10">
        <v>591108240713</v>
      </c>
      <c r="C352">
        <v>10</v>
      </c>
      <c r="D352" s="10">
        <v>5959672107</v>
      </c>
      <c r="F352" t="s">
        <v>40</v>
      </c>
      <c r="G352">
        <v>0</v>
      </c>
      <c r="H352">
        <v>100</v>
      </c>
      <c r="K352">
        <v>1</v>
      </c>
      <c r="L352" t="s">
        <v>41</v>
      </c>
      <c r="M352" t="s">
        <v>89</v>
      </c>
      <c r="N352" s="11">
        <v>2958465</v>
      </c>
      <c r="P352">
        <v>0</v>
      </c>
      <c r="U352">
        <v>4</v>
      </c>
      <c r="V352">
        <v>1</v>
      </c>
      <c r="W352" t="s">
        <v>42</v>
      </c>
      <c r="X352">
        <v>0</v>
      </c>
    </row>
    <row r="353" spans="1:24" x14ac:dyDescent="0.25">
      <c r="A353">
        <v>1</v>
      </c>
      <c r="B353" s="10">
        <v>591108240713</v>
      </c>
      <c r="C353">
        <v>20</v>
      </c>
      <c r="D353" s="10">
        <v>5959692107</v>
      </c>
      <c r="F353" t="s">
        <v>40</v>
      </c>
      <c r="G353">
        <v>0</v>
      </c>
      <c r="H353">
        <v>100</v>
      </c>
      <c r="K353">
        <v>1</v>
      </c>
      <c r="L353" t="s">
        <v>41</v>
      </c>
      <c r="M353" t="s">
        <v>89</v>
      </c>
      <c r="N353" s="11">
        <v>2958465</v>
      </c>
      <c r="P353">
        <v>0</v>
      </c>
      <c r="U353">
        <v>4</v>
      </c>
      <c r="V353">
        <v>1</v>
      </c>
      <c r="W353" t="s">
        <v>42</v>
      </c>
      <c r="X353">
        <v>0</v>
      </c>
    </row>
    <row r="354" spans="1:24" x14ac:dyDescent="0.25">
      <c r="A354">
        <v>1</v>
      </c>
      <c r="B354" s="10">
        <v>591108240713</v>
      </c>
      <c r="C354">
        <v>30</v>
      </c>
      <c r="D354" s="10">
        <v>5952482107</v>
      </c>
      <c r="F354" t="s">
        <v>40</v>
      </c>
      <c r="G354">
        <v>0</v>
      </c>
      <c r="H354">
        <v>100</v>
      </c>
      <c r="K354">
        <v>1</v>
      </c>
      <c r="L354" t="s">
        <v>41</v>
      </c>
      <c r="M354" t="s">
        <v>89</v>
      </c>
      <c r="N354" s="11">
        <v>2958465</v>
      </c>
      <c r="P354">
        <v>0</v>
      </c>
      <c r="U354">
        <v>4</v>
      </c>
      <c r="V354">
        <v>1</v>
      </c>
      <c r="W354" t="s">
        <v>42</v>
      </c>
      <c r="X354">
        <v>0</v>
      </c>
    </row>
    <row r="355" spans="1:24" x14ac:dyDescent="0.25">
      <c r="A355">
        <v>1</v>
      </c>
      <c r="B355" s="10">
        <v>591108240713</v>
      </c>
      <c r="C355">
        <v>40</v>
      </c>
      <c r="D355" s="10">
        <v>5952792407</v>
      </c>
      <c r="F355" t="s">
        <v>40</v>
      </c>
      <c r="G355">
        <v>0</v>
      </c>
      <c r="H355">
        <v>100</v>
      </c>
      <c r="K355">
        <v>1</v>
      </c>
      <c r="L355" t="s">
        <v>41</v>
      </c>
      <c r="M355" t="s">
        <v>89</v>
      </c>
      <c r="N355" s="11">
        <v>2958465</v>
      </c>
      <c r="P355">
        <v>0</v>
      </c>
      <c r="U355">
        <v>4</v>
      </c>
      <c r="V355">
        <v>1</v>
      </c>
      <c r="W355" t="s">
        <v>42</v>
      </c>
      <c r="X355">
        <v>0</v>
      </c>
    </row>
    <row r="356" spans="1:24" x14ac:dyDescent="0.25">
      <c r="A356">
        <v>1</v>
      </c>
      <c r="B356" s="10">
        <v>591108240713</v>
      </c>
      <c r="C356">
        <v>50</v>
      </c>
      <c r="D356" s="10">
        <v>59102307</v>
      </c>
      <c r="F356" t="s">
        <v>40</v>
      </c>
      <c r="G356">
        <v>0</v>
      </c>
      <c r="H356">
        <v>100</v>
      </c>
      <c r="K356">
        <v>2</v>
      </c>
      <c r="L356" t="s">
        <v>41</v>
      </c>
      <c r="M356" t="s">
        <v>89</v>
      </c>
      <c r="N356" s="11">
        <v>2958465</v>
      </c>
      <c r="P356">
        <v>0</v>
      </c>
      <c r="U356">
        <v>4</v>
      </c>
      <c r="V356">
        <v>1</v>
      </c>
      <c r="W356" t="s">
        <v>42</v>
      </c>
      <c r="X356">
        <v>0</v>
      </c>
    </row>
    <row r="357" spans="1:24" x14ac:dyDescent="0.25">
      <c r="A357">
        <v>1</v>
      </c>
      <c r="B357" s="10">
        <v>591108240713</v>
      </c>
      <c r="C357">
        <v>60</v>
      </c>
      <c r="D357" s="10">
        <v>12421213</v>
      </c>
      <c r="F357" t="s">
        <v>40</v>
      </c>
      <c r="G357">
        <v>0</v>
      </c>
      <c r="H357">
        <v>100</v>
      </c>
      <c r="K357">
        <v>1</v>
      </c>
      <c r="L357" t="s">
        <v>41</v>
      </c>
      <c r="M357" t="s">
        <v>89</v>
      </c>
      <c r="N357" s="11">
        <v>2958465</v>
      </c>
      <c r="P357">
        <v>0</v>
      </c>
      <c r="U357">
        <v>4</v>
      </c>
      <c r="V357">
        <v>1</v>
      </c>
      <c r="W357" t="s">
        <v>42</v>
      </c>
      <c r="X357">
        <v>0</v>
      </c>
    </row>
    <row r="358" spans="1:24" x14ac:dyDescent="0.25">
      <c r="A358">
        <v>1</v>
      </c>
      <c r="B358" s="10">
        <v>591108240713</v>
      </c>
      <c r="C358">
        <v>70</v>
      </c>
      <c r="D358" s="10">
        <v>5997499</v>
      </c>
      <c r="F358" t="s">
        <v>68</v>
      </c>
      <c r="G358">
        <v>0</v>
      </c>
      <c r="H358">
        <v>100</v>
      </c>
      <c r="K358">
        <v>1</v>
      </c>
      <c r="L358" t="s">
        <v>41</v>
      </c>
      <c r="M358" t="s">
        <v>89</v>
      </c>
      <c r="N358" s="11">
        <v>2958465</v>
      </c>
      <c r="P358">
        <v>0</v>
      </c>
      <c r="U358">
        <v>4</v>
      </c>
      <c r="V358">
        <v>1</v>
      </c>
      <c r="W358" t="s">
        <v>42</v>
      </c>
      <c r="X358">
        <v>0</v>
      </c>
    </row>
    <row r="359" spans="1:24" x14ac:dyDescent="0.25">
      <c r="A359">
        <v>1</v>
      </c>
      <c r="B359" s="10">
        <v>591108240813</v>
      </c>
      <c r="C359">
        <v>10</v>
      </c>
      <c r="D359" s="10">
        <v>5959672108</v>
      </c>
      <c r="F359" t="s">
        <v>40</v>
      </c>
      <c r="G359">
        <v>0</v>
      </c>
      <c r="H359">
        <v>100</v>
      </c>
      <c r="K359">
        <v>1</v>
      </c>
      <c r="L359" t="s">
        <v>41</v>
      </c>
      <c r="M359" t="s">
        <v>89</v>
      </c>
      <c r="N359" s="11">
        <v>2958465</v>
      </c>
      <c r="P359">
        <v>0</v>
      </c>
      <c r="U359">
        <v>4</v>
      </c>
      <c r="V359">
        <v>1</v>
      </c>
      <c r="W359" t="s">
        <v>42</v>
      </c>
      <c r="X359">
        <v>0</v>
      </c>
    </row>
    <row r="360" spans="1:24" x14ac:dyDescent="0.25">
      <c r="A360">
        <v>1</v>
      </c>
      <c r="B360" s="10">
        <v>591108240813</v>
      </c>
      <c r="C360">
        <v>20</v>
      </c>
      <c r="D360" s="10">
        <v>5959692108</v>
      </c>
      <c r="F360" t="s">
        <v>40</v>
      </c>
      <c r="G360">
        <v>0</v>
      </c>
      <c r="H360">
        <v>100</v>
      </c>
      <c r="K360">
        <v>1</v>
      </c>
      <c r="L360" t="s">
        <v>41</v>
      </c>
      <c r="M360" t="s">
        <v>89</v>
      </c>
      <c r="N360" s="11">
        <v>2958465</v>
      </c>
      <c r="P360">
        <v>0</v>
      </c>
      <c r="U360">
        <v>4</v>
      </c>
      <c r="V360">
        <v>1</v>
      </c>
      <c r="W360" t="s">
        <v>42</v>
      </c>
      <c r="X360">
        <v>0</v>
      </c>
    </row>
    <row r="361" spans="1:24" x14ac:dyDescent="0.25">
      <c r="A361">
        <v>1</v>
      </c>
      <c r="B361" s="10">
        <v>591108240813</v>
      </c>
      <c r="C361">
        <v>30</v>
      </c>
      <c r="D361" s="10">
        <v>5952482108</v>
      </c>
      <c r="F361" t="s">
        <v>40</v>
      </c>
      <c r="G361">
        <v>0</v>
      </c>
      <c r="H361">
        <v>100</v>
      </c>
      <c r="K361">
        <v>1</v>
      </c>
      <c r="L361" t="s">
        <v>41</v>
      </c>
      <c r="M361" t="s">
        <v>89</v>
      </c>
      <c r="N361" s="11">
        <v>2958465</v>
      </c>
      <c r="P361">
        <v>0</v>
      </c>
      <c r="U361">
        <v>4</v>
      </c>
      <c r="V361">
        <v>1</v>
      </c>
      <c r="W361" t="s">
        <v>42</v>
      </c>
      <c r="X361">
        <v>0</v>
      </c>
    </row>
    <row r="362" spans="1:24" x14ac:dyDescent="0.25">
      <c r="A362">
        <v>1</v>
      </c>
      <c r="B362" s="10">
        <v>591108240813</v>
      </c>
      <c r="C362">
        <v>40</v>
      </c>
      <c r="D362" s="10">
        <v>5952792408</v>
      </c>
      <c r="F362" t="s">
        <v>40</v>
      </c>
      <c r="G362">
        <v>0</v>
      </c>
      <c r="H362">
        <v>100</v>
      </c>
      <c r="K362">
        <v>1</v>
      </c>
      <c r="L362" t="s">
        <v>41</v>
      </c>
      <c r="M362" t="s">
        <v>89</v>
      </c>
      <c r="N362" s="11">
        <v>2958465</v>
      </c>
      <c r="P362">
        <v>0</v>
      </c>
      <c r="U362">
        <v>4</v>
      </c>
      <c r="V362">
        <v>1</v>
      </c>
      <c r="W362" t="s">
        <v>42</v>
      </c>
      <c r="X362">
        <v>0</v>
      </c>
    </row>
    <row r="363" spans="1:24" x14ac:dyDescent="0.25">
      <c r="A363">
        <v>1</v>
      </c>
      <c r="B363" s="10">
        <v>591108240813</v>
      </c>
      <c r="C363">
        <v>50</v>
      </c>
      <c r="D363" s="10">
        <v>59102308</v>
      </c>
      <c r="F363" t="s">
        <v>40</v>
      </c>
      <c r="G363">
        <v>0</v>
      </c>
      <c r="H363">
        <v>100</v>
      </c>
      <c r="K363">
        <v>2</v>
      </c>
      <c r="L363" t="s">
        <v>41</v>
      </c>
      <c r="M363" t="s">
        <v>89</v>
      </c>
      <c r="N363" s="11">
        <v>2958465</v>
      </c>
      <c r="P363">
        <v>0</v>
      </c>
      <c r="U363">
        <v>4</v>
      </c>
      <c r="V363">
        <v>1</v>
      </c>
      <c r="W363" t="s">
        <v>42</v>
      </c>
      <c r="X363">
        <v>0</v>
      </c>
    </row>
    <row r="364" spans="1:24" x14ac:dyDescent="0.25">
      <c r="A364">
        <v>1</v>
      </c>
      <c r="B364" s="10">
        <v>591108240813</v>
      </c>
      <c r="C364">
        <v>60</v>
      </c>
      <c r="D364" s="10">
        <v>12421213</v>
      </c>
      <c r="F364" t="s">
        <v>40</v>
      </c>
      <c r="G364">
        <v>0</v>
      </c>
      <c r="H364">
        <v>100</v>
      </c>
      <c r="K364">
        <v>1</v>
      </c>
      <c r="L364" t="s">
        <v>41</v>
      </c>
      <c r="M364" t="s">
        <v>89</v>
      </c>
      <c r="N364" s="11">
        <v>2958465</v>
      </c>
      <c r="P364">
        <v>0</v>
      </c>
      <c r="U364">
        <v>4</v>
      </c>
      <c r="V364">
        <v>1</v>
      </c>
      <c r="W364" t="s">
        <v>42</v>
      </c>
      <c r="X364">
        <v>0</v>
      </c>
    </row>
    <row r="365" spans="1:24" x14ac:dyDescent="0.25">
      <c r="A365">
        <v>1</v>
      </c>
      <c r="B365" s="10">
        <v>591108240813</v>
      </c>
      <c r="C365">
        <v>70</v>
      </c>
      <c r="D365" s="10">
        <v>5997499</v>
      </c>
      <c r="F365" t="s">
        <v>68</v>
      </c>
      <c r="G365">
        <v>0</v>
      </c>
      <c r="H365">
        <v>100</v>
      </c>
      <c r="K365">
        <v>1</v>
      </c>
      <c r="L365" t="s">
        <v>41</v>
      </c>
      <c r="M365" t="s">
        <v>89</v>
      </c>
      <c r="N365" s="11">
        <v>2958465</v>
      </c>
      <c r="P365">
        <v>0</v>
      </c>
      <c r="U365">
        <v>4</v>
      </c>
      <c r="V365">
        <v>1</v>
      </c>
      <c r="W365" t="s">
        <v>42</v>
      </c>
      <c r="X365">
        <v>0</v>
      </c>
    </row>
    <row r="366" spans="1:24" x14ac:dyDescent="0.25">
      <c r="A366">
        <v>1</v>
      </c>
      <c r="B366" s="10">
        <v>591108240913</v>
      </c>
      <c r="C366">
        <v>10</v>
      </c>
      <c r="D366" s="10">
        <v>5959672109</v>
      </c>
      <c r="F366" t="s">
        <v>40</v>
      </c>
      <c r="G366">
        <v>0</v>
      </c>
      <c r="H366">
        <v>100</v>
      </c>
      <c r="K366">
        <v>1</v>
      </c>
      <c r="L366" t="s">
        <v>41</v>
      </c>
      <c r="M366" t="s">
        <v>89</v>
      </c>
      <c r="N366" s="11">
        <v>2958465</v>
      </c>
      <c r="P366">
        <v>0</v>
      </c>
      <c r="U366">
        <v>4</v>
      </c>
      <c r="V366">
        <v>1</v>
      </c>
      <c r="W366" t="s">
        <v>42</v>
      </c>
      <c r="X366">
        <v>0</v>
      </c>
    </row>
    <row r="367" spans="1:24" x14ac:dyDescent="0.25">
      <c r="A367">
        <v>1</v>
      </c>
      <c r="B367" s="10">
        <v>591108240913</v>
      </c>
      <c r="C367">
        <v>20</v>
      </c>
      <c r="D367" s="10">
        <v>5959692109</v>
      </c>
      <c r="F367" t="s">
        <v>40</v>
      </c>
      <c r="G367">
        <v>0</v>
      </c>
      <c r="H367">
        <v>100</v>
      </c>
      <c r="K367">
        <v>1</v>
      </c>
      <c r="L367" t="s">
        <v>41</v>
      </c>
      <c r="M367" t="s">
        <v>89</v>
      </c>
      <c r="N367" s="11">
        <v>2958465</v>
      </c>
      <c r="P367">
        <v>0</v>
      </c>
      <c r="U367">
        <v>4</v>
      </c>
      <c r="V367">
        <v>1</v>
      </c>
      <c r="W367" t="s">
        <v>42</v>
      </c>
      <c r="X367">
        <v>0</v>
      </c>
    </row>
    <row r="368" spans="1:24" x14ac:dyDescent="0.25">
      <c r="A368">
        <v>1</v>
      </c>
      <c r="B368" s="10">
        <v>591108240913</v>
      </c>
      <c r="C368">
        <v>30</v>
      </c>
      <c r="D368" s="10">
        <v>5952482109</v>
      </c>
      <c r="F368" t="s">
        <v>40</v>
      </c>
      <c r="G368">
        <v>0</v>
      </c>
      <c r="H368">
        <v>100</v>
      </c>
      <c r="K368">
        <v>1</v>
      </c>
      <c r="L368" t="s">
        <v>41</v>
      </c>
      <c r="M368" t="s">
        <v>89</v>
      </c>
      <c r="N368" s="11">
        <v>2958465</v>
      </c>
      <c r="P368">
        <v>0</v>
      </c>
      <c r="U368">
        <v>4</v>
      </c>
      <c r="V368">
        <v>1</v>
      </c>
      <c r="W368" t="s">
        <v>42</v>
      </c>
      <c r="X368">
        <v>0</v>
      </c>
    </row>
    <row r="369" spans="1:24" x14ac:dyDescent="0.25">
      <c r="A369">
        <v>1</v>
      </c>
      <c r="B369" s="10">
        <v>591108240913</v>
      </c>
      <c r="C369">
        <v>40</v>
      </c>
      <c r="D369" s="10">
        <v>5952792409</v>
      </c>
      <c r="F369" t="s">
        <v>40</v>
      </c>
      <c r="G369">
        <v>0</v>
      </c>
      <c r="H369">
        <v>100</v>
      </c>
      <c r="K369">
        <v>1</v>
      </c>
      <c r="L369" t="s">
        <v>41</v>
      </c>
      <c r="M369" t="s">
        <v>89</v>
      </c>
      <c r="N369" s="11">
        <v>2958465</v>
      </c>
      <c r="P369">
        <v>0</v>
      </c>
      <c r="U369">
        <v>4</v>
      </c>
      <c r="V369">
        <v>1</v>
      </c>
      <c r="W369" t="s">
        <v>42</v>
      </c>
      <c r="X369">
        <v>0</v>
      </c>
    </row>
    <row r="370" spans="1:24" x14ac:dyDescent="0.25">
      <c r="A370">
        <v>1</v>
      </c>
      <c r="B370" s="10">
        <v>591108240913</v>
      </c>
      <c r="C370">
        <v>50</v>
      </c>
      <c r="D370" s="10">
        <v>59102309</v>
      </c>
      <c r="F370" t="s">
        <v>40</v>
      </c>
      <c r="G370">
        <v>0</v>
      </c>
      <c r="H370">
        <v>100</v>
      </c>
      <c r="K370">
        <v>2</v>
      </c>
      <c r="L370" t="s">
        <v>41</v>
      </c>
      <c r="M370" t="s">
        <v>89</v>
      </c>
      <c r="N370" s="11">
        <v>2958465</v>
      </c>
      <c r="P370">
        <v>0</v>
      </c>
      <c r="U370">
        <v>4</v>
      </c>
      <c r="V370">
        <v>1</v>
      </c>
      <c r="W370" t="s">
        <v>42</v>
      </c>
      <c r="X370">
        <v>0</v>
      </c>
    </row>
    <row r="371" spans="1:24" x14ac:dyDescent="0.25">
      <c r="A371">
        <v>1</v>
      </c>
      <c r="B371" s="10">
        <v>591108240913</v>
      </c>
      <c r="C371">
        <v>60</v>
      </c>
      <c r="D371" s="10">
        <v>12421213</v>
      </c>
      <c r="F371" t="s">
        <v>40</v>
      </c>
      <c r="G371">
        <v>0</v>
      </c>
      <c r="H371">
        <v>100</v>
      </c>
      <c r="K371">
        <v>1</v>
      </c>
      <c r="L371" t="s">
        <v>41</v>
      </c>
      <c r="M371" t="s">
        <v>89</v>
      </c>
      <c r="N371" s="11">
        <v>2958465</v>
      </c>
      <c r="P371">
        <v>0</v>
      </c>
      <c r="U371">
        <v>4</v>
      </c>
      <c r="V371">
        <v>1</v>
      </c>
      <c r="W371" t="s">
        <v>42</v>
      </c>
      <c r="X371">
        <v>0</v>
      </c>
    </row>
    <row r="372" spans="1:24" x14ac:dyDescent="0.25">
      <c r="A372">
        <v>1</v>
      </c>
      <c r="B372" s="10">
        <v>591108240913</v>
      </c>
      <c r="C372">
        <v>70</v>
      </c>
      <c r="D372" s="10">
        <v>5997499</v>
      </c>
      <c r="F372" t="s">
        <v>68</v>
      </c>
      <c r="G372">
        <v>0</v>
      </c>
      <c r="H372">
        <v>100</v>
      </c>
      <c r="K372">
        <v>1</v>
      </c>
      <c r="L372" t="s">
        <v>41</v>
      </c>
      <c r="M372" t="s">
        <v>89</v>
      </c>
      <c r="N372" s="11">
        <v>2958465</v>
      </c>
      <c r="P372">
        <v>0</v>
      </c>
      <c r="U372">
        <v>4</v>
      </c>
      <c r="V372">
        <v>1</v>
      </c>
      <c r="W372" t="s">
        <v>42</v>
      </c>
      <c r="X372">
        <v>0</v>
      </c>
    </row>
    <row r="373" spans="1:24" x14ac:dyDescent="0.25">
      <c r="A373">
        <v>1</v>
      </c>
      <c r="B373" s="10">
        <v>591108240115</v>
      </c>
      <c r="C373">
        <v>10</v>
      </c>
      <c r="D373" s="10">
        <v>5959672101</v>
      </c>
      <c r="F373" t="s">
        <v>40</v>
      </c>
      <c r="G373">
        <v>0</v>
      </c>
      <c r="H373">
        <v>100</v>
      </c>
      <c r="K373">
        <v>1</v>
      </c>
      <c r="L373" t="s">
        <v>41</v>
      </c>
      <c r="M373" t="s">
        <v>89</v>
      </c>
      <c r="N373" s="11">
        <v>2958465</v>
      </c>
      <c r="P373">
        <v>0</v>
      </c>
      <c r="U373">
        <v>4</v>
      </c>
      <c r="V373">
        <v>1</v>
      </c>
      <c r="W373" t="s">
        <v>42</v>
      </c>
      <c r="X373">
        <v>0</v>
      </c>
    </row>
    <row r="374" spans="1:24" x14ac:dyDescent="0.25">
      <c r="A374">
        <v>1</v>
      </c>
      <c r="B374" s="10">
        <v>591108240115</v>
      </c>
      <c r="C374">
        <v>20</v>
      </c>
      <c r="D374" s="10">
        <v>5959692101</v>
      </c>
      <c r="F374" t="s">
        <v>40</v>
      </c>
      <c r="G374">
        <v>0</v>
      </c>
      <c r="H374">
        <v>100</v>
      </c>
      <c r="K374">
        <v>1</v>
      </c>
      <c r="L374" t="s">
        <v>41</v>
      </c>
      <c r="M374" t="s">
        <v>89</v>
      </c>
      <c r="N374" s="11">
        <v>2958465</v>
      </c>
      <c r="P374">
        <v>0</v>
      </c>
      <c r="U374">
        <v>4</v>
      </c>
      <c r="V374">
        <v>1</v>
      </c>
      <c r="W374" t="s">
        <v>42</v>
      </c>
      <c r="X374">
        <v>0</v>
      </c>
    </row>
    <row r="375" spans="1:24" x14ac:dyDescent="0.25">
      <c r="A375">
        <v>1</v>
      </c>
      <c r="B375" s="10">
        <v>591108240115</v>
      </c>
      <c r="C375">
        <v>30</v>
      </c>
      <c r="D375" s="10">
        <v>5952482101</v>
      </c>
      <c r="F375" t="s">
        <v>40</v>
      </c>
      <c r="G375">
        <v>0</v>
      </c>
      <c r="H375">
        <v>100</v>
      </c>
      <c r="K375">
        <v>1</v>
      </c>
      <c r="L375" t="s">
        <v>41</v>
      </c>
      <c r="M375" t="s">
        <v>89</v>
      </c>
      <c r="N375" s="11">
        <v>2958465</v>
      </c>
      <c r="P375">
        <v>0</v>
      </c>
      <c r="U375">
        <v>4</v>
      </c>
      <c r="V375">
        <v>1</v>
      </c>
      <c r="W375" t="s">
        <v>42</v>
      </c>
      <c r="X375">
        <v>0</v>
      </c>
    </row>
    <row r="376" spans="1:24" x14ac:dyDescent="0.25">
      <c r="A376">
        <v>1</v>
      </c>
      <c r="B376" s="10">
        <v>591108240115</v>
      </c>
      <c r="C376">
        <v>40</v>
      </c>
      <c r="D376" s="10">
        <v>5952792401</v>
      </c>
      <c r="F376" t="s">
        <v>40</v>
      </c>
      <c r="G376">
        <v>0</v>
      </c>
      <c r="H376">
        <v>100</v>
      </c>
      <c r="K376">
        <v>1</v>
      </c>
      <c r="L376" t="s">
        <v>41</v>
      </c>
      <c r="M376" t="s">
        <v>89</v>
      </c>
      <c r="N376" s="11">
        <v>2958465</v>
      </c>
      <c r="P376">
        <v>0</v>
      </c>
      <c r="U376">
        <v>4</v>
      </c>
      <c r="V376">
        <v>1</v>
      </c>
      <c r="W376" t="s">
        <v>42</v>
      </c>
      <c r="X376">
        <v>0</v>
      </c>
    </row>
    <row r="377" spans="1:24" x14ac:dyDescent="0.25">
      <c r="A377">
        <v>1</v>
      </c>
      <c r="B377" s="10">
        <v>591108240115</v>
      </c>
      <c r="C377">
        <v>50</v>
      </c>
      <c r="D377" s="10">
        <v>59102301</v>
      </c>
      <c r="F377" t="s">
        <v>40</v>
      </c>
      <c r="G377">
        <v>0</v>
      </c>
      <c r="H377">
        <v>100</v>
      </c>
      <c r="K377">
        <v>2</v>
      </c>
      <c r="L377" t="s">
        <v>41</v>
      </c>
      <c r="M377" t="s">
        <v>89</v>
      </c>
      <c r="N377" s="11">
        <v>2958465</v>
      </c>
      <c r="P377">
        <v>0</v>
      </c>
      <c r="U377">
        <v>4</v>
      </c>
      <c r="V377">
        <v>1</v>
      </c>
      <c r="W377" t="s">
        <v>42</v>
      </c>
      <c r="X377">
        <v>0</v>
      </c>
    </row>
    <row r="378" spans="1:24" x14ac:dyDescent="0.25">
      <c r="A378">
        <v>1</v>
      </c>
      <c r="B378" s="10">
        <v>591108240115</v>
      </c>
      <c r="C378">
        <v>60</v>
      </c>
      <c r="D378" s="10">
        <v>12421215</v>
      </c>
      <c r="F378" t="s">
        <v>40</v>
      </c>
      <c r="G378">
        <v>0</v>
      </c>
      <c r="H378">
        <v>100</v>
      </c>
      <c r="K378">
        <v>1</v>
      </c>
      <c r="L378" t="s">
        <v>41</v>
      </c>
      <c r="M378" t="s">
        <v>89</v>
      </c>
      <c r="N378" s="11">
        <v>2958465</v>
      </c>
      <c r="P378">
        <v>0</v>
      </c>
      <c r="U378">
        <v>4</v>
      </c>
      <c r="V378">
        <v>1</v>
      </c>
      <c r="W378" t="s">
        <v>42</v>
      </c>
      <c r="X378">
        <v>0</v>
      </c>
    </row>
    <row r="379" spans="1:24" x14ac:dyDescent="0.25">
      <c r="A379">
        <v>1</v>
      </c>
      <c r="B379" s="10">
        <v>591108240115</v>
      </c>
      <c r="C379">
        <v>70</v>
      </c>
      <c r="D379" s="10">
        <v>5997499</v>
      </c>
      <c r="F379" t="s">
        <v>68</v>
      </c>
      <c r="G379">
        <v>0</v>
      </c>
      <c r="H379">
        <v>100</v>
      </c>
      <c r="K379">
        <v>1</v>
      </c>
      <c r="L379" t="s">
        <v>41</v>
      </c>
      <c r="M379" t="s">
        <v>89</v>
      </c>
      <c r="N379" s="11">
        <v>2958465</v>
      </c>
      <c r="P379">
        <v>0</v>
      </c>
      <c r="U379">
        <v>4</v>
      </c>
      <c r="V379">
        <v>1</v>
      </c>
      <c r="W379" t="s">
        <v>42</v>
      </c>
      <c r="X379">
        <v>0</v>
      </c>
    </row>
    <row r="380" spans="1:24" x14ac:dyDescent="0.25">
      <c r="A380">
        <v>1</v>
      </c>
      <c r="B380" s="10">
        <v>591108240215</v>
      </c>
      <c r="C380">
        <v>10</v>
      </c>
      <c r="D380" s="10">
        <v>5959672102</v>
      </c>
      <c r="F380" t="s">
        <v>40</v>
      </c>
      <c r="G380">
        <v>0</v>
      </c>
      <c r="H380">
        <v>100</v>
      </c>
      <c r="K380">
        <v>1</v>
      </c>
      <c r="L380" t="s">
        <v>41</v>
      </c>
      <c r="M380" t="s">
        <v>89</v>
      </c>
      <c r="N380" s="11">
        <v>2958465</v>
      </c>
      <c r="P380">
        <v>0</v>
      </c>
      <c r="U380">
        <v>4</v>
      </c>
      <c r="V380">
        <v>1</v>
      </c>
      <c r="W380" t="s">
        <v>42</v>
      </c>
      <c r="X380">
        <v>0</v>
      </c>
    </row>
    <row r="381" spans="1:24" x14ac:dyDescent="0.25">
      <c r="A381">
        <v>1</v>
      </c>
      <c r="B381" s="10">
        <v>591108240215</v>
      </c>
      <c r="C381">
        <v>20</v>
      </c>
      <c r="D381" s="10">
        <v>5959692102</v>
      </c>
      <c r="F381" t="s">
        <v>40</v>
      </c>
      <c r="G381">
        <v>0</v>
      </c>
      <c r="H381">
        <v>100</v>
      </c>
      <c r="K381">
        <v>1</v>
      </c>
      <c r="L381" t="s">
        <v>41</v>
      </c>
      <c r="M381" t="s">
        <v>89</v>
      </c>
      <c r="N381" s="11">
        <v>2958465</v>
      </c>
      <c r="P381">
        <v>0</v>
      </c>
      <c r="U381">
        <v>4</v>
      </c>
      <c r="V381">
        <v>1</v>
      </c>
      <c r="W381" t="s">
        <v>42</v>
      </c>
      <c r="X381">
        <v>0</v>
      </c>
    </row>
    <row r="382" spans="1:24" x14ac:dyDescent="0.25">
      <c r="A382">
        <v>1</v>
      </c>
      <c r="B382" s="10">
        <v>591108240215</v>
      </c>
      <c r="C382">
        <v>30</v>
      </c>
      <c r="D382" s="10">
        <v>5952482102</v>
      </c>
      <c r="F382" t="s">
        <v>40</v>
      </c>
      <c r="G382">
        <v>0</v>
      </c>
      <c r="H382">
        <v>100</v>
      </c>
      <c r="K382">
        <v>1</v>
      </c>
      <c r="L382" t="s">
        <v>41</v>
      </c>
      <c r="M382" t="s">
        <v>89</v>
      </c>
      <c r="N382" s="11">
        <v>2958465</v>
      </c>
      <c r="P382">
        <v>0</v>
      </c>
      <c r="U382">
        <v>4</v>
      </c>
      <c r="V382">
        <v>1</v>
      </c>
      <c r="W382" t="s">
        <v>42</v>
      </c>
      <c r="X382">
        <v>0</v>
      </c>
    </row>
    <row r="383" spans="1:24" x14ac:dyDescent="0.25">
      <c r="A383">
        <v>1</v>
      </c>
      <c r="B383" s="10">
        <v>591108240215</v>
      </c>
      <c r="C383">
        <v>40</v>
      </c>
      <c r="D383" s="10">
        <v>5952792402</v>
      </c>
      <c r="F383" t="s">
        <v>40</v>
      </c>
      <c r="G383">
        <v>0</v>
      </c>
      <c r="H383">
        <v>100</v>
      </c>
      <c r="K383">
        <v>1</v>
      </c>
      <c r="L383" t="s">
        <v>41</v>
      </c>
      <c r="M383" t="s">
        <v>89</v>
      </c>
      <c r="N383" s="11">
        <v>2958465</v>
      </c>
      <c r="P383">
        <v>0</v>
      </c>
      <c r="U383">
        <v>4</v>
      </c>
      <c r="V383">
        <v>1</v>
      </c>
      <c r="W383" t="s">
        <v>42</v>
      </c>
      <c r="X383">
        <v>0</v>
      </c>
    </row>
    <row r="384" spans="1:24" x14ac:dyDescent="0.25">
      <c r="A384">
        <v>1</v>
      </c>
      <c r="B384" s="10">
        <v>591108240215</v>
      </c>
      <c r="C384">
        <v>50</v>
      </c>
      <c r="D384" s="10">
        <v>59102302</v>
      </c>
      <c r="F384" t="s">
        <v>40</v>
      </c>
      <c r="G384">
        <v>0</v>
      </c>
      <c r="H384">
        <v>100</v>
      </c>
      <c r="K384">
        <v>2</v>
      </c>
      <c r="L384" t="s">
        <v>41</v>
      </c>
      <c r="M384" t="s">
        <v>89</v>
      </c>
      <c r="N384" s="11">
        <v>2958465</v>
      </c>
      <c r="P384">
        <v>0</v>
      </c>
      <c r="U384">
        <v>4</v>
      </c>
      <c r="V384">
        <v>1</v>
      </c>
      <c r="W384" t="s">
        <v>42</v>
      </c>
      <c r="X384">
        <v>0</v>
      </c>
    </row>
    <row r="385" spans="1:24" x14ac:dyDescent="0.25">
      <c r="A385">
        <v>1</v>
      </c>
      <c r="B385" s="10">
        <v>591108240215</v>
      </c>
      <c r="C385">
        <v>60</v>
      </c>
      <c r="D385" s="10">
        <v>12421215</v>
      </c>
      <c r="F385" t="s">
        <v>40</v>
      </c>
      <c r="G385">
        <v>0</v>
      </c>
      <c r="H385">
        <v>100</v>
      </c>
      <c r="K385">
        <v>1</v>
      </c>
      <c r="L385" t="s">
        <v>41</v>
      </c>
      <c r="M385" t="s">
        <v>89</v>
      </c>
      <c r="N385" s="11">
        <v>2958465</v>
      </c>
      <c r="P385">
        <v>0</v>
      </c>
      <c r="U385">
        <v>4</v>
      </c>
      <c r="V385">
        <v>1</v>
      </c>
      <c r="W385" t="s">
        <v>42</v>
      </c>
      <c r="X385">
        <v>0</v>
      </c>
    </row>
    <row r="386" spans="1:24" x14ac:dyDescent="0.25">
      <c r="A386">
        <v>1</v>
      </c>
      <c r="B386" s="10">
        <v>591108240215</v>
      </c>
      <c r="C386">
        <v>70</v>
      </c>
      <c r="D386" s="10">
        <v>5997499</v>
      </c>
      <c r="F386" t="s">
        <v>68</v>
      </c>
      <c r="G386">
        <v>0</v>
      </c>
      <c r="H386">
        <v>100</v>
      </c>
      <c r="K386">
        <v>1</v>
      </c>
      <c r="L386" t="s">
        <v>41</v>
      </c>
      <c r="M386" t="s">
        <v>89</v>
      </c>
      <c r="N386" s="11">
        <v>2958465</v>
      </c>
      <c r="P386">
        <v>0</v>
      </c>
      <c r="U386">
        <v>4</v>
      </c>
      <c r="V386">
        <v>1</v>
      </c>
      <c r="W386" t="s">
        <v>42</v>
      </c>
      <c r="X386">
        <v>0</v>
      </c>
    </row>
    <row r="387" spans="1:24" x14ac:dyDescent="0.25">
      <c r="A387">
        <v>1</v>
      </c>
      <c r="B387" s="10">
        <v>591108240315</v>
      </c>
      <c r="C387">
        <v>10</v>
      </c>
      <c r="D387" s="10">
        <v>5959672103</v>
      </c>
      <c r="F387" t="s">
        <v>40</v>
      </c>
      <c r="G387">
        <v>0</v>
      </c>
      <c r="H387">
        <v>100</v>
      </c>
      <c r="K387">
        <v>1</v>
      </c>
      <c r="L387" t="s">
        <v>41</v>
      </c>
      <c r="M387" t="s">
        <v>89</v>
      </c>
      <c r="N387" s="11">
        <v>2958465</v>
      </c>
      <c r="P387">
        <v>0</v>
      </c>
      <c r="U387">
        <v>4</v>
      </c>
      <c r="V387">
        <v>1</v>
      </c>
      <c r="W387" t="s">
        <v>42</v>
      </c>
      <c r="X387">
        <v>0</v>
      </c>
    </row>
    <row r="388" spans="1:24" x14ac:dyDescent="0.25">
      <c r="A388">
        <v>1</v>
      </c>
      <c r="B388" s="10">
        <v>591108240315</v>
      </c>
      <c r="C388">
        <v>20</v>
      </c>
      <c r="D388" s="10">
        <v>5959692103</v>
      </c>
      <c r="F388" t="s">
        <v>40</v>
      </c>
      <c r="G388">
        <v>0</v>
      </c>
      <c r="H388">
        <v>100</v>
      </c>
      <c r="K388">
        <v>1</v>
      </c>
      <c r="L388" t="s">
        <v>41</v>
      </c>
      <c r="M388" t="s">
        <v>89</v>
      </c>
      <c r="N388" s="11">
        <v>2958465</v>
      </c>
      <c r="P388">
        <v>0</v>
      </c>
      <c r="U388">
        <v>4</v>
      </c>
      <c r="V388">
        <v>1</v>
      </c>
      <c r="W388" t="s">
        <v>42</v>
      </c>
      <c r="X388">
        <v>0</v>
      </c>
    </row>
    <row r="389" spans="1:24" x14ac:dyDescent="0.25">
      <c r="A389">
        <v>1</v>
      </c>
      <c r="B389" s="10">
        <v>591108240315</v>
      </c>
      <c r="C389">
        <v>30</v>
      </c>
      <c r="D389" s="10">
        <v>5952482103</v>
      </c>
      <c r="F389" t="s">
        <v>40</v>
      </c>
      <c r="G389">
        <v>0</v>
      </c>
      <c r="H389">
        <v>100</v>
      </c>
      <c r="K389">
        <v>1</v>
      </c>
      <c r="L389" t="s">
        <v>41</v>
      </c>
      <c r="M389" t="s">
        <v>89</v>
      </c>
      <c r="N389" s="11">
        <v>2958465</v>
      </c>
      <c r="P389">
        <v>0</v>
      </c>
      <c r="U389">
        <v>4</v>
      </c>
      <c r="V389">
        <v>1</v>
      </c>
      <c r="W389" t="s">
        <v>42</v>
      </c>
      <c r="X389">
        <v>0</v>
      </c>
    </row>
    <row r="390" spans="1:24" x14ac:dyDescent="0.25">
      <c r="A390">
        <v>1</v>
      </c>
      <c r="B390" s="10">
        <v>591108240315</v>
      </c>
      <c r="C390">
        <v>40</v>
      </c>
      <c r="D390" s="10">
        <v>5952792403</v>
      </c>
      <c r="F390" t="s">
        <v>40</v>
      </c>
      <c r="G390">
        <v>0</v>
      </c>
      <c r="H390">
        <v>100</v>
      </c>
      <c r="K390">
        <v>1</v>
      </c>
      <c r="L390" t="s">
        <v>41</v>
      </c>
      <c r="M390" t="s">
        <v>89</v>
      </c>
      <c r="N390" s="11">
        <v>2958465</v>
      </c>
      <c r="P390">
        <v>0</v>
      </c>
      <c r="U390">
        <v>4</v>
      </c>
      <c r="V390">
        <v>1</v>
      </c>
      <c r="W390" t="s">
        <v>42</v>
      </c>
      <c r="X390">
        <v>0</v>
      </c>
    </row>
    <row r="391" spans="1:24" x14ac:dyDescent="0.25">
      <c r="A391">
        <v>1</v>
      </c>
      <c r="B391" s="10">
        <v>591108240315</v>
      </c>
      <c r="C391">
        <v>50</v>
      </c>
      <c r="D391" s="10">
        <v>59102303</v>
      </c>
      <c r="F391" t="s">
        <v>40</v>
      </c>
      <c r="G391">
        <v>0</v>
      </c>
      <c r="H391">
        <v>100</v>
      </c>
      <c r="K391">
        <v>2</v>
      </c>
      <c r="L391" t="s">
        <v>41</v>
      </c>
      <c r="M391" t="s">
        <v>89</v>
      </c>
      <c r="N391" s="11">
        <v>2958465</v>
      </c>
      <c r="P391">
        <v>0</v>
      </c>
      <c r="U391">
        <v>4</v>
      </c>
      <c r="V391">
        <v>1</v>
      </c>
      <c r="W391" t="s">
        <v>42</v>
      </c>
      <c r="X391">
        <v>0</v>
      </c>
    </row>
    <row r="392" spans="1:24" x14ac:dyDescent="0.25">
      <c r="A392">
        <v>1</v>
      </c>
      <c r="B392" s="10">
        <v>591108240315</v>
      </c>
      <c r="C392">
        <v>60</v>
      </c>
      <c r="D392" s="10">
        <v>12421215</v>
      </c>
      <c r="F392" t="s">
        <v>40</v>
      </c>
      <c r="G392">
        <v>0</v>
      </c>
      <c r="H392">
        <v>100</v>
      </c>
      <c r="K392">
        <v>1</v>
      </c>
      <c r="L392" t="s">
        <v>41</v>
      </c>
      <c r="M392" t="s">
        <v>89</v>
      </c>
      <c r="N392" s="11">
        <v>2958465</v>
      </c>
      <c r="P392">
        <v>0</v>
      </c>
      <c r="U392">
        <v>4</v>
      </c>
      <c r="V392">
        <v>1</v>
      </c>
      <c r="W392" t="s">
        <v>42</v>
      </c>
      <c r="X392">
        <v>0</v>
      </c>
    </row>
    <row r="393" spans="1:24" x14ac:dyDescent="0.25">
      <c r="A393">
        <v>1</v>
      </c>
      <c r="B393" s="10">
        <v>591108240315</v>
      </c>
      <c r="C393">
        <v>70</v>
      </c>
      <c r="D393" s="10">
        <v>5997499</v>
      </c>
      <c r="F393" t="s">
        <v>68</v>
      </c>
      <c r="G393">
        <v>0</v>
      </c>
      <c r="H393">
        <v>100</v>
      </c>
      <c r="K393">
        <v>1</v>
      </c>
      <c r="L393" t="s">
        <v>41</v>
      </c>
      <c r="M393" t="s">
        <v>89</v>
      </c>
      <c r="N393" s="11">
        <v>2958465</v>
      </c>
      <c r="P393">
        <v>0</v>
      </c>
      <c r="U393">
        <v>4</v>
      </c>
      <c r="V393">
        <v>1</v>
      </c>
      <c r="W393" t="s">
        <v>42</v>
      </c>
      <c r="X393">
        <v>0</v>
      </c>
    </row>
    <row r="394" spans="1:24" x14ac:dyDescent="0.25">
      <c r="A394">
        <v>1</v>
      </c>
      <c r="B394" s="10">
        <v>591108240415</v>
      </c>
      <c r="C394">
        <v>10</v>
      </c>
      <c r="D394" s="10">
        <v>5959672104</v>
      </c>
      <c r="F394" t="s">
        <v>40</v>
      </c>
      <c r="G394">
        <v>0</v>
      </c>
      <c r="H394">
        <v>100</v>
      </c>
      <c r="K394">
        <v>1</v>
      </c>
      <c r="L394" t="s">
        <v>41</v>
      </c>
      <c r="M394" t="s">
        <v>89</v>
      </c>
      <c r="N394" s="11">
        <v>2958465</v>
      </c>
      <c r="P394">
        <v>0</v>
      </c>
      <c r="U394">
        <v>4</v>
      </c>
      <c r="V394">
        <v>1</v>
      </c>
      <c r="W394" t="s">
        <v>42</v>
      </c>
      <c r="X394">
        <v>0</v>
      </c>
    </row>
    <row r="395" spans="1:24" x14ac:dyDescent="0.25">
      <c r="A395">
        <v>1</v>
      </c>
      <c r="B395" s="10">
        <v>591108240415</v>
      </c>
      <c r="C395">
        <v>20</v>
      </c>
      <c r="D395" s="10">
        <v>5959692104</v>
      </c>
      <c r="F395" t="s">
        <v>40</v>
      </c>
      <c r="G395">
        <v>0</v>
      </c>
      <c r="H395">
        <v>100</v>
      </c>
      <c r="K395">
        <v>1</v>
      </c>
      <c r="L395" t="s">
        <v>41</v>
      </c>
      <c r="M395" t="s">
        <v>89</v>
      </c>
      <c r="N395" s="11">
        <v>2958465</v>
      </c>
      <c r="P395">
        <v>0</v>
      </c>
      <c r="U395">
        <v>4</v>
      </c>
      <c r="V395">
        <v>1</v>
      </c>
      <c r="W395" t="s">
        <v>42</v>
      </c>
      <c r="X395">
        <v>0</v>
      </c>
    </row>
    <row r="396" spans="1:24" x14ac:dyDescent="0.25">
      <c r="A396">
        <v>1</v>
      </c>
      <c r="B396" s="10">
        <v>591108240415</v>
      </c>
      <c r="C396">
        <v>30</v>
      </c>
      <c r="D396" s="10">
        <v>5952482104</v>
      </c>
      <c r="F396" t="s">
        <v>40</v>
      </c>
      <c r="G396">
        <v>0</v>
      </c>
      <c r="H396">
        <v>100</v>
      </c>
      <c r="K396">
        <v>1</v>
      </c>
      <c r="L396" t="s">
        <v>41</v>
      </c>
      <c r="M396" t="s">
        <v>89</v>
      </c>
      <c r="N396" s="11">
        <v>2958465</v>
      </c>
      <c r="P396">
        <v>0</v>
      </c>
      <c r="U396">
        <v>4</v>
      </c>
      <c r="V396">
        <v>1</v>
      </c>
      <c r="W396" t="s">
        <v>42</v>
      </c>
      <c r="X396">
        <v>0</v>
      </c>
    </row>
    <row r="397" spans="1:24" x14ac:dyDescent="0.25">
      <c r="A397">
        <v>1</v>
      </c>
      <c r="B397" s="10">
        <v>591108240415</v>
      </c>
      <c r="C397">
        <v>40</v>
      </c>
      <c r="D397" s="10">
        <v>5952792404</v>
      </c>
      <c r="F397" t="s">
        <v>40</v>
      </c>
      <c r="G397">
        <v>0</v>
      </c>
      <c r="H397">
        <v>100</v>
      </c>
      <c r="K397">
        <v>1</v>
      </c>
      <c r="L397" t="s">
        <v>41</v>
      </c>
      <c r="M397" t="s">
        <v>89</v>
      </c>
      <c r="N397" s="11">
        <v>2958465</v>
      </c>
      <c r="P397">
        <v>0</v>
      </c>
      <c r="U397">
        <v>4</v>
      </c>
      <c r="V397">
        <v>1</v>
      </c>
      <c r="W397" t="s">
        <v>42</v>
      </c>
      <c r="X397">
        <v>0</v>
      </c>
    </row>
    <row r="398" spans="1:24" x14ac:dyDescent="0.25">
      <c r="A398">
        <v>1</v>
      </c>
      <c r="B398" s="10">
        <v>591108240415</v>
      </c>
      <c r="C398">
        <v>50</v>
      </c>
      <c r="D398" s="10">
        <v>59102304</v>
      </c>
      <c r="F398" t="s">
        <v>40</v>
      </c>
      <c r="G398">
        <v>0</v>
      </c>
      <c r="H398">
        <v>100</v>
      </c>
      <c r="K398">
        <v>2</v>
      </c>
      <c r="L398" t="s">
        <v>41</v>
      </c>
      <c r="M398" t="s">
        <v>89</v>
      </c>
      <c r="N398" s="11">
        <v>2958465</v>
      </c>
      <c r="P398">
        <v>0</v>
      </c>
      <c r="U398">
        <v>4</v>
      </c>
      <c r="V398">
        <v>1</v>
      </c>
      <c r="W398" t="s">
        <v>42</v>
      </c>
      <c r="X398">
        <v>0</v>
      </c>
    </row>
    <row r="399" spans="1:24" x14ac:dyDescent="0.25">
      <c r="A399">
        <v>1</v>
      </c>
      <c r="B399" s="10">
        <v>591108240415</v>
      </c>
      <c r="C399">
        <v>60</v>
      </c>
      <c r="D399" s="10">
        <v>12421215</v>
      </c>
      <c r="F399" t="s">
        <v>40</v>
      </c>
      <c r="G399">
        <v>0</v>
      </c>
      <c r="H399">
        <v>100</v>
      </c>
      <c r="K399">
        <v>1</v>
      </c>
      <c r="L399" t="s">
        <v>41</v>
      </c>
      <c r="M399" t="s">
        <v>89</v>
      </c>
      <c r="N399" s="11">
        <v>2958465</v>
      </c>
      <c r="P399">
        <v>0</v>
      </c>
      <c r="U399">
        <v>4</v>
      </c>
      <c r="V399">
        <v>1</v>
      </c>
      <c r="W399" t="s">
        <v>42</v>
      </c>
      <c r="X399">
        <v>0</v>
      </c>
    </row>
    <row r="400" spans="1:24" x14ac:dyDescent="0.25">
      <c r="A400">
        <v>1</v>
      </c>
      <c r="B400" s="10">
        <v>591108240415</v>
      </c>
      <c r="C400">
        <v>70</v>
      </c>
      <c r="D400" s="10">
        <v>5997499</v>
      </c>
      <c r="F400" t="s">
        <v>68</v>
      </c>
      <c r="G400">
        <v>0</v>
      </c>
      <c r="H400">
        <v>100</v>
      </c>
      <c r="K400">
        <v>1</v>
      </c>
      <c r="L400" t="s">
        <v>41</v>
      </c>
      <c r="M400" t="s">
        <v>89</v>
      </c>
      <c r="N400" s="11">
        <v>2958465</v>
      </c>
      <c r="P400">
        <v>0</v>
      </c>
      <c r="U400">
        <v>4</v>
      </c>
      <c r="V400">
        <v>1</v>
      </c>
      <c r="W400" t="s">
        <v>42</v>
      </c>
      <c r="X400">
        <v>0</v>
      </c>
    </row>
    <row r="401" spans="1:24" x14ac:dyDescent="0.25">
      <c r="A401">
        <v>1</v>
      </c>
      <c r="B401" s="10">
        <v>591108240515</v>
      </c>
      <c r="C401">
        <v>10</v>
      </c>
      <c r="D401" s="10">
        <v>5959672105</v>
      </c>
      <c r="F401" t="s">
        <v>40</v>
      </c>
      <c r="G401">
        <v>0</v>
      </c>
      <c r="H401">
        <v>100</v>
      </c>
      <c r="K401">
        <v>1</v>
      </c>
      <c r="L401" t="s">
        <v>41</v>
      </c>
      <c r="M401" t="s">
        <v>89</v>
      </c>
      <c r="N401" s="11">
        <v>2958465</v>
      </c>
      <c r="P401">
        <v>0</v>
      </c>
      <c r="U401">
        <v>4</v>
      </c>
      <c r="V401">
        <v>1</v>
      </c>
      <c r="W401" t="s">
        <v>42</v>
      </c>
      <c r="X401">
        <v>0</v>
      </c>
    </row>
    <row r="402" spans="1:24" x14ac:dyDescent="0.25">
      <c r="A402">
        <v>1</v>
      </c>
      <c r="B402" s="10">
        <v>591108240515</v>
      </c>
      <c r="C402">
        <v>20</v>
      </c>
      <c r="D402" s="10">
        <v>5959692105</v>
      </c>
      <c r="F402" t="s">
        <v>40</v>
      </c>
      <c r="G402">
        <v>0</v>
      </c>
      <c r="H402">
        <v>100</v>
      </c>
      <c r="K402">
        <v>1</v>
      </c>
      <c r="L402" t="s">
        <v>41</v>
      </c>
      <c r="M402" t="s">
        <v>89</v>
      </c>
      <c r="N402" s="11">
        <v>2958465</v>
      </c>
      <c r="P402">
        <v>0</v>
      </c>
      <c r="U402">
        <v>4</v>
      </c>
      <c r="V402">
        <v>1</v>
      </c>
      <c r="W402" t="s">
        <v>42</v>
      </c>
      <c r="X402">
        <v>0</v>
      </c>
    </row>
    <row r="403" spans="1:24" x14ac:dyDescent="0.25">
      <c r="A403">
        <v>1</v>
      </c>
      <c r="B403" s="10">
        <v>591108240515</v>
      </c>
      <c r="C403">
        <v>30</v>
      </c>
      <c r="D403" s="10">
        <v>5952482105</v>
      </c>
      <c r="F403" t="s">
        <v>40</v>
      </c>
      <c r="G403">
        <v>0</v>
      </c>
      <c r="H403">
        <v>100</v>
      </c>
      <c r="K403">
        <v>1</v>
      </c>
      <c r="L403" t="s">
        <v>41</v>
      </c>
      <c r="M403" t="s">
        <v>89</v>
      </c>
      <c r="N403" s="11">
        <v>2958465</v>
      </c>
      <c r="P403">
        <v>0</v>
      </c>
      <c r="U403">
        <v>4</v>
      </c>
      <c r="V403">
        <v>1</v>
      </c>
      <c r="W403" t="s">
        <v>42</v>
      </c>
      <c r="X403">
        <v>0</v>
      </c>
    </row>
    <row r="404" spans="1:24" x14ac:dyDescent="0.25">
      <c r="A404">
        <v>1</v>
      </c>
      <c r="B404" s="10">
        <v>591108240515</v>
      </c>
      <c r="C404">
        <v>40</v>
      </c>
      <c r="D404" s="10">
        <v>5952792405</v>
      </c>
      <c r="F404" t="s">
        <v>40</v>
      </c>
      <c r="G404">
        <v>0</v>
      </c>
      <c r="H404">
        <v>100</v>
      </c>
      <c r="K404">
        <v>1</v>
      </c>
      <c r="L404" t="s">
        <v>41</v>
      </c>
      <c r="M404" t="s">
        <v>89</v>
      </c>
      <c r="N404" s="11">
        <v>2958465</v>
      </c>
      <c r="P404">
        <v>0</v>
      </c>
      <c r="U404">
        <v>4</v>
      </c>
      <c r="V404">
        <v>1</v>
      </c>
      <c r="W404" t="s">
        <v>42</v>
      </c>
      <c r="X404">
        <v>0</v>
      </c>
    </row>
    <row r="405" spans="1:24" x14ac:dyDescent="0.25">
      <c r="A405">
        <v>1</v>
      </c>
      <c r="B405" s="10">
        <v>591108240515</v>
      </c>
      <c r="C405">
        <v>50</v>
      </c>
      <c r="D405" s="10">
        <v>59102305</v>
      </c>
      <c r="F405" t="s">
        <v>40</v>
      </c>
      <c r="G405">
        <v>0</v>
      </c>
      <c r="H405">
        <v>100</v>
      </c>
      <c r="K405">
        <v>2</v>
      </c>
      <c r="L405" t="s">
        <v>41</v>
      </c>
      <c r="M405" t="s">
        <v>89</v>
      </c>
      <c r="N405" s="11">
        <v>2958465</v>
      </c>
      <c r="P405">
        <v>0</v>
      </c>
      <c r="U405">
        <v>4</v>
      </c>
      <c r="V405">
        <v>1</v>
      </c>
      <c r="W405" t="s">
        <v>42</v>
      </c>
      <c r="X405">
        <v>0</v>
      </c>
    </row>
    <row r="406" spans="1:24" x14ac:dyDescent="0.25">
      <c r="A406">
        <v>1</v>
      </c>
      <c r="B406" s="10">
        <v>591108240515</v>
      </c>
      <c r="C406">
        <v>60</v>
      </c>
      <c r="D406" s="10">
        <v>12421215</v>
      </c>
      <c r="F406" t="s">
        <v>40</v>
      </c>
      <c r="G406">
        <v>0</v>
      </c>
      <c r="H406">
        <v>100</v>
      </c>
      <c r="K406">
        <v>1</v>
      </c>
      <c r="L406" t="s">
        <v>41</v>
      </c>
      <c r="M406" t="s">
        <v>89</v>
      </c>
      <c r="N406" s="11">
        <v>2958465</v>
      </c>
      <c r="P406">
        <v>0</v>
      </c>
      <c r="U406">
        <v>4</v>
      </c>
      <c r="V406">
        <v>1</v>
      </c>
      <c r="W406" t="s">
        <v>42</v>
      </c>
      <c r="X406">
        <v>0</v>
      </c>
    </row>
    <row r="407" spans="1:24" x14ac:dyDescent="0.25">
      <c r="A407">
        <v>1</v>
      </c>
      <c r="B407" s="10">
        <v>591108240515</v>
      </c>
      <c r="C407">
        <v>70</v>
      </c>
      <c r="D407" s="10">
        <v>5997499</v>
      </c>
      <c r="F407" t="s">
        <v>68</v>
      </c>
      <c r="G407">
        <v>0</v>
      </c>
      <c r="H407">
        <v>100</v>
      </c>
      <c r="K407">
        <v>1</v>
      </c>
      <c r="L407" t="s">
        <v>41</v>
      </c>
      <c r="M407" t="s">
        <v>89</v>
      </c>
      <c r="N407" s="11">
        <v>2958465</v>
      </c>
      <c r="P407">
        <v>0</v>
      </c>
      <c r="U407">
        <v>4</v>
      </c>
      <c r="V407">
        <v>1</v>
      </c>
      <c r="W407" t="s">
        <v>42</v>
      </c>
      <c r="X407">
        <v>0</v>
      </c>
    </row>
    <row r="408" spans="1:24" x14ac:dyDescent="0.25">
      <c r="A408">
        <v>1</v>
      </c>
      <c r="B408" s="10">
        <v>591108240615</v>
      </c>
      <c r="C408">
        <v>10</v>
      </c>
      <c r="D408" s="10">
        <v>5959672106</v>
      </c>
      <c r="F408" t="s">
        <v>40</v>
      </c>
      <c r="G408">
        <v>0</v>
      </c>
      <c r="H408">
        <v>100</v>
      </c>
      <c r="K408">
        <v>1</v>
      </c>
      <c r="L408" t="s">
        <v>41</v>
      </c>
      <c r="M408" t="s">
        <v>89</v>
      </c>
      <c r="N408" s="11">
        <v>2958465</v>
      </c>
      <c r="P408">
        <v>0</v>
      </c>
      <c r="U408">
        <v>4</v>
      </c>
      <c r="V408">
        <v>1</v>
      </c>
      <c r="W408" t="s">
        <v>42</v>
      </c>
      <c r="X408">
        <v>0</v>
      </c>
    </row>
    <row r="409" spans="1:24" x14ac:dyDescent="0.25">
      <c r="A409">
        <v>1</v>
      </c>
      <c r="B409" s="10">
        <v>591108240615</v>
      </c>
      <c r="C409">
        <v>20</v>
      </c>
      <c r="D409" s="10">
        <v>5959692106</v>
      </c>
      <c r="F409" t="s">
        <v>40</v>
      </c>
      <c r="G409">
        <v>0</v>
      </c>
      <c r="H409">
        <v>100</v>
      </c>
      <c r="K409">
        <v>1</v>
      </c>
      <c r="L409" t="s">
        <v>41</v>
      </c>
      <c r="M409" t="s">
        <v>89</v>
      </c>
      <c r="N409" s="11">
        <v>2958465</v>
      </c>
      <c r="P409">
        <v>0</v>
      </c>
      <c r="U409">
        <v>4</v>
      </c>
      <c r="V409">
        <v>1</v>
      </c>
      <c r="W409" t="s">
        <v>42</v>
      </c>
      <c r="X409">
        <v>0</v>
      </c>
    </row>
    <row r="410" spans="1:24" x14ac:dyDescent="0.25">
      <c r="A410">
        <v>1</v>
      </c>
      <c r="B410" s="10">
        <v>591108240615</v>
      </c>
      <c r="C410">
        <v>30</v>
      </c>
      <c r="D410" s="10">
        <v>5952482106</v>
      </c>
      <c r="F410" t="s">
        <v>40</v>
      </c>
      <c r="G410">
        <v>0</v>
      </c>
      <c r="H410">
        <v>100</v>
      </c>
      <c r="K410">
        <v>1</v>
      </c>
      <c r="L410" t="s">
        <v>41</v>
      </c>
      <c r="M410" t="s">
        <v>89</v>
      </c>
      <c r="N410" s="11">
        <v>2958465</v>
      </c>
      <c r="P410">
        <v>0</v>
      </c>
      <c r="U410">
        <v>4</v>
      </c>
      <c r="V410">
        <v>1</v>
      </c>
      <c r="W410" t="s">
        <v>42</v>
      </c>
      <c r="X410">
        <v>0</v>
      </c>
    </row>
    <row r="411" spans="1:24" x14ac:dyDescent="0.25">
      <c r="A411">
        <v>1</v>
      </c>
      <c r="B411" s="10">
        <v>591108240615</v>
      </c>
      <c r="C411">
        <v>40</v>
      </c>
      <c r="D411" s="10">
        <v>5952792406</v>
      </c>
      <c r="F411" t="s">
        <v>40</v>
      </c>
      <c r="G411">
        <v>0</v>
      </c>
      <c r="H411">
        <v>100</v>
      </c>
      <c r="K411">
        <v>1</v>
      </c>
      <c r="L411" t="s">
        <v>41</v>
      </c>
      <c r="M411" t="s">
        <v>89</v>
      </c>
      <c r="N411" s="11">
        <v>2958465</v>
      </c>
      <c r="P411">
        <v>0</v>
      </c>
      <c r="U411">
        <v>4</v>
      </c>
      <c r="V411">
        <v>1</v>
      </c>
      <c r="W411" t="s">
        <v>42</v>
      </c>
      <c r="X411">
        <v>0</v>
      </c>
    </row>
    <row r="412" spans="1:24" x14ac:dyDescent="0.25">
      <c r="A412">
        <v>1</v>
      </c>
      <c r="B412" s="10">
        <v>591108240615</v>
      </c>
      <c r="C412">
        <v>50</v>
      </c>
      <c r="D412" s="10">
        <v>59102306</v>
      </c>
      <c r="F412" t="s">
        <v>40</v>
      </c>
      <c r="G412">
        <v>0</v>
      </c>
      <c r="H412">
        <v>100</v>
      </c>
      <c r="K412">
        <v>2</v>
      </c>
      <c r="L412" t="s">
        <v>41</v>
      </c>
      <c r="M412" t="s">
        <v>89</v>
      </c>
      <c r="N412" s="11">
        <v>2958465</v>
      </c>
      <c r="P412">
        <v>0</v>
      </c>
      <c r="U412">
        <v>4</v>
      </c>
      <c r="V412">
        <v>1</v>
      </c>
      <c r="W412" t="s">
        <v>42</v>
      </c>
      <c r="X412">
        <v>0</v>
      </c>
    </row>
    <row r="413" spans="1:24" x14ac:dyDescent="0.25">
      <c r="A413">
        <v>1</v>
      </c>
      <c r="B413" s="10">
        <v>591108240615</v>
      </c>
      <c r="C413">
        <v>60</v>
      </c>
      <c r="D413" s="10">
        <v>12421215</v>
      </c>
      <c r="F413" t="s">
        <v>40</v>
      </c>
      <c r="G413">
        <v>0</v>
      </c>
      <c r="H413">
        <v>100</v>
      </c>
      <c r="K413">
        <v>1</v>
      </c>
      <c r="L413" t="s">
        <v>41</v>
      </c>
      <c r="M413" t="s">
        <v>89</v>
      </c>
      <c r="N413" s="11">
        <v>2958465</v>
      </c>
      <c r="P413">
        <v>0</v>
      </c>
      <c r="U413">
        <v>4</v>
      </c>
      <c r="V413">
        <v>1</v>
      </c>
      <c r="W413" t="s">
        <v>42</v>
      </c>
      <c r="X413">
        <v>0</v>
      </c>
    </row>
    <row r="414" spans="1:24" x14ac:dyDescent="0.25">
      <c r="A414">
        <v>1</v>
      </c>
      <c r="B414" s="10">
        <v>591108240615</v>
      </c>
      <c r="C414">
        <v>70</v>
      </c>
      <c r="D414" s="10">
        <v>5997499</v>
      </c>
      <c r="F414" t="s">
        <v>68</v>
      </c>
      <c r="G414">
        <v>0</v>
      </c>
      <c r="H414">
        <v>100</v>
      </c>
      <c r="K414">
        <v>1</v>
      </c>
      <c r="L414" t="s">
        <v>41</v>
      </c>
      <c r="M414" t="s">
        <v>89</v>
      </c>
      <c r="N414" s="11">
        <v>2958465</v>
      </c>
      <c r="P414">
        <v>0</v>
      </c>
      <c r="U414">
        <v>4</v>
      </c>
      <c r="V414">
        <v>1</v>
      </c>
      <c r="W414" t="s">
        <v>42</v>
      </c>
      <c r="X414">
        <v>0</v>
      </c>
    </row>
    <row r="415" spans="1:24" x14ac:dyDescent="0.25">
      <c r="A415">
        <v>1</v>
      </c>
      <c r="B415" s="10">
        <v>591108240715</v>
      </c>
      <c r="C415">
        <v>10</v>
      </c>
      <c r="D415" s="10">
        <v>5959672107</v>
      </c>
      <c r="F415" t="s">
        <v>40</v>
      </c>
      <c r="G415">
        <v>0</v>
      </c>
      <c r="H415">
        <v>100</v>
      </c>
      <c r="K415">
        <v>1</v>
      </c>
      <c r="L415" t="s">
        <v>41</v>
      </c>
      <c r="M415" t="s">
        <v>89</v>
      </c>
      <c r="N415" s="11">
        <v>2958465</v>
      </c>
      <c r="P415">
        <v>0</v>
      </c>
      <c r="U415">
        <v>4</v>
      </c>
      <c r="V415">
        <v>1</v>
      </c>
      <c r="W415" t="s">
        <v>42</v>
      </c>
      <c r="X415">
        <v>0</v>
      </c>
    </row>
    <row r="416" spans="1:24" x14ac:dyDescent="0.25">
      <c r="A416">
        <v>1</v>
      </c>
      <c r="B416" s="10">
        <v>591108240715</v>
      </c>
      <c r="C416">
        <v>20</v>
      </c>
      <c r="D416" s="10">
        <v>5959692107</v>
      </c>
      <c r="F416" t="s">
        <v>40</v>
      </c>
      <c r="G416">
        <v>0</v>
      </c>
      <c r="H416">
        <v>100</v>
      </c>
      <c r="K416">
        <v>1</v>
      </c>
      <c r="L416" t="s">
        <v>41</v>
      </c>
      <c r="M416" t="s">
        <v>89</v>
      </c>
      <c r="N416" s="11">
        <v>2958465</v>
      </c>
      <c r="P416">
        <v>0</v>
      </c>
      <c r="U416">
        <v>4</v>
      </c>
      <c r="V416">
        <v>1</v>
      </c>
      <c r="W416" t="s">
        <v>42</v>
      </c>
      <c r="X416">
        <v>0</v>
      </c>
    </row>
    <row r="417" spans="1:24" x14ac:dyDescent="0.25">
      <c r="A417">
        <v>1</v>
      </c>
      <c r="B417" s="10">
        <v>591108240715</v>
      </c>
      <c r="C417">
        <v>30</v>
      </c>
      <c r="D417" s="10">
        <v>5952482107</v>
      </c>
      <c r="F417" t="s">
        <v>40</v>
      </c>
      <c r="G417">
        <v>0</v>
      </c>
      <c r="H417">
        <v>100</v>
      </c>
      <c r="K417">
        <v>1</v>
      </c>
      <c r="L417" t="s">
        <v>41</v>
      </c>
      <c r="M417" t="s">
        <v>89</v>
      </c>
      <c r="N417" s="11">
        <v>2958465</v>
      </c>
      <c r="P417">
        <v>0</v>
      </c>
      <c r="U417">
        <v>4</v>
      </c>
      <c r="V417">
        <v>1</v>
      </c>
      <c r="W417" t="s">
        <v>42</v>
      </c>
      <c r="X417">
        <v>0</v>
      </c>
    </row>
    <row r="418" spans="1:24" x14ac:dyDescent="0.25">
      <c r="A418">
        <v>1</v>
      </c>
      <c r="B418" s="10">
        <v>591108240715</v>
      </c>
      <c r="C418">
        <v>40</v>
      </c>
      <c r="D418" s="10">
        <v>5952792407</v>
      </c>
      <c r="F418" t="s">
        <v>40</v>
      </c>
      <c r="G418">
        <v>0</v>
      </c>
      <c r="H418">
        <v>100</v>
      </c>
      <c r="K418">
        <v>1</v>
      </c>
      <c r="L418" t="s">
        <v>41</v>
      </c>
      <c r="M418" t="s">
        <v>89</v>
      </c>
      <c r="N418" s="11">
        <v>2958465</v>
      </c>
      <c r="P418">
        <v>0</v>
      </c>
      <c r="U418">
        <v>4</v>
      </c>
      <c r="V418">
        <v>1</v>
      </c>
      <c r="W418" t="s">
        <v>42</v>
      </c>
      <c r="X418">
        <v>0</v>
      </c>
    </row>
    <row r="419" spans="1:24" x14ac:dyDescent="0.25">
      <c r="A419">
        <v>1</v>
      </c>
      <c r="B419" s="10">
        <v>591108240715</v>
      </c>
      <c r="C419">
        <v>50</v>
      </c>
      <c r="D419" s="10">
        <v>59102307</v>
      </c>
      <c r="F419" t="s">
        <v>40</v>
      </c>
      <c r="G419">
        <v>0</v>
      </c>
      <c r="H419">
        <v>100</v>
      </c>
      <c r="K419">
        <v>2</v>
      </c>
      <c r="L419" t="s">
        <v>41</v>
      </c>
      <c r="M419" t="s">
        <v>89</v>
      </c>
      <c r="N419" s="11">
        <v>2958465</v>
      </c>
      <c r="P419">
        <v>0</v>
      </c>
      <c r="U419">
        <v>4</v>
      </c>
      <c r="V419">
        <v>1</v>
      </c>
      <c r="W419" t="s">
        <v>42</v>
      </c>
      <c r="X419">
        <v>0</v>
      </c>
    </row>
    <row r="420" spans="1:24" x14ac:dyDescent="0.25">
      <c r="A420">
        <v>1</v>
      </c>
      <c r="B420" s="10">
        <v>591108240715</v>
      </c>
      <c r="C420">
        <v>60</v>
      </c>
      <c r="D420" s="10">
        <v>12421215</v>
      </c>
      <c r="F420" t="s">
        <v>40</v>
      </c>
      <c r="G420">
        <v>0</v>
      </c>
      <c r="H420">
        <v>100</v>
      </c>
      <c r="K420">
        <v>1</v>
      </c>
      <c r="L420" t="s">
        <v>41</v>
      </c>
      <c r="M420" t="s">
        <v>89</v>
      </c>
      <c r="N420" s="11">
        <v>2958465</v>
      </c>
      <c r="P420">
        <v>0</v>
      </c>
      <c r="U420">
        <v>4</v>
      </c>
      <c r="V420">
        <v>1</v>
      </c>
      <c r="W420" t="s">
        <v>42</v>
      </c>
      <c r="X420">
        <v>0</v>
      </c>
    </row>
    <row r="421" spans="1:24" x14ac:dyDescent="0.25">
      <c r="A421">
        <v>1</v>
      </c>
      <c r="B421" s="10">
        <v>591108240715</v>
      </c>
      <c r="C421">
        <v>70</v>
      </c>
      <c r="D421" s="10">
        <v>5997499</v>
      </c>
      <c r="F421" t="s">
        <v>68</v>
      </c>
      <c r="G421">
        <v>0</v>
      </c>
      <c r="H421">
        <v>100</v>
      </c>
      <c r="K421">
        <v>1</v>
      </c>
      <c r="L421" t="s">
        <v>41</v>
      </c>
      <c r="M421" t="s">
        <v>89</v>
      </c>
      <c r="N421" s="11">
        <v>2958465</v>
      </c>
      <c r="P421">
        <v>0</v>
      </c>
      <c r="U421">
        <v>4</v>
      </c>
      <c r="V421">
        <v>1</v>
      </c>
      <c r="W421" t="s">
        <v>42</v>
      </c>
      <c r="X421">
        <v>0</v>
      </c>
    </row>
    <row r="422" spans="1:24" x14ac:dyDescent="0.25">
      <c r="A422">
        <v>1</v>
      </c>
      <c r="B422" s="10">
        <v>591108240915</v>
      </c>
      <c r="C422">
        <v>10</v>
      </c>
      <c r="D422" s="10">
        <v>5959672109</v>
      </c>
      <c r="F422" t="s">
        <v>40</v>
      </c>
      <c r="G422">
        <v>0</v>
      </c>
      <c r="H422">
        <v>100</v>
      </c>
      <c r="K422">
        <v>1</v>
      </c>
      <c r="L422" t="s">
        <v>41</v>
      </c>
      <c r="M422" t="s">
        <v>89</v>
      </c>
      <c r="N422" s="11">
        <v>2958465</v>
      </c>
      <c r="P422">
        <v>0</v>
      </c>
      <c r="U422">
        <v>4</v>
      </c>
      <c r="V422">
        <v>1</v>
      </c>
      <c r="W422" t="s">
        <v>42</v>
      </c>
      <c r="X422">
        <v>0</v>
      </c>
    </row>
    <row r="423" spans="1:24" x14ac:dyDescent="0.25">
      <c r="A423">
        <v>1</v>
      </c>
      <c r="B423" s="10">
        <v>591108240915</v>
      </c>
      <c r="C423">
        <v>20</v>
      </c>
      <c r="D423" s="10">
        <v>5959692109</v>
      </c>
      <c r="F423" t="s">
        <v>40</v>
      </c>
      <c r="G423">
        <v>0</v>
      </c>
      <c r="H423">
        <v>100</v>
      </c>
      <c r="K423">
        <v>1</v>
      </c>
      <c r="L423" t="s">
        <v>41</v>
      </c>
      <c r="M423" t="s">
        <v>89</v>
      </c>
      <c r="N423" s="11">
        <v>2958465</v>
      </c>
      <c r="P423">
        <v>0</v>
      </c>
      <c r="U423">
        <v>4</v>
      </c>
      <c r="V423">
        <v>1</v>
      </c>
      <c r="W423" t="s">
        <v>42</v>
      </c>
      <c r="X423">
        <v>0</v>
      </c>
    </row>
    <row r="424" spans="1:24" x14ac:dyDescent="0.25">
      <c r="A424">
        <v>1</v>
      </c>
      <c r="B424" s="10">
        <v>591108240915</v>
      </c>
      <c r="C424">
        <v>30</v>
      </c>
      <c r="D424" s="10">
        <v>5952482109</v>
      </c>
      <c r="F424" t="s">
        <v>40</v>
      </c>
      <c r="G424">
        <v>0</v>
      </c>
      <c r="H424">
        <v>100</v>
      </c>
      <c r="K424">
        <v>1</v>
      </c>
      <c r="L424" t="s">
        <v>41</v>
      </c>
      <c r="M424" t="s">
        <v>89</v>
      </c>
      <c r="N424" s="11">
        <v>2958465</v>
      </c>
      <c r="P424">
        <v>0</v>
      </c>
      <c r="U424">
        <v>4</v>
      </c>
      <c r="V424">
        <v>1</v>
      </c>
      <c r="W424" t="s">
        <v>42</v>
      </c>
      <c r="X424">
        <v>0</v>
      </c>
    </row>
    <row r="425" spans="1:24" x14ac:dyDescent="0.25">
      <c r="A425">
        <v>1</v>
      </c>
      <c r="B425" s="10">
        <v>591108240915</v>
      </c>
      <c r="C425">
        <v>40</v>
      </c>
      <c r="D425" s="10">
        <v>5952792409</v>
      </c>
      <c r="F425" t="s">
        <v>40</v>
      </c>
      <c r="G425">
        <v>0</v>
      </c>
      <c r="H425">
        <v>100</v>
      </c>
      <c r="K425">
        <v>1</v>
      </c>
      <c r="L425" t="s">
        <v>41</v>
      </c>
      <c r="M425" t="s">
        <v>89</v>
      </c>
      <c r="N425" s="11">
        <v>2958465</v>
      </c>
      <c r="P425">
        <v>0</v>
      </c>
      <c r="U425">
        <v>4</v>
      </c>
      <c r="V425">
        <v>1</v>
      </c>
      <c r="W425" t="s">
        <v>42</v>
      </c>
      <c r="X425">
        <v>0</v>
      </c>
    </row>
    <row r="426" spans="1:24" x14ac:dyDescent="0.25">
      <c r="A426">
        <v>1</v>
      </c>
      <c r="B426" s="10">
        <v>591108240915</v>
      </c>
      <c r="C426">
        <v>50</v>
      </c>
      <c r="D426" s="10">
        <v>59102309</v>
      </c>
      <c r="F426" t="s">
        <v>40</v>
      </c>
      <c r="G426">
        <v>0</v>
      </c>
      <c r="H426">
        <v>100</v>
      </c>
      <c r="K426">
        <v>2</v>
      </c>
      <c r="L426" t="s">
        <v>41</v>
      </c>
      <c r="M426" t="s">
        <v>89</v>
      </c>
      <c r="N426" s="11">
        <v>2958465</v>
      </c>
      <c r="P426">
        <v>0</v>
      </c>
      <c r="U426">
        <v>4</v>
      </c>
      <c r="V426">
        <v>1</v>
      </c>
      <c r="W426" t="s">
        <v>42</v>
      </c>
      <c r="X426">
        <v>0</v>
      </c>
    </row>
    <row r="427" spans="1:24" x14ac:dyDescent="0.25">
      <c r="A427">
        <v>1</v>
      </c>
      <c r="B427" s="10">
        <v>591108240915</v>
      </c>
      <c r="C427">
        <v>60</v>
      </c>
      <c r="D427" s="10">
        <v>12421215</v>
      </c>
      <c r="F427" t="s">
        <v>40</v>
      </c>
      <c r="G427">
        <v>0</v>
      </c>
      <c r="H427">
        <v>100</v>
      </c>
      <c r="K427">
        <v>1</v>
      </c>
      <c r="L427" t="s">
        <v>41</v>
      </c>
      <c r="M427" t="s">
        <v>89</v>
      </c>
      <c r="N427" s="11">
        <v>2958465</v>
      </c>
      <c r="P427">
        <v>0</v>
      </c>
      <c r="U427">
        <v>4</v>
      </c>
      <c r="V427">
        <v>1</v>
      </c>
      <c r="W427" t="s">
        <v>42</v>
      </c>
      <c r="X427">
        <v>0</v>
      </c>
    </row>
    <row r="428" spans="1:24" x14ac:dyDescent="0.25">
      <c r="A428">
        <v>1</v>
      </c>
      <c r="B428" s="10">
        <v>591108240915</v>
      </c>
      <c r="C428">
        <v>70</v>
      </c>
      <c r="D428" s="10">
        <v>5997499</v>
      </c>
      <c r="F428" t="s">
        <v>68</v>
      </c>
      <c r="G428">
        <v>0</v>
      </c>
      <c r="H428">
        <v>100</v>
      </c>
      <c r="K428">
        <v>1</v>
      </c>
      <c r="L428" t="s">
        <v>41</v>
      </c>
      <c r="M428" t="s">
        <v>89</v>
      </c>
      <c r="N428" s="11">
        <v>2958465</v>
      </c>
      <c r="P428">
        <v>0</v>
      </c>
      <c r="U428">
        <v>4</v>
      </c>
      <c r="V428">
        <v>1</v>
      </c>
      <c r="W428" t="s">
        <v>42</v>
      </c>
      <c r="X428">
        <v>0</v>
      </c>
    </row>
    <row r="429" spans="1:24" x14ac:dyDescent="0.25">
      <c r="A429">
        <v>1</v>
      </c>
      <c r="B429" s="10">
        <v>591108240138</v>
      </c>
      <c r="C429">
        <v>10</v>
      </c>
      <c r="D429" s="10">
        <v>5959672101</v>
      </c>
      <c r="F429" t="s">
        <v>40</v>
      </c>
      <c r="G429">
        <v>0</v>
      </c>
      <c r="H429">
        <v>100</v>
      </c>
      <c r="K429">
        <v>1</v>
      </c>
      <c r="L429" t="s">
        <v>41</v>
      </c>
      <c r="M429" t="s">
        <v>89</v>
      </c>
      <c r="N429" s="11">
        <v>2958465</v>
      </c>
      <c r="P429">
        <v>0</v>
      </c>
      <c r="U429">
        <v>4</v>
      </c>
      <c r="V429">
        <v>1</v>
      </c>
      <c r="W429" t="s">
        <v>42</v>
      </c>
      <c r="X429">
        <v>0</v>
      </c>
    </row>
    <row r="430" spans="1:24" x14ac:dyDescent="0.25">
      <c r="A430">
        <v>1</v>
      </c>
      <c r="B430" s="10">
        <v>591108240138</v>
      </c>
      <c r="C430">
        <v>20</v>
      </c>
      <c r="D430" s="10">
        <v>5959692101</v>
      </c>
      <c r="F430" t="s">
        <v>40</v>
      </c>
      <c r="G430">
        <v>0</v>
      </c>
      <c r="H430">
        <v>100</v>
      </c>
      <c r="K430">
        <v>1</v>
      </c>
      <c r="L430" t="s">
        <v>41</v>
      </c>
      <c r="M430" t="s">
        <v>89</v>
      </c>
      <c r="N430" s="11">
        <v>2958465</v>
      </c>
      <c r="P430">
        <v>0</v>
      </c>
      <c r="U430">
        <v>4</v>
      </c>
      <c r="V430">
        <v>1</v>
      </c>
      <c r="W430" t="s">
        <v>42</v>
      </c>
      <c r="X430">
        <v>0</v>
      </c>
    </row>
    <row r="431" spans="1:24" x14ac:dyDescent="0.25">
      <c r="A431">
        <v>1</v>
      </c>
      <c r="B431" s="10">
        <v>591108240138</v>
      </c>
      <c r="C431">
        <v>30</v>
      </c>
      <c r="D431" s="10">
        <v>5952482101</v>
      </c>
      <c r="F431" t="s">
        <v>40</v>
      </c>
      <c r="G431">
        <v>0</v>
      </c>
      <c r="H431">
        <v>100</v>
      </c>
      <c r="K431">
        <v>1</v>
      </c>
      <c r="L431" t="s">
        <v>41</v>
      </c>
      <c r="M431" t="s">
        <v>89</v>
      </c>
      <c r="N431" s="11">
        <v>2958465</v>
      </c>
      <c r="P431">
        <v>0</v>
      </c>
      <c r="U431">
        <v>4</v>
      </c>
      <c r="V431">
        <v>1</v>
      </c>
      <c r="W431" t="s">
        <v>42</v>
      </c>
      <c r="X431">
        <v>0</v>
      </c>
    </row>
    <row r="432" spans="1:24" x14ac:dyDescent="0.25">
      <c r="A432">
        <v>1</v>
      </c>
      <c r="B432" s="10">
        <v>591108240138</v>
      </c>
      <c r="C432">
        <v>40</v>
      </c>
      <c r="D432" s="10">
        <v>5952792401</v>
      </c>
      <c r="F432" t="s">
        <v>40</v>
      </c>
      <c r="G432">
        <v>0</v>
      </c>
      <c r="H432">
        <v>100</v>
      </c>
      <c r="K432">
        <v>1</v>
      </c>
      <c r="L432" t="s">
        <v>41</v>
      </c>
      <c r="M432" t="s">
        <v>89</v>
      </c>
      <c r="N432" s="11">
        <v>2958465</v>
      </c>
      <c r="P432">
        <v>0</v>
      </c>
      <c r="U432">
        <v>4</v>
      </c>
      <c r="V432">
        <v>1</v>
      </c>
      <c r="W432" t="s">
        <v>42</v>
      </c>
      <c r="X432">
        <v>0</v>
      </c>
    </row>
    <row r="433" spans="1:24" x14ac:dyDescent="0.25">
      <c r="A433">
        <v>1</v>
      </c>
      <c r="B433" s="10">
        <v>591108240138</v>
      </c>
      <c r="C433">
        <v>50</v>
      </c>
      <c r="D433" s="10">
        <v>59102301</v>
      </c>
      <c r="F433" t="s">
        <v>40</v>
      </c>
      <c r="G433">
        <v>0</v>
      </c>
      <c r="H433">
        <v>100</v>
      </c>
      <c r="K433">
        <v>2</v>
      </c>
      <c r="L433" t="s">
        <v>41</v>
      </c>
      <c r="M433" t="s">
        <v>89</v>
      </c>
      <c r="N433" s="11">
        <v>2958465</v>
      </c>
      <c r="P433">
        <v>0</v>
      </c>
      <c r="U433">
        <v>4</v>
      </c>
      <c r="V433">
        <v>1</v>
      </c>
      <c r="W433" t="s">
        <v>42</v>
      </c>
      <c r="X433">
        <v>0</v>
      </c>
    </row>
    <row r="434" spans="1:24" x14ac:dyDescent="0.25">
      <c r="A434">
        <v>1</v>
      </c>
      <c r="B434" s="10">
        <v>591108240138</v>
      </c>
      <c r="C434">
        <v>60</v>
      </c>
      <c r="D434" s="10">
        <v>12421238</v>
      </c>
      <c r="F434" t="s">
        <v>40</v>
      </c>
      <c r="G434">
        <v>0</v>
      </c>
      <c r="H434">
        <v>100</v>
      </c>
      <c r="K434">
        <v>1</v>
      </c>
      <c r="L434" t="s">
        <v>41</v>
      </c>
      <c r="M434" t="s">
        <v>89</v>
      </c>
      <c r="N434" s="11">
        <v>2958465</v>
      </c>
      <c r="P434">
        <v>0</v>
      </c>
      <c r="U434">
        <v>4</v>
      </c>
      <c r="V434">
        <v>1</v>
      </c>
      <c r="W434" t="s">
        <v>42</v>
      </c>
      <c r="X434">
        <v>0</v>
      </c>
    </row>
    <row r="435" spans="1:24" x14ac:dyDescent="0.25">
      <c r="A435">
        <v>1</v>
      </c>
      <c r="B435" s="10">
        <v>591108240138</v>
      </c>
      <c r="C435">
        <v>70</v>
      </c>
      <c r="D435" s="10">
        <v>5997499</v>
      </c>
      <c r="F435" t="s">
        <v>68</v>
      </c>
      <c r="G435">
        <v>0</v>
      </c>
      <c r="H435">
        <v>100</v>
      </c>
      <c r="K435">
        <v>1</v>
      </c>
      <c r="L435" t="s">
        <v>41</v>
      </c>
      <c r="M435" t="s">
        <v>89</v>
      </c>
      <c r="N435" s="11">
        <v>2958465</v>
      </c>
      <c r="P435">
        <v>0</v>
      </c>
      <c r="U435">
        <v>4</v>
      </c>
      <c r="V435">
        <v>1</v>
      </c>
      <c r="W435" t="s">
        <v>42</v>
      </c>
      <c r="X435">
        <v>0</v>
      </c>
    </row>
    <row r="436" spans="1:24" x14ac:dyDescent="0.25">
      <c r="A436">
        <v>1</v>
      </c>
      <c r="B436" s="10">
        <v>591108240238</v>
      </c>
      <c r="C436">
        <v>10</v>
      </c>
      <c r="D436" s="10">
        <v>5959672102</v>
      </c>
      <c r="F436" t="s">
        <v>40</v>
      </c>
      <c r="G436">
        <v>0</v>
      </c>
      <c r="H436">
        <v>100</v>
      </c>
      <c r="K436">
        <v>1</v>
      </c>
      <c r="L436" t="s">
        <v>41</v>
      </c>
      <c r="M436" t="s">
        <v>89</v>
      </c>
      <c r="N436" s="11">
        <v>2958465</v>
      </c>
      <c r="P436">
        <v>0</v>
      </c>
      <c r="U436">
        <v>4</v>
      </c>
      <c r="V436">
        <v>1</v>
      </c>
      <c r="W436" t="s">
        <v>42</v>
      </c>
      <c r="X436">
        <v>0</v>
      </c>
    </row>
    <row r="437" spans="1:24" x14ac:dyDescent="0.25">
      <c r="A437">
        <v>1</v>
      </c>
      <c r="B437" s="10">
        <v>591108240238</v>
      </c>
      <c r="C437">
        <v>20</v>
      </c>
      <c r="D437" s="10">
        <v>5959692102</v>
      </c>
      <c r="F437" t="s">
        <v>40</v>
      </c>
      <c r="G437">
        <v>0</v>
      </c>
      <c r="H437">
        <v>100</v>
      </c>
      <c r="K437">
        <v>1</v>
      </c>
      <c r="L437" t="s">
        <v>41</v>
      </c>
      <c r="M437" t="s">
        <v>89</v>
      </c>
      <c r="N437" s="11">
        <v>2958465</v>
      </c>
      <c r="P437">
        <v>0</v>
      </c>
      <c r="U437">
        <v>4</v>
      </c>
      <c r="V437">
        <v>1</v>
      </c>
      <c r="W437" t="s">
        <v>42</v>
      </c>
      <c r="X437">
        <v>0</v>
      </c>
    </row>
    <row r="438" spans="1:24" x14ac:dyDescent="0.25">
      <c r="A438">
        <v>1</v>
      </c>
      <c r="B438" s="10">
        <v>591108240238</v>
      </c>
      <c r="C438">
        <v>30</v>
      </c>
      <c r="D438" s="10">
        <v>5952482102</v>
      </c>
      <c r="F438" t="s">
        <v>40</v>
      </c>
      <c r="G438">
        <v>0</v>
      </c>
      <c r="H438">
        <v>100</v>
      </c>
      <c r="K438">
        <v>1</v>
      </c>
      <c r="L438" t="s">
        <v>41</v>
      </c>
      <c r="M438" t="s">
        <v>89</v>
      </c>
      <c r="N438" s="11">
        <v>2958465</v>
      </c>
      <c r="P438">
        <v>0</v>
      </c>
      <c r="U438">
        <v>4</v>
      </c>
      <c r="V438">
        <v>1</v>
      </c>
      <c r="W438" t="s">
        <v>42</v>
      </c>
      <c r="X438">
        <v>0</v>
      </c>
    </row>
    <row r="439" spans="1:24" x14ac:dyDescent="0.25">
      <c r="A439">
        <v>1</v>
      </c>
      <c r="B439" s="10">
        <v>591108240238</v>
      </c>
      <c r="C439">
        <v>40</v>
      </c>
      <c r="D439" s="10">
        <v>5952792402</v>
      </c>
      <c r="F439" t="s">
        <v>40</v>
      </c>
      <c r="G439">
        <v>0</v>
      </c>
      <c r="H439">
        <v>100</v>
      </c>
      <c r="K439">
        <v>1</v>
      </c>
      <c r="L439" t="s">
        <v>41</v>
      </c>
      <c r="M439" t="s">
        <v>89</v>
      </c>
      <c r="N439" s="11">
        <v>2958465</v>
      </c>
      <c r="P439">
        <v>0</v>
      </c>
      <c r="U439">
        <v>4</v>
      </c>
      <c r="V439">
        <v>1</v>
      </c>
      <c r="W439" t="s">
        <v>42</v>
      </c>
      <c r="X439">
        <v>0</v>
      </c>
    </row>
    <row r="440" spans="1:24" x14ac:dyDescent="0.25">
      <c r="A440">
        <v>1</v>
      </c>
      <c r="B440" s="10">
        <v>591108240238</v>
      </c>
      <c r="C440">
        <v>50</v>
      </c>
      <c r="D440" s="10">
        <v>59102302</v>
      </c>
      <c r="F440" t="s">
        <v>40</v>
      </c>
      <c r="G440">
        <v>0</v>
      </c>
      <c r="H440">
        <v>100</v>
      </c>
      <c r="K440">
        <v>2</v>
      </c>
      <c r="L440" t="s">
        <v>41</v>
      </c>
      <c r="M440" t="s">
        <v>89</v>
      </c>
      <c r="N440" s="11">
        <v>2958465</v>
      </c>
      <c r="P440">
        <v>0</v>
      </c>
      <c r="U440">
        <v>4</v>
      </c>
      <c r="V440">
        <v>1</v>
      </c>
      <c r="W440" t="s">
        <v>42</v>
      </c>
      <c r="X440">
        <v>0</v>
      </c>
    </row>
    <row r="441" spans="1:24" x14ac:dyDescent="0.25">
      <c r="A441">
        <v>1</v>
      </c>
      <c r="B441" s="10">
        <v>591108240238</v>
      </c>
      <c r="C441">
        <v>60</v>
      </c>
      <c r="D441" s="10">
        <v>12421238</v>
      </c>
      <c r="F441" t="s">
        <v>40</v>
      </c>
      <c r="G441">
        <v>0</v>
      </c>
      <c r="H441">
        <v>100</v>
      </c>
      <c r="K441">
        <v>1</v>
      </c>
      <c r="L441" t="s">
        <v>41</v>
      </c>
      <c r="M441" t="s">
        <v>89</v>
      </c>
      <c r="N441" s="11">
        <v>2958465</v>
      </c>
      <c r="P441">
        <v>0</v>
      </c>
      <c r="U441">
        <v>4</v>
      </c>
      <c r="V441">
        <v>1</v>
      </c>
      <c r="W441" t="s">
        <v>42</v>
      </c>
      <c r="X441">
        <v>0</v>
      </c>
    </row>
    <row r="442" spans="1:24" x14ac:dyDescent="0.25">
      <c r="A442">
        <v>1</v>
      </c>
      <c r="B442" s="10">
        <v>591108240238</v>
      </c>
      <c r="C442">
        <v>70</v>
      </c>
      <c r="D442" s="10">
        <v>5997499</v>
      </c>
      <c r="F442" t="s">
        <v>68</v>
      </c>
      <c r="G442">
        <v>0</v>
      </c>
      <c r="H442">
        <v>100</v>
      </c>
      <c r="K442">
        <v>1</v>
      </c>
      <c r="L442" t="s">
        <v>41</v>
      </c>
      <c r="M442" t="s">
        <v>89</v>
      </c>
      <c r="N442" s="11">
        <v>2958465</v>
      </c>
      <c r="P442">
        <v>0</v>
      </c>
      <c r="U442">
        <v>4</v>
      </c>
      <c r="V442">
        <v>1</v>
      </c>
      <c r="W442" t="s">
        <v>42</v>
      </c>
      <c r="X442">
        <v>0</v>
      </c>
    </row>
    <row r="443" spans="1:24" x14ac:dyDescent="0.25">
      <c r="A443">
        <v>1</v>
      </c>
      <c r="B443" s="10">
        <v>591108240338</v>
      </c>
      <c r="C443">
        <v>10</v>
      </c>
      <c r="D443" s="10">
        <v>5959672103</v>
      </c>
      <c r="F443" t="s">
        <v>40</v>
      </c>
      <c r="G443">
        <v>0</v>
      </c>
      <c r="H443">
        <v>100</v>
      </c>
      <c r="K443">
        <v>1</v>
      </c>
      <c r="L443" t="s">
        <v>41</v>
      </c>
      <c r="M443" t="s">
        <v>89</v>
      </c>
      <c r="N443" s="11">
        <v>2958465</v>
      </c>
      <c r="P443">
        <v>0</v>
      </c>
      <c r="U443">
        <v>4</v>
      </c>
      <c r="V443">
        <v>1</v>
      </c>
      <c r="W443" t="s">
        <v>42</v>
      </c>
      <c r="X443">
        <v>0</v>
      </c>
    </row>
    <row r="444" spans="1:24" x14ac:dyDescent="0.25">
      <c r="A444">
        <v>1</v>
      </c>
      <c r="B444" s="10">
        <v>591108240338</v>
      </c>
      <c r="C444">
        <v>20</v>
      </c>
      <c r="D444" s="10">
        <v>5959692103</v>
      </c>
      <c r="F444" t="s">
        <v>40</v>
      </c>
      <c r="G444">
        <v>0</v>
      </c>
      <c r="H444">
        <v>100</v>
      </c>
      <c r="K444">
        <v>1</v>
      </c>
      <c r="L444" t="s">
        <v>41</v>
      </c>
      <c r="M444" t="s">
        <v>89</v>
      </c>
      <c r="N444" s="11">
        <v>2958465</v>
      </c>
      <c r="P444">
        <v>0</v>
      </c>
      <c r="U444">
        <v>4</v>
      </c>
      <c r="V444">
        <v>1</v>
      </c>
      <c r="W444" t="s">
        <v>42</v>
      </c>
      <c r="X444">
        <v>0</v>
      </c>
    </row>
    <row r="445" spans="1:24" x14ac:dyDescent="0.25">
      <c r="A445">
        <v>1</v>
      </c>
      <c r="B445" s="10">
        <v>591108240338</v>
      </c>
      <c r="C445">
        <v>30</v>
      </c>
      <c r="D445" s="10">
        <v>5952482103</v>
      </c>
      <c r="F445" t="s">
        <v>40</v>
      </c>
      <c r="G445">
        <v>0</v>
      </c>
      <c r="H445">
        <v>100</v>
      </c>
      <c r="K445">
        <v>1</v>
      </c>
      <c r="L445" t="s">
        <v>41</v>
      </c>
      <c r="M445" t="s">
        <v>89</v>
      </c>
      <c r="N445" s="11">
        <v>2958465</v>
      </c>
      <c r="P445">
        <v>0</v>
      </c>
      <c r="U445">
        <v>4</v>
      </c>
      <c r="V445">
        <v>1</v>
      </c>
      <c r="W445" t="s">
        <v>42</v>
      </c>
      <c r="X445">
        <v>0</v>
      </c>
    </row>
    <row r="446" spans="1:24" x14ac:dyDescent="0.25">
      <c r="A446">
        <v>1</v>
      </c>
      <c r="B446" s="10">
        <v>591108240338</v>
      </c>
      <c r="C446">
        <v>40</v>
      </c>
      <c r="D446" s="10">
        <v>5952792403</v>
      </c>
      <c r="F446" t="s">
        <v>40</v>
      </c>
      <c r="G446">
        <v>0</v>
      </c>
      <c r="H446">
        <v>100</v>
      </c>
      <c r="K446">
        <v>1</v>
      </c>
      <c r="L446" t="s">
        <v>41</v>
      </c>
      <c r="M446" t="s">
        <v>89</v>
      </c>
      <c r="N446" s="11">
        <v>2958465</v>
      </c>
      <c r="P446">
        <v>0</v>
      </c>
      <c r="U446">
        <v>4</v>
      </c>
      <c r="V446">
        <v>1</v>
      </c>
      <c r="W446" t="s">
        <v>42</v>
      </c>
      <c r="X446">
        <v>0</v>
      </c>
    </row>
    <row r="447" spans="1:24" x14ac:dyDescent="0.25">
      <c r="A447">
        <v>1</v>
      </c>
      <c r="B447" s="10">
        <v>591108240338</v>
      </c>
      <c r="C447">
        <v>50</v>
      </c>
      <c r="D447" s="10">
        <v>59102303</v>
      </c>
      <c r="F447" t="s">
        <v>40</v>
      </c>
      <c r="G447">
        <v>0</v>
      </c>
      <c r="H447">
        <v>100</v>
      </c>
      <c r="K447">
        <v>2</v>
      </c>
      <c r="L447" t="s">
        <v>41</v>
      </c>
      <c r="M447" t="s">
        <v>89</v>
      </c>
      <c r="N447" s="11">
        <v>2958465</v>
      </c>
      <c r="P447">
        <v>0</v>
      </c>
      <c r="U447">
        <v>4</v>
      </c>
      <c r="V447">
        <v>1</v>
      </c>
      <c r="W447" t="s">
        <v>42</v>
      </c>
      <c r="X447">
        <v>0</v>
      </c>
    </row>
    <row r="448" spans="1:24" x14ac:dyDescent="0.25">
      <c r="A448">
        <v>1</v>
      </c>
      <c r="B448" s="10">
        <v>591108240338</v>
      </c>
      <c r="C448">
        <v>60</v>
      </c>
      <c r="D448" s="10">
        <v>12421238</v>
      </c>
      <c r="F448" t="s">
        <v>40</v>
      </c>
      <c r="G448">
        <v>0</v>
      </c>
      <c r="H448">
        <v>100</v>
      </c>
      <c r="K448">
        <v>1</v>
      </c>
      <c r="L448" t="s">
        <v>41</v>
      </c>
      <c r="M448" t="s">
        <v>89</v>
      </c>
      <c r="N448" s="11">
        <v>2958465</v>
      </c>
      <c r="P448">
        <v>0</v>
      </c>
      <c r="U448">
        <v>4</v>
      </c>
      <c r="V448">
        <v>1</v>
      </c>
      <c r="W448" t="s">
        <v>42</v>
      </c>
      <c r="X448">
        <v>0</v>
      </c>
    </row>
    <row r="449" spans="1:24" x14ac:dyDescent="0.25">
      <c r="A449">
        <v>1</v>
      </c>
      <c r="B449" s="10">
        <v>591108240338</v>
      </c>
      <c r="C449">
        <v>70</v>
      </c>
      <c r="D449" s="10">
        <v>5997499</v>
      </c>
      <c r="F449" t="s">
        <v>68</v>
      </c>
      <c r="G449">
        <v>0</v>
      </c>
      <c r="H449">
        <v>100</v>
      </c>
      <c r="K449">
        <v>1</v>
      </c>
      <c r="L449" t="s">
        <v>41</v>
      </c>
      <c r="M449" t="s">
        <v>89</v>
      </c>
      <c r="N449" s="11">
        <v>2958465</v>
      </c>
      <c r="P449">
        <v>0</v>
      </c>
      <c r="U449">
        <v>4</v>
      </c>
      <c r="V449">
        <v>1</v>
      </c>
      <c r="W449" t="s">
        <v>42</v>
      </c>
      <c r="X449">
        <v>0</v>
      </c>
    </row>
    <row r="450" spans="1:24" x14ac:dyDescent="0.25">
      <c r="A450">
        <v>1</v>
      </c>
      <c r="B450" s="10">
        <v>591108240438</v>
      </c>
      <c r="C450">
        <v>10</v>
      </c>
      <c r="D450" s="10">
        <v>5959672104</v>
      </c>
      <c r="F450" t="s">
        <v>40</v>
      </c>
      <c r="G450">
        <v>0</v>
      </c>
      <c r="H450">
        <v>100</v>
      </c>
      <c r="K450">
        <v>1</v>
      </c>
      <c r="L450" t="s">
        <v>41</v>
      </c>
      <c r="M450" t="s">
        <v>89</v>
      </c>
      <c r="N450" s="11">
        <v>2958465</v>
      </c>
      <c r="P450">
        <v>0</v>
      </c>
      <c r="U450">
        <v>4</v>
      </c>
      <c r="V450">
        <v>1</v>
      </c>
      <c r="W450" t="s">
        <v>42</v>
      </c>
      <c r="X450">
        <v>0</v>
      </c>
    </row>
    <row r="451" spans="1:24" x14ac:dyDescent="0.25">
      <c r="A451">
        <v>1</v>
      </c>
      <c r="B451" s="10">
        <v>591108240438</v>
      </c>
      <c r="C451">
        <v>20</v>
      </c>
      <c r="D451" s="10">
        <v>5959692104</v>
      </c>
      <c r="F451" t="s">
        <v>40</v>
      </c>
      <c r="G451">
        <v>0</v>
      </c>
      <c r="H451">
        <v>100</v>
      </c>
      <c r="K451">
        <v>1</v>
      </c>
      <c r="L451" t="s">
        <v>41</v>
      </c>
      <c r="M451" t="s">
        <v>89</v>
      </c>
      <c r="N451" s="11">
        <v>2958465</v>
      </c>
      <c r="P451">
        <v>0</v>
      </c>
      <c r="U451">
        <v>4</v>
      </c>
      <c r="V451">
        <v>1</v>
      </c>
      <c r="W451" t="s">
        <v>42</v>
      </c>
      <c r="X451">
        <v>0</v>
      </c>
    </row>
    <row r="452" spans="1:24" x14ac:dyDescent="0.25">
      <c r="A452">
        <v>1</v>
      </c>
      <c r="B452" s="10">
        <v>591108240438</v>
      </c>
      <c r="C452">
        <v>30</v>
      </c>
      <c r="D452" s="10">
        <v>5952482104</v>
      </c>
      <c r="F452" t="s">
        <v>40</v>
      </c>
      <c r="G452">
        <v>0</v>
      </c>
      <c r="H452">
        <v>100</v>
      </c>
      <c r="K452">
        <v>1</v>
      </c>
      <c r="L452" t="s">
        <v>41</v>
      </c>
      <c r="M452" t="s">
        <v>89</v>
      </c>
      <c r="N452" s="11">
        <v>2958465</v>
      </c>
      <c r="P452">
        <v>0</v>
      </c>
      <c r="U452">
        <v>4</v>
      </c>
      <c r="V452">
        <v>1</v>
      </c>
      <c r="W452" t="s">
        <v>42</v>
      </c>
      <c r="X452">
        <v>0</v>
      </c>
    </row>
    <row r="453" spans="1:24" x14ac:dyDescent="0.25">
      <c r="A453">
        <v>1</v>
      </c>
      <c r="B453" s="10">
        <v>591108240438</v>
      </c>
      <c r="C453">
        <v>40</v>
      </c>
      <c r="D453" s="10">
        <v>5952792404</v>
      </c>
      <c r="F453" t="s">
        <v>40</v>
      </c>
      <c r="G453">
        <v>0</v>
      </c>
      <c r="H453">
        <v>100</v>
      </c>
      <c r="K453">
        <v>1</v>
      </c>
      <c r="L453" t="s">
        <v>41</v>
      </c>
      <c r="M453" t="s">
        <v>89</v>
      </c>
      <c r="N453" s="11">
        <v>2958465</v>
      </c>
      <c r="P453">
        <v>0</v>
      </c>
      <c r="U453">
        <v>4</v>
      </c>
      <c r="V453">
        <v>1</v>
      </c>
      <c r="W453" t="s">
        <v>42</v>
      </c>
      <c r="X453">
        <v>0</v>
      </c>
    </row>
    <row r="454" spans="1:24" x14ac:dyDescent="0.25">
      <c r="A454">
        <v>1</v>
      </c>
      <c r="B454" s="10">
        <v>591108240438</v>
      </c>
      <c r="C454">
        <v>50</v>
      </c>
      <c r="D454" s="10">
        <v>59102304</v>
      </c>
      <c r="F454" t="s">
        <v>40</v>
      </c>
      <c r="G454">
        <v>0</v>
      </c>
      <c r="H454">
        <v>100</v>
      </c>
      <c r="K454">
        <v>2</v>
      </c>
      <c r="L454" t="s">
        <v>41</v>
      </c>
      <c r="M454" t="s">
        <v>89</v>
      </c>
      <c r="N454" s="11">
        <v>2958465</v>
      </c>
      <c r="P454">
        <v>0</v>
      </c>
      <c r="U454">
        <v>4</v>
      </c>
      <c r="V454">
        <v>1</v>
      </c>
      <c r="W454" t="s">
        <v>42</v>
      </c>
      <c r="X454">
        <v>0</v>
      </c>
    </row>
    <row r="455" spans="1:24" x14ac:dyDescent="0.25">
      <c r="A455">
        <v>1</v>
      </c>
      <c r="B455" s="10">
        <v>591108240438</v>
      </c>
      <c r="C455">
        <v>60</v>
      </c>
      <c r="D455" s="10">
        <v>12421238</v>
      </c>
      <c r="F455" t="s">
        <v>40</v>
      </c>
      <c r="G455">
        <v>0</v>
      </c>
      <c r="H455">
        <v>100</v>
      </c>
      <c r="K455">
        <v>1</v>
      </c>
      <c r="L455" t="s">
        <v>41</v>
      </c>
      <c r="M455" t="s">
        <v>89</v>
      </c>
      <c r="N455" s="11">
        <v>2958465</v>
      </c>
      <c r="P455">
        <v>0</v>
      </c>
      <c r="U455">
        <v>4</v>
      </c>
      <c r="V455">
        <v>1</v>
      </c>
      <c r="W455" t="s">
        <v>42</v>
      </c>
      <c r="X455">
        <v>0</v>
      </c>
    </row>
    <row r="456" spans="1:24" x14ac:dyDescent="0.25">
      <c r="A456">
        <v>1</v>
      </c>
      <c r="B456" s="10">
        <v>591108240438</v>
      </c>
      <c r="C456">
        <v>70</v>
      </c>
      <c r="D456" s="10">
        <v>5997499</v>
      </c>
      <c r="F456" t="s">
        <v>68</v>
      </c>
      <c r="G456">
        <v>0</v>
      </c>
      <c r="H456">
        <v>100</v>
      </c>
      <c r="K456">
        <v>1</v>
      </c>
      <c r="L456" t="s">
        <v>41</v>
      </c>
      <c r="M456" t="s">
        <v>89</v>
      </c>
      <c r="N456" s="11">
        <v>2958465</v>
      </c>
      <c r="P456">
        <v>0</v>
      </c>
      <c r="U456">
        <v>4</v>
      </c>
      <c r="V456">
        <v>1</v>
      </c>
      <c r="W456" t="s">
        <v>42</v>
      </c>
      <c r="X456">
        <v>0</v>
      </c>
    </row>
    <row r="457" spans="1:24" x14ac:dyDescent="0.25">
      <c r="A457">
        <v>1</v>
      </c>
      <c r="B457" s="10">
        <v>591108240538</v>
      </c>
      <c r="C457">
        <v>10</v>
      </c>
      <c r="D457" s="10">
        <v>5959672105</v>
      </c>
      <c r="F457" t="s">
        <v>40</v>
      </c>
      <c r="G457">
        <v>0</v>
      </c>
      <c r="H457">
        <v>100</v>
      </c>
      <c r="K457">
        <v>1</v>
      </c>
      <c r="L457" t="s">
        <v>41</v>
      </c>
      <c r="M457" t="s">
        <v>89</v>
      </c>
      <c r="N457" s="11">
        <v>2958465</v>
      </c>
      <c r="P457">
        <v>0</v>
      </c>
      <c r="U457">
        <v>4</v>
      </c>
      <c r="V457">
        <v>1</v>
      </c>
      <c r="W457" t="s">
        <v>42</v>
      </c>
      <c r="X457">
        <v>0</v>
      </c>
    </row>
    <row r="458" spans="1:24" x14ac:dyDescent="0.25">
      <c r="A458">
        <v>1</v>
      </c>
      <c r="B458" s="10">
        <v>591108240538</v>
      </c>
      <c r="C458">
        <v>20</v>
      </c>
      <c r="D458" s="10">
        <v>5959692105</v>
      </c>
      <c r="F458" t="s">
        <v>40</v>
      </c>
      <c r="G458">
        <v>0</v>
      </c>
      <c r="H458">
        <v>100</v>
      </c>
      <c r="K458">
        <v>1</v>
      </c>
      <c r="L458" t="s">
        <v>41</v>
      </c>
      <c r="M458" t="s">
        <v>89</v>
      </c>
      <c r="N458" s="11">
        <v>2958465</v>
      </c>
      <c r="P458">
        <v>0</v>
      </c>
      <c r="U458">
        <v>4</v>
      </c>
      <c r="V458">
        <v>1</v>
      </c>
      <c r="W458" t="s">
        <v>42</v>
      </c>
      <c r="X458">
        <v>0</v>
      </c>
    </row>
    <row r="459" spans="1:24" x14ac:dyDescent="0.25">
      <c r="A459">
        <v>1</v>
      </c>
      <c r="B459" s="10">
        <v>591108240538</v>
      </c>
      <c r="C459">
        <v>30</v>
      </c>
      <c r="D459" s="10">
        <v>5952482105</v>
      </c>
      <c r="F459" t="s">
        <v>40</v>
      </c>
      <c r="G459">
        <v>0</v>
      </c>
      <c r="H459">
        <v>100</v>
      </c>
      <c r="K459">
        <v>1</v>
      </c>
      <c r="L459" t="s">
        <v>41</v>
      </c>
      <c r="M459" t="s">
        <v>89</v>
      </c>
      <c r="N459" s="11">
        <v>2958465</v>
      </c>
      <c r="P459">
        <v>0</v>
      </c>
      <c r="U459">
        <v>4</v>
      </c>
      <c r="V459">
        <v>1</v>
      </c>
      <c r="W459" t="s">
        <v>42</v>
      </c>
      <c r="X459">
        <v>0</v>
      </c>
    </row>
    <row r="460" spans="1:24" x14ac:dyDescent="0.25">
      <c r="A460">
        <v>1</v>
      </c>
      <c r="B460" s="10">
        <v>591108240538</v>
      </c>
      <c r="C460">
        <v>40</v>
      </c>
      <c r="D460" s="10">
        <v>5952792405</v>
      </c>
      <c r="F460" t="s">
        <v>40</v>
      </c>
      <c r="G460">
        <v>0</v>
      </c>
      <c r="H460">
        <v>100</v>
      </c>
      <c r="K460">
        <v>1</v>
      </c>
      <c r="L460" t="s">
        <v>41</v>
      </c>
      <c r="M460" t="s">
        <v>89</v>
      </c>
      <c r="N460" s="11">
        <v>2958465</v>
      </c>
      <c r="P460">
        <v>0</v>
      </c>
      <c r="U460">
        <v>4</v>
      </c>
      <c r="V460">
        <v>1</v>
      </c>
      <c r="W460" t="s">
        <v>42</v>
      </c>
      <c r="X460">
        <v>0</v>
      </c>
    </row>
    <row r="461" spans="1:24" x14ac:dyDescent="0.25">
      <c r="A461">
        <v>1</v>
      </c>
      <c r="B461" s="10">
        <v>591108240538</v>
      </c>
      <c r="C461">
        <v>50</v>
      </c>
      <c r="D461" s="10">
        <v>59102305</v>
      </c>
      <c r="F461" t="s">
        <v>40</v>
      </c>
      <c r="G461">
        <v>0</v>
      </c>
      <c r="H461">
        <v>100</v>
      </c>
      <c r="K461">
        <v>2</v>
      </c>
      <c r="L461" t="s">
        <v>41</v>
      </c>
      <c r="M461" t="s">
        <v>89</v>
      </c>
      <c r="N461" s="11">
        <v>2958465</v>
      </c>
      <c r="P461">
        <v>0</v>
      </c>
      <c r="U461">
        <v>4</v>
      </c>
      <c r="V461">
        <v>1</v>
      </c>
      <c r="W461" t="s">
        <v>42</v>
      </c>
      <c r="X461">
        <v>0</v>
      </c>
    </row>
    <row r="462" spans="1:24" x14ac:dyDescent="0.25">
      <c r="A462">
        <v>1</v>
      </c>
      <c r="B462" s="10">
        <v>591108240538</v>
      </c>
      <c r="C462">
        <v>60</v>
      </c>
      <c r="D462" s="10">
        <v>12421238</v>
      </c>
      <c r="F462" t="s">
        <v>40</v>
      </c>
      <c r="G462">
        <v>0</v>
      </c>
      <c r="H462">
        <v>100</v>
      </c>
      <c r="K462">
        <v>1</v>
      </c>
      <c r="L462" t="s">
        <v>41</v>
      </c>
      <c r="M462" t="s">
        <v>89</v>
      </c>
      <c r="N462" s="11">
        <v>2958465</v>
      </c>
      <c r="P462">
        <v>0</v>
      </c>
      <c r="U462">
        <v>4</v>
      </c>
      <c r="V462">
        <v>1</v>
      </c>
      <c r="W462" t="s">
        <v>42</v>
      </c>
      <c r="X462">
        <v>0</v>
      </c>
    </row>
    <row r="463" spans="1:24" x14ac:dyDescent="0.25">
      <c r="A463">
        <v>1</v>
      </c>
      <c r="B463" s="10">
        <v>591108240538</v>
      </c>
      <c r="C463">
        <v>70</v>
      </c>
      <c r="D463" s="10">
        <v>5997499</v>
      </c>
      <c r="F463" t="s">
        <v>68</v>
      </c>
      <c r="G463">
        <v>0</v>
      </c>
      <c r="H463">
        <v>100</v>
      </c>
      <c r="K463">
        <v>1</v>
      </c>
      <c r="L463" t="s">
        <v>41</v>
      </c>
      <c r="M463" t="s">
        <v>89</v>
      </c>
      <c r="N463" s="11">
        <v>2958465</v>
      </c>
      <c r="P463">
        <v>0</v>
      </c>
      <c r="U463">
        <v>4</v>
      </c>
      <c r="V463">
        <v>1</v>
      </c>
      <c r="W463" t="s">
        <v>42</v>
      </c>
      <c r="X463">
        <v>0</v>
      </c>
    </row>
    <row r="464" spans="1:24" x14ac:dyDescent="0.25">
      <c r="A464">
        <v>1</v>
      </c>
      <c r="B464" s="10">
        <v>591108240638</v>
      </c>
      <c r="C464">
        <v>10</v>
      </c>
      <c r="D464" s="10">
        <v>5959672106</v>
      </c>
      <c r="F464" t="s">
        <v>40</v>
      </c>
      <c r="G464">
        <v>0</v>
      </c>
      <c r="H464">
        <v>100</v>
      </c>
      <c r="K464">
        <v>1</v>
      </c>
      <c r="L464" t="s">
        <v>41</v>
      </c>
      <c r="M464" t="s">
        <v>89</v>
      </c>
      <c r="N464" s="11">
        <v>2958465</v>
      </c>
      <c r="P464">
        <v>0</v>
      </c>
      <c r="U464">
        <v>4</v>
      </c>
      <c r="V464">
        <v>1</v>
      </c>
      <c r="W464" t="s">
        <v>42</v>
      </c>
      <c r="X464">
        <v>0</v>
      </c>
    </row>
    <row r="465" spans="1:24" x14ac:dyDescent="0.25">
      <c r="A465">
        <v>1</v>
      </c>
      <c r="B465" s="10">
        <v>591108240638</v>
      </c>
      <c r="C465">
        <v>20</v>
      </c>
      <c r="D465" s="10">
        <v>5959692106</v>
      </c>
      <c r="F465" t="s">
        <v>40</v>
      </c>
      <c r="G465">
        <v>0</v>
      </c>
      <c r="H465">
        <v>100</v>
      </c>
      <c r="K465">
        <v>1</v>
      </c>
      <c r="L465" t="s">
        <v>41</v>
      </c>
      <c r="M465" t="s">
        <v>89</v>
      </c>
      <c r="N465" s="11">
        <v>2958465</v>
      </c>
      <c r="P465">
        <v>0</v>
      </c>
      <c r="U465">
        <v>4</v>
      </c>
      <c r="V465">
        <v>1</v>
      </c>
      <c r="W465" t="s">
        <v>42</v>
      </c>
      <c r="X465">
        <v>0</v>
      </c>
    </row>
    <row r="466" spans="1:24" x14ac:dyDescent="0.25">
      <c r="A466">
        <v>1</v>
      </c>
      <c r="B466" s="10">
        <v>591108240638</v>
      </c>
      <c r="C466">
        <v>30</v>
      </c>
      <c r="D466" s="10">
        <v>5952482106</v>
      </c>
      <c r="F466" t="s">
        <v>40</v>
      </c>
      <c r="G466">
        <v>0</v>
      </c>
      <c r="H466">
        <v>100</v>
      </c>
      <c r="K466">
        <v>1</v>
      </c>
      <c r="L466" t="s">
        <v>41</v>
      </c>
      <c r="M466" t="s">
        <v>89</v>
      </c>
      <c r="N466" s="11">
        <v>2958465</v>
      </c>
      <c r="P466">
        <v>0</v>
      </c>
      <c r="U466">
        <v>4</v>
      </c>
      <c r="V466">
        <v>1</v>
      </c>
      <c r="W466" t="s">
        <v>42</v>
      </c>
      <c r="X466">
        <v>0</v>
      </c>
    </row>
    <row r="467" spans="1:24" x14ac:dyDescent="0.25">
      <c r="A467">
        <v>1</v>
      </c>
      <c r="B467" s="10">
        <v>591108240638</v>
      </c>
      <c r="C467">
        <v>40</v>
      </c>
      <c r="D467" s="10">
        <v>5952792406</v>
      </c>
      <c r="F467" t="s">
        <v>40</v>
      </c>
      <c r="G467">
        <v>0</v>
      </c>
      <c r="H467">
        <v>100</v>
      </c>
      <c r="K467">
        <v>1</v>
      </c>
      <c r="L467" t="s">
        <v>41</v>
      </c>
      <c r="M467" t="s">
        <v>89</v>
      </c>
      <c r="N467" s="11">
        <v>2958465</v>
      </c>
      <c r="P467">
        <v>0</v>
      </c>
      <c r="U467">
        <v>4</v>
      </c>
      <c r="V467">
        <v>1</v>
      </c>
      <c r="W467" t="s">
        <v>42</v>
      </c>
      <c r="X467">
        <v>0</v>
      </c>
    </row>
    <row r="468" spans="1:24" x14ac:dyDescent="0.25">
      <c r="A468">
        <v>1</v>
      </c>
      <c r="B468" s="10">
        <v>591108240638</v>
      </c>
      <c r="C468">
        <v>50</v>
      </c>
      <c r="D468" s="10">
        <v>59102306</v>
      </c>
      <c r="F468" t="s">
        <v>40</v>
      </c>
      <c r="G468">
        <v>0</v>
      </c>
      <c r="H468">
        <v>100</v>
      </c>
      <c r="K468">
        <v>2</v>
      </c>
      <c r="L468" t="s">
        <v>41</v>
      </c>
      <c r="M468" t="s">
        <v>89</v>
      </c>
      <c r="N468" s="11">
        <v>2958465</v>
      </c>
      <c r="P468">
        <v>0</v>
      </c>
      <c r="U468">
        <v>4</v>
      </c>
      <c r="V468">
        <v>1</v>
      </c>
      <c r="W468" t="s">
        <v>42</v>
      </c>
      <c r="X468">
        <v>0</v>
      </c>
    </row>
    <row r="469" spans="1:24" x14ac:dyDescent="0.25">
      <c r="A469">
        <v>1</v>
      </c>
      <c r="B469" s="10">
        <v>591108240638</v>
      </c>
      <c r="C469">
        <v>60</v>
      </c>
      <c r="D469" s="10">
        <v>12421238</v>
      </c>
      <c r="F469" t="s">
        <v>40</v>
      </c>
      <c r="G469">
        <v>0</v>
      </c>
      <c r="H469">
        <v>100</v>
      </c>
      <c r="K469">
        <v>1</v>
      </c>
      <c r="L469" t="s">
        <v>41</v>
      </c>
      <c r="M469" t="s">
        <v>89</v>
      </c>
      <c r="N469" s="11">
        <v>2958465</v>
      </c>
      <c r="P469">
        <v>0</v>
      </c>
      <c r="U469">
        <v>4</v>
      </c>
      <c r="V469">
        <v>1</v>
      </c>
      <c r="W469" t="s">
        <v>42</v>
      </c>
      <c r="X469">
        <v>0</v>
      </c>
    </row>
    <row r="470" spans="1:24" x14ac:dyDescent="0.25">
      <c r="A470">
        <v>1</v>
      </c>
      <c r="B470" s="10">
        <v>591108240638</v>
      </c>
      <c r="C470">
        <v>70</v>
      </c>
      <c r="D470" s="10">
        <v>5997499</v>
      </c>
      <c r="F470" t="s">
        <v>68</v>
      </c>
      <c r="G470">
        <v>0</v>
      </c>
      <c r="H470">
        <v>100</v>
      </c>
      <c r="K470">
        <v>1</v>
      </c>
      <c r="L470" t="s">
        <v>41</v>
      </c>
      <c r="M470" t="s">
        <v>89</v>
      </c>
      <c r="N470" s="11">
        <v>2958465</v>
      </c>
      <c r="P470">
        <v>0</v>
      </c>
      <c r="U470">
        <v>4</v>
      </c>
      <c r="V470">
        <v>1</v>
      </c>
      <c r="W470" t="s">
        <v>42</v>
      </c>
      <c r="X470">
        <v>0</v>
      </c>
    </row>
    <row r="471" spans="1:24" x14ac:dyDescent="0.25">
      <c r="A471">
        <v>1</v>
      </c>
      <c r="B471" s="10">
        <v>591108240738</v>
      </c>
      <c r="C471">
        <v>10</v>
      </c>
      <c r="D471" s="10">
        <v>5959672107</v>
      </c>
      <c r="F471" t="s">
        <v>40</v>
      </c>
      <c r="G471">
        <v>0</v>
      </c>
      <c r="H471">
        <v>100</v>
      </c>
      <c r="K471">
        <v>1</v>
      </c>
      <c r="L471" t="s">
        <v>41</v>
      </c>
      <c r="M471" t="s">
        <v>89</v>
      </c>
      <c r="N471" s="11">
        <v>2958465</v>
      </c>
      <c r="P471">
        <v>0</v>
      </c>
      <c r="U471">
        <v>4</v>
      </c>
      <c r="V471">
        <v>1</v>
      </c>
      <c r="W471" t="s">
        <v>42</v>
      </c>
      <c r="X471">
        <v>0</v>
      </c>
    </row>
    <row r="472" spans="1:24" x14ac:dyDescent="0.25">
      <c r="A472">
        <v>1</v>
      </c>
      <c r="B472" s="10">
        <v>591108240738</v>
      </c>
      <c r="C472">
        <v>20</v>
      </c>
      <c r="D472" s="10">
        <v>5959692107</v>
      </c>
      <c r="F472" t="s">
        <v>40</v>
      </c>
      <c r="G472">
        <v>0</v>
      </c>
      <c r="H472">
        <v>100</v>
      </c>
      <c r="K472">
        <v>1</v>
      </c>
      <c r="L472" t="s">
        <v>41</v>
      </c>
      <c r="M472" t="s">
        <v>89</v>
      </c>
      <c r="N472" s="11">
        <v>2958465</v>
      </c>
      <c r="P472">
        <v>0</v>
      </c>
      <c r="U472">
        <v>4</v>
      </c>
      <c r="V472">
        <v>1</v>
      </c>
      <c r="W472" t="s">
        <v>42</v>
      </c>
      <c r="X472">
        <v>0</v>
      </c>
    </row>
    <row r="473" spans="1:24" x14ac:dyDescent="0.25">
      <c r="A473">
        <v>1</v>
      </c>
      <c r="B473" s="10">
        <v>591108240738</v>
      </c>
      <c r="C473">
        <v>30</v>
      </c>
      <c r="D473" s="10">
        <v>5952482107</v>
      </c>
      <c r="F473" t="s">
        <v>40</v>
      </c>
      <c r="G473">
        <v>0</v>
      </c>
      <c r="H473">
        <v>100</v>
      </c>
      <c r="K473">
        <v>1</v>
      </c>
      <c r="L473" t="s">
        <v>41</v>
      </c>
      <c r="M473" t="s">
        <v>89</v>
      </c>
      <c r="N473" s="11">
        <v>2958465</v>
      </c>
      <c r="P473">
        <v>0</v>
      </c>
      <c r="U473">
        <v>4</v>
      </c>
      <c r="V473">
        <v>1</v>
      </c>
      <c r="W473" t="s">
        <v>42</v>
      </c>
      <c r="X473">
        <v>0</v>
      </c>
    </row>
    <row r="474" spans="1:24" x14ac:dyDescent="0.25">
      <c r="A474">
        <v>1</v>
      </c>
      <c r="B474" s="10">
        <v>591108240738</v>
      </c>
      <c r="C474">
        <v>40</v>
      </c>
      <c r="D474" s="10">
        <v>5952792407</v>
      </c>
      <c r="F474" t="s">
        <v>40</v>
      </c>
      <c r="G474">
        <v>0</v>
      </c>
      <c r="H474">
        <v>100</v>
      </c>
      <c r="K474">
        <v>1</v>
      </c>
      <c r="L474" t="s">
        <v>41</v>
      </c>
      <c r="M474" t="s">
        <v>89</v>
      </c>
      <c r="N474" s="11">
        <v>2958465</v>
      </c>
      <c r="P474">
        <v>0</v>
      </c>
      <c r="U474">
        <v>4</v>
      </c>
      <c r="V474">
        <v>1</v>
      </c>
      <c r="W474" t="s">
        <v>42</v>
      </c>
      <c r="X474">
        <v>0</v>
      </c>
    </row>
    <row r="475" spans="1:24" x14ac:dyDescent="0.25">
      <c r="A475">
        <v>1</v>
      </c>
      <c r="B475" s="10">
        <v>591108240738</v>
      </c>
      <c r="C475">
        <v>50</v>
      </c>
      <c r="D475" s="10">
        <v>59102307</v>
      </c>
      <c r="F475" t="s">
        <v>40</v>
      </c>
      <c r="G475">
        <v>0</v>
      </c>
      <c r="H475">
        <v>100</v>
      </c>
      <c r="K475">
        <v>2</v>
      </c>
      <c r="L475" t="s">
        <v>41</v>
      </c>
      <c r="M475" t="s">
        <v>89</v>
      </c>
      <c r="N475" s="11">
        <v>2958465</v>
      </c>
      <c r="P475">
        <v>0</v>
      </c>
      <c r="U475">
        <v>4</v>
      </c>
      <c r="V475">
        <v>1</v>
      </c>
      <c r="W475" t="s">
        <v>42</v>
      </c>
      <c r="X475">
        <v>0</v>
      </c>
    </row>
    <row r="476" spans="1:24" x14ac:dyDescent="0.25">
      <c r="A476">
        <v>1</v>
      </c>
      <c r="B476" s="10">
        <v>591108240738</v>
      </c>
      <c r="C476">
        <v>60</v>
      </c>
      <c r="D476" s="10">
        <v>12421238</v>
      </c>
      <c r="F476" t="s">
        <v>40</v>
      </c>
      <c r="G476">
        <v>0</v>
      </c>
      <c r="H476">
        <v>100</v>
      </c>
      <c r="K476">
        <v>1</v>
      </c>
      <c r="L476" t="s">
        <v>41</v>
      </c>
      <c r="M476" t="s">
        <v>89</v>
      </c>
      <c r="N476" s="11">
        <v>2958465</v>
      </c>
      <c r="P476">
        <v>0</v>
      </c>
      <c r="U476">
        <v>4</v>
      </c>
      <c r="V476">
        <v>1</v>
      </c>
      <c r="W476" t="s">
        <v>42</v>
      </c>
      <c r="X476">
        <v>0</v>
      </c>
    </row>
    <row r="477" spans="1:24" x14ac:dyDescent="0.25">
      <c r="A477">
        <v>1</v>
      </c>
      <c r="B477" s="10">
        <v>591108240738</v>
      </c>
      <c r="C477">
        <v>70</v>
      </c>
      <c r="D477" s="10">
        <v>5997499</v>
      </c>
      <c r="F477" t="s">
        <v>68</v>
      </c>
      <c r="G477">
        <v>0</v>
      </c>
      <c r="H477">
        <v>100</v>
      </c>
      <c r="K477">
        <v>1</v>
      </c>
      <c r="L477" t="s">
        <v>41</v>
      </c>
      <c r="M477" t="s">
        <v>89</v>
      </c>
      <c r="N477" s="11">
        <v>2958465</v>
      </c>
      <c r="P477">
        <v>0</v>
      </c>
      <c r="U477">
        <v>4</v>
      </c>
      <c r="V477">
        <v>1</v>
      </c>
      <c r="W477" t="s">
        <v>42</v>
      </c>
      <c r="X477">
        <v>0</v>
      </c>
    </row>
    <row r="478" spans="1:24" x14ac:dyDescent="0.25">
      <c r="A478">
        <v>1</v>
      </c>
      <c r="B478" s="10">
        <v>591108240938</v>
      </c>
      <c r="C478">
        <v>10</v>
      </c>
      <c r="D478" s="10">
        <v>5959672109</v>
      </c>
      <c r="F478" t="s">
        <v>40</v>
      </c>
      <c r="G478">
        <v>0</v>
      </c>
      <c r="H478">
        <v>100</v>
      </c>
      <c r="K478">
        <v>1</v>
      </c>
      <c r="L478" t="s">
        <v>41</v>
      </c>
      <c r="M478" t="s">
        <v>89</v>
      </c>
      <c r="N478" s="11">
        <v>2958465</v>
      </c>
      <c r="P478">
        <v>0</v>
      </c>
      <c r="U478">
        <v>4</v>
      </c>
      <c r="V478">
        <v>1</v>
      </c>
      <c r="W478" t="s">
        <v>42</v>
      </c>
      <c r="X478">
        <v>0</v>
      </c>
    </row>
    <row r="479" spans="1:24" x14ac:dyDescent="0.25">
      <c r="A479">
        <v>1</v>
      </c>
      <c r="B479" s="10">
        <v>591108240938</v>
      </c>
      <c r="C479">
        <v>20</v>
      </c>
      <c r="D479" s="10">
        <v>5959692109</v>
      </c>
      <c r="F479" t="s">
        <v>40</v>
      </c>
      <c r="G479">
        <v>0</v>
      </c>
      <c r="H479">
        <v>100</v>
      </c>
      <c r="K479">
        <v>1</v>
      </c>
      <c r="L479" t="s">
        <v>41</v>
      </c>
      <c r="M479" t="s">
        <v>89</v>
      </c>
      <c r="N479" s="11">
        <v>2958465</v>
      </c>
      <c r="P479">
        <v>0</v>
      </c>
      <c r="U479">
        <v>4</v>
      </c>
      <c r="V479">
        <v>1</v>
      </c>
      <c r="W479" t="s">
        <v>42</v>
      </c>
      <c r="X479">
        <v>0</v>
      </c>
    </row>
    <row r="480" spans="1:24" x14ac:dyDescent="0.25">
      <c r="A480">
        <v>1</v>
      </c>
      <c r="B480" s="10">
        <v>591108240938</v>
      </c>
      <c r="C480">
        <v>30</v>
      </c>
      <c r="D480" s="10">
        <v>5952482109</v>
      </c>
      <c r="F480" t="s">
        <v>40</v>
      </c>
      <c r="G480">
        <v>0</v>
      </c>
      <c r="H480">
        <v>100</v>
      </c>
      <c r="K480">
        <v>1</v>
      </c>
      <c r="L480" t="s">
        <v>41</v>
      </c>
      <c r="M480" t="s">
        <v>89</v>
      </c>
      <c r="N480" s="11">
        <v>2958465</v>
      </c>
      <c r="P480">
        <v>0</v>
      </c>
      <c r="U480">
        <v>4</v>
      </c>
      <c r="V480">
        <v>1</v>
      </c>
      <c r="W480" t="s">
        <v>42</v>
      </c>
      <c r="X480">
        <v>0</v>
      </c>
    </row>
    <row r="481" spans="1:24" x14ac:dyDescent="0.25">
      <c r="A481">
        <v>1</v>
      </c>
      <c r="B481" s="10">
        <v>591108240938</v>
      </c>
      <c r="C481">
        <v>40</v>
      </c>
      <c r="D481" s="10">
        <v>5952792409</v>
      </c>
      <c r="F481" t="s">
        <v>40</v>
      </c>
      <c r="G481">
        <v>0</v>
      </c>
      <c r="H481">
        <v>100</v>
      </c>
      <c r="K481">
        <v>1</v>
      </c>
      <c r="L481" t="s">
        <v>41</v>
      </c>
      <c r="M481" t="s">
        <v>89</v>
      </c>
      <c r="N481" s="11">
        <v>2958465</v>
      </c>
      <c r="P481">
        <v>0</v>
      </c>
      <c r="U481">
        <v>4</v>
      </c>
      <c r="V481">
        <v>1</v>
      </c>
      <c r="W481" t="s">
        <v>42</v>
      </c>
      <c r="X481">
        <v>0</v>
      </c>
    </row>
    <row r="482" spans="1:24" x14ac:dyDescent="0.25">
      <c r="A482">
        <v>1</v>
      </c>
      <c r="B482" s="10">
        <v>591108240938</v>
      </c>
      <c r="C482">
        <v>50</v>
      </c>
      <c r="D482" s="10">
        <v>59102309</v>
      </c>
      <c r="F482" t="s">
        <v>40</v>
      </c>
      <c r="G482">
        <v>0</v>
      </c>
      <c r="H482">
        <v>100</v>
      </c>
      <c r="K482">
        <v>2</v>
      </c>
      <c r="L482" t="s">
        <v>41</v>
      </c>
      <c r="M482" t="s">
        <v>89</v>
      </c>
      <c r="N482" s="11">
        <v>2958465</v>
      </c>
      <c r="P482">
        <v>0</v>
      </c>
      <c r="U482">
        <v>4</v>
      </c>
      <c r="V482">
        <v>1</v>
      </c>
      <c r="W482" t="s">
        <v>42</v>
      </c>
      <c r="X482">
        <v>0</v>
      </c>
    </row>
    <row r="483" spans="1:24" x14ac:dyDescent="0.25">
      <c r="A483">
        <v>1</v>
      </c>
      <c r="B483" s="10">
        <v>591108240938</v>
      </c>
      <c r="C483">
        <v>60</v>
      </c>
      <c r="D483" s="10">
        <v>12421238</v>
      </c>
      <c r="F483" t="s">
        <v>40</v>
      </c>
      <c r="G483">
        <v>0</v>
      </c>
      <c r="H483">
        <v>100</v>
      </c>
      <c r="K483">
        <v>1</v>
      </c>
      <c r="L483" t="s">
        <v>41</v>
      </c>
      <c r="M483" t="s">
        <v>89</v>
      </c>
      <c r="N483" s="11">
        <v>2958465</v>
      </c>
      <c r="P483">
        <v>0</v>
      </c>
      <c r="U483">
        <v>4</v>
      </c>
      <c r="V483">
        <v>1</v>
      </c>
      <c r="W483" t="s">
        <v>42</v>
      </c>
      <c r="X483">
        <v>0</v>
      </c>
    </row>
    <row r="484" spans="1:24" x14ac:dyDescent="0.25">
      <c r="A484">
        <v>1</v>
      </c>
      <c r="B484" s="10">
        <v>591108240938</v>
      </c>
      <c r="C484">
        <v>70</v>
      </c>
      <c r="D484" s="10">
        <v>5997499</v>
      </c>
      <c r="F484" t="s">
        <v>68</v>
      </c>
      <c r="G484">
        <v>0</v>
      </c>
      <c r="H484">
        <v>100</v>
      </c>
      <c r="K484">
        <v>1</v>
      </c>
      <c r="L484" t="s">
        <v>41</v>
      </c>
      <c r="M484" t="s">
        <v>89</v>
      </c>
      <c r="N484" s="11">
        <v>2958465</v>
      </c>
      <c r="P484">
        <v>0</v>
      </c>
      <c r="U484">
        <v>4</v>
      </c>
      <c r="V484">
        <v>1</v>
      </c>
      <c r="W484" t="s">
        <v>42</v>
      </c>
      <c r="X484">
        <v>0</v>
      </c>
    </row>
    <row r="485" spans="1:24" x14ac:dyDescent="0.25">
      <c r="A485">
        <v>1</v>
      </c>
      <c r="B485" s="10">
        <v>591108240144</v>
      </c>
      <c r="C485">
        <v>10</v>
      </c>
      <c r="D485" s="10">
        <v>5959672101</v>
      </c>
      <c r="F485" t="s">
        <v>40</v>
      </c>
      <c r="G485">
        <v>0</v>
      </c>
      <c r="H485">
        <v>100</v>
      </c>
      <c r="K485">
        <v>1</v>
      </c>
      <c r="L485" t="s">
        <v>41</v>
      </c>
      <c r="M485" t="s">
        <v>89</v>
      </c>
      <c r="N485" s="11">
        <v>2958465</v>
      </c>
      <c r="P485">
        <v>0</v>
      </c>
      <c r="U485">
        <v>4</v>
      </c>
      <c r="V485">
        <v>1</v>
      </c>
      <c r="W485" t="s">
        <v>42</v>
      </c>
      <c r="X485">
        <v>0</v>
      </c>
    </row>
    <row r="486" spans="1:24" x14ac:dyDescent="0.25">
      <c r="A486">
        <v>1</v>
      </c>
      <c r="B486" s="10">
        <v>591108240144</v>
      </c>
      <c r="C486">
        <v>20</v>
      </c>
      <c r="D486" s="10">
        <v>5959692101</v>
      </c>
      <c r="F486" t="s">
        <v>40</v>
      </c>
      <c r="G486">
        <v>0</v>
      </c>
      <c r="H486">
        <v>100</v>
      </c>
      <c r="K486">
        <v>1</v>
      </c>
      <c r="L486" t="s">
        <v>41</v>
      </c>
      <c r="M486" t="s">
        <v>89</v>
      </c>
      <c r="N486" s="11">
        <v>2958465</v>
      </c>
      <c r="P486">
        <v>0</v>
      </c>
      <c r="U486">
        <v>4</v>
      </c>
      <c r="V486">
        <v>1</v>
      </c>
      <c r="W486" t="s">
        <v>42</v>
      </c>
      <c r="X486">
        <v>0</v>
      </c>
    </row>
    <row r="487" spans="1:24" x14ac:dyDescent="0.25">
      <c r="A487">
        <v>1</v>
      </c>
      <c r="B487" s="10">
        <v>591108240144</v>
      </c>
      <c r="C487">
        <v>30</v>
      </c>
      <c r="D487" s="10">
        <v>5952482101</v>
      </c>
      <c r="F487" t="s">
        <v>40</v>
      </c>
      <c r="G487">
        <v>0</v>
      </c>
      <c r="H487">
        <v>100</v>
      </c>
      <c r="K487">
        <v>1</v>
      </c>
      <c r="L487" t="s">
        <v>41</v>
      </c>
      <c r="M487" t="s">
        <v>89</v>
      </c>
      <c r="N487" s="11">
        <v>2958465</v>
      </c>
      <c r="P487">
        <v>0</v>
      </c>
      <c r="U487">
        <v>4</v>
      </c>
      <c r="V487">
        <v>1</v>
      </c>
      <c r="W487" t="s">
        <v>42</v>
      </c>
      <c r="X487">
        <v>0</v>
      </c>
    </row>
    <row r="488" spans="1:24" x14ac:dyDescent="0.25">
      <c r="A488">
        <v>1</v>
      </c>
      <c r="B488" s="10">
        <v>591108240144</v>
      </c>
      <c r="C488">
        <v>40</v>
      </c>
      <c r="D488" s="10">
        <v>5952792401</v>
      </c>
      <c r="F488" t="s">
        <v>40</v>
      </c>
      <c r="G488">
        <v>0</v>
      </c>
      <c r="H488">
        <v>100</v>
      </c>
      <c r="K488">
        <v>1</v>
      </c>
      <c r="L488" t="s">
        <v>41</v>
      </c>
      <c r="M488" t="s">
        <v>89</v>
      </c>
      <c r="N488" s="11">
        <v>2958465</v>
      </c>
      <c r="P488">
        <v>0</v>
      </c>
      <c r="U488">
        <v>4</v>
      </c>
      <c r="V488">
        <v>1</v>
      </c>
      <c r="W488" t="s">
        <v>42</v>
      </c>
      <c r="X488">
        <v>0</v>
      </c>
    </row>
    <row r="489" spans="1:24" x14ac:dyDescent="0.25">
      <c r="A489">
        <v>1</v>
      </c>
      <c r="B489" s="10">
        <v>591108240144</v>
      </c>
      <c r="C489">
        <v>50</v>
      </c>
      <c r="D489" s="10">
        <v>59102301</v>
      </c>
      <c r="F489" t="s">
        <v>40</v>
      </c>
      <c r="G489">
        <v>0</v>
      </c>
      <c r="H489">
        <v>100</v>
      </c>
      <c r="K489">
        <v>2</v>
      </c>
      <c r="L489" t="s">
        <v>41</v>
      </c>
      <c r="M489" t="s">
        <v>89</v>
      </c>
      <c r="N489" s="11">
        <v>2958465</v>
      </c>
      <c r="P489">
        <v>0</v>
      </c>
      <c r="U489">
        <v>4</v>
      </c>
      <c r="V489">
        <v>1</v>
      </c>
      <c r="W489" t="s">
        <v>42</v>
      </c>
      <c r="X489">
        <v>0</v>
      </c>
    </row>
    <row r="490" spans="1:24" x14ac:dyDescent="0.25">
      <c r="A490">
        <v>1</v>
      </c>
      <c r="B490" s="10">
        <v>591108240144</v>
      </c>
      <c r="C490">
        <v>60</v>
      </c>
      <c r="D490" s="10">
        <v>12421244</v>
      </c>
      <c r="F490" t="s">
        <v>40</v>
      </c>
      <c r="G490">
        <v>0</v>
      </c>
      <c r="H490">
        <v>100</v>
      </c>
      <c r="K490">
        <v>1</v>
      </c>
      <c r="L490" t="s">
        <v>41</v>
      </c>
      <c r="M490" t="s">
        <v>89</v>
      </c>
      <c r="N490" s="11">
        <v>2958465</v>
      </c>
      <c r="P490">
        <v>0</v>
      </c>
      <c r="U490">
        <v>4</v>
      </c>
      <c r="V490">
        <v>1</v>
      </c>
      <c r="W490" t="s">
        <v>42</v>
      </c>
      <c r="X490">
        <v>0</v>
      </c>
    </row>
    <row r="491" spans="1:24" x14ac:dyDescent="0.25">
      <c r="A491">
        <v>1</v>
      </c>
      <c r="B491" s="10">
        <v>591108240144</v>
      </c>
      <c r="C491">
        <v>70</v>
      </c>
      <c r="D491" s="10">
        <v>5997499</v>
      </c>
      <c r="F491" t="s">
        <v>68</v>
      </c>
      <c r="G491">
        <v>0</v>
      </c>
      <c r="H491">
        <v>100</v>
      </c>
      <c r="K491">
        <v>1</v>
      </c>
      <c r="L491" t="s">
        <v>41</v>
      </c>
      <c r="M491" t="s">
        <v>89</v>
      </c>
      <c r="N491" s="11">
        <v>2958465</v>
      </c>
      <c r="P491">
        <v>0</v>
      </c>
      <c r="U491">
        <v>4</v>
      </c>
      <c r="V491">
        <v>1</v>
      </c>
      <c r="W491" t="s">
        <v>42</v>
      </c>
      <c r="X491">
        <v>0</v>
      </c>
    </row>
    <row r="492" spans="1:24" x14ac:dyDescent="0.25">
      <c r="A492">
        <v>1</v>
      </c>
      <c r="B492" s="10">
        <v>591108240244</v>
      </c>
      <c r="C492">
        <v>10</v>
      </c>
      <c r="D492" s="10">
        <v>5959672102</v>
      </c>
      <c r="F492" t="s">
        <v>40</v>
      </c>
      <c r="G492">
        <v>0</v>
      </c>
      <c r="H492">
        <v>100</v>
      </c>
      <c r="K492">
        <v>1</v>
      </c>
      <c r="L492" t="s">
        <v>41</v>
      </c>
      <c r="M492" t="s">
        <v>89</v>
      </c>
      <c r="N492" s="11">
        <v>2958465</v>
      </c>
      <c r="P492">
        <v>0</v>
      </c>
      <c r="U492">
        <v>4</v>
      </c>
      <c r="V492">
        <v>1</v>
      </c>
      <c r="W492" t="s">
        <v>42</v>
      </c>
      <c r="X492">
        <v>0</v>
      </c>
    </row>
    <row r="493" spans="1:24" x14ac:dyDescent="0.25">
      <c r="A493">
        <v>1</v>
      </c>
      <c r="B493" s="10">
        <v>591108240244</v>
      </c>
      <c r="C493">
        <v>20</v>
      </c>
      <c r="D493" s="10">
        <v>5959692102</v>
      </c>
      <c r="F493" t="s">
        <v>40</v>
      </c>
      <c r="G493">
        <v>0</v>
      </c>
      <c r="H493">
        <v>100</v>
      </c>
      <c r="K493">
        <v>1</v>
      </c>
      <c r="L493" t="s">
        <v>41</v>
      </c>
      <c r="M493" t="s">
        <v>89</v>
      </c>
      <c r="N493" s="11">
        <v>2958465</v>
      </c>
      <c r="P493">
        <v>0</v>
      </c>
      <c r="U493">
        <v>4</v>
      </c>
      <c r="V493">
        <v>1</v>
      </c>
      <c r="W493" t="s">
        <v>42</v>
      </c>
      <c r="X493">
        <v>0</v>
      </c>
    </row>
    <row r="494" spans="1:24" x14ac:dyDescent="0.25">
      <c r="A494">
        <v>1</v>
      </c>
      <c r="B494" s="10">
        <v>591108240244</v>
      </c>
      <c r="C494">
        <v>30</v>
      </c>
      <c r="D494" s="10">
        <v>5952482102</v>
      </c>
      <c r="F494" t="s">
        <v>40</v>
      </c>
      <c r="G494">
        <v>0</v>
      </c>
      <c r="H494">
        <v>100</v>
      </c>
      <c r="K494">
        <v>1</v>
      </c>
      <c r="L494" t="s">
        <v>41</v>
      </c>
      <c r="M494" t="s">
        <v>89</v>
      </c>
      <c r="N494" s="11">
        <v>2958465</v>
      </c>
      <c r="P494">
        <v>0</v>
      </c>
      <c r="U494">
        <v>4</v>
      </c>
      <c r="V494">
        <v>1</v>
      </c>
      <c r="W494" t="s">
        <v>42</v>
      </c>
      <c r="X494">
        <v>0</v>
      </c>
    </row>
    <row r="495" spans="1:24" x14ac:dyDescent="0.25">
      <c r="A495">
        <v>1</v>
      </c>
      <c r="B495" s="10">
        <v>591108240244</v>
      </c>
      <c r="C495">
        <v>40</v>
      </c>
      <c r="D495" s="10">
        <v>5952792402</v>
      </c>
      <c r="F495" t="s">
        <v>40</v>
      </c>
      <c r="G495">
        <v>0</v>
      </c>
      <c r="H495">
        <v>100</v>
      </c>
      <c r="K495">
        <v>1</v>
      </c>
      <c r="L495" t="s">
        <v>41</v>
      </c>
      <c r="M495" t="s">
        <v>89</v>
      </c>
      <c r="N495" s="11">
        <v>2958465</v>
      </c>
      <c r="P495">
        <v>0</v>
      </c>
      <c r="U495">
        <v>4</v>
      </c>
      <c r="V495">
        <v>1</v>
      </c>
      <c r="W495" t="s">
        <v>42</v>
      </c>
      <c r="X495">
        <v>0</v>
      </c>
    </row>
    <row r="496" spans="1:24" x14ac:dyDescent="0.25">
      <c r="A496">
        <v>1</v>
      </c>
      <c r="B496" s="10">
        <v>591108240244</v>
      </c>
      <c r="C496">
        <v>50</v>
      </c>
      <c r="D496" s="10">
        <v>59102302</v>
      </c>
      <c r="F496" t="s">
        <v>40</v>
      </c>
      <c r="G496">
        <v>0</v>
      </c>
      <c r="H496">
        <v>100</v>
      </c>
      <c r="K496">
        <v>2</v>
      </c>
      <c r="L496" t="s">
        <v>41</v>
      </c>
      <c r="M496" t="s">
        <v>89</v>
      </c>
      <c r="N496" s="11">
        <v>2958465</v>
      </c>
      <c r="P496">
        <v>0</v>
      </c>
      <c r="U496">
        <v>4</v>
      </c>
      <c r="V496">
        <v>1</v>
      </c>
      <c r="W496" t="s">
        <v>42</v>
      </c>
      <c r="X496">
        <v>0</v>
      </c>
    </row>
    <row r="497" spans="1:24" x14ac:dyDescent="0.25">
      <c r="A497">
        <v>1</v>
      </c>
      <c r="B497" s="10">
        <v>591108240244</v>
      </c>
      <c r="C497">
        <v>60</v>
      </c>
      <c r="D497" s="10">
        <v>12421244</v>
      </c>
      <c r="F497" t="s">
        <v>40</v>
      </c>
      <c r="G497">
        <v>0</v>
      </c>
      <c r="H497">
        <v>100</v>
      </c>
      <c r="K497">
        <v>1</v>
      </c>
      <c r="L497" t="s">
        <v>41</v>
      </c>
      <c r="M497" t="s">
        <v>89</v>
      </c>
      <c r="N497" s="11">
        <v>2958465</v>
      </c>
      <c r="P497">
        <v>0</v>
      </c>
      <c r="U497">
        <v>4</v>
      </c>
      <c r="V497">
        <v>1</v>
      </c>
      <c r="W497" t="s">
        <v>42</v>
      </c>
      <c r="X497">
        <v>0</v>
      </c>
    </row>
    <row r="498" spans="1:24" x14ac:dyDescent="0.25">
      <c r="A498">
        <v>1</v>
      </c>
      <c r="B498" s="10">
        <v>591108240244</v>
      </c>
      <c r="C498">
        <v>70</v>
      </c>
      <c r="D498" s="10">
        <v>5997499</v>
      </c>
      <c r="F498" t="s">
        <v>68</v>
      </c>
      <c r="G498">
        <v>0</v>
      </c>
      <c r="H498">
        <v>100</v>
      </c>
      <c r="K498">
        <v>1</v>
      </c>
      <c r="L498" t="s">
        <v>41</v>
      </c>
      <c r="M498" t="s">
        <v>89</v>
      </c>
      <c r="N498" s="11">
        <v>2958465</v>
      </c>
      <c r="P498">
        <v>0</v>
      </c>
      <c r="U498">
        <v>4</v>
      </c>
      <c r="V498">
        <v>1</v>
      </c>
      <c r="W498" t="s">
        <v>42</v>
      </c>
      <c r="X498">
        <v>0</v>
      </c>
    </row>
    <row r="499" spans="1:24" x14ac:dyDescent="0.25">
      <c r="A499">
        <v>1</v>
      </c>
      <c r="B499" s="10">
        <v>591108240344</v>
      </c>
      <c r="C499">
        <v>10</v>
      </c>
      <c r="D499" s="10">
        <v>5959672103</v>
      </c>
      <c r="F499" t="s">
        <v>40</v>
      </c>
      <c r="G499">
        <v>0</v>
      </c>
      <c r="H499">
        <v>100</v>
      </c>
      <c r="K499">
        <v>1</v>
      </c>
      <c r="L499" t="s">
        <v>41</v>
      </c>
      <c r="M499" t="s">
        <v>89</v>
      </c>
      <c r="N499" s="11">
        <v>2958465</v>
      </c>
      <c r="P499">
        <v>0</v>
      </c>
      <c r="U499">
        <v>4</v>
      </c>
      <c r="V499">
        <v>1</v>
      </c>
      <c r="W499" t="s">
        <v>42</v>
      </c>
      <c r="X499">
        <v>0</v>
      </c>
    </row>
    <row r="500" spans="1:24" x14ac:dyDescent="0.25">
      <c r="A500">
        <v>1</v>
      </c>
      <c r="B500" s="10">
        <v>591108240344</v>
      </c>
      <c r="C500">
        <v>20</v>
      </c>
      <c r="D500" s="10">
        <v>5959692103</v>
      </c>
      <c r="F500" t="s">
        <v>40</v>
      </c>
      <c r="G500">
        <v>0</v>
      </c>
      <c r="H500">
        <v>100</v>
      </c>
      <c r="K500">
        <v>1</v>
      </c>
      <c r="L500" t="s">
        <v>41</v>
      </c>
      <c r="M500" t="s">
        <v>89</v>
      </c>
      <c r="N500" s="11">
        <v>2958465</v>
      </c>
      <c r="P500">
        <v>0</v>
      </c>
      <c r="U500">
        <v>4</v>
      </c>
      <c r="V500">
        <v>1</v>
      </c>
      <c r="W500" t="s">
        <v>42</v>
      </c>
      <c r="X500">
        <v>0</v>
      </c>
    </row>
    <row r="501" spans="1:24" x14ac:dyDescent="0.25">
      <c r="A501">
        <v>1</v>
      </c>
      <c r="B501" s="10">
        <v>591108240344</v>
      </c>
      <c r="C501">
        <v>30</v>
      </c>
      <c r="D501" s="10">
        <v>5952482103</v>
      </c>
      <c r="F501" t="s">
        <v>40</v>
      </c>
      <c r="G501">
        <v>0</v>
      </c>
      <c r="H501">
        <v>100</v>
      </c>
      <c r="K501">
        <v>1</v>
      </c>
      <c r="L501" t="s">
        <v>41</v>
      </c>
      <c r="M501" t="s">
        <v>89</v>
      </c>
      <c r="N501" s="11">
        <v>2958465</v>
      </c>
      <c r="P501">
        <v>0</v>
      </c>
      <c r="U501">
        <v>4</v>
      </c>
      <c r="V501">
        <v>1</v>
      </c>
      <c r="W501" t="s">
        <v>42</v>
      </c>
      <c r="X501">
        <v>0</v>
      </c>
    </row>
    <row r="502" spans="1:24" x14ac:dyDescent="0.25">
      <c r="A502">
        <v>1</v>
      </c>
      <c r="B502" s="10">
        <v>591108240344</v>
      </c>
      <c r="C502">
        <v>40</v>
      </c>
      <c r="D502" s="10">
        <v>5952792403</v>
      </c>
      <c r="F502" t="s">
        <v>40</v>
      </c>
      <c r="G502">
        <v>0</v>
      </c>
      <c r="H502">
        <v>100</v>
      </c>
      <c r="K502">
        <v>1</v>
      </c>
      <c r="L502" t="s">
        <v>41</v>
      </c>
      <c r="M502" t="s">
        <v>89</v>
      </c>
      <c r="N502" s="11">
        <v>2958465</v>
      </c>
      <c r="P502">
        <v>0</v>
      </c>
      <c r="U502">
        <v>4</v>
      </c>
      <c r="V502">
        <v>1</v>
      </c>
      <c r="W502" t="s">
        <v>42</v>
      </c>
      <c r="X502">
        <v>0</v>
      </c>
    </row>
    <row r="503" spans="1:24" x14ac:dyDescent="0.25">
      <c r="A503">
        <v>1</v>
      </c>
      <c r="B503" s="10">
        <v>591108240344</v>
      </c>
      <c r="C503">
        <v>50</v>
      </c>
      <c r="D503" s="10">
        <v>59102303</v>
      </c>
      <c r="F503" t="s">
        <v>40</v>
      </c>
      <c r="G503">
        <v>0</v>
      </c>
      <c r="H503">
        <v>100</v>
      </c>
      <c r="K503">
        <v>2</v>
      </c>
      <c r="L503" t="s">
        <v>41</v>
      </c>
      <c r="M503" t="s">
        <v>89</v>
      </c>
      <c r="N503" s="11">
        <v>2958465</v>
      </c>
      <c r="P503">
        <v>0</v>
      </c>
      <c r="U503">
        <v>4</v>
      </c>
      <c r="V503">
        <v>1</v>
      </c>
      <c r="W503" t="s">
        <v>42</v>
      </c>
      <c r="X503">
        <v>0</v>
      </c>
    </row>
    <row r="504" spans="1:24" x14ac:dyDescent="0.25">
      <c r="A504">
        <v>1</v>
      </c>
      <c r="B504" s="10">
        <v>591108240344</v>
      </c>
      <c r="C504">
        <v>60</v>
      </c>
      <c r="D504" s="10">
        <v>12421244</v>
      </c>
      <c r="F504" t="s">
        <v>40</v>
      </c>
      <c r="G504">
        <v>0</v>
      </c>
      <c r="H504">
        <v>100</v>
      </c>
      <c r="K504">
        <v>1</v>
      </c>
      <c r="L504" t="s">
        <v>41</v>
      </c>
      <c r="M504" t="s">
        <v>89</v>
      </c>
      <c r="N504" s="11">
        <v>2958465</v>
      </c>
      <c r="P504">
        <v>0</v>
      </c>
      <c r="U504">
        <v>4</v>
      </c>
      <c r="V504">
        <v>1</v>
      </c>
      <c r="W504" t="s">
        <v>42</v>
      </c>
      <c r="X504">
        <v>0</v>
      </c>
    </row>
    <row r="505" spans="1:24" x14ac:dyDescent="0.25">
      <c r="A505">
        <v>1</v>
      </c>
      <c r="B505" s="10">
        <v>591108240344</v>
      </c>
      <c r="C505">
        <v>70</v>
      </c>
      <c r="D505" s="10">
        <v>5997499</v>
      </c>
      <c r="F505" t="s">
        <v>68</v>
      </c>
      <c r="G505">
        <v>0</v>
      </c>
      <c r="H505">
        <v>100</v>
      </c>
      <c r="K505">
        <v>1</v>
      </c>
      <c r="L505" t="s">
        <v>41</v>
      </c>
      <c r="M505" t="s">
        <v>89</v>
      </c>
      <c r="N505" s="11">
        <v>2958465</v>
      </c>
      <c r="P505">
        <v>0</v>
      </c>
      <c r="U505">
        <v>4</v>
      </c>
      <c r="V505">
        <v>1</v>
      </c>
      <c r="W505" t="s">
        <v>42</v>
      </c>
      <c r="X505">
        <v>0</v>
      </c>
    </row>
    <row r="506" spans="1:24" x14ac:dyDescent="0.25">
      <c r="A506">
        <v>1</v>
      </c>
      <c r="B506" s="10">
        <v>591108240444</v>
      </c>
      <c r="C506">
        <v>10</v>
      </c>
      <c r="D506" s="10">
        <v>5959672104</v>
      </c>
      <c r="F506" t="s">
        <v>40</v>
      </c>
      <c r="G506">
        <v>0</v>
      </c>
      <c r="H506">
        <v>100</v>
      </c>
      <c r="K506">
        <v>1</v>
      </c>
      <c r="L506" t="s">
        <v>41</v>
      </c>
      <c r="M506" t="s">
        <v>89</v>
      </c>
      <c r="N506" s="11">
        <v>2958465</v>
      </c>
      <c r="P506">
        <v>0</v>
      </c>
      <c r="U506">
        <v>4</v>
      </c>
      <c r="V506">
        <v>1</v>
      </c>
      <c r="W506" t="s">
        <v>42</v>
      </c>
      <c r="X506">
        <v>0</v>
      </c>
    </row>
    <row r="507" spans="1:24" x14ac:dyDescent="0.25">
      <c r="A507">
        <v>1</v>
      </c>
      <c r="B507" s="10">
        <v>591108240444</v>
      </c>
      <c r="C507">
        <v>20</v>
      </c>
      <c r="D507" s="10">
        <v>5959692104</v>
      </c>
      <c r="F507" t="s">
        <v>40</v>
      </c>
      <c r="G507">
        <v>0</v>
      </c>
      <c r="H507">
        <v>100</v>
      </c>
      <c r="K507">
        <v>1</v>
      </c>
      <c r="L507" t="s">
        <v>41</v>
      </c>
      <c r="M507" t="s">
        <v>89</v>
      </c>
      <c r="N507" s="11">
        <v>2958465</v>
      </c>
      <c r="P507">
        <v>0</v>
      </c>
      <c r="U507">
        <v>4</v>
      </c>
      <c r="V507">
        <v>1</v>
      </c>
      <c r="W507" t="s">
        <v>42</v>
      </c>
      <c r="X507">
        <v>0</v>
      </c>
    </row>
    <row r="508" spans="1:24" x14ac:dyDescent="0.25">
      <c r="A508">
        <v>1</v>
      </c>
      <c r="B508" s="10">
        <v>591108240444</v>
      </c>
      <c r="C508">
        <v>30</v>
      </c>
      <c r="D508" s="10">
        <v>5952482104</v>
      </c>
      <c r="F508" t="s">
        <v>40</v>
      </c>
      <c r="G508">
        <v>0</v>
      </c>
      <c r="H508">
        <v>100</v>
      </c>
      <c r="K508">
        <v>1</v>
      </c>
      <c r="L508" t="s">
        <v>41</v>
      </c>
      <c r="M508" t="s">
        <v>89</v>
      </c>
      <c r="N508" s="11">
        <v>2958465</v>
      </c>
      <c r="P508">
        <v>0</v>
      </c>
      <c r="U508">
        <v>4</v>
      </c>
      <c r="V508">
        <v>1</v>
      </c>
      <c r="W508" t="s">
        <v>42</v>
      </c>
      <c r="X508">
        <v>0</v>
      </c>
    </row>
    <row r="509" spans="1:24" x14ac:dyDescent="0.25">
      <c r="A509">
        <v>1</v>
      </c>
      <c r="B509" s="10">
        <v>591108240444</v>
      </c>
      <c r="C509">
        <v>40</v>
      </c>
      <c r="D509" s="10">
        <v>5952792404</v>
      </c>
      <c r="F509" t="s">
        <v>40</v>
      </c>
      <c r="G509">
        <v>0</v>
      </c>
      <c r="H509">
        <v>100</v>
      </c>
      <c r="K509">
        <v>1</v>
      </c>
      <c r="L509" t="s">
        <v>41</v>
      </c>
      <c r="M509" t="s">
        <v>89</v>
      </c>
      <c r="N509" s="11">
        <v>2958465</v>
      </c>
      <c r="P509">
        <v>0</v>
      </c>
      <c r="U509">
        <v>4</v>
      </c>
      <c r="V509">
        <v>1</v>
      </c>
      <c r="W509" t="s">
        <v>42</v>
      </c>
      <c r="X509">
        <v>0</v>
      </c>
    </row>
    <row r="510" spans="1:24" x14ac:dyDescent="0.25">
      <c r="A510">
        <v>1</v>
      </c>
      <c r="B510" s="10">
        <v>591108240444</v>
      </c>
      <c r="C510">
        <v>50</v>
      </c>
      <c r="D510" s="10">
        <v>59102304</v>
      </c>
      <c r="F510" t="s">
        <v>40</v>
      </c>
      <c r="G510">
        <v>0</v>
      </c>
      <c r="H510">
        <v>100</v>
      </c>
      <c r="K510">
        <v>2</v>
      </c>
      <c r="L510" t="s">
        <v>41</v>
      </c>
      <c r="M510" t="s">
        <v>89</v>
      </c>
      <c r="N510" s="11">
        <v>2958465</v>
      </c>
      <c r="P510">
        <v>0</v>
      </c>
      <c r="U510">
        <v>4</v>
      </c>
      <c r="V510">
        <v>1</v>
      </c>
      <c r="W510" t="s">
        <v>42</v>
      </c>
      <c r="X510">
        <v>0</v>
      </c>
    </row>
    <row r="511" spans="1:24" x14ac:dyDescent="0.25">
      <c r="A511">
        <v>1</v>
      </c>
      <c r="B511" s="10">
        <v>591108240444</v>
      </c>
      <c r="C511">
        <v>60</v>
      </c>
      <c r="D511" s="10">
        <v>12421244</v>
      </c>
      <c r="F511" t="s">
        <v>40</v>
      </c>
      <c r="G511">
        <v>0</v>
      </c>
      <c r="H511">
        <v>100</v>
      </c>
      <c r="K511">
        <v>1</v>
      </c>
      <c r="L511" t="s">
        <v>41</v>
      </c>
      <c r="M511" t="s">
        <v>89</v>
      </c>
      <c r="N511" s="11">
        <v>2958465</v>
      </c>
      <c r="P511">
        <v>0</v>
      </c>
      <c r="U511">
        <v>4</v>
      </c>
      <c r="V511">
        <v>1</v>
      </c>
      <c r="W511" t="s">
        <v>42</v>
      </c>
      <c r="X511">
        <v>0</v>
      </c>
    </row>
    <row r="512" spans="1:24" x14ac:dyDescent="0.25">
      <c r="A512">
        <v>1</v>
      </c>
      <c r="B512" s="10">
        <v>591108240444</v>
      </c>
      <c r="C512">
        <v>70</v>
      </c>
      <c r="D512" s="10">
        <v>5997499</v>
      </c>
      <c r="F512" t="s">
        <v>68</v>
      </c>
      <c r="G512">
        <v>0</v>
      </c>
      <c r="H512">
        <v>100</v>
      </c>
      <c r="K512">
        <v>1</v>
      </c>
      <c r="L512" t="s">
        <v>41</v>
      </c>
      <c r="M512" t="s">
        <v>89</v>
      </c>
      <c r="N512" s="11">
        <v>2958465</v>
      </c>
      <c r="P512">
        <v>0</v>
      </c>
      <c r="U512">
        <v>4</v>
      </c>
      <c r="V512">
        <v>1</v>
      </c>
      <c r="W512" t="s">
        <v>42</v>
      </c>
      <c r="X512">
        <v>0</v>
      </c>
    </row>
    <row r="513" spans="1:24" x14ac:dyDescent="0.25">
      <c r="A513">
        <v>1</v>
      </c>
      <c r="B513" s="10">
        <v>591108240544</v>
      </c>
      <c r="C513">
        <v>10</v>
      </c>
      <c r="D513" s="10">
        <v>5959672105</v>
      </c>
      <c r="F513" t="s">
        <v>40</v>
      </c>
      <c r="G513">
        <v>0</v>
      </c>
      <c r="H513">
        <v>100</v>
      </c>
      <c r="K513">
        <v>1</v>
      </c>
      <c r="L513" t="s">
        <v>41</v>
      </c>
      <c r="M513" t="s">
        <v>89</v>
      </c>
      <c r="N513" s="11">
        <v>2958465</v>
      </c>
      <c r="P513">
        <v>0</v>
      </c>
      <c r="U513">
        <v>4</v>
      </c>
      <c r="V513">
        <v>1</v>
      </c>
      <c r="W513" t="s">
        <v>42</v>
      </c>
      <c r="X513">
        <v>0</v>
      </c>
    </row>
    <row r="514" spans="1:24" x14ac:dyDescent="0.25">
      <c r="A514">
        <v>1</v>
      </c>
      <c r="B514" s="10">
        <v>591108240544</v>
      </c>
      <c r="C514">
        <v>20</v>
      </c>
      <c r="D514" s="10">
        <v>5959692105</v>
      </c>
      <c r="F514" t="s">
        <v>40</v>
      </c>
      <c r="G514">
        <v>0</v>
      </c>
      <c r="H514">
        <v>100</v>
      </c>
      <c r="K514">
        <v>1</v>
      </c>
      <c r="L514" t="s">
        <v>41</v>
      </c>
      <c r="M514" t="s">
        <v>89</v>
      </c>
      <c r="N514" s="11">
        <v>2958465</v>
      </c>
      <c r="P514">
        <v>0</v>
      </c>
      <c r="U514">
        <v>4</v>
      </c>
      <c r="V514">
        <v>1</v>
      </c>
      <c r="W514" t="s">
        <v>42</v>
      </c>
      <c r="X514">
        <v>0</v>
      </c>
    </row>
    <row r="515" spans="1:24" x14ac:dyDescent="0.25">
      <c r="A515">
        <v>1</v>
      </c>
      <c r="B515" s="10">
        <v>591108240544</v>
      </c>
      <c r="C515">
        <v>30</v>
      </c>
      <c r="D515" s="10">
        <v>5952482105</v>
      </c>
      <c r="F515" t="s">
        <v>40</v>
      </c>
      <c r="G515">
        <v>0</v>
      </c>
      <c r="H515">
        <v>100</v>
      </c>
      <c r="K515">
        <v>1</v>
      </c>
      <c r="L515" t="s">
        <v>41</v>
      </c>
      <c r="M515" t="s">
        <v>89</v>
      </c>
      <c r="N515" s="11">
        <v>2958465</v>
      </c>
      <c r="P515">
        <v>0</v>
      </c>
      <c r="U515">
        <v>4</v>
      </c>
      <c r="V515">
        <v>1</v>
      </c>
      <c r="W515" t="s">
        <v>42</v>
      </c>
      <c r="X515">
        <v>0</v>
      </c>
    </row>
    <row r="516" spans="1:24" x14ac:dyDescent="0.25">
      <c r="A516">
        <v>1</v>
      </c>
      <c r="B516" s="10">
        <v>591108240544</v>
      </c>
      <c r="C516">
        <v>40</v>
      </c>
      <c r="D516" s="10">
        <v>5952792405</v>
      </c>
      <c r="F516" t="s">
        <v>40</v>
      </c>
      <c r="G516">
        <v>0</v>
      </c>
      <c r="H516">
        <v>100</v>
      </c>
      <c r="K516">
        <v>1</v>
      </c>
      <c r="L516" t="s">
        <v>41</v>
      </c>
      <c r="M516" t="s">
        <v>89</v>
      </c>
      <c r="N516" s="11">
        <v>2958465</v>
      </c>
      <c r="P516">
        <v>0</v>
      </c>
      <c r="U516">
        <v>4</v>
      </c>
      <c r="V516">
        <v>1</v>
      </c>
      <c r="W516" t="s">
        <v>42</v>
      </c>
      <c r="X516">
        <v>0</v>
      </c>
    </row>
    <row r="517" spans="1:24" x14ac:dyDescent="0.25">
      <c r="A517">
        <v>1</v>
      </c>
      <c r="B517" s="10">
        <v>591108240544</v>
      </c>
      <c r="C517">
        <v>50</v>
      </c>
      <c r="D517" s="10">
        <v>59102305</v>
      </c>
      <c r="F517" t="s">
        <v>40</v>
      </c>
      <c r="G517">
        <v>0</v>
      </c>
      <c r="H517">
        <v>100</v>
      </c>
      <c r="K517">
        <v>2</v>
      </c>
      <c r="L517" t="s">
        <v>41</v>
      </c>
      <c r="M517" t="s">
        <v>89</v>
      </c>
      <c r="N517" s="11">
        <v>2958465</v>
      </c>
      <c r="P517">
        <v>0</v>
      </c>
      <c r="U517">
        <v>4</v>
      </c>
      <c r="V517">
        <v>1</v>
      </c>
      <c r="W517" t="s">
        <v>42</v>
      </c>
      <c r="X517">
        <v>0</v>
      </c>
    </row>
    <row r="518" spans="1:24" x14ac:dyDescent="0.25">
      <c r="A518">
        <v>1</v>
      </c>
      <c r="B518" s="10">
        <v>591108240544</v>
      </c>
      <c r="C518">
        <v>60</v>
      </c>
      <c r="D518" s="10">
        <v>12421244</v>
      </c>
      <c r="F518" t="s">
        <v>40</v>
      </c>
      <c r="G518">
        <v>0</v>
      </c>
      <c r="H518">
        <v>100</v>
      </c>
      <c r="K518">
        <v>1</v>
      </c>
      <c r="L518" t="s">
        <v>41</v>
      </c>
      <c r="M518" t="s">
        <v>89</v>
      </c>
      <c r="N518" s="11">
        <v>2958465</v>
      </c>
      <c r="P518">
        <v>0</v>
      </c>
      <c r="U518">
        <v>4</v>
      </c>
      <c r="V518">
        <v>1</v>
      </c>
      <c r="W518" t="s">
        <v>42</v>
      </c>
      <c r="X518">
        <v>0</v>
      </c>
    </row>
    <row r="519" spans="1:24" x14ac:dyDescent="0.25">
      <c r="A519">
        <v>1</v>
      </c>
      <c r="B519" s="10">
        <v>591108240544</v>
      </c>
      <c r="C519">
        <v>70</v>
      </c>
      <c r="D519" s="10">
        <v>5997499</v>
      </c>
      <c r="F519" t="s">
        <v>68</v>
      </c>
      <c r="G519">
        <v>0</v>
      </c>
      <c r="H519">
        <v>100</v>
      </c>
      <c r="K519">
        <v>1</v>
      </c>
      <c r="L519" t="s">
        <v>41</v>
      </c>
      <c r="M519" t="s">
        <v>89</v>
      </c>
      <c r="N519" s="11">
        <v>2958465</v>
      </c>
      <c r="P519">
        <v>0</v>
      </c>
      <c r="U519">
        <v>4</v>
      </c>
      <c r="V519">
        <v>1</v>
      </c>
      <c r="W519" t="s">
        <v>42</v>
      </c>
      <c r="X519">
        <v>0</v>
      </c>
    </row>
    <row r="520" spans="1:24" x14ac:dyDescent="0.25">
      <c r="A520">
        <v>1</v>
      </c>
      <c r="B520" s="10">
        <v>591108240644</v>
      </c>
      <c r="C520">
        <v>10</v>
      </c>
      <c r="D520" s="10">
        <v>5959672106</v>
      </c>
      <c r="F520" t="s">
        <v>40</v>
      </c>
      <c r="G520">
        <v>0</v>
      </c>
      <c r="H520">
        <v>100</v>
      </c>
      <c r="K520">
        <v>1</v>
      </c>
      <c r="L520" t="s">
        <v>41</v>
      </c>
      <c r="M520" t="s">
        <v>89</v>
      </c>
      <c r="N520" s="11">
        <v>2958465</v>
      </c>
      <c r="P520">
        <v>0</v>
      </c>
      <c r="U520">
        <v>4</v>
      </c>
      <c r="V520">
        <v>1</v>
      </c>
      <c r="W520" t="s">
        <v>42</v>
      </c>
      <c r="X520">
        <v>0</v>
      </c>
    </row>
    <row r="521" spans="1:24" x14ac:dyDescent="0.25">
      <c r="A521">
        <v>1</v>
      </c>
      <c r="B521" s="10">
        <v>591108240644</v>
      </c>
      <c r="C521">
        <v>20</v>
      </c>
      <c r="D521" s="10">
        <v>5959692106</v>
      </c>
      <c r="F521" t="s">
        <v>40</v>
      </c>
      <c r="G521">
        <v>0</v>
      </c>
      <c r="H521">
        <v>100</v>
      </c>
      <c r="K521">
        <v>1</v>
      </c>
      <c r="L521" t="s">
        <v>41</v>
      </c>
      <c r="M521" t="s">
        <v>89</v>
      </c>
      <c r="N521" s="11">
        <v>2958465</v>
      </c>
      <c r="P521">
        <v>0</v>
      </c>
      <c r="U521">
        <v>4</v>
      </c>
      <c r="V521">
        <v>1</v>
      </c>
      <c r="W521" t="s">
        <v>42</v>
      </c>
      <c r="X521">
        <v>0</v>
      </c>
    </row>
    <row r="522" spans="1:24" x14ac:dyDescent="0.25">
      <c r="A522">
        <v>1</v>
      </c>
      <c r="B522" s="10">
        <v>591108240644</v>
      </c>
      <c r="C522">
        <v>30</v>
      </c>
      <c r="D522" s="10">
        <v>5952482106</v>
      </c>
      <c r="F522" t="s">
        <v>40</v>
      </c>
      <c r="G522">
        <v>0</v>
      </c>
      <c r="H522">
        <v>100</v>
      </c>
      <c r="K522">
        <v>1</v>
      </c>
      <c r="L522" t="s">
        <v>41</v>
      </c>
      <c r="M522" t="s">
        <v>89</v>
      </c>
      <c r="N522" s="11">
        <v>2958465</v>
      </c>
      <c r="P522">
        <v>0</v>
      </c>
      <c r="U522">
        <v>4</v>
      </c>
      <c r="V522">
        <v>1</v>
      </c>
      <c r="W522" t="s">
        <v>42</v>
      </c>
      <c r="X522">
        <v>0</v>
      </c>
    </row>
    <row r="523" spans="1:24" x14ac:dyDescent="0.25">
      <c r="A523">
        <v>1</v>
      </c>
      <c r="B523" s="10">
        <v>591108240644</v>
      </c>
      <c r="C523">
        <v>40</v>
      </c>
      <c r="D523" s="10">
        <v>5952792406</v>
      </c>
      <c r="F523" t="s">
        <v>40</v>
      </c>
      <c r="G523">
        <v>0</v>
      </c>
      <c r="H523">
        <v>100</v>
      </c>
      <c r="K523">
        <v>1</v>
      </c>
      <c r="L523" t="s">
        <v>41</v>
      </c>
      <c r="M523" t="s">
        <v>89</v>
      </c>
      <c r="N523" s="11">
        <v>2958465</v>
      </c>
      <c r="P523">
        <v>0</v>
      </c>
      <c r="U523">
        <v>4</v>
      </c>
      <c r="V523">
        <v>1</v>
      </c>
      <c r="W523" t="s">
        <v>42</v>
      </c>
      <c r="X523">
        <v>0</v>
      </c>
    </row>
    <row r="524" spans="1:24" x14ac:dyDescent="0.25">
      <c r="A524">
        <v>1</v>
      </c>
      <c r="B524" s="10">
        <v>591108240644</v>
      </c>
      <c r="C524">
        <v>50</v>
      </c>
      <c r="D524" s="10">
        <v>59102306</v>
      </c>
      <c r="F524" t="s">
        <v>40</v>
      </c>
      <c r="G524">
        <v>0</v>
      </c>
      <c r="H524">
        <v>100</v>
      </c>
      <c r="K524">
        <v>2</v>
      </c>
      <c r="L524" t="s">
        <v>41</v>
      </c>
      <c r="M524" t="s">
        <v>89</v>
      </c>
      <c r="N524" s="11">
        <v>2958465</v>
      </c>
      <c r="P524">
        <v>0</v>
      </c>
      <c r="U524">
        <v>4</v>
      </c>
      <c r="V524">
        <v>1</v>
      </c>
      <c r="W524" t="s">
        <v>42</v>
      </c>
      <c r="X524">
        <v>0</v>
      </c>
    </row>
    <row r="525" spans="1:24" x14ac:dyDescent="0.25">
      <c r="A525">
        <v>1</v>
      </c>
      <c r="B525" s="10">
        <v>591108240644</v>
      </c>
      <c r="C525">
        <v>60</v>
      </c>
      <c r="D525" s="10">
        <v>12421244</v>
      </c>
      <c r="F525" t="s">
        <v>40</v>
      </c>
      <c r="G525">
        <v>0</v>
      </c>
      <c r="H525">
        <v>100</v>
      </c>
      <c r="K525">
        <v>1</v>
      </c>
      <c r="L525" t="s">
        <v>41</v>
      </c>
      <c r="M525" t="s">
        <v>89</v>
      </c>
      <c r="N525" s="11">
        <v>2958465</v>
      </c>
      <c r="P525">
        <v>0</v>
      </c>
      <c r="U525">
        <v>4</v>
      </c>
      <c r="V525">
        <v>1</v>
      </c>
      <c r="W525" t="s">
        <v>42</v>
      </c>
      <c r="X525">
        <v>0</v>
      </c>
    </row>
    <row r="526" spans="1:24" x14ac:dyDescent="0.25">
      <c r="A526">
        <v>1</v>
      </c>
      <c r="B526" s="10">
        <v>591108240644</v>
      </c>
      <c r="C526">
        <v>70</v>
      </c>
      <c r="D526" s="10">
        <v>5997499</v>
      </c>
      <c r="F526" t="s">
        <v>68</v>
      </c>
      <c r="G526">
        <v>0</v>
      </c>
      <c r="H526">
        <v>100</v>
      </c>
      <c r="K526">
        <v>1</v>
      </c>
      <c r="L526" t="s">
        <v>41</v>
      </c>
      <c r="M526" t="s">
        <v>89</v>
      </c>
      <c r="N526" s="11">
        <v>2958465</v>
      </c>
      <c r="P526">
        <v>0</v>
      </c>
      <c r="U526">
        <v>4</v>
      </c>
      <c r="V526">
        <v>1</v>
      </c>
      <c r="W526" t="s">
        <v>42</v>
      </c>
      <c r="X526">
        <v>0</v>
      </c>
    </row>
    <row r="527" spans="1:24" x14ac:dyDescent="0.25">
      <c r="A527">
        <v>1</v>
      </c>
      <c r="B527" s="10">
        <v>591108240744</v>
      </c>
      <c r="C527">
        <v>10</v>
      </c>
      <c r="D527" s="10">
        <v>5959672107</v>
      </c>
      <c r="F527" t="s">
        <v>40</v>
      </c>
      <c r="G527">
        <v>0</v>
      </c>
      <c r="H527">
        <v>100</v>
      </c>
      <c r="K527">
        <v>1</v>
      </c>
      <c r="L527" t="s">
        <v>41</v>
      </c>
      <c r="M527" t="s">
        <v>89</v>
      </c>
      <c r="N527" s="11">
        <v>2958465</v>
      </c>
      <c r="P527">
        <v>0</v>
      </c>
      <c r="U527">
        <v>4</v>
      </c>
      <c r="V527">
        <v>1</v>
      </c>
      <c r="W527" t="s">
        <v>42</v>
      </c>
      <c r="X527">
        <v>0</v>
      </c>
    </row>
    <row r="528" spans="1:24" x14ac:dyDescent="0.25">
      <c r="A528">
        <v>1</v>
      </c>
      <c r="B528" s="10">
        <v>591108240744</v>
      </c>
      <c r="C528">
        <v>20</v>
      </c>
      <c r="D528" s="10">
        <v>5959692107</v>
      </c>
      <c r="F528" t="s">
        <v>40</v>
      </c>
      <c r="G528">
        <v>0</v>
      </c>
      <c r="H528">
        <v>100</v>
      </c>
      <c r="K528">
        <v>1</v>
      </c>
      <c r="L528" t="s">
        <v>41</v>
      </c>
      <c r="M528" t="s">
        <v>89</v>
      </c>
      <c r="N528" s="11">
        <v>2958465</v>
      </c>
      <c r="P528">
        <v>0</v>
      </c>
      <c r="U528">
        <v>4</v>
      </c>
      <c r="V528">
        <v>1</v>
      </c>
      <c r="W528" t="s">
        <v>42</v>
      </c>
      <c r="X528">
        <v>0</v>
      </c>
    </row>
    <row r="529" spans="1:24" x14ac:dyDescent="0.25">
      <c r="A529">
        <v>1</v>
      </c>
      <c r="B529" s="10">
        <v>591108240744</v>
      </c>
      <c r="C529">
        <v>30</v>
      </c>
      <c r="D529" s="10">
        <v>5952482107</v>
      </c>
      <c r="F529" t="s">
        <v>40</v>
      </c>
      <c r="G529">
        <v>0</v>
      </c>
      <c r="H529">
        <v>100</v>
      </c>
      <c r="K529">
        <v>1</v>
      </c>
      <c r="L529" t="s">
        <v>41</v>
      </c>
      <c r="M529" t="s">
        <v>89</v>
      </c>
      <c r="N529" s="11">
        <v>2958465</v>
      </c>
      <c r="P529">
        <v>0</v>
      </c>
      <c r="U529">
        <v>4</v>
      </c>
      <c r="V529">
        <v>1</v>
      </c>
      <c r="W529" t="s">
        <v>42</v>
      </c>
      <c r="X529">
        <v>0</v>
      </c>
    </row>
    <row r="530" spans="1:24" x14ac:dyDescent="0.25">
      <c r="A530">
        <v>1</v>
      </c>
      <c r="B530" s="10">
        <v>591108240744</v>
      </c>
      <c r="C530">
        <v>40</v>
      </c>
      <c r="D530" s="10">
        <v>5952792407</v>
      </c>
      <c r="F530" t="s">
        <v>40</v>
      </c>
      <c r="G530">
        <v>0</v>
      </c>
      <c r="H530">
        <v>100</v>
      </c>
      <c r="K530">
        <v>1</v>
      </c>
      <c r="L530" t="s">
        <v>41</v>
      </c>
      <c r="M530" t="s">
        <v>89</v>
      </c>
      <c r="N530" s="11">
        <v>2958465</v>
      </c>
      <c r="P530">
        <v>0</v>
      </c>
      <c r="U530">
        <v>4</v>
      </c>
      <c r="V530">
        <v>1</v>
      </c>
      <c r="W530" t="s">
        <v>42</v>
      </c>
      <c r="X530">
        <v>0</v>
      </c>
    </row>
    <row r="531" spans="1:24" x14ac:dyDescent="0.25">
      <c r="A531">
        <v>1</v>
      </c>
      <c r="B531" s="10">
        <v>591108240744</v>
      </c>
      <c r="C531">
        <v>50</v>
      </c>
      <c r="D531" s="10">
        <v>59102307</v>
      </c>
      <c r="F531" t="s">
        <v>40</v>
      </c>
      <c r="G531">
        <v>0</v>
      </c>
      <c r="H531">
        <v>100</v>
      </c>
      <c r="K531">
        <v>2</v>
      </c>
      <c r="L531" t="s">
        <v>41</v>
      </c>
      <c r="M531" t="s">
        <v>89</v>
      </c>
      <c r="N531" s="11">
        <v>2958465</v>
      </c>
      <c r="P531">
        <v>0</v>
      </c>
      <c r="U531">
        <v>4</v>
      </c>
      <c r="V531">
        <v>1</v>
      </c>
      <c r="W531" t="s">
        <v>42</v>
      </c>
      <c r="X531">
        <v>0</v>
      </c>
    </row>
    <row r="532" spans="1:24" x14ac:dyDescent="0.25">
      <c r="A532">
        <v>1</v>
      </c>
      <c r="B532" s="10">
        <v>591108240744</v>
      </c>
      <c r="C532">
        <v>60</v>
      </c>
      <c r="D532" s="10">
        <v>12421244</v>
      </c>
      <c r="F532" t="s">
        <v>40</v>
      </c>
      <c r="G532">
        <v>0</v>
      </c>
      <c r="H532">
        <v>100</v>
      </c>
      <c r="K532">
        <v>1</v>
      </c>
      <c r="L532" t="s">
        <v>41</v>
      </c>
      <c r="M532" t="s">
        <v>89</v>
      </c>
      <c r="N532" s="11">
        <v>2958465</v>
      </c>
      <c r="P532">
        <v>0</v>
      </c>
      <c r="U532">
        <v>4</v>
      </c>
      <c r="V532">
        <v>1</v>
      </c>
      <c r="W532" t="s">
        <v>42</v>
      </c>
      <c r="X532">
        <v>0</v>
      </c>
    </row>
    <row r="533" spans="1:24" x14ac:dyDescent="0.25">
      <c r="A533">
        <v>1</v>
      </c>
      <c r="B533" s="10">
        <v>591108240744</v>
      </c>
      <c r="C533">
        <v>70</v>
      </c>
      <c r="D533" s="10">
        <v>5997499</v>
      </c>
      <c r="F533" t="s">
        <v>68</v>
      </c>
      <c r="G533">
        <v>0</v>
      </c>
      <c r="H533">
        <v>100</v>
      </c>
      <c r="K533">
        <v>1</v>
      </c>
      <c r="L533" t="s">
        <v>41</v>
      </c>
      <c r="M533" t="s">
        <v>89</v>
      </c>
      <c r="N533" s="11">
        <v>2958465</v>
      </c>
      <c r="P533">
        <v>0</v>
      </c>
      <c r="U533">
        <v>4</v>
      </c>
      <c r="V533">
        <v>1</v>
      </c>
      <c r="W533" t="s">
        <v>42</v>
      </c>
      <c r="X533">
        <v>0</v>
      </c>
    </row>
    <row r="534" spans="1:24" x14ac:dyDescent="0.25">
      <c r="A534">
        <v>1</v>
      </c>
      <c r="B534" s="10">
        <v>591108240844</v>
      </c>
      <c r="C534">
        <v>10</v>
      </c>
      <c r="D534" s="10">
        <v>5959672108</v>
      </c>
      <c r="F534" t="s">
        <v>40</v>
      </c>
      <c r="G534">
        <v>0</v>
      </c>
      <c r="H534">
        <v>100</v>
      </c>
      <c r="K534">
        <v>1</v>
      </c>
      <c r="L534" t="s">
        <v>41</v>
      </c>
      <c r="M534" t="s">
        <v>89</v>
      </c>
      <c r="N534" s="11">
        <v>2958465</v>
      </c>
      <c r="P534">
        <v>0</v>
      </c>
      <c r="U534">
        <v>4</v>
      </c>
      <c r="V534">
        <v>1</v>
      </c>
      <c r="W534" t="s">
        <v>42</v>
      </c>
      <c r="X534">
        <v>0</v>
      </c>
    </row>
    <row r="535" spans="1:24" x14ac:dyDescent="0.25">
      <c r="A535">
        <v>1</v>
      </c>
      <c r="B535" s="10">
        <v>591108240844</v>
      </c>
      <c r="C535">
        <v>20</v>
      </c>
      <c r="D535" s="10">
        <v>5959692108</v>
      </c>
      <c r="F535" t="s">
        <v>40</v>
      </c>
      <c r="G535">
        <v>0</v>
      </c>
      <c r="H535">
        <v>100</v>
      </c>
      <c r="K535">
        <v>1</v>
      </c>
      <c r="L535" t="s">
        <v>41</v>
      </c>
      <c r="M535" t="s">
        <v>89</v>
      </c>
      <c r="N535" s="11">
        <v>2958465</v>
      </c>
      <c r="P535">
        <v>0</v>
      </c>
      <c r="U535">
        <v>4</v>
      </c>
      <c r="V535">
        <v>1</v>
      </c>
      <c r="W535" t="s">
        <v>42</v>
      </c>
      <c r="X535">
        <v>0</v>
      </c>
    </row>
    <row r="536" spans="1:24" x14ac:dyDescent="0.25">
      <c r="A536">
        <v>1</v>
      </c>
      <c r="B536" s="10">
        <v>591108240844</v>
      </c>
      <c r="C536">
        <v>30</v>
      </c>
      <c r="D536" s="10">
        <v>5952482108</v>
      </c>
      <c r="F536" t="s">
        <v>40</v>
      </c>
      <c r="G536">
        <v>0</v>
      </c>
      <c r="H536">
        <v>100</v>
      </c>
      <c r="K536">
        <v>1</v>
      </c>
      <c r="L536" t="s">
        <v>41</v>
      </c>
      <c r="M536" t="s">
        <v>89</v>
      </c>
      <c r="N536" s="11">
        <v>2958465</v>
      </c>
      <c r="P536">
        <v>0</v>
      </c>
      <c r="U536">
        <v>4</v>
      </c>
      <c r="V536">
        <v>1</v>
      </c>
      <c r="W536" t="s">
        <v>42</v>
      </c>
      <c r="X536">
        <v>0</v>
      </c>
    </row>
    <row r="537" spans="1:24" x14ac:dyDescent="0.25">
      <c r="A537">
        <v>1</v>
      </c>
      <c r="B537" s="10">
        <v>591108240844</v>
      </c>
      <c r="C537">
        <v>40</v>
      </c>
      <c r="D537" s="10">
        <v>5952792408</v>
      </c>
      <c r="F537" t="s">
        <v>40</v>
      </c>
      <c r="G537">
        <v>0</v>
      </c>
      <c r="H537">
        <v>100</v>
      </c>
      <c r="K537">
        <v>1</v>
      </c>
      <c r="L537" t="s">
        <v>41</v>
      </c>
      <c r="M537" t="s">
        <v>89</v>
      </c>
      <c r="N537" s="11">
        <v>2958465</v>
      </c>
      <c r="P537">
        <v>0</v>
      </c>
      <c r="U537">
        <v>4</v>
      </c>
      <c r="V537">
        <v>1</v>
      </c>
      <c r="W537" t="s">
        <v>42</v>
      </c>
      <c r="X537">
        <v>0</v>
      </c>
    </row>
    <row r="538" spans="1:24" x14ac:dyDescent="0.25">
      <c r="A538">
        <v>1</v>
      </c>
      <c r="B538" s="10">
        <v>591108240844</v>
      </c>
      <c r="C538">
        <v>50</v>
      </c>
      <c r="D538" s="10">
        <v>59102308</v>
      </c>
      <c r="F538" t="s">
        <v>40</v>
      </c>
      <c r="G538">
        <v>0</v>
      </c>
      <c r="H538">
        <v>100</v>
      </c>
      <c r="K538">
        <v>2</v>
      </c>
      <c r="L538" t="s">
        <v>41</v>
      </c>
      <c r="M538" t="s">
        <v>89</v>
      </c>
      <c r="N538" s="11">
        <v>2958465</v>
      </c>
      <c r="P538">
        <v>0</v>
      </c>
      <c r="U538">
        <v>4</v>
      </c>
      <c r="V538">
        <v>1</v>
      </c>
      <c r="W538" t="s">
        <v>42</v>
      </c>
      <c r="X538">
        <v>0</v>
      </c>
    </row>
    <row r="539" spans="1:24" x14ac:dyDescent="0.25">
      <c r="A539">
        <v>1</v>
      </c>
      <c r="B539" s="10">
        <v>591108240844</v>
      </c>
      <c r="C539">
        <v>60</v>
      </c>
      <c r="D539" s="10">
        <v>12421244</v>
      </c>
      <c r="F539" t="s">
        <v>40</v>
      </c>
      <c r="G539">
        <v>0</v>
      </c>
      <c r="H539">
        <v>100</v>
      </c>
      <c r="K539">
        <v>1</v>
      </c>
      <c r="L539" t="s">
        <v>41</v>
      </c>
      <c r="M539" t="s">
        <v>89</v>
      </c>
      <c r="N539" s="11">
        <v>2958465</v>
      </c>
      <c r="P539">
        <v>0</v>
      </c>
      <c r="U539">
        <v>4</v>
      </c>
      <c r="V539">
        <v>1</v>
      </c>
      <c r="W539" t="s">
        <v>42</v>
      </c>
      <c r="X539">
        <v>0</v>
      </c>
    </row>
    <row r="540" spans="1:24" x14ac:dyDescent="0.25">
      <c r="A540">
        <v>1</v>
      </c>
      <c r="B540" s="10">
        <v>591108240844</v>
      </c>
      <c r="C540">
        <v>70</v>
      </c>
      <c r="D540" s="10">
        <v>5997499</v>
      </c>
      <c r="F540" t="s">
        <v>68</v>
      </c>
      <c r="G540">
        <v>0</v>
      </c>
      <c r="H540">
        <v>100</v>
      </c>
      <c r="K540">
        <v>1</v>
      </c>
      <c r="L540" t="s">
        <v>41</v>
      </c>
      <c r="M540" t="s">
        <v>89</v>
      </c>
      <c r="N540" s="11">
        <v>2958465</v>
      </c>
      <c r="P540">
        <v>0</v>
      </c>
      <c r="U540">
        <v>4</v>
      </c>
      <c r="V540">
        <v>1</v>
      </c>
      <c r="W540" t="s">
        <v>42</v>
      </c>
      <c r="X540">
        <v>0</v>
      </c>
    </row>
    <row r="541" spans="1:24" x14ac:dyDescent="0.25">
      <c r="A541">
        <v>1</v>
      </c>
      <c r="B541" s="10">
        <v>591108240944</v>
      </c>
      <c r="C541">
        <v>10</v>
      </c>
      <c r="D541" s="10">
        <v>5959672109</v>
      </c>
      <c r="F541" t="s">
        <v>40</v>
      </c>
      <c r="G541">
        <v>0</v>
      </c>
      <c r="H541">
        <v>100</v>
      </c>
      <c r="K541">
        <v>1</v>
      </c>
      <c r="L541" t="s">
        <v>41</v>
      </c>
      <c r="M541" t="s">
        <v>89</v>
      </c>
      <c r="N541" s="11">
        <v>2958465</v>
      </c>
      <c r="P541">
        <v>0</v>
      </c>
      <c r="U541">
        <v>4</v>
      </c>
      <c r="V541">
        <v>1</v>
      </c>
      <c r="W541" t="s">
        <v>42</v>
      </c>
      <c r="X541">
        <v>0</v>
      </c>
    </row>
    <row r="542" spans="1:24" x14ac:dyDescent="0.25">
      <c r="A542">
        <v>1</v>
      </c>
      <c r="B542" s="10">
        <v>591108240944</v>
      </c>
      <c r="C542">
        <v>20</v>
      </c>
      <c r="D542" s="10">
        <v>5959692109</v>
      </c>
      <c r="F542" t="s">
        <v>40</v>
      </c>
      <c r="G542">
        <v>0</v>
      </c>
      <c r="H542">
        <v>100</v>
      </c>
      <c r="K542">
        <v>1</v>
      </c>
      <c r="L542" t="s">
        <v>41</v>
      </c>
      <c r="M542" t="s">
        <v>89</v>
      </c>
      <c r="N542" s="11">
        <v>2958465</v>
      </c>
      <c r="P542">
        <v>0</v>
      </c>
      <c r="U542">
        <v>4</v>
      </c>
      <c r="V542">
        <v>1</v>
      </c>
      <c r="W542" t="s">
        <v>42</v>
      </c>
      <c r="X542">
        <v>0</v>
      </c>
    </row>
    <row r="543" spans="1:24" x14ac:dyDescent="0.25">
      <c r="A543">
        <v>1</v>
      </c>
      <c r="B543" s="10">
        <v>591108240944</v>
      </c>
      <c r="C543">
        <v>30</v>
      </c>
      <c r="D543" s="10">
        <v>5952482109</v>
      </c>
      <c r="F543" t="s">
        <v>40</v>
      </c>
      <c r="G543">
        <v>0</v>
      </c>
      <c r="H543">
        <v>100</v>
      </c>
      <c r="K543">
        <v>1</v>
      </c>
      <c r="L543" t="s">
        <v>41</v>
      </c>
      <c r="M543" t="s">
        <v>89</v>
      </c>
      <c r="N543" s="11">
        <v>2958465</v>
      </c>
      <c r="P543">
        <v>0</v>
      </c>
      <c r="U543">
        <v>4</v>
      </c>
      <c r="V543">
        <v>1</v>
      </c>
      <c r="W543" t="s">
        <v>42</v>
      </c>
      <c r="X543">
        <v>0</v>
      </c>
    </row>
    <row r="544" spans="1:24" x14ac:dyDescent="0.25">
      <c r="A544">
        <v>1</v>
      </c>
      <c r="B544" s="10">
        <v>591108240944</v>
      </c>
      <c r="C544">
        <v>40</v>
      </c>
      <c r="D544" s="10">
        <v>5952792409</v>
      </c>
      <c r="F544" t="s">
        <v>40</v>
      </c>
      <c r="G544">
        <v>0</v>
      </c>
      <c r="H544">
        <v>100</v>
      </c>
      <c r="K544">
        <v>1</v>
      </c>
      <c r="L544" t="s">
        <v>41</v>
      </c>
      <c r="M544" t="s">
        <v>89</v>
      </c>
      <c r="N544" s="11">
        <v>2958465</v>
      </c>
      <c r="P544">
        <v>0</v>
      </c>
      <c r="U544">
        <v>4</v>
      </c>
      <c r="V544">
        <v>1</v>
      </c>
      <c r="W544" t="s">
        <v>42</v>
      </c>
      <c r="X544">
        <v>0</v>
      </c>
    </row>
    <row r="545" spans="1:24" x14ac:dyDescent="0.25">
      <c r="A545">
        <v>1</v>
      </c>
      <c r="B545" s="10">
        <v>591108240944</v>
      </c>
      <c r="C545">
        <v>50</v>
      </c>
      <c r="D545" s="10">
        <v>59102309</v>
      </c>
      <c r="F545" t="s">
        <v>40</v>
      </c>
      <c r="G545">
        <v>0</v>
      </c>
      <c r="H545">
        <v>100</v>
      </c>
      <c r="K545">
        <v>2</v>
      </c>
      <c r="L545" t="s">
        <v>41</v>
      </c>
      <c r="M545" t="s">
        <v>89</v>
      </c>
      <c r="N545" s="11">
        <v>2958465</v>
      </c>
      <c r="P545">
        <v>0</v>
      </c>
      <c r="U545">
        <v>4</v>
      </c>
      <c r="V545">
        <v>1</v>
      </c>
      <c r="W545" t="s">
        <v>42</v>
      </c>
      <c r="X545">
        <v>0</v>
      </c>
    </row>
    <row r="546" spans="1:24" x14ac:dyDescent="0.25">
      <c r="A546">
        <v>1</v>
      </c>
      <c r="B546" s="10">
        <v>591108240944</v>
      </c>
      <c r="C546">
        <v>60</v>
      </c>
      <c r="D546" s="10">
        <v>12421244</v>
      </c>
      <c r="F546" t="s">
        <v>40</v>
      </c>
      <c r="G546">
        <v>0</v>
      </c>
      <c r="H546">
        <v>100</v>
      </c>
      <c r="K546">
        <v>1</v>
      </c>
      <c r="L546" t="s">
        <v>41</v>
      </c>
      <c r="M546" t="s">
        <v>89</v>
      </c>
      <c r="N546" s="11">
        <v>2958465</v>
      </c>
      <c r="P546">
        <v>0</v>
      </c>
      <c r="U546">
        <v>4</v>
      </c>
      <c r="V546">
        <v>1</v>
      </c>
      <c r="W546" t="s">
        <v>42</v>
      </c>
      <c r="X546">
        <v>0</v>
      </c>
    </row>
    <row r="547" spans="1:24" x14ac:dyDescent="0.25">
      <c r="A547">
        <v>1</v>
      </c>
      <c r="B547" s="10">
        <v>591108240944</v>
      </c>
      <c r="C547">
        <v>70</v>
      </c>
      <c r="D547" s="10">
        <v>5997499</v>
      </c>
      <c r="F547" t="s">
        <v>68</v>
      </c>
      <c r="G547">
        <v>0</v>
      </c>
      <c r="H547">
        <v>100</v>
      </c>
      <c r="K547">
        <v>1</v>
      </c>
      <c r="L547" t="s">
        <v>41</v>
      </c>
      <c r="M547" t="s">
        <v>89</v>
      </c>
      <c r="N547" s="11">
        <v>2958465</v>
      </c>
      <c r="P547">
        <v>0</v>
      </c>
      <c r="U547">
        <v>4</v>
      </c>
      <c r="V547">
        <v>1</v>
      </c>
      <c r="W547" t="s">
        <v>42</v>
      </c>
      <c r="X547">
        <v>0</v>
      </c>
    </row>
    <row r="548" spans="1:24" x14ac:dyDescent="0.25">
      <c r="A548">
        <v>1</v>
      </c>
      <c r="B548" s="10">
        <v>591108240110</v>
      </c>
      <c r="C548">
        <v>10</v>
      </c>
      <c r="D548" s="10">
        <v>5959672101</v>
      </c>
      <c r="F548" t="s">
        <v>40</v>
      </c>
      <c r="G548">
        <v>0</v>
      </c>
      <c r="H548">
        <v>100</v>
      </c>
      <c r="K548">
        <v>1</v>
      </c>
      <c r="L548" t="s">
        <v>41</v>
      </c>
      <c r="M548" t="s">
        <v>89</v>
      </c>
      <c r="N548" s="11">
        <v>2958465</v>
      </c>
      <c r="P548">
        <v>0</v>
      </c>
      <c r="U548">
        <v>4</v>
      </c>
      <c r="V548">
        <v>1</v>
      </c>
      <c r="W548" t="s">
        <v>42</v>
      </c>
      <c r="X548">
        <v>0</v>
      </c>
    </row>
    <row r="549" spans="1:24" x14ac:dyDescent="0.25">
      <c r="A549">
        <v>1</v>
      </c>
      <c r="B549" s="10">
        <v>591108240110</v>
      </c>
      <c r="C549">
        <v>20</v>
      </c>
      <c r="D549" s="10">
        <v>5959692101</v>
      </c>
      <c r="F549" t="s">
        <v>40</v>
      </c>
      <c r="G549">
        <v>0</v>
      </c>
      <c r="H549">
        <v>100</v>
      </c>
      <c r="K549">
        <v>1</v>
      </c>
      <c r="L549" t="s">
        <v>41</v>
      </c>
      <c r="M549" t="s">
        <v>89</v>
      </c>
      <c r="N549" s="11">
        <v>2958465</v>
      </c>
      <c r="P549">
        <v>0</v>
      </c>
      <c r="U549">
        <v>4</v>
      </c>
      <c r="V549">
        <v>1</v>
      </c>
      <c r="W549" t="s">
        <v>42</v>
      </c>
      <c r="X549">
        <v>0</v>
      </c>
    </row>
    <row r="550" spans="1:24" x14ac:dyDescent="0.25">
      <c r="A550">
        <v>1</v>
      </c>
      <c r="B550" s="10">
        <v>591108240110</v>
      </c>
      <c r="C550">
        <v>30</v>
      </c>
      <c r="D550" s="10">
        <v>5952482101</v>
      </c>
      <c r="F550" t="s">
        <v>40</v>
      </c>
      <c r="G550">
        <v>0</v>
      </c>
      <c r="H550">
        <v>100</v>
      </c>
      <c r="K550">
        <v>1</v>
      </c>
      <c r="L550" t="s">
        <v>41</v>
      </c>
      <c r="M550" t="s">
        <v>89</v>
      </c>
      <c r="N550" s="11">
        <v>2958465</v>
      </c>
      <c r="P550">
        <v>0</v>
      </c>
      <c r="U550">
        <v>4</v>
      </c>
      <c r="V550">
        <v>1</v>
      </c>
      <c r="W550" t="s">
        <v>42</v>
      </c>
      <c r="X550">
        <v>0</v>
      </c>
    </row>
    <row r="551" spans="1:24" x14ac:dyDescent="0.25">
      <c r="A551">
        <v>1</v>
      </c>
      <c r="B551" s="10">
        <v>591108240110</v>
      </c>
      <c r="C551">
        <v>40</v>
      </c>
      <c r="D551" s="10">
        <v>5952792401</v>
      </c>
      <c r="F551" t="s">
        <v>40</v>
      </c>
      <c r="G551">
        <v>0</v>
      </c>
      <c r="H551">
        <v>100</v>
      </c>
      <c r="K551">
        <v>1</v>
      </c>
      <c r="L551" t="s">
        <v>41</v>
      </c>
      <c r="M551" t="s">
        <v>89</v>
      </c>
      <c r="N551" s="11">
        <v>2958465</v>
      </c>
      <c r="P551">
        <v>0</v>
      </c>
      <c r="U551">
        <v>4</v>
      </c>
      <c r="V551">
        <v>1</v>
      </c>
      <c r="W551" t="s">
        <v>42</v>
      </c>
      <c r="X551">
        <v>0</v>
      </c>
    </row>
    <row r="552" spans="1:24" x14ac:dyDescent="0.25">
      <c r="A552">
        <v>1</v>
      </c>
      <c r="B552" s="10">
        <v>591108240110</v>
      </c>
      <c r="C552">
        <v>50</v>
      </c>
      <c r="D552" s="10">
        <v>59102301</v>
      </c>
      <c r="F552" t="s">
        <v>40</v>
      </c>
      <c r="G552">
        <v>0</v>
      </c>
      <c r="H552">
        <v>100</v>
      </c>
      <c r="K552">
        <v>2</v>
      </c>
      <c r="L552" t="s">
        <v>41</v>
      </c>
      <c r="M552" t="s">
        <v>89</v>
      </c>
      <c r="N552" s="11">
        <v>2958465</v>
      </c>
      <c r="P552">
        <v>0</v>
      </c>
      <c r="U552">
        <v>4</v>
      </c>
      <c r="V552">
        <v>1</v>
      </c>
      <c r="W552" t="s">
        <v>42</v>
      </c>
      <c r="X552">
        <v>0</v>
      </c>
    </row>
    <row r="553" spans="1:24" x14ac:dyDescent="0.25">
      <c r="A553">
        <v>1</v>
      </c>
      <c r="B553" s="10">
        <v>591108240110</v>
      </c>
      <c r="C553">
        <v>60</v>
      </c>
      <c r="D553" s="10">
        <v>12421210</v>
      </c>
      <c r="F553" t="s">
        <v>40</v>
      </c>
      <c r="G553">
        <v>0</v>
      </c>
      <c r="H553">
        <v>100</v>
      </c>
      <c r="K553">
        <v>1</v>
      </c>
      <c r="L553" t="s">
        <v>41</v>
      </c>
      <c r="M553" t="s">
        <v>89</v>
      </c>
      <c r="N553" s="11">
        <v>2958465</v>
      </c>
      <c r="P553">
        <v>0</v>
      </c>
      <c r="U553">
        <v>4</v>
      </c>
      <c r="V553">
        <v>1</v>
      </c>
      <c r="W553" t="s">
        <v>42</v>
      </c>
      <c r="X553">
        <v>0</v>
      </c>
    </row>
    <row r="554" spans="1:24" x14ac:dyDescent="0.25">
      <c r="A554">
        <v>1</v>
      </c>
      <c r="B554" s="10">
        <v>591108240110</v>
      </c>
      <c r="C554">
        <v>70</v>
      </c>
      <c r="D554" s="10">
        <v>5997499</v>
      </c>
      <c r="F554" t="s">
        <v>68</v>
      </c>
      <c r="G554">
        <v>0</v>
      </c>
      <c r="H554">
        <v>100</v>
      </c>
      <c r="K554">
        <v>1</v>
      </c>
      <c r="L554" t="s">
        <v>41</v>
      </c>
      <c r="M554" t="s">
        <v>89</v>
      </c>
      <c r="N554" s="11">
        <v>2958465</v>
      </c>
      <c r="P554">
        <v>0</v>
      </c>
      <c r="U554">
        <v>4</v>
      </c>
      <c r="V554">
        <v>1</v>
      </c>
      <c r="W554" t="s">
        <v>42</v>
      </c>
      <c r="X554">
        <v>0</v>
      </c>
    </row>
    <row r="555" spans="1:24" x14ac:dyDescent="0.25">
      <c r="A555">
        <v>1</v>
      </c>
      <c r="B555" s="10">
        <v>591108240210</v>
      </c>
      <c r="C555">
        <v>10</v>
      </c>
      <c r="D555" s="10">
        <v>5959672102</v>
      </c>
      <c r="F555" t="s">
        <v>40</v>
      </c>
      <c r="G555">
        <v>0</v>
      </c>
      <c r="H555">
        <v>100</v>
      </c>
      <c r="K555">
        <v>1</v>
      </c>
      <c r="L555" t="s">
        <v>41</v>
      </c>
      <c r="M555" t="s">
        <v>89</v>
      </c>
      <c r="N555" s="11">
        <v>2958465</v>
      </c>
      <c r="P555">
        <v>0</v>
      </c>
      <c r="U555">
        <v>4</v>
      </c>
      <c r="V555">
        <v>1</v>
      </c>
      <c r="W555" t="s">
        <v>42</v>
      </c>
      <c r="X555">
        <v>0</v>
      </c>
    </row>
    <row r="556" spans="1:24" x14ac:dyDescent="0.25">
      <c r="A556">
        <v>1</v>
      </c>
      <c r="B556" s="10">
        <v>591108240210</v>
      </c>
      <c r="C556">
        <v>20</v>
      </c>
      <c r="D556" s="10">
        <v>5959692102</v>
      </c>
      <c r="F556" t="s">
        <v>40</v>
      </c>
      <c r="G556">
        <v>0</v>
      </c>
      <c r="H556">
        <v>100</v>
      </c>
      <c r="K556">
        <v>1</v>
      </c>
      <c r="L556" t="s">
        <v>41</v>
      </c>
      <c r="M556" t="s">
        <v>89</v>
      </c>
      <c r="N556" s="11">
        <v>2958465</v>
      </c>
      <c r="P556">
        <v>0</v>
      </c>
      <c r="U556">
        <v>4</v>
      </c>
      <c r="V556">
        <v>1</v>
      </c>
      <c r="W556" t="s">
        <v>42</v>
      </c>
      <c r="X556">
        <v>0</v>
      </c>
    </row>
    <row r="557" spans="1:24" x14ac:dyDescent="0.25">
      <c r="A557">
        <v>1</v>
      </c>
      <c r="B557" s="10">
        <v>591108240210</v>
      </c>
      <c r="C557">
        <v>30</v>
      </c>
      <c r="D557" s="10">
        <v>5952482102</v>
      </c>
      <c r="F557" t="s">
        <v>40</v>
      </c>
      <c r="G557">
        <v>0</v>
      </c>
      <c r="H557">
        <v>100</v>
      </c>
      <c r="K557">
        <v>1</v>
      </c>
      <c r="L557" t="s">
        <v>41</v>
      </c>
      <c r="M557" t="s">
        <v>89</v>
      </c>
      <c r="N557" s="11">
        <v>2958465</v>
      </c>
      <c r="P557">
        <v>0</v>
      </c>
      <c r="U557">
        <v>4</v>
      </c>
      <c r="V557">
        <v>1</v>
      </c>
      <c r="W557" t="s">
        <v>42</v>
      </c>
      <c r="X557">
        <v>0</v>
      </c>
    </row>
    <row r="558" spans="1:24" x14ac:dyDescent="0.25">
      <c r="A558">
        <v>1</v>
      </c>
      <c r="B558" s="10">
        <v>591108240210</v>
      </c>
      <c r="C558">
        <v>40</v>
      </c>
      <c r="D558" s="10">
        <v>5952792402</v>
      </c>
      <c r="F558" t="s">
        <v>40</v>
      </c>
      <c r="G558">
        <v>0</v>
      </c>
      <c r="H558">
        <v>100</v>
      </c>
      <c r="K558">
        <v>1</v>
      </c>
      <c r="L558" t="s">
        <v>41</v>
      </c>
      <c r="M558" t="s">
        <v>89</v>
      </c>
      <c r="N558" s="11">
        <v>2958465</v>
      </c>
      <c r="P558">
        <v>0</v>
      </c>
      <c r="U558">
        <v>4</v>
      </c>
      <c r="V558">
        <v>1</v>
      </c>
      <c r="W558" t="s">
        <v>42</v>
      </c>
      <c r="X558">
        <v>0</v>
      </c>
    </row>
    <row r="559" spans="1:24" x14ac:dyDescent="0.25">
      <c r="A559">
        <v>1</v>
      </c>
      <c r="B559" s="10">
        <v>591108240210</v>
      </c>
      <c r="C559">
        <v>50</v>
      </c>
      <c r="D559" s="10">
        <v>59102302</v>
      </c>
      <c r="F559" t="s">
        <v>40</v>
      </c>
      <c r="G559">
        <v>0</v>
      </c>
      <c r="H559">
        <v>100</v>
      </c>
      <c r="K559">
        <v>2</v>
      </c>
      <c r="L559" t="s">
        <v>41</v>
      </c>
      <c r="M559" t="s">
        <v>89</v>
      </c>
      <c r="N559" s="11">
        <v>2958465</v>
      </c>
      <c r="P559">
        <v>0</v>
      </c>
      <c r="U559">
        <v>4</v>
      </c>
      <c r="V559">
        <v>1</v>
      </c>
      <c r="W559" t="s">
        <v>42</v>
      </c>
      <c r="X559">
        <v>0</v>
      </c>
    </row>
    <row r="560" spans="1:24" x14ac:dyDescent="0.25">
      <c r="A560">
        <v>1</v>
      </c>
      <c r="B560" s="10">
        <v>591108240210</v>
      </c>
      <c r="C560">
        <v>60</v>
      </c>
      <c r="D560" s="10">
        <v>12421210</v>
      </c>
      <c r="F560" t="s">
        <v>40</v>
      </c>
      <c r="G560">
        <v>0</v>
      </c>
      <c r="H560">
        <v>100</v>
      </c>
      <c r="K560">
        <v>1</v>
      </c>
      <c r="L560" t="s">
        <v>41</v>
      </c>
      <c r="M560" t="s">
        <v>89</v>
      </c>
      <c r="N560" s="11">
        <v>2958465</v>
      </c>
      <c r="P560">
        <v>0</v>
      </c>
      <c r="U560">
        <v>4</v>
      </c>
      <c r="V560">
        <v>1</v>
      </c>
      <c r="W560" t="s">
        <v>42</v>
      </c>
      <c r="X560">
        <v>0</v>
      </c>
    </row>
    <row r="561" spans="1:24" x14ac:dyDescent="0.25">
      <c r="A561">
        <v>1</v>
      </c>
      <c r="B561" s="10">
        <v>591108240210</v>
      </c>
      <c r="C561">
        <v>70</v>
      </c>
      <c r="D561" s="10">
        <v>5997499</v>
      </c>
      <c r="F561" t="s">
        <v>68</v>
      </c>
      <c r="G561">
        <v>0</v>
      </c>
      <c r="H561">
        <v>100</v>
      </c>
      <c r="K561">
        <v>1</v>
      </c>
      <c r="L561" t="s">
        <v>41</v>
      </c>
      <c r="M561" t="s">
        <v>89</v>
      </c>
      <c r="N561" s="11">
        <v>2958465</v>
      </c>
      <c r="P561">
        <v>0</v>
      </c>
      <c r="U561">
        <v>4</v>
      </c>
      <c r="V561">
        <v>1</v>
      </c>
      <c r="W561" t="s">
        <v>42</v>
      </c>
      <c r="X561">
        <v>0</v>
      </c>
    </row>
    <row r="562" spans="1:24" x14ac:dyDescent="0.25">
      <c r="A562">
        <v>1</v>
      </c>
      <c r="B562" s="10">
        <v>591108240310</v>
      </c>
      <c r="C562">
        <v>10</v>
      </c>
      <c r="D562" s="10">
        <v>5959672103</v>
      </c>
      <c r="F562" t="s">
        <v>40</v>
      </c>
      <c r="G562">
        <v>0</v>
      </c>
      <c r="H562">
        <v>100</v>
      </c>
      <c r="K562">
        <v>1</v>
      </c>
      <c r="L562" t="s">
        <v>41</v>
      </c>
      <c r="M562" t="s">
        <v>89</v>
      </c>
      <c r="N562" s="11">
        <v>2958465</v>
      </c>
      <c r="P562">
        <v>0</v>
      </c>
      <c r="U562">
        <v>4</v>
      </c>
      <c r="V562">
        <v>1</v>
      </c>
      <c r="W562" t="s">
        <v>42</v>
      </c>
      <c r="X562">
        <v>0</v>
      </c>
    </row>
    <row r="563" spans="1:24" x14ac:dyDescent="0.25">
      <c r="A563">
        <v>1</v>
      </c>
      <c r="B563" s="10">
        <v>591108240310</v>
      </c>
      <c r="C563">
        <v>20</v>
      </c>
      <c r="D563" s="10">
        <v>5959692103</v>
      </c>
      <c r="F563" t="s">
        <v>40</v>
      </c>
      <c r="G563">
        <v>0</v>
      </c>
      <c r="H563">
        <v>100</v>
      </c>
      <c r="K563">
        <v>1</v>
      </c>
      <c r="L563" t="s">
        <v>41</v>
      </c>
      <c r="M563" t="s">
        <v>89</v>
      </c>
      <c r="N563" s="11">
        <v>2958465</v>
      </c>
      <c r="P563">
        <v>0</v>
      </c>
      <c r="U563">
        <v>4</v>
      </c>
      <c r="V563">
        <v>1</v>
      </c>
      <c r="W563" t="s">
        <v>42</v>
      </c>
      <c r="X563">
        <v>0</v>
      </c>
    </row>
    <row r="564" spans="1:24" x14ac:dyDescent="0.25">
      <c r="A564">
        <v>1</v>
      </c>
      <c r="B564" s="10">
        <v>591108240310</v>
      </c>
      <c r="C564">
        <v>30</v>
      </c>
      <c r="D564" s="10">
        <v>5952482103</v>
      </c>
      <c r="F564" t="s">
        <v>40</v>
      </c>
      <c r="G564">
        <v>0</v>
      </c>
      <c r="H564">
        <v>100</v>
      </c>
      <c r="K564">
        <v>1</v>
      </c>
      <c r="L564" t="s">
        <v>41</v>
      </c>
      <c r="M564" t="s">
        <v>89</v>
      </c>
      <c r="N564" s="11">
        <v>2958465</v>
      </c>
      <c r="P564">
        <v>0</v>
      </c>
      <c r="U564">
        <v>4</v>
      </c>
      <c r="V564">
        <v>1</v>
      </c>
      <c r="W564" t="s">
        <v>42</v>
      </c>
      <c r="X564">
        <v>0</v>
      </c>
    </row>
    <row r="565" spans="1:24" x14ac:dyDescent="0.25">
      <c r="A565">
        <v>1</v>
      </c>
      <c r="B565" s="10">
        <v>591108240310</v>
      </c>
      <c r="C565">
        <v>40</v>
      </c>
      <c r="D565" s="10">
        <v>5952792403</v>
      </c>
      <c r="F565" t="s">
        <v>40</v>
      </c>
      <c r="G565">
        <v>0</v>
      </c>
      <c r="H565">
        <v>100</v>
      </c>
      <c r="K565">
        <v>1</v>
      </c>
      <c r="L565" t="s">
        <v>41</v>
      </c>
      <c r="M565" t="s">
        <v>89</v>
      </c>
      <c r="N565" s="11">
        <v>2958465</v>
      </c>
      <c r="P565">
        <v>0</v>
      </c>
      <c r="U565">
        <v>4</v>
      </c>
      <c r="V565">
        <v>1</v>
      </c>
      <c r="W565" t="s">
        <v>42</v>
      </c>
      <c r="X565">
        <v>0</v>
      </c>
    </row>
    <row r="566" spans="1:24" x14ac:dyDescent="0.25">
      <c r="A566">
        <v>1</v>
      </c>
      <c r="B566" s="10">
        <v>591108240310</v>
      </c>
      <c r="C566">
        <v>50</v>
      </c>
      <c r="D566" s="10">
        <v>59102303</v>
      </c>
      <c r="F566" t="s">
        <v>40</v>
      </c>
      <c r="G566">
        <v>0</v>
      </c>
      <c r="H566">
        <v>100</v>
      </c>
      <c r="K566">
        <v>2</v>
      </c>
      <c r="L566" t="s">
        <v>41</v>
      </c>
      <c r="M566" t="s">
        <v>89</v>
      </c>
      <c r="N566" s="11">
        <v>2958465</v>
      </c>
      <c r="P566">
        <v>0</v>
      </c>
      <c r="U566">
        <v>4</v>
      </c>
      <c r="V566">
        <v>1</v>
      </c>
      <c r="W566" t="s">
        <v>42</v>
      </c>
      <c r="X566">
        <v>0</v>
      </c>
    </row>
    <row r="567" spans="1:24" x14ac:dyDescent="0.25">
      <c r="A567">
        <v>1</v>
      </c>
      <c r="B567" s="10">
        <v>591108240310</v>
      </c>
      <c r="C567">
        <v>60</v>
      </c>
      <c r="D567" s="10">
        <v>12421210</v>
      </c>
      <c r="F567" t="s">
        <v>40</v>
      </c>
      <c r="G567">
        <v>0</v>
      </c>
      <c r="H567">
        <v>100</v>
      </c>
      <c r="K567">
        <v>1</v>
      </c>
      <c r="L567" t="s">
        <v>41</v>
      </c>
      <c r="M567" t="s">
        <v>89</v>
      </c>
      <c r="N567" s="11">
        <v>2958465</v>
      </c>
      <c r="P567">
        <v>0</v>
      </c>
      <c r="U567">
        <v>4</v>
      </c>
      <c r="V567">
        <v>1</v>
      </c>
      <c r="W567" t="s">
        <v>42</v>
      </c>
      <c r="X567">
        <v>0</v>
      </c>
    </row>
    <row r="568" spans="1:24" x14ac:dyDescent="0.25">
      <c r="A568">
        <v>1</v>
      </c>
      <c r="B568" s="10">
        <v>591108240310</v>
      </c>
      <c r="C568">
        <v>70</v>
      </c>
      <c r="D568" s="10">
        <v>5997499</v>
      </c>
      <c r="F568" t="s">
        <v>68</v>
      </c>
      <c r="G568">
        <v>0</v>
      </c>
      <c r="H568">
        <v>100</v>
      </c>
      <c r="K568">
        <v>1</v>
      </c>
      <c r="L568" t="s">
        <v>41</v>
      </c>
      <c r="M568" t="s">
        <v>89</v>
      </c>
      <c r="N568" s="11">
        <v>2958465</v>
      </c>
      <c r="P568">
        <v>0</v>
      </c>
      <c r="U568">
        <v>4</v>
      </c>
      <c r="V568">
        <v>1</v>
      </c>
      <c r="W568" t="s">
        <v>42</v>
      </c>
      <c r="X568">
        <v>0</v>
      </c>
    </row>
    <row r="569" spans="1:24" x14ac:dyDescent="0.25">
      <c r="A569">
        <v>1</v>
      </c>
      <c r="B569" s="10">
        <v>591108240410</v>
      </c>
      <c r="C569">
        <v>10</v>
      </c>
      <c r="D569" s="10">
        <v>5959672104</v>
      </c>
      <c r="F569" t="s">
        <v>40</v>
      </c>
      <c r="G569">
        <v>0</v>
      </c>
      <c r="H569">
        <v>100</v>
      </c>
      <c r="K569">
        <v>1</v>
      </c>
      <c r="L569" t="s">
        <v>41</v>
      </c>
      <c r="M569" t="s">
        <v>89</v>
      </c>
      <c r="N569" s="11">
        <v>2958465</v>
      </c>
      <c r="P569">
        <v>0</v>
      </c>
      <c r="U569">
        <v>4</v>
      </c>
      <c r="V569">
        <v>1</v>
      </c>
      <c r="W569" t="s">
        <v>42</v>
      </c>
      <c r="X569">
        <v>0</v>
      </c>
    </row>
    <row r="570" spans="1:24" x14ac:dyDescent="0.25">
      <c r="A570">
        <v>1</v>
      </c>
      <c r="B570" s="10">
        <v>591108240410</v>
      </c>
      <c r="C570">
        <v>20</v>
      </c>
      <c r="D570" s="10">
        <v>5959692104</v>
      </c>
      <c r="F570" t="s">
        <v>40</v>
      </c>
      <c r="G570">
        <v>0</v>
      </c>
      <c r="H570">
        <v>100</v>
      </c>
      <c r="K570">
        <v>1</v>
      </c>
      <c r="L570" t="s">
        <v>41</v>
      </c>
      <c r="M570" t="s">
        <v>89</v>
      </c>
      <c r="N570" s="11">
        <v>2958465</v>
      </c>
      <c r="P570">
        <v>0</v>
      </c>
      <c r="U570">
        <v>4</v>
      </c>
      <c r="V570">
        <v>1</v>
      </c>
      <c r="W570" t="s">
        <v>42</v>
      </c>
      <c r="X570">
        <v>0</v>
      </c>
    </row>
    <row r="571" spans="1:24" x14ac:dyDescent="0.25">
      <c r="A571">
        <v>1</v>
      </c>
      <c r="B571" s="10">
        <v>591108240410</v>
      </c>
      <c r="C571">
        <v>30</v>
      </c>
      <c r="D571" s="10">
        <v>5952482104</v>
      </c>
      <c r="F571" t="s">
        <v>40</v>
      </c>
      <c r="G571">
        <v>0</v>
      </c>
      <c r="H571">
        <v>100</v>
      </c>
      <c r="K571">
        <v>1</v>
      </c>
      <c r="L571" t="s">
        <v>41</v>
      </c>
      <c r="M571" t="s">
        <v>89</v>
      </c>
      <c r="N571" s="11">
        <v>2958465</v>
      </c>
      <c r="P571">
        <v>0</v>
      </c>
      <c r="U571">
        <v>4</v>
      </c>
      <c r="V571">
        <v>1</v>
      </c>
      <c r="W571" t="s">
        <v>42</v>
      </c>
      <c r="X571">
        <v>0</v>
      </c>
    </row>
    <row r="572" spans="1:24" x14ac:dyDescent="0.25">
      <c r="A572">
        <v>1</v>
      </c>
      <c r="B572" s="10">
        <v>591108240410</v>
      </c>
      <c r="C572">
        <v>40</v>
      </c>
      <c r="D572" s="10">
        <v>5952792404</v>
      </c>
      <c r="F572" t="s">
        <v>40</v>
      </c>
      <c r="G572">
        <v>0</v>
      </c>
      <c r="H572">
        <v>100</v>
      </c>
      <c r="K572">
        <v>1</v>
      </c>
      <c r="L572" t="s">
        <v>41</v>
      </c>
      <c r="M572" t="s">
        <v>89</v>
      </c>
      <c r="N572" s="11">
        <v>2958465</v>
      </c>
      <c r="P572">
        <v>0</v>
      </c>
      <c r="U572">
        <v>4</v>
      </c>
      <c r="V572">
        <v>1</v>
      </c>
      <c r="W572" t="s">
        <v>42</v>
      </c>
      <c r="X572">
        <v>0</v>
      </c>
    </row>
    <row r="573" spans="1:24" x14ac:dyDescent="0.25">
      <c r="A573">
        <v>1</v>
      </c>
      <c r="B573" s="10">
        <v>591108240410</v>
      </c>
      <c r="C573">
        <v>50</v>
      </c>
      <c r="D573" s="10">
        <v>59102304</v>
      </c>
      <c r="F573" t="s">
        <v>40</v>
      </c>
      <c r="G573">
        <v>0</v>
      </c>
      <c r="H573">
        <v>100</v>
      </c>
      <c r="K573">
        <v>2</v>
      </c>
      <c r="L573" t="s">
        <v>41</v>
      </c>
      <c r="M573" t="s">
        <v>89</v>
      </c>
      <c r="N573" s="11">
        <v>2958465</v>
      </c>
      <c r="P573">
        <v>0</v>
      </c>
      <c r="U573">
        <v>4</v>
      </c>
      <c r="V573">
        <v>1</v>
      </c>
      <c r="W573" t="s">
        <v>42</v>
      </c>
      <c r="X573">
        <v>0</v>
      </c>
    </row>
    <row r="574" spans="1:24" x14ac:dyDescent="0.25">
      <c r="A574">
        <v>1</v>
      </c>
      <c r="B574" s="10">
        <v>591108240410</v>
      </c>
      <c r="C574">
        <v>60</v>
      </c>
      <c r="D574" s="10">
        <v>12421210</v>
      </c>
      <c r="F574" t="s">
        <v>40</v>
      </c>
      <c r="G574">
        <v>0</v>
      </c>
      <c r="H574">
        <v>100</v>
      </c>
      <c r="K574">
        <v>1</v>
      </c>
      <c r="L574" t="s">
        <v>41</v>
      </c>
      <c r="M574" t="s">
        <v>89</v>
      </c>
      <c r="N574" s="11">
        <v>2958465</v>
      </c>
      <c r="P574">
        <v>0</v>
      </c>
      <c r="U574">
        <v>4</v>
      </c>
      <c r="V574">
        <v>1</v>
      </c>
      <c r="W574" t="s">
        <v>42</v>
      </c>
      <c r="X574">
        <v>0</v>
      </c>
    </row>
    <row r="575" spans="1:24" x14ac:dyDescent="0.25">
      <c r="A575">
        <v>1</v>
      </c>
      <c r="B575" s="10">
        <v>591108240410</v>
      </c>
      <c r="C575">
        <v>70</v>
      </c>
      <c r="D575" s="10">
        <v>5997499</v>
      </c>
      <c r="F575" t="s">
        <v>68</v>
      </c>
      <c r="G575">
        <v>0</v>
      </c>
      <c r="H575">
        <v>100</v>
      </c>
      <c r="K575">
        <v>1</v>
      </c>
      <c r="L575" t="s">
        <v>41</v>
      </c>
      <c r="M575" t="s">
        <v>89</v>
      </c>
      <c r="N575" s="11">
        <v>2958465</v>
      </c>
      <c r="P575">
        <v>0</v>
      </c>
      <c r="U575">
        <v>4</v>
      </c>
      <c r="V575">
        <v>1</v>
      </c>
      <c r="W575" t="s">
        <v>42</v>
      </c>
      <c r="X575">
        <v>0</v>
      </c>
    </row>
    <row r="576" spans="1:24" x14ac:dyDescent="0.25">
      <c r="A576">
        <v>1</v>
      </c>
      <c r="B576" s="10">
        <v>591108240510</v>
      </c>
      <c r="C576">
        <v>10</v>
      </c>
      <c r="D576" s="10">
        <v>5959672105</v>
      </c>
      <c r="F576" t="s">
        <v>40</v>
      </c>
      <c r="G576">
        <v>0</v>
      </c>
      <c r="H576">
        <v>100</v>
      </c>
      <c r="K576">
        <v>1</v>
      </c>
      <c r="L576" t="s">
        <v>41</v>
      </c>
      <c r="M576" t="s">
        <v>89</v>
      </c>
      <c r="N576" s="11">
        <v>2958465</v>
      </c>
      <c r="P576">
        <v>0</v>
      </c>
      <c r="U576">
        <v>4</v>
      </c>
      <c r="V576">
        <v>1</v>
      </c>
      <c r="W576" t="s">
        <v>42</v>
      </c>
      <c r="X576">
        <v>0</v>
      </c>
    </row>
    <row r="577" spans="1:24" x14ac:dyDescent="0.25">
      <c r="A577">
        <v>1</v>
      </c>
      <c r="B577" s="10">
        <v>591108240510</v>
      </c>
      <c r="C577">
        <v>20</v>
      </c>
      <c r="D577" s="10">
        <v>5959692105</v>
      </c>
      <c r="F577" t="s">
        <v>40</v>
      </c>
      <c r="G577">
        <v>0</v>
      </c>
      <c r="H577">
        <v>100</v>
      </c>
      <c r="K577">
        <v>1</v>
      </c>
      <c r="L577" t="s">
        <v>41</v>
      </c>
      <c r="M577" t="s">
        <v>89</v>
      </c>
      <c r="N577" s="11">
        <v>2958465</v>
      </c>
      <c r="P577">
        <v>0</v>
      </c>
      <c r="U577">
        <v>4</v>
      </c>
      <c r="V577">
        <v>1</v>
      </c>
      <c r="W577" t="s">
        <v>42</v>
      </c>
      <c r="X577">
        <v>0</v>
      </c>
    </row>
    <row r="578" spans="1:24" x14ac:dyDescent="0.25">
      <c r="A578">
        <v>1</v>
      </c>
      <c r="B578" s="10">
        <v>591108240510</v>
      </c>
      <c r="C578">
        <v>30</v>
      </c>
      <c r="D578" s="10">
        <v>5952482105</v>
      </c>
      <c r="F578" t="s">
        <v>40</v>
      </c>
      <c r="G578">
        <v>0</v>
      </c>
      <c r="H578">
        <v>100</v>
      </c>
      <c r="K578">
        <v>1</v>
      </c>
      <c r="L578" t="s">
        <v>41</v>
      </c>
      <c r="M578" t="s">
        <v>89</v>
      </c>
      <c r="N578" s="11">
        <v>2958465</v>
      </c>
      <c r="P578">
        <v>0</v>
      </c>
      <c r="U578">
        <v>4</v>
      </c>
      <c r="V578">
        <v>1</v>
      </c>
      <c r="W578" t="s">
        <v>42</v>
      </c>
      <c r="X578">
        <v>0</v>
      </c>
    </row>
    <row r="579" spans="1:24" x14ac:dyDescent="0.25">
      <c r="A579">
        <v>1</v>
      </c>
      <c r="B579" s="10">
        <v>591108240510</v>
      </c>
      <c r="C579">
        <v>40</v>
      </c>
      <c r="D579" s="10">
        <v>5952792405</v>
      </c>
      <c r="F579" t="s">
        <v>40</v>
      </c>
      <c r="G579">
        <v>0</v>
      </c>
      <c r="H579">
        <v>100</v>
      </c>
      <c r="K579">
        <v>1</v>
      </c>
      <c r="L579" t="s">
        <v>41</v>
      </c>
      <c r="M579" t="s">
        <v>89</v>
      </c>
      <c r="N579" s="11">
        <v>2958465</v>
      </c>
      <c r="P579">
        <v>0</v>
      </c>
      <c r="U579">
        <v>4</v>
      </c>
      <c r="V579">
        <v>1</v>
      </c>
      <c r="W579" t="s">
        <v>42</v>
      </c>
      <c r="X579">
        <v>0</v>
      </c>
    </row>
    <row r="580" spans="1:24" x14ac:dyDescent="0.25">
      <c r="A580">
        <v>1</v>
      </c>
      <c r="B580" s="10">
        <v>591108240510</v>
      </c>
      <c r="C580">
        <v>50</v>
      </c>
      <c r="D580" s="10">
        <v>59102305</v>
      </c>
      <c r="F580" t="s">
        <v>40</v>
      </c>
      <c r="G580">
        <v>0</v>
      </c>
      <c r="H580">
        <v>100</v>
      </c>
      <c r="K580">
        <v>2</v>
      </c>
      <c r="L580" t="s">
        <v>41</v>
      </c>
      <c r="M580" t="s">
        <v>89</v>
      </c>
      <c r="N580" s="11">
        <v>2958465</v>
      </c>
      <c r="P580">
        <v>0</v>
      </c>
      <c r="U580">
        <v>4</v>
      </c>
      <c r="V580">
        <v>1</v>
      </c>
      <c r="W580" t="s">
        <v>42</v>
      </c>
      <c r="X580">
        <v>0</v>
      </c>
    </row>
    <row r="581" spans="1:24" x14ac:dyDescent="0.25">
      <c r="A581">
        <v>1</v>
      </c>
      <c r="B581" s="10">
        <v>591108240510</v>
      </c>
      <c r="C581">
        <v>60</v>
      </c>
      <c r="D581" s="10">
        <v>12421210</v>
      </c>
      <c r="F581" t="s">
        <v>40</v>
      </c>
      <c r="G581">
        <v>0</v>
      </c>
      <c r="H581">
        <v>100</v>
      </c>
      <c r="K581">
        <v>1</v>
      </c>
      <c r="L581" t="s">
        <v>41</v>
      </c>
      <c r="M581" t="s">
        <v>89</v>
      </c>
      <c r="N581" s="11">
        <v>2958465</v>
      </c>
      <c r="P581">
        <v>0</v>
      </c>
      <c r="U581">
        <v>4</v>
      </c>
      <c r="V581">
        <v>1</v>
      </c>
      <c r="W581" t="s">
        <v>42</v>
      </c>
      <c r="X581">
        <v>0</v>
      </c>
    </row>
    <row r="582" spans="1:24" x14ac:dyDescent="0.25">
      <c r="A582">
        <v>1</v>
      </c>
      <c r="B582" s="10">
        <v>591108240510</v>
      </c>
      <c r="C582">
        <v>70</v>
      </c>
      <c r="D582" s="10">
        <v>5997499</v>
      </c>
      <c r="F582" t="s">
        <v>68</v>
      </c>
      <c r="G582">
        <v>0</v>
      </c>
      <c r="H582">
        <v>100</v>
      </c>
      <c r="K582">
        <v>1</v>
      </c>
      <c r="L582" t="s">
        <v>41</v>
      </c>
      <c r="M582" t="s">
        <v>89</v>
      </c>
      <c r="N582" s="11">
        <v>2958465</v>
      </c>
      <c r="P582">
        <v>0</v>
      </c>
      <c r="U582">
        <v>4</v>
      </c>
      <c r="V582">
        <v>1</v>
      </c>
      <c r="W582" t="s">
        <v>42</v>
      </c>
      <c r="X582">
        <v>0</v>
      </c>
    </row>
    <row r="583" spans="1:24" x14ac:dyDescent="0.25">
      <c r="A583">
        <v>1</v>
      </c>
      <c r="B583" s="10">
        <v>591108240610</v>
      </c>
      <c r="C583">
        <v>10</v>
      </c>
      <c r="D583" s="10">
        <v>5959672106</v>
      </c>
      <c r="F583" t="s">
        <v>40</v>
      </c>
      <c r="G583">
        <v>0</v>
      </c>
      <c r="H583">
        <v>100</v>
      </c>
      <c r="K583">
        <v>1</v>
      </c>
      <c r="L583" t="s">
        <v>41</v>
      </c>
      <c r="M583" t="s">
        <v>89</v>
      </c>
      <c r="N583" s="11">
        <v>2958465</v>
      </c>
      <c r="P583">
        <v>0</v>
      </c>
      <c r="U583">
        <v>4</v>
      </c>
      <c r="V583">
        <v>1</v>
      </c>
      <c r="W583" t="s">
        <v>42</v>
      </c>
      <c r="X583">
        <v>0</v>
      </c>
    </row>
    <row r="584" spans="1:24" x14ac:dyDescent="0.25">
      <c r="A584">
        <v>1</v>
      </c>
      <c r="B584" s="10">
        <v>591108240610</v>
      </c>
      <c r="C584">
        <v>20</v>
      </c>
      <c r="D584" s="10">
        <v>5959692106</v>
      </c>
      <c r="F584" t="s">
        <v>40</v>
      </c>
      <c r="G584">
        <v>0</v>
      </c>
      <c r="H584">
        <v>100</v>
      </c>
      <c r="K584">
        <v>1</v>
      </c>
      <c r="L584" t="s">
        <v>41</v>
      </c>
      <c r="M584" t="s">
        <v>89</v>
      </c>
      <c r="N584" s="11">
        <v>2958465</v>
      </c>
      <c r="P584">
        <v>0</v>
      </c>
      <c r="U584">
        <v>4</v>
      </c>
      <c r="V584">
        <v>1</v>
      </c>
      <c r="W584" t="s">
        <v>42</v>
      </c>
      <c r="X584">
        <v>0</v>
      </c>
    </row>
    <row r="585" spans="1:24" x14ac:dyDescent="0.25">
      <c r="A585">
        <v>1</v>
      </c>
      <c r="B585" s="10">
        <v>591108240610</v>
      </c>
      <c r="C585">
        <v>30</v>
      </c>
      <c r="D585" s="10">
        <v>5952482106</v>
      </c>
      <c r="F585" t="s">
        <v>40</v>
      </c>
      <c r="G585">
        <v>0</v>
      </c>
      <c r="H585">
        <v>100</v>
      </c>
      <c r="K585">
        <v>1</v>
      </c>
      <c r="L585" t="s">
        <v>41</v>
      </c>
      <c r="M585" t="s">
        <v>89</v>
      </c>
      <c r="N585" s="11">
        <v>2958465</v>
      </c>
      <c r="P585">
        <v>0</v>
      </c>
      <c r="U585">
        <v>4</v>
      </c>
      <c r="V585">
        <v>1</v>
      </c>
      <c r="W585" t="s">
        <v>42</v>
      </c>
      <c r="X585">
        <v>0</v>
      </c>
    </row>
    <row r="586" spans="1:24" x14ac:dyDescent="0.25">
      <c r="A586">
        <v>1</v>
      </c>
      <c r="B586" s="10">
        <v>591108240610</v>
      </c>
      <c r="C586">
        <v>40</v>
      </c>
      <c r="D586" s="10">
        <v>5952792406</v>
      </c>
      <c r="F586" t="s">
        <v>40</v>
      </c>
      <c r="G586">
        <v>0</v>
      </c>
      <c r="H586">
        <v>100</v>
      </c>
      <c r="K586">
        <v>1</v>
      </c>
      <c r="L586" t="s">
        <v>41</v>
      </c>
      <c r="M586" t="s">
        <v>89</v>
      </c>
      <c r="N586" s="11">
        <v>2958465</v>
      </c>
      <c r="P586">
        <v>0</v>
      </c>
      <c r="U586">
        <v>4</v>
      </c>
      <c r="V586">
        <v>1</v>
      </c>
      <c r="W586" t="s">
        <v>42</v>
      </c>
      <c r="X586">
        <v>0</v>
      </c>
    </row>
    <row r="587" spans="1:24" x14ac:dyDescent="0.25">
      <c r="A587">
        <v>1</v>
      </c>
      <c r="B587" s="10">
        <v>591108240610</v>
      </c>
      <c r="C587">
        <v>50</v>
      </c>
      <c r="D587" s="10">
        <v>59102306</v>
      </c>
      <c r="F587" t="s">
        <v>40</v>
      </c>
      <c r="G587">
        <v>0</v>
      </c>
      <c r="H587">
        <v>100</v>
      </c>
      <c r="K587">
        <v>2</v>
      </c>
      <c r="L587" t="s">
        <v>41</v>
      </c>
      <c r="M587" t="s">
        <v>89</v>
      </c>
      <c r="N587" s="11">
        <v>2958465</v>
      </c>
      <c r="P587">
        <v>0</v>
      </c>
      <c r="U587">
        <v>4</v>
      </c>
      <c r="V587">
        <v>1</v>
      </c>
      <c r="W587" t="s">
        <v>42</v>
      </c>
      <c r="X587">
        <v>0</v>
      </c>
    </row>
    <row r="588" spans="1:24" x14ac:dyDescent="0.25">
      <c r="A588">
        <v>1</v>
      </c>
      <c r="B588" s="10">
        <v>591108240610</v>
      </c>
      <c r="C588">
        <v>60</v>
      </c>
      <c r="D588" s="10">
        <v>12421210</v>
      </c>
      <c r="F588" t="s">
        <v>40</v>
      </c>
      <c r="G588">
        <v>0</v>
      </c>
      <c r="H588">
        <v>100</v>
      </c>
      <c r="K588">
        <v>1</v>
      </c>
      <c r="L588" t="s">
        <v>41</v>
      </c>
      <c r="M588" t="s">
        <v>89</v>
      </c>
      <c r="N588" s="11">
        <v>2958465</v>
      </c>
      <c r="P588">
        <v>0</v>
      </c>
      <c r="U588">
        <v>4</v>
      </c>
      <c r="V588">
        <v>1</v>
      </c>
      <c r="W588" t="s">
        <v>42</v>
      </c>
      <c r="X588">
        <v>0</v>
      </c>
    </row>
    <row r="589" spans="1:24" x14ac:dyDescent="0.25">
      <c r="A589">
        <v>1</v>
      </c>
      <c r="B589" s="10">
        <v>591108240610</v>
      </c>
      <c r="C589">
        <v>70</v>
      </c>
      <c r="D589" s="10">
        <v>5997499</v>
      </c>
      <c r="F589" t="s">
        <v>68</v>
      </c>
      <c r="G589">
        <v>0</v>
      </c>
      <c r="H589">
        <v>100</v>
      </c>
      <c r="K589">
        <v>1</v>
      </c>
      <c r="L589" t="s">
        <v>41</v>
      </c>
      <c r="M589" t="s">
        <v>89</v>
      </c>
      <c r="N589" s="11">
        <v>2958465</v>
      </c>
      <c r="P589">
        <v>0</v>
      </c>
      <c r="U589">
        <v>4</v>
      </c>
      <c r="V589">
        <v>1</v>
      </c>
      <c r="W589" t="s">
        <v>42</v>
      </c>
      <c r="X589">
        <v>0</v>
      </c>
    </row>
    <row r="590" spans="1:24" x14ac:dyDescent="0.25">
      <c r="A590">
        <v>1</v>
      </c>
      <c r="B590" s="10">
        <v>591108240710</v>
      </c>
      <c r="C590">
        <v>10</v>
      </c>
      <c r="D590" s="10">
        <v>5959672107</v>
      </c>
      <c r="F590" t="s">
        <v>40</v>
      </c>
      <c r="G590">
        <v>0</v>
      </c>
      <c r="H590">
        <v>100</v>
      </c>
      <c r="K590">
        <v>1</v>
      </c>
      <c r="L590" t="s">
        <v>41</v>
      </c>
      <c r="M590" t="s">
        <v>89</v>
      </c>
      <c r="N590" s="11">
        <v>2958465</v>
      </c>
      <c r="P590">
        <v>0</v>
      </c>
      <c r="U590">
        <v>4</v>
      </c>
      <c r="V590">
        <v>1</v>
      </c>
      <c r="W590" t="s">
        <v>42</v>
      </c>
      <c r="X590">
        <v>0</v>
      </c>
    </row>
    <row r="591" spans="1:24" x14ac:dyDescent="0.25">
      <c r="A591">
        <v>1</v>
      </c>
      <c r="B591" s="10">
        <v>591108240710</v>
      </c>
      <c r="C591">
        <v>20</v>
      </c>
      <c r="D591" s="10">
        <v>5959692107</v>
      </c>
      <c r="F591" t="s">
        <v>40</v>
      </c>
      <c r="G591">
        <v>0</v>
      </c>
      <c r="H591">
        <v>100</v>
      </c>
      <c r="K591">
        <v>1</v>
      </c>
      <c r="L591" t="s">
        <v>41</v>
      </c>
      <c r="M591" t="s">
        <v>89</v>
      </c>
      <c r="N591" s="11">
        <v>2958465</v>
      </c>
      <c r="P591">
        <v>0</v>
      </c>
      <c r="U591">
        <v>4</v>
      </c>
      <c r="V591">
        <v>1</v>
      </c>
      <c r="W591" t="s">
        <v>42</v>
      </c>
      <c r="X591">
        <v>0</v>
      </c>
    </row>
    <row r="592" spans="1:24" x14ac:dyDescent="0.25">
      <c r="A592">
        <v>1</v>
      </c>
      <c r="B592" s="10">
        <v>591108240710</v>
      </c>
      <c r="C592">
        <v>30</v>
      </c>
      <c r="D592" s="10">
        <v>5952482107</v>
      </c>
      <c r="F592" t="s">
        <v>40</v>
      </c>
      <c r="G592">
        <v>0</v>
      </c>
      <c r="H592">
        <v>100</v>
      </c>
      <c r="K592">
        <v>1</v>
      </c>
      <c r="L592" t="s">
        <v>41</v>
      </c>
      <c r="M592" t="s">
        <v>89</v>
      </c>
      <c r="N592" s="11">
        <v>2958465</v>
      </c>
      <c r="P592">
        <v>0</v>
      </c>
      <c r="U592">
        <v>4</v>
      </c>
      <c r="V592">
        <v>1</v>
      </c>
      <c r="W592" t="s">
        <v>42</v>
      </c>
      <c r="X592">
        <v>0</v>
      </c>
    </row>
    <row r="593" spans="1:24" x14ac:dyDescent="0.25">
      <c r="A593">
        <v>1</v>
      </c>
      <c r="B593" s="10">
        <v>591108240710</v>
      </c>
      <c r="C593">
        <v>40</v>
      </c>
      <c r="D593" s="10">
        <v>5952792407</v>
      </c>
      <c r="F593" t="s">
        <v>40</v>
      </c>
      <c r="G593">
        <v>0</v>
      </c>
      <c r="H593">
        <v>100</v>
      </c>
      <c r="K593">
        <v>1</v>
      </c>
      <c r="L593" t="s">
        <v>41</v>
      </c>
      <c r="M593" t="s">
        <v>89</v>
      </c>
      <c r="N593" s="11">
        <v>2958465</v>
      </c>
      <c r="P593">
        <v>0</v>
      </c>
      <c r="U593">
        <v>4</v>
      </c>
      <c r="V593">
        <v>1</v>
      </c>
      <c r="W593" t="s">
        <v>42</v>
      </c>
      <c r="X593">
        <v>0</v>
      </c>
    </row>
    <row r="594" spans="1:24" x14ac:dyDescent="0.25">
      <c r="A594">
        <v>1</v>
      </c>
      <c r="B594" s="10">
        <v>591108240710</v>
      </c>
      <c r="C594">
        <v>50</v>
      </c>
      <c r="D594" s="10">
        <v>59102307</v>
      </c>
      <c r="F594" t="s">
        <v>40</v>
      </c>
      <c r="G594">
        <v>0</v>
      </c>
      <c r="H594">
        <v>100</v>
      </c>
      <c r="K594">
        <v>2</v>
      </c>
      <c r="L594" t="s">
        <v>41</v>
      </c>
      <c r="M594" t="s">
        <v>89</v>
      </c>
      <c r="N594" s="11">
        <v>2958465</v>
      </c>
      <c r="P594">
        <v>0</v>
      </c>
      <c r="U594">
        <v>4</v>
      </c>
      <c r="V594">
        <v>1</v>
      </c>
      <c r="W594" t="s">
        <v>42</v>
      </c>
      <c r="X594">
        <v>0</v>
      </c>
    </row>
    <row r="595" spans="1:24" x14ac:dyDescent="0.25">
      <c r="A595">
        <v>1</v>
      </c>
      <c r="B595" s="10">
        <v>591108240710</v>
      </c>
      <c r="C595">
        <v>60</v>
      </c>
      <c r="D595" s="10">
        <v>12421210</v>
      </c>
      <c r="F595" t="s">
        <v>40</v>
      </c>
      <c r="G595">
        <v>0</v>
      </c>
      <c r="H595">
        <v>100</v>
      </c>
      <c r="K595">
        <v>1</v>
      </c>
      <c r="L595" t="s">
        <v>41</v>
      </c>
      <c r="M595" t="s">
        <v>89</v>
      </c>
      <c r="N595" s="11">
        <v>2958465</v>
      </c>
      <c r="P595">
        <v>0</v>
      </c>
      <c r="U595">
        <v>4</v>
      </c>
      <c r="V595">
        <v>1</v>
      </c>
      <c r="W595" t="s">
        <v>42</v>
      </c>
      <c r="X595">
        <v>0</v>
      </c>
    </row>
    <row r="596" spans="1:24" x14ac:dyDescent="0.25">
      <c r="A596">
        <v>1</v>
      </c>
      <c r="B596" s="10">
        <v>591108240710</v>
      </c>
      <c r="C596">
        <v>70</v>
      </c>
      <c r="D596" s="10">
        <v>5997499</v>
      </c>
      <c r="F596" t="s">
        <v>68</v>
      </c>
      <c r="G596">
        <v>0</v>
      </c>
      <c r="H596">
        <v>100</v>
      </c>
      <c r="K596">
        <v>1</v>
      </c>
      <c r="L596" t="s">
        <v>41</v>
      </c>
      <c r="M596" t="s">
        <v>89</v>
      </c>
      <c r="N596" s="11">
        <v>2958465</v>
      </c>
      <c r="P596">
        <v>0</v>
      </c>
      <c r="U596">
        <v>4</v>
      </c>
      <c r="V596">
        <v>1</v>
      </c>
      <c r="W596" t="s">
        <v>42</v>
      </c>
      <c r="X596">
        <v>0</v>
      </c>
    </row>
    <row r="597" spans="1:24" x14ac:dyDescent="0.25">
      <c r="A597">
        <v>1</v>
      </c>
      <c r="B597" s="10">
        <v>591108240810</v>
      </c>
      <c r="C597">
        <v>10</v>
      </c>
      <c r="D597" s="10">
        <v>5959672108</v>
      </c>
      <c r="F597" t="s">
        <v>40</v>
      </c>
      <c r="G597">
        <v>0</v>
      </c>
      <c r="H597">
        <v>100</v>
      </c>
      <c r="K597">
        <v>1</v>
      </c>
      <c r="L597" t="s">
        <v>41</v>
      </c>
      <c r="M597" t="s">
        <v>89</v>
      </c>
      <c r="N597" s="11">
        <v>2958465</v>
      </c>
      <c r="P597">
        <v>0</v>
      </c>
      <c r="U597">
        <v>4</v>
      </c>
      <c r="V597">
        <v>1</v>
      </c>
      <c r="W597" t="s">
        <v>42</v>
      </c>
      <c r="X597">
        <v>0</v>
      </c>
    </row>
    <row r="598" spans="1:24" x14ac:dyDescent="0.25">
      <c r="A598">
        <v>1</v>
      </c>
      <c r="B598" s="10">
        <v>591108240810</v>
      </c>
      <c r="C598">
        <v>20</v>
      </c>
      <c r="D598" s="10">
        <v>5959692108</v>
      </c>
      <c r="F598" t="s">
        <v>40</v>
      </c>
      <c r="G598">
        <v>0</v>
      </c>
      <c r="H598">
        <v>100</v>
      </c>
      <c r="K598">
        <v>1</v>
      </c>
      <c r="L598" t="s">
        <v>41</v>
      </c>
      <c r="M598" t="s">
        <v>89</v>
      </c>
      <c r="N598" s="11">
        <v>2958465</v>
      </c>
      <c r="P598">
        <v>0</v>
      </c>
      <c r="U598">
        <v>4</v>
      </c>
      <c r="V598">
        <v>1</v>
      </c>
      <c r="W598" t="s">
        <v>42</v>
      </c>
      <c r="X598">
        <v>0</v>
      </c>
    </row>
    <row r="599" spans="1:24" x14ac:dyDescent="0.25">
      <c r="A599">
        <v>1</v>
      </c>
      <c r="B599" s="10">
        <v>591108240810</v>
      </c>
      <c r="C599">
        <v>30</v>
      </c>
      <c r="D599" s="10">
        <v>5952482108</v>
      </c>
      <c r="F599" t="s">
        <v>40</v>
      </c>
      <c r="G599">
        <v>0</v>
      </c>
      <c r="H599">
        <v>100</v>
      </c>
      <c r="K599">
        <v>1</v>
      </c>
      <c r="L599" t="s">
        <v>41</v>
      </c>
      <c r="M599" t="s">
        <v>89</v>
      </c>
      <c r="N599" s="11">
        <v>2958465</v>
      </c>
      <c r="P599">
        <v>0</v>
      </c>
      <c r="U599">
        <v>4</v>
      </c>
      <c r="V599">
        <v>1</v>
      </c>
      <c r="W599" t="s">
        <v>42</v>
      </c>
      <c r="X599">
        <v>0</v>
      </c>
    </row>
    <row r="600" spans="1:24" x14ac:dyDescent="0.25">
      <c r="A600">
        <v>1</v>
      </c>
      <c r="B600" s="10">
        <v>591108240810</v>
      </c>
      <c r="C600">
        <v>40</v>
      </c>
      <c r="D600" s="10">
        <v>5952792408</v>
      </c>
      <c r="F600" t="s">
        <v>40</v>
      </c>
      <c r="G600">
        <v>0</v>
      </c>
      <c r="H600">
        <v>100</v>
      </c>
      <c r="K600">
        <v>1</v>
      </c>
      <c r="L600" t="s">
        <v>41</v>
      </c>
      <c r="M600" t="s">
        <v>89</v>
      </c>
      <c r="N600" s="11">
        <v>2958465</v>
      </c>
      <c r="P600">
        <v>0</v>
      </c>
      <c r="U600">
        <v>4</v>
      </c>
      <c r="V600">
        <v>1</v>
      </c>
      <c r="W600" t="s">
        <v>42</v>
      </c>
      <c r="X600">
        <v>0</v>
      </c>
    </row>
    <row r="601" spans="1:24" x14ac:dyDescent="0.25">
      <c r="A601">
        <v>1</v>
      </c>
      <c r="B601" s="10">
        <v>591108240810</v>
      </c>
      <c r="C601">
        <v>50</v>
      </c>
      <c r="D601" s="10">
        <v>59102308</v>
      </c>
      <c r="F601" t="s">
        <v>40</v>
      </c>
      <c r="G601">
        <v>0</v>
      </c>
      <c r="H601">
        <v>100</v>
      </c>
      <c r="K601">
        <v>2</v>
      </c>
      <c r="L601" t="s">
        <v>41</v>
      </c>
      <c r="M601" t="s">
        <v>89</v>
      </c>
      <c r="N601" s="11">
        <v>2958465</v>
      </c>
      <c r="P601">
        <v>0</v>
      </c>
      <c r="U601">
        <v>4</v>
      </c>
      <c r="V601">
        <v>1</v>
      </c>
      <c r="W601" t="s">
        <v>42</v>
      </c>
      <c r="X601">
        <v>0</v>
      </c>
    </row>
    <row r="602" spans="1:24" x14ac:dyDescent="0.25">
      <c r="A602">
        <v>1</v>
      </c>
      <c r="B602" s="10">
        <v>591108240810</v>
      </c>
      <c r="C602">
        <v>60</v>
      </c>
      <c r="D602" s="10">
        <v>12421210</v>
      </c>
      <c r="F602" t="s">
        <v>40</v>
      </c>
      <c r="G602">
        <v>0</v>
      </c>
      <c r="H602">
        <v>100</v>
      </c>
      <c r="K602">
        <v>1</v>
      </c>
      <c r="L602" t="s">
        <v>41</v>
      </c>
      <c r="M602" t="s">
        <v>89</v>
      </c>
      <c r="N602" s="11">
        <v>2958465</v>
      </c>
      <c r="P602">
        <v>0</v>
      </c>
      <c r="U602">
        <v>4</v>
      </c>
      <c r="V602">
        <v>1</v>
      </c>
      <c r="W602" t="s">
        <v>42</v>
      </c>
      <c r="X602">
        <v>0</v>
      </c>
    </row>
    <row r="603" spans="1:24" x14ac:dyDescent="0.25">
      <c r="A603">
        <v>1</v>
      </c>
      <c r="B603" s="10">
        <v>591108240810</v>
      </c>
      <c r="C603">
        <v>70</v>
      </c>
      <c r="D603" s="10">
        <v>5997499</v>
      </c>
      <c r="F603" t="s">
        <v>68</v>
      </c>
      <c r="G603">
        <v>0</v>
      </c>
      <c r="H603">
        <v>100</v>
      </c>
      <c r="K603">
        <v>1</v>
      </c>
      <c r="L603" t="s">
        <v>41</v>
      </c>
      <c r="M603" t="s">
        <v>89</v>
      </c>
      <c r="N603" s="11">
        <v>2958465</v>
      </c>
      <c r="P603">
        <v>0</v>
      </c>
      <c r="U603">
        <v>4</v>
      </c>
      <c r="V603">
        <v>1</v>
      </c>
      <c r="W603" t="s">
        <v>42</v>
      </c>
      <c r="X603">
        <v>0</v>
      </c>
    </row>
    <row r="604" spans="1:24" x14ac:dyDescent="0.25">
      <c r="A604">
        <v>1</v>
      </c>
      <c r="B604" s="10">
        <v>591108240910</v>
      </c>
      <c r="C604">
        <v>10</v>
      </c>
      <c r="D604" s="10">
        <v>5959672109</v>
      </c>
      <c r="F604" t="s">
        <v>40</v>
      </c>
      <c r="G604">
        <v>0</v>
      </c>
      <c r="H604">
        <v>100</v>
      </c>
      <c r="K604">
        <v>1</v>
      </c>
      <c r="L604" t="s">
        <v>41</v>
      </c>
      <c r="M604" t="s">
        <v>89</v>
      </c>
      <c r="N604" s="11">
        <v>2958465</v>
      </c>
      <c r="P604">
        <v>0</v>
      </c>
      <c r="U604">
        <v>4</v>
      </c>
      <c r="V604">
        <v>1</v>
      </c>
      <c r="W604" t="s">
        <v>42</v>
      </c>
      <c r="X604">
        <v>0</v>
      </c>
    </row>
    <row r="605" spans="1:24" x14ac:dyDescent="0.25">
      <c r="A605">
        <v>1</v>
      </c>
      <c r="B605" s="10">
        <v>591108240910</v>
      </c>
      <c r="C605">
        <v>20</v>
      </c>
      <c r="D605" s="10">
        <v>5959692109</v>
      </c>
      <c r="F605" t="s">
        <v>40</v>
      </c>
      <c r="G605">
        <v>0</v>
      </c>
      <c r="H605">
        <v>100</v>
      </c>
      <c r="K605">
        <v>1</v>
      </c>
      <c r="L605" t="s">
        <v>41</v>
      </c>
      <c r="M605" t="s">
        <v>89</v>
      </c>
      <c r="N605" s="11">
        <v>2958465</v>
      </c>
      <c r="P605">
        <v>0</v>
      </c>
      <c r="U605">
        <v>4</v>
      </c>
      <c r="V605">
        <v>1</v>
      </c>
      <c r="W605" t="s">
        <v>42</v>
      </c>
      <c r="X605">
        <v>0</v>
      </c>
    </row>
    <row r="606" spans="1:24" x14ac:dyDescent="0.25">
      <c r="A606">
        <v>1</v>
      </c>
      <c r="B606" s="10">
        <v>591108240910</v>
      </c>
      <c r="C606">
        <v>30</v>
      </c>
      <c r="D606" s="10">
        <v>5952482109</v>
      </c>
      <c r="F606" t="s">
        <v>40</v>
      </c>
      <c r="G606">
        <v>0</v>
      </c>
      <c r="H606">
        <v>100</v>
      </c>
      <c r="K606">
        <v>1</v>
      </c>
      <c r="L606" t="s">
        <v>41</v>
      </c>
      <c r="M606" t="s">
        <v>89</v>
      </c>
      <c r="N606" s="11">
        <v>2958465</v>
      </c>
      <c r="P606">
        <v>0</v>
      </c>
      <c r="U606">
        <v>4</v>
      </c>
      <c r="V606">
        <v>1</v>
      </c>
      <c r="W606" t="s">
        <v>42</v>
      </c>
      <c r="X606">
        <v>0</v>
      </c>
    </row>
    <row r="607" spans="1:24" x14ac:dyDescent="0.25">
      <c r="A607">
        <v>1</v>
      </c>
      <c r="B607" s="10">
        <v>591108240910</v>
      </c>
      <c r="C607">
        <v>40</v>
      </c>
      <c r="D607" s="10">
        <v>5952792409</v>
      </c>
      <c r="F607" t="s">
        <v>40</v>
      </c>
      <c r="G607">
        <v>0</v>
      </c>
      <c r="H607">
        <v>100</v>
      </c>
      <c r="K607">
        <v>1</v>
      </c>
      <c r="L607" t="s">
        <v>41</v>
      </c>
      <c r="M607" t="s">
        <v>89</v>
      </c>
      <c r="N607" s="11">
        <v>2958465</v>
      </c>
      <c r="P607">
        <v>0</v>
      </c>
      <c r="U607">
        <v>4</v>
      </c>
      <c r="V607">
        <v>1</v>
      </c>
      <c r="W607" t="s">
        <v>42</v>
      </c>
      <c r="X607">
        <v>0</v>
      </c>
    </row>
    <row r="608" spans="1:24" x14ac:dyDescent="0.25">
      <c r="A608">
        <v>1</v>
      </c>
      <c r="B608" s="10">
        <v>591108240910</v>
      </c>
      <c r="C608">
        <v>50</v>
      </c>
      <c r="D608" s="10">
        <v>59102309</v>
      </c>
      <c r="F608" t="s">
        <v>40</v>
      </c>
      <c r="G608">
        <v>0</v>
      </c>
      <c r="H608">
        <v>100</v>
      </c>
      <c r="K608">
        <v>2</v>
      </c>
      <c r="L608" t="s">
        <v>41</v>
      </c>
      <c r="M608" t="s">
        <v>89</v>
      </c>
      <c r="N608" s="11">
        <v>2958465</v>
      </c>
      <c r="P608">
        <v>0</v>
      </c>
      <c r="U608">
        <v>4</v>
      </c>
      <c r="V608">
        <v>1</v>
      </c>
      <c r="W608" t="s">
        <v>42</v>
      </c>
      <c r="X608">
        <v>0</v>
      </c>
    </row>
    <row r="609" spans="1:24" x14ac:dyDescent="0.25">
      <c r="A609">
        <v>1</v>
      </c>
      <c r="B609" s="10">
        <v>591108240910</v>
      </c>
      <c r="C609">
        <v>60</v>
      </c>
      <c r="D609" s="10">
        <v>12421210</v>
      </c>
      <c r="F609" t="s">
        <v>40</v>
      </c>
      <c r="G609">
        <v>0</v>
      </c>
      <c r="H609">
        <v>100</v>
      </c>
      <c r="K609">
        <v>1</v>
      </c>
      <c r="L609" t="s">
        <v>41</v>
      </c>
      <c r="M609" t="s">
        <v>89</v>
      </c>
      <c r="N609" s="11">
        <v>2958465</v>
      </c>
      <c r="P609">
        <v>0</v>
      </c>
      <c r="U609">
        <v>4</v>
      </c>
      <c r="V609">
        <v>1</v>
      </c>
      <c r="W609" t="s">
        <v>42</v>
      </c>
      <c r="X609">
        <v>0</v>
      </c>
    </row>
    <row r="610" spans="1:24" x14ac:dyDescent="0.25">
      <c r="A610">
        <v>1</v>
      </c>
      <c r="B610" s="10">
        <v>591108240910</v>
      </c>
      <c r="C610">
        <v>70</v>
      </c>
      <c r="D610" s="10">
        <v>5997499</v>
      </c>
      <c r="F610" t="s">
        <v>68</v>
      </c>
      <c r="G610">
        <v>0</v>
      </c>
      <c r="H610">
        <v>100</v>
      </c>
      <c r="K610">
        <v>1</v>
      </c>
      <c r="L610" t="s">
        <v>41</v>
      </c>
      <c r="M610" t="s">
        <v>89</v>
      </c>
      <c r="N610" s="11">
        <v>2958465</v>
      </c>
      <c r="P610">
        <v>0</v>
      </c>
      <c r="U610">
        <v>4</v>
      </c>
      <c r="V610">
        <v>1</v>
      </c>
      <c r="W610" t="s">
        <v>42</v>
      </c>
      <c r="X610">
        <v>0</v>
      </c>
    </row>
    <row r="611" spans="1:24" x14ac:dyDescent="0.25">
      <c r="A611">
        <v>1</v>
      </c>
      <c r="B611" s="10">
        <v>591108240308</v>
      </c>
      <c r="C611">
        <v>10</v>
      </c>
      <c r="D611" s="10">
        <v>5959672103</v>
      </c>
      <c r="F611" t="s">
        <v>40</v>
      </c>
      <c r="G611">
        <v>0</v>
      </c>
      <c r="H611">
        <v>100</v>
      </c>
      <c r="K611">
        <v>1</v>
      </c>
      <c r="L611" t="s">
        <v>41</v>
      </c>
      <c r="M611" t="s">
        <v>89</v>
      </c>
      <c r="N611" s="11">
        <v>2958465</v>
      </c>
      <c r="P611">
        <v>0</v>
      </c>
      <c r="U611">
        <v>4</v>
      </c>
      <c r="V611">
        <v>1</v>
      </c>
      <c r="W611" t="s">
        <v>42</v>
      </c>
      <c r="X611">
        <v>0</v>
      </c>
    </row>
    <row r="612" spans="1:24" x14ac:dyDescent="0.25">
      <c r="A612">
        <v>1</v>
      </c>
      <c r="B612" s="10">
        <v>591108240308</v>
      </c>
      <c r="C612">
        <v>20</v>
      </c>
      <c r="D612" s="10">
        <v>5959692103</v>
      </c>
      <c r="F612" t="s">
        <v>40</v>
      </c>
      <c r="G612">
        <v>0</v>
      </c>
      <c r="H612">
        <v>100</v>
      </c>
      <c r="K612">
        <v>1</v>
      </c>
      <c r="L612" t="s">
        <v>41</v>
      </c>
      <c r="M612" t="s">
        <v>89</v>
      </c>
      <c r="N612" s="11">
        <v>2958465</v>
      </c>
      <c r="P612">
        <v>0</v>
      </c>
      <c r="U612">
        <v>4</v>
      </c>
      <c r="V612">
        <v>1</v>
      </c>
      <c r="W612" t="s">
        <v>42</v>
      </c>
      <c r="X612">
        <v>0</v>
      </c>
    </row>
    <row r="613" spans="1:24" x14ac:dyDescent="0.25">
      <c r="A613">
        <v>1</v>
      </c>
      <c r="B613" s="10">
        <v>591108240308</v>
      </c>
      <c r="C613">
        <v>30</v>
      </c>
      <c r="D613" s="10">
        <v>5952482103</v>
      </c>
      <c r="F613" t="s">
        <v>40</v>
      </c>
      <c r="G613">
        <v>0</v>
      </c>
      <c r="H613">
        <v>100</v>
      </c>
      <c r="K613">
        <v>1</v>
      </c>
      <c r="L613" t="s">
        <v>41</v>
      </c>
      <c r="M613" t="s">
        <v>89</v>
      </c>
      <c r="N613" s="11">
        <v>2958465</v>
      </c>
      <c r="P613">
        <v>0</v>
      </c>
      <c r="U613">
        <v>4</v>
      </c>
      <c r="V613">
        <v>1</v>
      </c>
      <c r="W613" t="s">
        <v>42</v>
      </c>
      <c r="X613">
        <v>0</v>
      </c>
    </row>
    <row r="614" spans="1:24" x14ac:dyDescent="0.25">
      <c r="A614">
        <v>1</v>
      </c>
      <c r="B614" s="10">
        <v>591108240308</v>
      </c>
      <c r="C614">
        <v>40</v>
      </c>
      <c r="D614" s="10">
        <v>5952792403</v>
      </c>
      <c r="F614" t="s">
        <v>40</v>
      </c>
      <c r="G614">
        <v>0</v>
      </c>
      <c r="H614">
        <v>100</v>
      </c>
      <c r="K614">
        <v>1</v>
      </c>
      <c r="L614" t="s">
        <v>41</v>
      </c>
      <c r="M614" t="s">
        <v>89</v>
      </c>
      <c r="N614" s="11">
        <v>2958465</v>
      </c>
      <c r="P614">
        <v>0</v>
      </c>
      <c r="U614">
        <v>4</v>
      </c>
      <c r="V614">
        <v>1</v>
      </c>
      <c r="W614" t="s">
        <v>42</v>
      </c>
      <c r="X614">
        <v>0</v>
      </c>
    </row>
    <row r="615" spans="1:24" x14ac:dyDescent="0.25">
      <c r="A615">
        <v>1</v>
      </c>
      <c r="B615" s="10">
        <v>591108240308</v>
      </c>
      <c r="C615">
        <v>50</v>
      </c>
      <c r="D615" s="10">
        <v>59102303</v>
      </c>
      <c r="F615" t="s">
        <v>40</v>
      </c>
      <c r="G615">
        <v>0</v>
      </c>
      <c r="H615">
        <v>100</v>
      </c>
      <c r="K615">
        <v>2</v>
      </c>
      <c r="L615" t="s">
        <v>41</v>
      </c>
      <c r="M615" t="s">
        <v>89</v>
      </c>
      <c r="N615" s="11">
        <v>2958465</v>
      </c>
      <c r="P615">
        <v>0</v>
      </c>
      <c r="U615">
        <v>4</v>
      </c>
      <c r="V615">
        <v>1</v>
      </c>
      <c r="W615" t="s">
        <v>42</v>
      </c>
      <c r="X615">
        <v>0</v>
      </c>
    </row>
    <row r="616" spans="1:24" x14ac:dyDescent="0.25">
      <c r="A616">
        <v>1</v>
      </c>
      <c r="B616" s="10">
        <v>591108240308</v>
      </c>
      <c r="C616">
        <v>60</v>
      </c>
      <c r="D616" s="10">
        <v>12421208</v>
      </c>
      <c r="F616" t="s">
        <v>40</v>
      </c>
      <c r="G616">
        <v>0</v>
      </c>
      <c r="H616">
        <v>100</v>
      </c>
      <c r="K616">
        <v>1</v>
      </c>
      <c r="L616" t="s">
        <v>41</v>
      </c>
      <c r="M616" t="s">
        <v>89</v>
      </c>
      <c r="N616" s="11">
        <v>2958465</v>
      </c>
      <c r="P616">
        <v>0</v>
      </c>
      <c r="U616">
        <v>4</v>
      </c>
      <c r="V616">
        <v>1</v>
      </c>
      <c r="W616" t="s">
        <v>42</v>
      </c>
      <c r="X616">
        <v>0</v>
      </c>
    </row>
    <row r="617" spans="1:24" x14ac:dyDescent="0.25">
      <c r="A617">
        <v>1</v>
      </c>
      <c r="B617" s="10">
        <v>591108240308</v>
      </c>
      <c r="C617">
        <v>70</v>
      </c>
      <c r="D617" s="10">
        <v>5997499</v>
      </c>
      <c r="F617" t="s">
        <v>68</v>
      </c>
      <c r="G617">
        <v>0</v>
      </c>
      <c r="H617">
        <v>100</v>
      </c>
      <c r="K617">
        <v>1</v>
      </c>
      <c r="L617" t="s">
        <v>41</v>
      </c>
      <c r="M617" t="s">
        <v>89</v>
      </c>
      <c r="N617" s="11">
        <v>2958465</v>
      </c>
      <c r="P617">
        <v>0</v>
      </c>
      <c r="U617">
        <v>4</v>
      </c>
      <c r="V617">
        <v>1</v>
      </c>
      <c r="W617" t="s">
        <v>42</v>
      </c>
      <c r="X617">
        <v>0</v>
      </c>
    </row>
    <row r="618" spans="1:24" x14ac:dyDescent="0.25">
      <c r="A618">
        <v>1</v>
      </c>
      <c r="B618" s="10">
        <v>591108240508</v>
      </c>
      <c r="C618">
        <v>10</v>
      </c>
      <c r="D618" s="10">
        <v>5959672105</v>
      </c>
      <c r="F618" t="s">
        <v>40</v>
      </c>
      <c r="G618">
        <v>0</v>
      </c>
      <c r="H618">
        <v>100</v>
      </c>
      <c r="K618">
        <v>1</v>
      </c>
      <c r="L618" t="s">
        <v>41</v>
      </c>
      <c r="M618" t="s">
        <v>89</v>
      </c>
      <c r="N618" s="11">
        <v>2958465</v>
      </c>
      <c r="P618">
        <v>0</v>
      </c>
      <c r="U618">
        <v>4</v>
      </c>
      <c r="V618">
        <v>1</v>
      </c>
      <c r="W618" t="s">
        <v>42</v>
      </c>
      <c r="X618">
        <v>0</v>
      </c>
    </row>
    <row r="619" spans="1:24" x14ac:dyDescent="0.25">
      <c r="A619">
        <v>1</v>
      </c>
      <c r="B619" s="10">
        <v>591108240508</v>
      </c>
      <c r="C619">
        <v>20</v>
      </c>
      <c r="D619" s="10">
        <v>5959692105</v>
      </c>
      <c r="F619" t="s">
        <v>40</v>
      </c>
      <c r="G619">
        <v>0</v>
      </c>
      <c r="H619">
        <v>100</v>
      </c>
      <c r="K619">
        <v>1</v>
      </c>
      <c r="L619" t="s">
        <v>41</v>
      </c>
      <c r="M619" t="s">
        <v>89</v>
      </c>
      <c r="N619" s="11">
        <v>2958465</v>
      </c>
      <c r="P619">
        <v>0</v>
      </c>
      <c r="U619">
        <v>4</v>
      </c>
      <c r="V619">
        <v>1</v>
      </c>
      <c r="W619" t="s">
        <v>42</v>
      </c>
      <c r="X619">
        <v>0</v>
      </c>
    </row>
    <row r="620" spans="1:24" x14ac:dyDescent="0.25">
      <c r="A620">
        <v>1</v>
      </c>
      <c r="B620" s="10">
        <v>591108240508</v>
      </c>
      <c r="C620">
        <v>30</v>
      </c>
      <c r="D620" s="10">
        <v>5952482105</v>
      </c>
      <c r="F620" t="s">
        <v>40</v>
      </c>
      <c r="G620">
        <v>0</v>
      </c>
      <c r="H620">
        <v>100</v>
      </c>
      <c r="K620">
        <v>1</v>
      </c>
      <c r="L620" t="s">
        <v>41</v>
      </c>
      <c r="M620" t="s">
        <v>89</v>
      </c>
      <c r="N620" s="11">
        <v>2958465</v>
      </c>
      <c r="P620">
        <v>0</v>
      </c>
      <c r="U620">
        <v>4</v>
      </c>
      <c r="V620">
        <v>1</v>
      </c>
      <c r="W620" t="s">
        <v>42</v>
      </c>
      <c r="X620">
        <v>0</v>
      </c>
    </row>
    <row r="621" spans="1:24" x14ac:dyDescent="0.25">
      <c r="A621">
        <v>1</v>
      </c>
      <c r="B621" s="10">
        <v>591108240508</v>
      </c>
      <c r="C621">
        <v>40</v>
      </c>
      <c r="D621" s="10">
        <v>5952792405</v>
      </c>
      <c r="F621" t="s">
        <v>40</v>
      </c>
      <c r="G621">
        <v>0</v>
      </c>
      <c r="H621">
        <v>100</v>
      </c>
      <c r="K621">
        <v>1</v>
      </c>
      <c r="L621" t="s">
        <v>41</v>
      </c>
      <c r="M621" t="s">
        <v>89</v>
      </c>
      <c r="N621" s="11">
        <v>2958465</v>
      </c>
      <c r="P621">
        <v>0</v>
      </c>
      <c r="U621">
        <v>4</v>
      </c>
      <c r="V621">
        <v>1</v>
      </c>
      <c r="W621" t="s">
        <v>42</v>
      </c>
      <c r="X621">
        <v>0</v>
      </c>
    </row>
    <row r="622" spans="1:24" x14ac:dyDescent="0.25">
      <c r="A622">
        <v>1</v>
      </c>
      <c r="B622" s="10">
        <v>591108240508</v>
      </c>
      <c r="C622">
        <v>50</v>
      </c>
      <c r="D622" s="10">
        <v>59102305</v>
      </c>
      <c r="F622" t="s">
        <v>40</v>
      </c>
      <c r="G622">
        <v>0</v>
      </c>
      <c r="H622">
        <v>100</v>
      </c>
      <c r="K622">
        <v>2</v>
      </c>
      <c r="L622" t="s">
        <v>41</v>
      </c>
      <c r="M622" t="s">
        <v>89</v>
      </c>
      <c r="N622" s="11">
        <v>2958465</v>
      </c>
      <c r="P622">
        <v>0</v>
      </c>
      <c r="U622">
        <v>4</v>
      </c>
      <c r="V622">
        <v>1</v>
      </c>
      <c r="W622" t="s">
        <v>42</v>
      </c>
      <c r="X622">
        <v>0</v>
      </c>
    </row>
    <row r="623" spans="1:24" x14ac:dyDescent="0.25">
      <c r="A623">
        <v>1</v>
      </c>
      <c r="B623" s="10">
        <v>591108240508</v>
      </c>
      <c r="C623">
        <v>60</v>
      </c>
      <c r="D623" s="10">
        <v>12421208</v>
      </c>
      <c r="F623" t="s">
        <v>40</v>
      </c>
      <c r="G623">
        <v>0</v>
      </c>
      <c r="H623">
        <v>100</v>
      </c>
      <c r="K623">
        <v>1</v>
      </c>
      <c r="L623" t="s">
        <v>41</v>
      </c>
      <c r="M623" t="s">
        <v>89</v>
      </c>
      <c r="N623" s="11">
        <v>2958465</v>
      </c>
      <c r="P623">
        <v>0</v>
      </c>
      <c r="U623">
        <v>4</v>
      </c>
      <c r="V623">
        <v>1</v>
      </c>
      <c r="W623" t="s">
        <v>42</v>
      </c>
      <c r="X623">
        <v>0</v>
      </c>
    </row>
    <row r="624" spans="1:24" x14ac:dyDescent="0.25">
      <c r="A624">
        <v>1</v>
      </c>
      <c r="B624" s="10">
        <v>591108240508</v>
      </c>
      <c r="C624">
        <v>70</v>
      </c>
      <c r="D624" s="10">
        <v>5997499</v>
      </c>
      <c r="F624" t="s">
        <v>68</v>
      </c>
      <c r="G624">
        <v>0</v>
      </c>
      <c r="H624">
        <v>100</v>
      </c>
      <c r="K624">
        <v>1</v>
      </c>
      <c r="L624" t="s">
        <v>41</v>
      </c>
      <c r="M624" t="s">
        <v>89</v>
      </c>
      <c r="N624" s="11">
        <v>2958465</v>
      </c>
      <c r="P624">
        <v>0</v>
      </c>
      <c r="U624">
        <v>4</v>
      </c>
      <c r="V624">
        <v>1</v>
      </c>
      <c r="W624" t="s">
        <v>42</v>
      </c>
      <c r="X624">
        <v>0</v>
      </c>
    </row>
    <row r="625" spans="1:24" x14ac:dyDescent="0.25">
      <c r="A625">
        <v>1</v>
      </c>
      <c r="B625" s="10">
        <v>591108240908</v>
      </c>
      <c r="C625">
        <v>10</v>
      </c>
      <c r="D625" s="10">
        <v>5959672109</v>
      </c>
      <c r="F625" t="s">
        <v>40</v>
      </c>
      <c r="G625">
        <v>0</v>
      </c>
      <c r="H625">
        <v>100</v>
      </c>
      <c r="K625">
        <v>1</v>
      </c>
      <c r="L625" t="s">
        <v>41</v>
      </c>
      <c r="M625" t="s">
        <v>89</v>
      </c>
      <c r="N625" s="11">
        <v>2958465</v>
      </c>
      <c r="P625">
        <v>0</v>
      </c>
      <c r="U625">
        <v>4</v>
      </c>
      <c r="V625">
        <v>1</v>
      </c>
      <c r="W625" t="s">
        <v>42</v>
      </c>
      <c r="X625">
        <v>0</v>
      </c>
    </row>
    <row r="626" spans="1:24" x14ac:dyDescent="0.25">
      <c r="A626">
        <v>1</v>
      </c>
      <c r="B626" s="10">
        <v>591108240908</v>
      </c>
      <c r="C626">
        <v>20</v>
      </c>
      <c r="D626" s="10">
        <v>5959692109</v>
      </c>
      <c r="F626" t="s">
        <v>40</v>
      </c>
      <c r="G626">
        <v>0</v>
      </c>
      <c r="H626">
        <v>100</v>
      </c>
      <c r="K626">
        <v>1</v>
      </c>
      <c r="L626" t="s">
        <v>41</v>
      </c>
      <c r="M626" t="s">
        <v>89</v>
      </c>
      <c r="N626" s="11">
        <v>2958465</v>
      </c>
      <c r="P626">
        <v>0</v>
      </c>
      <c r="U626">
        <v>4</v>
      </c>
      <c r="V626">
        <v>1</v>
      </c>
      <c r="W626" t="s">
        <v>42</v>
      </c>
      <c r="X626">
        <v>0</v>
      </c>
    </row>
    <row r="627" spans="1:24" x14ac:dyDescent="0.25">
      <c r="A627">
        <v>1</v>
      </c>
      <c r="B627" s="10">
        <v>591108240908</v>
      </c>
      <c r="C627">
        <v>30</v>
      </c>
      <c r="D627" s="10">
        <v>5952482109</v>
      </c>
      <c r="F627" t="s">
        <v>40</v>
      </c>
      <c r="G627">
        <v>0</v>
      </c>
      <c r="H627">
        <v>100</v>
      </c>
      <c r="K627">
        <v>1</v>
      </c>
      <c r="L627" t="s">
        <v>41</v>
      </c>
      <c r="M627" t="s">
        <v>89</v>
      </c>
      <c r="N627" s="11">
        <v>2958465</v>
      </c>
      <c r="P627">
        <v>0</v>
      </c>
      <c r="U627">
        <v>4</v>
      </c>
      <c r="V627">
        <v>1</v>
      </c>
      <c r="W627" t="s">
        <v>42</v>
      </c>
      <c r="X627">
        <v>0</v>
      </c>
    </row>
    <row r="628" spans="1:24" x14ac:dyDescent="0.25">
      <c r="A628">
        <v>1</v>
      </c>
      <c r="B628" s="10">
        <v>591108240908</v>
      </c>
      <c r="C628">
        <v>40</v>
      </c>
      <c r="D628" s="10">
        <v>5952792409</v>
      </c>
      <c r="F628" t="s">
        <v>40</v>
      </c>
      <c r="G628">
        <v>0</v>
      </c>
      <c r="H628">
        <v>100</v>
      </c>
      <c r="K628">
        <v>1</v>
      </c>
      <c r="L628" t="s">
        <v>41</v>
      </c>
      <c r="M628" t="s">
        <v>89</v>
      </c>
      <c r="N628" s="11">
        <v>2958465</v>
      </c>
      <c r="P628">
        <v>0</v>
      </c>
      <c r="U628">
        <v>4</v>
      </c>
      <c r="V628">
        <v>1</v>
      </c>
      <c r="W628" t="s">
        <v>42</v>
      </c>
      <c r="X628">
        <v>0</v>
      </c>
    </row>
    <row r="629" spans="1:24" x14ac:dyDescent="0.25">
      <c r="A629">
        <v>1</v>
      </c>
      <c r="B629" s="10">
        <v>591108240908</v>
      </c>
      <c r="C629">
        <v>50</v>
      </c>
      <c r="D629" s="10">
        <v>59102309</v>
      </c>
      <c r="F629" t="s">
        <v>40</v>
      </c>
      <c r="G629">
        <v>0</v>
      </c>
      <c r="H629">
        <v>100</v>
      </c>
      <c r="K629">
        <v>2</v>
      </c>
      <c r="L629" t="s">
        <v>41</v>
      </c>
      <c r="M629" t="s">
        <v>89</v>
      </c>
      <c r="N629" s="11">
        <v>2958465</v>
      </c>
      <c r="P629">
        <v>0</v>
      </c>
      <c r="U629">
        <v>4</v>
      </c>
      <c r="V629">
        <v>1</v>
      </c>
      <c r="W629" t="s">
        <v>42</v>
      </c>
      <c r="X629">
        <v>0</v>
      </c>
    </row>
    <row r="630" spans="1:24" x14ac:dyDescent="0.25">
      <c r="A630">
        <v>1</v>
      </c>
      <c r="B630" s="10">
        <v>591108240908</v>
      </c>
      <c r="C630">
        <v>60</v>
      </c>
      <c r="D630" s="10">
        <v>12421208</v>
      </c>
      <c r="F630" t="s">
        <v>40</v>
      </c>
      <c r="G630">
        <v>0</v>
      </c>
      <c r="H630">
        <v>100</v>
      </c>
      <c r="K630">
        <v>1</v>
      </c>
      <c r="L630" t="s">
        <v>41</v>
      </c>
      <c r="M630" t="s">
        <v>89</v>
      </c>
      <c r="N630" s="11">
        <v>2958465</v>
      </c>
      <c r="P630">
        <v>0</v>
      </c>
      <c r="U630">
        <v>4</v>
      </c>
      <c r="V630">
        <v>1</v>
      </c>
      <c r="W630" t="s">
        <v>42</v>
      </c>
      <c r="X630">
        <v>0</v>
      </c>
    </row>
    <row r="631" spans="1:24" x14ac:dyDescent="0.25">
      <c r="A631">
        <v>1</v>
      </c>
      <c r="B631" s="10">
        <v>591108240908</v>
      </c>
      <c r="C631">
        <v>70</v>
      </c>
      <c r="D631" s="10">
        <v>5997499</v>
      </c>
      <c r="F631" t="s">
        <v>68</v>
      </c>
      <c r="G631">
        <v>0</v>
      </c>
      <c r="H631">
        <v>100</v>
      </c>
      <c r="K631">
        <v>1</v>
      </c>
      <c r="L631" t="s">
        <v>41</v>
      </c>
      <c r="M631" t="s">
        <v>89</v>
      </c>
      <c r="N631" s="11">
        <v>2958465</v>
      </c>
      <c r="P631">
        <v>0</v>
      </c>
      <c r="U631">
        <v>4</v>
      </c>
      <c r="V631">
        <v>1</v>
      </c>
      <c r="W631" t="s">
        <v>42</v>
      </c>
      <c r="X631">
        <v>0</v>
      </c>
    </row>
    <row r="632" spans="1:24" x14ac:dyDescent="0.25">
      <c r="A632">
        <v>1</v>
      </c>
      <c r="B632" s="10">
        <v>591108240121</v>
      </c>
      <c r="C632">
        <v>10</v>
      </c>
      <c r="D632" s="10">
        <v>5959672101</v>
      </c>
      <c r="F632" t="s">
        <v>40</v>
      </c>
      <c r="G632">
        <v>0</v>
      </c>
      <c r="H632">
        <v>100</v>
      </c>
      <c r="K632">
        <v>1</v>
      </c>
      <c r="L632" t="s">
        <v>41</v>
      </c>
      <c r="M632" t="s">
        <v>89</v>
      </c>
      <c r="N632" s="11">
        <v>2958465</v>
      </c>
      <c r="P632">
        <v>0</v>
      </c>
      <c r="U632">
        <v>4</v>
      </c>
      <c r="V632">
        <v>1</v>
      </c>
      <c r="W632" t="s">
        <v>42</v>
      </c>
      <c r="X632">
        <v>0</v>
      </c>
    </row>
    <row r="633" spans="1:24" x14ac:dyDescent="0.25">
      <c r="A633">
        <v>1</v>
      </c>
      <c r="B633" s="10">
        <v>591108240121</v>
      </c>
      <c r="C633">
        <v>20</v>
      </c>
      <c r="D633" s="10">
        <v>5959692101</v>
      </c>
      <c r="F633" t="s">
        <v>40</v>
      </c>
      <c r="G633">
        <v>0</v>
      </c>
      <c r="H633">
        <v>100</v>
      </c>
      <c r="K633">
        <v>1</v>
      </c>
      <c r="L633" t="s">
        <v>41</v>
      </c>
      <c r="M633" t="s">
        <v>89</v>
      </c>
      <c r="N633" s="11">
        <v>2958465</v>
      </c>
      <c r="P633">
        <v>0</v>
      </c>
      <c r="U633">
        <v>4</v>
      </c>
      <c r="V633">
        <v>1</v>
      </c>
      <c r="W633" t="s">
        <v>42</v>
      </c>
      <c r="X633">
        <v>0</v>
      </c>
    </row>
    <row r="634" spans="1:24" x14ac:dyDescent="0.25">
      <c r="A634">
        <v>1</v>
      </c>
      <c r="B634" s="10">
        <v>591108240121</v>
      </c>
      <c r="C634">
        <v>30</v>
      </c>
      <c r="D634" s="10">
        <v>5952482101</v>
      </c>
      <c r="F634" t="s">
        <v>40</v>
      </c>
      <c r="G634">
        <v>0</v>
      </c>
      <c r="H634">
        <v>100</v>
      </c>
      <c r="K634">
        <v>1</v>
      </c>
      <c r="L634" t="s">
        <v>41</v>
      </c>
      <c r="M634" t="s">
        <v>89</v>
      </c>
      <c r="N634" s="11">
        <v>2958465</v>
      </c>
      <c r="P634">
        <v>0</v>
      </c>
      <c r="U634">
        <v>4</v>
      </c>
      <c r="V634">
        <v>1</v>
      </c>
      <c r="W634" t="s">
        <v>42</v>
      </c>
      <c r="X634">
        <v>0</v>
      </c>
    </row>
    <row r="635" spans="1:24" x14ac:dyDescent="0.25">
      <c r="A635">
        <v>1</v>
      </c>
      <c r="B635" s="10">
        <v>591108240121</v>
      </c>
      <c r="C635">
        <v>40</v>
      </c>
      <c r="D635" s="10">
        <v>5952792401</v>
      </c>
      <c r="F635" t="s">
        <v>40</v>
      </c>
      <c r="G635">
        <v>0</v>
      </c>
      <c r="H635">
        <v>100</v>
      </c>
      <c r="K635">
        <v>1</v>
      </c>
      <c r="L635" t="s">
        <v>41</v>
      </c>
      <c r="M635" t="s">
        <v>89</v>
      </c>
      <c r="N635" s="11">
        <v>2958465</v>
      </c>
      <c r="P635">
        <v>0</v>
      </c>
      <c r="U635">
        <v>4</v>
      </c>
      <c r="V635">
        <v>1</v>
      </c>
      <c r="W635" t="s">
        <v>42</v>
      </c>
      <c r="X635">
        <v>0</v>
      </c>
    </row>
    <row r="636" spans="1:24" x14ac:dyDescent="0.25">
      <c r="A636">
        <v>1</v>
      </c>
      <c r="B636" s="10">
        <v>591108240121</v>
      </c>
      <c r="C636">
        <v>50</v>
      </c>
      <c r="D636" s="10">
        <v>59102301</v>
      </c>
      <c r="F636" t="s">
        <v>40</v>
      </c>
      <c r="G636">
        <v>0</v>
      </c>
      <c r="H636">
        <v>100</v>
      </c>
      <c r="K636">
        <v>2</v>
      </c>
      <c r="L636" t="s">
        <v>41</v>
      </c>
      <c r="M636" t="s">
        <v>89</v>
      </c>
      <c r="N636" s="11">
        <v>2958465</v>
      </c>
      <c r="P636">
        <v>0</v>
      </c>
      <c r="U636">
        <v>4</v>
      </c>
      <c r="V636">
        <v>1</v>
      </c>
      <c r="W636" t="s">
        <v>42</v>
      </c>
      <c r="X636">
        <v>0</v>
      </c>
    </row>
    <row r="637" spans="1:24" x14ac:dyDescent="0.25">
      <c r="A637">
        <v>1</v>
      </c>
      <c r="B637" s="10">
        <v>591108240121</v>
      </c>
      <c r="C637">
        <v>60</v>
      </c>
      <c r="D637" s="10">
        <v>12421221</v>
      </c>
      <c r="F637" t="s">
        <v>40</v>
      </c>
      <c r="G637">
        <v>0</v>
      </c>
      <c r="H637">
        <v>100</v>
      </c>
      <c r="K637">
        <v>1</v>
      </c>
      <c r="L637" t="s">
        <v>41</v>
      </c>
      <c r="M637" t="s">
        <v>89</v>
      </c>
      <c r="N637" s="11">
        <v>2958465</v>
      </c>
      <c r="P637">
        <v>0</v>
      </c>
      <c r="U637">
        <v>4</v>
      </c>
      <c r="V637">
        <v>1</v>
      </c>
      <c r="W637" t="s">
        <v>42</v>
      </c>
      <c r="X637">
        <v>0</v>
      </c>
    </row>
    <row r="638" spans="1:24" x14ac:dyDescent="0.25">
      <c r="A638">
        <v>1</v>
      </c>
      <c r="B638" s="10">
        <v>591108240121</v>
      </c>
      <c r="C638">
        <v>70</v>
      </c>
      <c r="D638" s="10">
        <v>5997499</v>
      </c>
      <c r="F638" t="s">
        <v>68</v>
      </c>
      <c r="G638">
        <v>0</v>
      </c>
      <c r="H638">
        <v>100</v>
      </c>
      <c r="K638">
        <v>1</v>
      </c>
      <c r="L638" t="s">
        <v>41</v>
      </c>
      <c r="M638" t="s">
        <v>89</v>
      </c>
      <c r="N638" s="11">
        <v>2958465</v>
      </c>
      <c r="P638">
        <v>0</v>
      </c>
      <c r="U638">
        <v>4</v>
      </c>
      <c r="V638">
        <v>1</v>
      </c>
      <c r="W638" t="s">
        <v>42</v>
      </c>
      <c r="X638">
        <v>0</v>
      </c>
    </row>
    <row r="639" spans="1:24" x14ac:dyDescent="0.25">
      <c r="A639">
        <v>1</v>
      </c>
      <c r="B639" s="10">
        <v>591108240221</v>
      </c>
      <c r="C639">
        <v>10</v>
      </c>
      <c r="D639" s="10">
        <v>5959672102</v>
      </c>
      <c r="F639" t="s">
        <v>40</v>
      </c>
      <c r="G639">
        <v>0</v>
      </c>
      <c r="H639">
        <v>100</v>
      </c>
      <c r="K639">
        <v>1</v>
      </c>
      <c r="L639" t="s">
        <v>41</v>
      </c>
      <c r="M639" t="s">
        <v>89</v>
      </c>
      <c r="N639" s="11">
        <v>2958465</v>
      </c>
      <c r="P639">
        <v>0</v>
      </c>
      <c r="U639">
        <v>4</v>
      </c>
      <c r="V639">
        <v>1</v>
      </c>
      <c r="W639" t="s">
        <v>42</v>
      </c>
      <c r="X639">
        <v>0</v>
      </c>
    </row>
    <row r="640" spans="1:24" x14ac:dyDescent="0.25">
      <c r="A640">
        <v>1</v>
      </c>
      <c r="B640" s="10">
        <v>591108240221</v>
      </c>
      <c r="C640">
        <v>20</v>
      </c>
      <c r="D640" s="10">
        <v>5959692102</v>
      </c>
      <c r="F640" t="s">
        <v>40</v>
      </c>
      <c r="G640">
        <v>0</v>
      </c>
      <c r="H640">
        <v>100</v>
      </c>
      <c r="K640">
        <v>1</v>
      </c>
      <c r="L640" t="s">
        <v>41</v>
      </c>
      <c r="M640" t="s">
        <v>89</v>
      </c>
      <c r="N640" s="11">
        <v>2958465</v>
      </c>
      <c r="P640">
        <v>0</v>
      </c>
      <c r="U640">
        <v>4</v>
      </c>
      <c r="V640">
        <v>1</v>
      </c>
      <c r="W640" t="s">
        <v>42</v>
      </c>
      <c r="X640">
        <v>0</v>
      </c>
    </row>
    <row r="641" spans="1:24" x14ac:dyDescent="0.25">
      <c r="A641">
        <v>1</v>
      </c>
      <c r="B641" s="10">
        <v>591108240221</v>
      </c>
      <c r="C641">
        <v>30</v>
      </c>
      <c r="D641" s="10">
        <v>5952482102</v>
      </c>
      <c r="F641" t="s">
        <v>40</v>
      </c>
      <c r="G641">
        <v>0</v>
      </c>
      <c r="H641">
        <v>100</v>
      </c>
      <c r="K641">
        <v>1</v>
      </c>
      <c r="L641" t="s">
        <v>41</v>
      </c>
      <c r="M641" t="s">
        <v>89</v>
      </c>
      <c r="N641" s="11">
        <v>2958465</v>
      </c>
      <c r="P641">
        <v>0</v>
      </c>
      <c r="U641">
        <v>4</v>
      </c>
      <c r="V641">
        <v>1</v>
      </c>
      <c r="W641" t="s">
        <v>42</v>
      </c>
      <c r="X641">
        <v>0</v>
      </c>
    </row>
    <row r="642" spans="1:24" x14ac:dyDescent="0.25">
      <c r="A642">
        <v>1</v>
      </c>
      <c r="B642" s="10">
        <v>591108240221</v>
      </c>
      <c r="C642">
        <v>40</v>
      </c>
      <c r="D642" s="10">
        <v>5952792402</v>
      </c>
      <c r="F642" t="s">
        <v>40</v>
      </c>
      <c r="G642">
        <v>0</v>
      </c>
      <c r="H642">
        <v>100</v>
      </c>
      <c r="K642">
        <v>1</v>
      </c>
      <c r="L642" t="s">
        <v>41</v>
      </c>
      <c r="M642" t="s">
        <v>89</v>
      </c>
      <c r="N642" s="11">
        <v>2958465</v>
      </c>
      <c r="P642">
        <v>0</v>
      </c>
      <c r="U642">
        <v>4</v>
      </c>
      <c r="V642">
        <v>1</v>
      </c>
      <c r="W642" t="s">
        <v>42</v>
      </c>
      <c r="X642">
        <v>0</v>
      </c>
    </row>
    <row r="643" spans="1:24" x14ac:dyDescent="0.25">
      <c r="A643">
        <v>1</v>
      </c>
      <c r="B643" s="10">
        <v>591108240221</v>
      </c>
      <c r="C643">
        <v>50</v>
      </c>
      <c r="D643" s="10">
        <v>59102302</v>
      </c>
      <c r="F643" t="s">
        <v>40</v>
      </c>
      <c r="G643">
        <v>0</v>
      </c>
      <c r="H643">
        <v>100</v>
      </c>
      <c r="K643">
        <v>2</v>
      </c>
      <c r="L643" t="s">
        <v>41</v>
      </c>
      <c r="M643" t="s">
        <v>89</v>
      </c>
      <c r="N643" s="11">
        <v>2958465</v>
      </c>
      <c r="P643">
        <v>0</v>
      </c>
      <c r="U643">
        <v>4</v>
      </c>
      <c r="V643">
        <v>1</v>
      </c>
      <c r="W643" t="s">
        <v>42</v>
      </c>
      <c r="X643">
        <v>0</v>
      </c>
    </row>
    <row r="644" spans="1:24" x14ac:dyDescent="0.25">
      <c r="A644">
        <v>1</v>
      </c>
      <c r="B644" s="10">
        <v>591108240221</v>
      </c>
      <c r="C644">
        <v>60</v>
      </c>
      <c r="D644" s="10">
        <v>12421221</v>
      </c>
      <c r="F644" t="s">
        <v>40</v>
      </c>
      <c r="G644">
        <v>0</v>
      </c>
      <c r="H644">
        <v>100</v>
      </c>
      <c r="K644">
        <v>1</v>
      </c>
      <c r="L644" t="s">
        <v>41</v>
      </c>
      <c r="M644" t="s">
        <v>89</v>
      </c>
      <c r="N644" s="11">
        <v>2958465</v>
      </c>
      <c r="P644">
        <v>0</v>
      </c>
      <c r="U644">
        <v>4</v>
      </c>
      <c r="V644">
        <v>1</v>
      </c>
      <c r="W644" t="s">
        <v>42</v>
      </c>
      <c r="X644">
        <v>0</v>
      </c>
    </row>
    <row r="645" spans="1:24" x14ac:dyDescent="0.25">
      <c r="A645">
        <v>1</v>
      </c>
      <c r="B645" s="10">
        <v>591108240221</v>
      </c>
      <c r="C645">
        <v>70</v>
      </c>
      <c r="D645" s="10">
        <v>5997499</v>
      </c>
      <c r="F645" t="s">
        <v>68</v>
      </c>
      <c r="G645">
        <v>0</v>
      </c>
      <c r="H645">
        <v>100</v>
      </c>
      <c r="K645">
        <v>1</v>
      </c>
      <c r="L645" t="s">
        <v>41</v>
      </c>
      <c r="M645" t="s">
        <v>89</v>
      </c>
      <c r="N645" s="11">
        <v>2958465</v>
      </c>
      <c r="P645">
        <v>0</v>
      </c>
      <c r="U645">
        <v>4</v>
      </c>
      <c r="V645">
        <v>1</v>
      </c>
      <c r="W645" t="s">
        <v>42</v>
      </c>
      <c r="X645">
        <v>0</v>
      </c>
    </row>
    <row r="646" spans="1:24" x14ac:dyDescent="0.25">
      <c r="A646">
        <v>1</v>
      </c>
      <c r="B646" s="10">
        <v>591108240321</v>
      </c>
      <c r="C646">
        <v>10</v>
      </c>
      <c r="D646" s="10">
        <v>5959672103</v>
      </c>
      <c r="F646" t="s">
        <v>40</v>
      </c>
      <c r="G646">
        <v>0</v>
      </c>
      <c r="H646">
        <v>100</v>
      </c>
      <c r="K646">
        <v>1</v>
      </c>
      <c r="L646" t="s">
        <v>41</v>
      </c>
      <c r="M646" t="s">
        <v>89</v>
      </c>
      <c r="N646" s="11">
        <v>2958465</v>
      </c>
      <c r="P646">
        <v>0</v>
      </c>
      <c r="U646">
        <v>4</v>
      </c>
      <c r="V646">
        <v>1</v>
      </c>
      <c r="W646" t="s">
        <v>42</v>
      </c>
      <c r="X646">
        <v>0</v>
      </c>
    </row>
    <row r="647" spans="1:24" x14ac:dyDescent="0.25">
      <c r="A647">
        <v>1</v>
      </c>
      <c r="B647" s="10">
        <v>591108240321</v>
      </c>
      <c r="C647">
        <v>20</v>
      </c>
      <c r="D647" s="10">
        <v>5959692103</v>
      </c>
      <c r="F647" t="s">
        <v>40</v>
      </c>
      <c r="G647">
        <v>0</v>
      </c>
      <c r="H647">
        <v>100</v>
      </c>
      <c r="K647">
        <v>1</v>
      </c>
      <c r="L647" t="s">
        <v>41</v>
      </c>
      <c r="M647" t="s">
        <v>89</v>
      </c>
      <c r="N647" s="11">
        <v>2958465</v>
      </c>
      <c r="P647">
        <v>0</v>
      </c>
      <c r="U647">
        <v>4</v>
      </c>
      <c r="V647">
        <v>1</v>
      </c>
      <c r="W647" t="s">
        <v>42</v>
      </c>
      <c r="X647">
        <v>0</v>
      </c>
    </row>
    <row r="648" spans="1:24" x14ac:dyDescent="0.25">
      <c r="A648">
        <v>1</v>
      </c>
      <c r="B648" s="10">
        <v>591108240321</v>
      </c>
      <c r="C648">
        <v>30</v>
      </c>
      <c r="D648" s="10">
        <v>5952482103</v>
      </c>
      <c r="F648" t="s">
        <v>40</v>
      </c>
      <c r="G648">
        <v>0</v>
      </c>
      <c r="H648">
        <v>100</v>
      </c>
      <c r="K648">
        <v>1</v>
      </c>
      <c r="L648" t="s">
        <v>41</v>
      </c>
      <c r="M648" t="s">
        <v>89</v>
      </c>
      <c r="N648" s="11">
        <v>2958465</v>
      </c>
      <c r="P648">
        <v>0</v>
      </c>
      <c r="U648">
        <v>4</v>
      </c>
      <c r="V648">
        <v>1</v>
      </c>
      <c r="W648" t="s">
        <v>42</v>
      </c>
      <c r="X648">
        <v>0</v>
      </c>
    </row>
    <row r="649" spans="1:24" x14ac:dyDescent="0.25">
      <c r="A649">
        <v>1</v>
      </c>
      <c r="B649" s="10">
        <v>591108240321</v>
      </c>
      <c r="C649">
        <v>40</v>
      </c>
      <c r="D649" s="10">
        <v>5952792403</v>
      </c>
      <c r="F649" t="s">
        <v>40</v>
      </c>
      <c r="G649">
        <v>0</v>
      </c>
      <c r="H649">
        <v>100</v>
      </c>
      <c r="K649">
        <v>1</v>
      </c>
      <c r="L649" t="s">
        <v>41</v>
      </c>
      <c r="M649" t="s">
        <v>89</v>
      </c>
      <c r="N649" s="11">
        <v>2958465</v>
      </c>
      <c r="P649">
        <v>0</v>
      </c>
      <c r="U649">
        <v>4</v>
      </c>
      <c r="V649">
        <v>1</v>
      </c>
      <c r="W649" t="s">
        <v>42</v>
      </c>
      <c r="X649">
        <v>0</v>
      </c>
    </row>
    <row r="650" spans="1:24" x14ac:dyDescent="0.25">
      <c r="A650">
        <v>1</v>
      </c>
      <c r="B650" s="10">
        <v>591108240321</v>
      </c>
      <c r="C650">
        <v>50</v>
      </c>
      <c r="D650" s="10">
        <v>59102303</v>
      </c>
      <c r="F650" t="s">
        <v>40</v>
      </c>
      <c r="G650">
        <v>0</v>
      </c>
      <c r="H650">
        <v>100</v>
      </c>
      <c r="K650">
        <v>2</v>
      </c>
      <c r="L650" t="s">
        <v>41</v>
      </c>
      <c r="M650" t="s">
        <v>89</v>
      </c>
      <c r="N650" s="11">
        <v>2958465</v>
      </c>
      <c r="P650">
        <v>0</v>
      </c>
      <c r="U650">
        <v>4</v>
      </c>
      <c r="V650">
        <v>1</v>
      </c>
      <c r="W650" t="s">
        <v>42</v>
      </c>
      <c r="X650">
        <v>0</v>
      </c>
    </row>
    <row r="651" spans="1:24" x14ac:dyDescent="0.25">
      <c r="A651">
        <v>1</v>
      </c>
      <c r="B651" s="10">
        <v>591108240321</v>
      </c>
      <c r="C651">
        <v>60</v>
      </c>
      <c r="D651" s="10">
        <v>12421221</v>
      </c>
      <c r="F651" t="s">
        <v>40</v>
      </c>
      <c r="G651">
        <v>0</v>
      </c>
      <c r="H651">
        <v>100</v>
      </c>
      <c r="K651">
        <v>1</v>
      </c>
      <c r="L651" t="s">
        <v>41</v>
      </c>
      <c r="M651" t="s">
        <v>89</v>
      </c>
      <c r="N651" s="11">
        <v>2958465</v>
      </c>
      <c r="P651">
        <v>0</v>
      </c>
      <c r="U651">
        <v>4</v>
      </c>
      <c r="V651">
        <v>1</v>
      </c>
      <c r="W651" t="s">
        <v>42</v>
      </c>
      <c r="X651">
        <v>0</v>
      </c>
    </row>
    <row r="652" spans="1:24" x14ac:dyDescent="0.25">
      <c r="A652">
        <v>1</v>
      </c>
      <c r="B652" s="10">
        <v>591108240321</v>
      </c>
      <c r="C652">
        <v>70</v>
      </c>
      <c r="D652" s="10">
        <v>5997499</v>
      </c>
      <c r="F652" t="s">
        <v>68</v>
      </c>
      <c r="G652">
        <v>0</v>
      </c>
      <c r="H652">
        <v>100</v>
      </c>
      <c r="K652">
        <v>1</v>
      </c>
      <c r="L652" t="s">
        <v>41</v>
      </c>
      <c r="M652" t="s">
        <v>89</v>
      </c>
      <c r="N652" s="11">
        <v>2958465</v>
      </c>
      <c r="P652">
        <v>0</v>
      </c>
      <c r="U652">
        <v>4</v>
      </c>
      <c r="V652">
        <v>1</v>
      </c>
      <c r="W652" t="s">
        <v>42</v>
      </c>
      <c r="X652">
        <v>0</v>
      </c>
    </row>
    <row r="653" spans="1:24" x14ac:dyDescent="0.25">
      <c r="A653">
        <v>1</v>
      </c>
      <c r="B653" s="10">
        <v>591108240421</v>
      </c>
      <c r="C653">
        <v>10</v>
      </c>
      <c r="D653" s="10">
        <v>5959672104</v>
      </c>
      <c r="F653" t="s">
        <v>40</v>
      </c>
      <c r="G653">
        <v>0</v>
      </c>
      <c r="H653">
        <v>100</v>
      </c>
      <c r="K653">
        <v>1</v>
      </c>
      <c r="L653" t="s">
        <v>41</v>
      </c>
      <c r="M653" t="s">
        <v>89</v>
      </c>
      <c r="N653" s="11">
        <v>2958465</v>
      </c>
      <c r="P653">
        <v>0</v>
      </c>
      <c r="U653">
        <v>4</v>
      </c>
      <c r="V653">
        <v>1</v>
      </c>
      <c r="W653" t="s">
        <v>42</v>
      </c>
      <c r="X653">
        <v>0</v>
      </c>
    </row>
    <row r="654" spans="1:24" x14ac:dyDescent="0.25">
      <c r="A654">
        <v>1</v>
      </c>
      <c r="B654" s="10">
        <v>591108240421</v>
      </c>
      <c r="C654">
        <v>20</v>
      </c>
      <c r="D654" s="10">
        <v>5959692104</v>
      </c>
      <c r="F654" t="s">
        <v>40</v>
      </c>
      <c r="G654">
        <v>0</v>
      </c>
      <c r="H654">
        <v>100</v>
      </c>
      <c r="K654">
        <v>1</v>
      </c>
      <c r="L654" t="s">
        <v>41</v>
      </c>
      <c r="M654" t="s">
        <v>89</v>
      </c>
      <c r="N654" s="11">
        <v>2958465</v>
      </c>
      <c r="P654">
        <v>0</v>
      </c>
      <c r="U654">
        <v>4</v>
      </c>
      <c r="V654">
        <v>1</v>
      </c>
      <c r="W654" t="s">
        <v>42</v>
      </c>
      <c r="X654">
        <v>0</v>
      </c>
    </row>
    <row r="655" spans="1:24" x14ac:dyDescent="0.25">
      <c r="A655">
        <v>1</v>
      </c>
      <c r="B655" s="10">
        <v>591108240421</v>
      </c>
      <c r="C655">
        <v>30</v>
      </c>
      <c r="D655" s="10">
        <v>5952482104</v>
      </c>
      <c r="F655" t="s">
        <v>40</v>
      </c>
      <c r="G655">
        <v>0</v>
      </c>
      <c r="H655">
        <v>100</v>
      </c>
      <c r="K655">
        <v>1</v>
      </c>
      <c r="L655" t="s">
        <v>41</v>
      </c>
      <c r="M655" t="s">
        <v>89</v>
      </c>
      <c r="N655" s="11">
        <v>2958465</v>
      </c>
      <c r="P655">
        <v>0</v>
      </c>
      <c r="U655">
        <v>4</v>
      </c>
      <c r="V655">
        <v>1</v>
      </c>
      <c r="W655" t="s">
        <v>42</v>
      </c>
      <c r="X655">
        <v>0</v>
      </c>
    </row>
    <row r="656" spans="1:24" x14ac:dyDescent="0.25">
      <c r="A656">
        <v>1</v>
      </c>
      <c r="B656" s="10">
        <v>591108240421</v>
      </c>
      <c r="C656">
        <v>40</v>
      </c>
      <c r="D656" s="10">
        <v>5952792404</v>
      </c>
      <c r="F656" t="s">
        <v>40</v>
      </c>
      <c r="G656">
        <v>0</v>
      </c>
      <c r="H656">
        <v>100</v>
      </c>
      <c r="K656">
        <v>1</v>
      </c>
      <c r="L656" t="s">
        <v>41</v>
      </c>
      <c r="M656" t="s">
        <v>89</v>
      </c>
      <c r="N656" s="11">
        <v>2958465</v>
      </c>
      <c r="P656">
        <v>0</v>
      </c>
      <c r="U656">
        <v>4</v>
      </c>
      <c r="V656">
        <v>1</v>
      </c>
      <c r="W656" t="s">
        <v>42</v>
      </c>
      <c r="X656">
        <v>0</v>
      </c>
    </row>
    <row r="657" spans="1:24" x14ac:dyDescent="0.25">
      <c r="A657">
        <v>1</v>
      </c>
      <c r="B657" s="10">
        <v>591108240421</v>
      </c>
      <c r="C657">
        <v>50</v>
      </c>
      <c r="D657" s="10">
        <v>59102304</v>
      </c>
      <c r="F657" t="s">
        <v>40</v>
      </c>
      <c r="G657">
        <v>0</v>
      </c>
      <c r="H657">
        <v>100</v>
      </c>
      <c r="K657">
        <v>2</v>
      </c>
      <c r="L657" t="s">
        <v>41</v>
      </c>
      <c r="M657" t="s">
        <v>89</v>
      </c>
      <c r="N657" s="11">
        <v>2958465</v>
      </c>
      <c r="P657">
        <v>0</v>
      </c>
      <c r="U657">
        <v>4</v>
      </c>
      <c r="V657">
        <v>1</v>
      </c>
      <c r="W657" t="s">
        <v>42</v>
      </c>
      <c r="X657">
        <v>0</v>
      </c>
    </row>
    <row r="658" spans="1:24" x14ac:dyDescent="0.25">
      <c r="A658">
        <v>1</v>
      </c>
      <c r="B658" s="10">
        <v>591108240421</v>
      </c>
      <c r="C658">
        <v>60</v>
      </c>
      <c r="D658" s="10">
        <v>12421221</v>
      </c>
      <c r="F658" t="s">
        <v>40</v>
      </c>
      <c r="G658">
        <v>0</v>
      </c>
      <c r="H658">
        <v>100</v>
      </c>
      <c r="K658">
        <v>1</v>
      </c>
      <c r="L658" t="s">
        <v>41</v>
      </c>
      <c r="M658" t="s">
        <v>89</v>
      </c>
      <c r="N658" s="11">
        <v>2958465</v>
      </c>
      <c r="P658">
        <v>0</v>
      </c>
      <c r="U658">
        <v>4</v>
      </c>
      <c r="V658">
        <v>1</v>
      </c>
      <c r="W658" t="s">
        <v>42</v>
      </c>
      <c r="X658">
        <v>0</v>
      </c>
    </row>
    <row r="659" spans="1:24" x14ac:dyDescent="0.25">
      <c r="A659">
        <v>1</v>
      </c>
      <c r="B659" s="10">
        <v>591108240421</v>
      </c>
      <c r="C659">
        <v>70</v>
      </c>
      <c r="D659" s="10">
        <v>5997499</v>
      </c>
      <c r="F659" t="s">
        <v>68</v>
      </c>
      <c r="G659">
        <v>0</v>
      </c>
      <c r="H659">
        <v>100</v>
      </c>
      <c r="K659">
        <v>1</v>
      </c>
      <c r="L659" t="s">
        <v>41</v>
      </c>
      <c r="M659" t="s">
        <v>89</v>
      </c>
      <c r="N659" s="11">
        <v>2958465</v>
      </c>
      <c r="P659">
        <v>0</v>
      </c>
      <c r="U659">
        <v>4</v>
      </c>
      <c r="V659">
        <v>1</v>
      </c>
      <c r="W659" t="s">
        <v>42</v>
      </c>
      <c r="X659">
        <v>0</v>
      </c>
    </row>
    <row r="660" spans="1:24" x14ac:dyDescent="0.25">
      <c r="A660">
        <v>1</v>
      </c>
      <c r="B660" s="10">
        <v>591108240521</v>
      </c>
      <c r="C660">
        <v>10</v>
      </c>
      <c r="D660" s="10">
        <v>5959672105</v>
      </c>
      <c r="F660" t="s">
        <v>40</v>
      </c>
      <c r="G660">
        <v>0</v>
      </c>
      <c r="H660">
        <v>100</v>
      </c>
      <c r="K660">
        <v>1</v>
      </c>
      <c r="L660" t="s">
        <v>41</v>
      </c>
      <c r="M660" t="s">
        <v>89</v>
      </c>
      <c r="N660" s="11">
        <v>2958465</v>
      </c>
      <c r="P660">
        <v>0</v>
      </c>
      <c r="U660">
        <v>4</v>
      </c>
      <c r="V660">
        <v>1</v>
      </c>
      <c r="W660" t="s">
        <v>42</v>
      </c>
      <c r="X660">
        <v>0</v>
      </c>
    </row>
    <row r="661" spans="1:24" x14ac:dyDescent="0.25">
      <c r="A661">
        <v>1</v>
      </c>
      <c r="B661" s="10">
        <v>591108240521</v>
      </c>
      <c r="C661">
        <v>20</v>
      </c>
      <c r="D661" s="10">
        <v>5959692105</v>
      </c>
      <c r="F661" t="s">
        <v>40</v>
      </c>
      <c r="G661">
        <v>0</v>
      </c>
      <c r="H661">
        <v>100</v>
      </c>
      <c r="K661">
        <v>1</v>
      </c>
      <c r="L661" t="s">
        <v>41</v>
      </c>
      <c r="M661" t="s">
        <v>89</v>
      </c>
      <c r="N661" s="11">
        <v>2958465</v>
      </c>
      <c r="P661">
        <v>0</v>
      </c>
      <c r="U661">
        <v>4</v>
      </c>
      <c r="V661">
        <v>1</v>
      </c>
      <c r="W661" t="s">
        <v>42</v>
      </c>
      <c r="X661">
        <v>0</v>
      </c>
    </row>
    <row r="662" spans="1:24" x14ac:dyDescent="0.25">
      <c r="A662">
        <v>1</v>
      </c>
      <c r="B662" s="10">
        <v>591108240521</v>
      </c>
      <c r="C662">
        <v>30</v>
      </c>
      <c r="D662" s="10">
        <v>5952482105</v>
      </c>
      <c r="F662" t="s">
        <v>40</v>
      </c>
      <c r="G662">
        <v>0</v>
      </c>
      <c r="H662">
        <v>100</v>
      </c>
      <c r="K662">
        <v>1</v>
      </c>
      <c r="L662" t="s">
        <v>41</v>
      </c>
      <c r="M662" t="s">
        <v>89</v>
      </c>
      <c r="N662" s="11">
        <v>2958465</v>
      </c>
      <c r="P662">
        <v>0</v>
      </c>
      <c r="U662">
        <v>4</v>
      </c>
      <c r="V662">
        <v>1</v>
      </c>
      <c r="W662" t="s">
        <v>42</v>
      </c>
      <c r="X662">
        <v>0</v>
      </c>
    </row>
    <row r="663" spans="1:24" x14ac:dyDescent="0.25">
      <c r="A663">
        <v>1</v>
      </c>
      <c r="B663" s="10">
        <v>591108240521</v>
      </c>
      <c r="C663">
        <v>40</v>
      </c>
      <c r="D663" s="10">
        <v>5952792405</v>
      </c>
      <c r="F663" t="s">
        <v>40</v>
      </c>
      <c r="G663">
        <v>0</v>
      </c>
      <c r="H663">
        <v>100</v>
      </c>
      <c r="K663">
        <v>1</v>
      </c>
      <c r="L663" t="s">
        <v>41</v>
      </c>
      <c r="M663" t="s">
        <v>89</v>
      </c>
      <c r="N663" s="11">
        <v>2958465</v>
      </c>
      <c r="P663">
        <v>0</v>
      </c>
      <c r="U663">
        <v>4</v>
      </c>
      <c r="V663">
        <v>1</v>
      </c>
      <c r="W663" t="s">
        <v>42</v>
      </c>
      <c r="X663">
        <v>0</v>
      </c>
    </row>
    <row r="664" spans="1:24" x14ac:dyDescent="0.25">
      <c r="A664">
        <v>1</v>
      </c>
      <c r="B664" s="10">
        <v>591108240521</v>
      </c>
      <c r="C664">
        <v>50</v>
      </c>
      <c r="D664" s="10">
        <v>59102305</v>
      </c>
      <c r="F664" t="s">
        <v>40</v>
      </c>
      <c r="G664">
        <v>0</v>
      </c>
      <c r="H664">
        <v>100</v>
      </c>
      <c r="K664">
        <v>2</v>
      </c>
      <c r="L664" t="s">
        <v>41</v>
      </c>
      <c r="M664" t="s">
        <v>89</v>
      </c>
      <c r="N664" s="11">
        <v>2958465</v>
      </c>
      <c r="P664">
        <v>0</v>
      </c>
      <c r="U664">
        <v>4</v>
      </c>
      <c r="V664">
        <v>1</v>
      </c>
      <c r="W664" t="s">
        <v>42</v>
      </c>
      <c r="X664">
        <v>0</v>
      </c>
    </row>
    <row r="665" spans="1:24" x14ac:dyDescent="0.25">
      <c r="A665">
        <v>1</v>
      </c>
      <c r="B665" s="10">
        <v>591108240521</v>
      </c>
      <c r="C665">
        <v>60</v>
      </c>
      <c r="D665" s="10">
        <v>12421221</v>
      </c>
      <c r="F665" t="s">
        <v>40</v>
      </c>
      <c r="G665">
        <v>0</v>
      </c>
      <c r="H665">
        <v>100</v>
      </c>
      <c r="K665">
        <v>1</v>
      </c>
      <c r="L665" t="s">
        <v>41</v>
      </c>
      <c r="M665" t="s">
        <v>89</v>
      </c>
      <c r="N665" s="11">
        <v>2958465</v>
      </c>
      <c r="P665">
        <v>0</v>
      </c>
      <c r="U665">
        <v>4</v>
      </c>
      <c r="V665">
        <v>1</v>
      </c>
      <c r="W665" t="s">
        <v>42</v>
      </c>
      <c r="X665">
        <v>0</v>
      </c>
    </row>
    <row r="666" spans="1:24" x14ac:dyDescent="0.25">
      <c r="A666">
        <v>1</v>
      </c>
      <c r="B666" s="10">
        <v>591108240521</v>
      </c>
      <c r="C666">
        <v>70</v>
      </c>
      <c r="D666" s="10">
        <v>5997499</v>
      </c>
      <c r="F666" t="s">
        <v>68</v>
      </c>
      <c r="G666">
        <v>0</v>
      </c>
      <c r="H666">
        <v>100</v>
      </c>
      <c r="K666">
        <v>1</v>
      </c>
      <c r="L666" t="s">
        <v>41</v>
      </c>
      <c r="M666" t="s">
        <v>89</v>
      </c>
      <c r="N666" s="11">
        <v>2958465</v>
      </c>
      <c r="P666">
        <v>0</v>
      </c>
      <c r="U666">
        <v>4</v>
      </c>
      <c r="V666">
        <v>1</v>
      </c>
      <c r="W666" t="s">
        <v>42</v>
      </c>
      <c r="X666">
        <v>0</v>
      </c>
    </row>
    <row r="667" spans="1:24" x14ac:dyDescent="0.25">
      <c r="A667">
        <v>1</v>
      </c>
      <c r="B667" s="10">
        <v>591108240621</v>
      </c>
      <c r="C667">
        <v>10</v>
      </c>
      <c r="D667" s="10">
        <v>5959672106</v>
      </c>
      <c r="F667" t="s">
        <v>40</v>
      </c>
      <c r="G667">
        <v>0</v>
      </c>
      <c r="H667">
        <v>100</v>
      </c>
      <c r="K667">
        <v>1</v>
      </c>
      <c r="L667" t="s">
        <v>41</v>
      </c>
      <c r="M667" t="s">
        <v>89</v>
      </c>
      <c r="N667" s="11">
        <v>2958465</v>
      </c>
      <c r="P667">
        <v>0</v>
      </c>
      <c r="U667">
        <v>4</v>
      </c>
      <c r="V667">
        <v>1</v>
      </c>
      <c r="W667" t="s">
        <v>42</v>
      </c>
      <c r="X667">
        <v>0</v>
      </c>
    </row>
    <row r="668" spans="1:24" x14ac:dyDescent="0.25">
      <c r="A668">
        <v>1</v>
      </c>
      <c r="B668" s="10">
        <v>591108240621</v>
      </c>
      <c r="C668">
        <v>20</v>
      </c>
      <c r="D668" s="10">
        <v>5959692106</v>
      </c>
      <c r="F668" t="s">
        <v>40</v>
      </c>
      <c r="G668">
        <v>0</v>
      </c>
      <c r="H668">
        <v>100</v>
      </c>
      <c r="K668">
        <v>1</v>
      </c>
      <c r="L668" t="s">
        <v>41</v>
      </c>
      <c r="M668" t="s">
        <v>89</v>
      </c>
      <c r="N668" s="11">
        <v>2958465</v>
      </c>
      <c r="P668">
        <v>0</v>
      </c>
      <c r="U668">
        <v>4</v>
      </c>
      <c r="V668">
        <v>1</v>
      </c>
      <c r="W668" t="s">
        <v>42</v>
      </c>
      <c r="X668">
        <v>0</v>
      </c>
    </row>
    <row r="669" spans="1:24" x14ac:dyDescent="0.25">
      <c r="A669">
        <v>1</v>
      </c>
      <c r="B669" s="10">
        <v>591108240621</v>
      </c>
      <c r="C669">
        <v>30</v>
      </c>
      <c r="D669" s="10">
        <v>5952482106</v>
      </c>
      <c r="F669" t="s">
        <v>40</v>
      </c>
      <c r="G669">
        <v>0</v>
      </c>
      <c r="H669">
        <v>100</v>
      </c>
      <c r="K669">
        <v>1</v>
      </c>
      <c r="L669" t="s">
        <v>41</v>
      </c>
      <c r="M669" t="s">
        <v>89</v>
      </c>
      <c r="N669" s="11">
        <v>2958465</v>
      </c>
      <c r="P669">
        <v>0</v>
      </c>
      <c r="U669">
        <v>4</v>
      </c>
      <c r="V669">
        <v>1</v>
      </c>
      <c r="W669" t="s">
        <v>42</v>
      </c>
      <c r="X669">
        <v>0</v>
      </c>
    </row>
    <row r="670" spans="1:24" x14ac:dyDescent="0.25">
      <c r="A670">
        <v>1</v>
      </c>
      <c r="B670" s="10">
        <v>591108240621</v>
      </c>
      <c r="C670">
        <v>40</v>
      </c>
      <c r="D670" s="10">
        <v>5952792406</v>
      </c>
      <c r="F670" t="s">
        <v>40</v>
      </c>
      <c r="G670">
        <v>0</v>
      </c>
      <c r="H670">
        <v>100</v>
      </c>
      <c r="K670">
        <v>1</v>
      </c>
      <c r="L670" t="s">
        <v>41</v>
      </c>
      <c r="M670" t="s">
        <v>89</v>
      </c>
      <c r="N670" s="11">
        <v>2958465</v>
      </c>
      <c r="P670">
        <v>0</v>
      </c>
      <c r="U670">
        <v>4</v>
      </c>
      <c r="V670">
        <v>1</v>
      </c>
      <c r="W670" t="s">
        <v>42</v>
      </c>
      <c r="X670">
        <v>0</v>
      </c>
    </row>
    <row r="671" spans="1:24" x14ac:dyDescent="0.25">
      <c r="A671">
        <v>1</v>
      </c>
      <c r="B671" s="10">
        <v>591108240621</v>
      </c>
      <c r="C671">
        <v>50</v>
      </c>
      <c r="D671" s="10">
        <v>59102306</v>
      </c>
      <c r="F671" t="s">
        <v>40</v>
      </c>
      <c r="G671">
        <v>0</v>
      </c>
      <c r="H671">
        <v>100</v>
      </c>
      <c r="K671">
        <v>2</v>
      </c>
      <c r="L671" t="s">
        <v>41</v>
      </c>
      <c r="M671" t="s">
        <v>89</v>
      </c>
      <c r="N671" s="11">
        <v>2958465</v>
      </c>
      <c r="P671">
        <v>0</v>
      </c>
      <c r="U671">
        <v>4</v>
      </c>
      <c r="V671">
        <v>1</v>
      </c>
      <c r="W671" t="s">
        <v>42</v>
      </c>
      <c r="X671">
        <v>0</v>
      </c>
    </row>
    <row r="672" spans="1:24" x14ac:dyDescent="0.25">
      <c r="A672">
        <v>1</v>
      </c>
      <c r="B672" s="10">
        <v>591108240621</v>
      </c>
      <c r="C672">
        <v>60</v>
      </c>
      <c r="D672" s="10">
        <v>12421221</v>
      </c>
      <c r="F672" t="s">
        <v>40</v>
      </c>
      <c r="G672">
        <v>0</v>
      </c>
      <c r="H672">
        <v>100</v>
      </c>
      <c r="K672">
        <v>1</v>
      </c>
      <c r="L672" t="s">
        <v>41</v>
      </c>
      <c r="M672" t="s">
        <v>89</v>
      </c>
      <c r="N672" s="11">
        <v>2958465</v>
      </c>
      <c r="P672">
        <v>0</v>
      </c>
      <c r="U672">
        <v>4</v>
      </c>
      <c r="V672">
        <v>1</v>
      </c>
      <c r="W672" t="s">
        <v>42</v>
      </c>
      <c r="X672">
        <v>0</v>
      </c>
    </row>
    <row r="673" spans="1:24" x14ac:dyDescent="0.25">
      <c r="A673">
        <v>1</v>
      </c>
      <c r="B673" s="10">
        <v>591108240621</v>
      </c>
      <c r="C673">
        <v>70</v>
      </c>
      <c r="D673" s="10">
        <v>5997499</v>
      </c>
      <c r="F673" t="s">
        <v>68</v>
      </c>
      <c r="G673">
        <v>0</v>
      </c>
      <c r="H673">
        <v>100</v>
      </c>
      <c r="K673">
        <v>1</v>
      </c>
      <c r="L673" t="s">
        <v>41</v>
      </c>
      <c r="M673" t="s">
        <v>89</v>
      </c>
      <c r="N673" s="11">
        <v>2958465</v>
      </c>
      <c r="P673">
        <v>0</v>
      </c>
      <c r="U673">
        <v>4</v>
      </c>
      <c r="V673">
        <v>1</v>
      </c>
      <c r="W673" t="s">
        <v>42</v>
      </c>
      <c r="X673">
        <v>0</v>
      </c>
    </row>
    <row r="674" spans="1:24" x14ac:dyDescent="0.25">
      <c r="A674">
        <v>1</v>
      </c>
      <c r="B674" s="10">
        <v>591108240721</v>
      </c>
      <c r="C674">
        <v>10</v>
      </c>
      <c r="D674" s="10">
        <v>5959672107</v>
      </c>
      <c r="F674" t="s">
        <v>40</v>
      </c>
      <c r="G674">
        <v>0</v>
      </c>
      <c r="H674">
        <v>100</v>
      </c>
      <c r="K674">
        <v>1</v>
      </c>
      <c r="L674" t="s">
        <v>41</v>
      </c>
      <c r="M674" t="s">
        <v>89</v>
      </c>
      <c r="N674" s="11">
        <v>2958465</v>
      </c>
      <c r="P674">
        <v>0</v>
      </c>
      <c r="U674">
        <v>4</v>
      </c>
      <c r="V674">
        <v>1</v>
      </c>
      <c r="W674" t="s">
        <v>42</v>
      </c>
      <c r="X674">
        <v>0</v>
      </c>
    </row>
    <row r="675" spans="1:24" x14ac:dyDescent="0.25">
      <c r="A675">
        <v>1</v>
      </c>
      <c r="B675" s="10">
        <v>591108240721</v>
      </c>
      <c r="C675">
        <v>20</v>
      </c>
      <c r="D675" s="10">
        <v>5959692107</v>
      </c>
      <c r="F675" t="s">
        <v>40</v>
      </c>
      <c r="G675">
        <v>0</v>
      </c>
      <c r="H675">
        <v>100</v>
      </c>
      <c r="K675">
        <v>1</v>
      </c>
      <c r="L675" t="s">
        <v>41</v>
      </c>
      <c r="M675" t="s">
        <v>89</v>
      </c>
      <c r="N675" s="11">
        <v>2958465</v>
      </c>
      <c r="P675">
        <v>0</v>
      </c>
      <c r="U675">
        <v>4</v>
      </c>
      <c r="V675">
        <v>1</v>
      </c>
      <c r="W675" t="s">
        <v>42</v>
      </c>
      <c r="X675">
        <v>0</v>
      </c>
    </row>
    <row r="676" spans="1:24" x14ac:dyDescent="0.25">
      <c r="A676">
        <v>1</v>
      </c>
      <c r="B676" s="10">
        <v>591108240721</v>
      </c>
      <c r="C676">
        <v>30</v>
      </c>
      <c r="D676" s="10">
        <v>5952482107</v>
      </c>
      <c r="F676" t="s">
        <v>40</v>
      </c>
      <c r="G676">
        <v>0</v>
      </c>
      <c r="H676">
        <v>100</v>
      </c>
      <c r="K676">
        <v>1</v>
      </c>
      <c r="L676" t="s">
        <v>41</v>
      </c>
      <c r="M676" t="s">
        <v>89</v>
      </c>
      <c r="N676" s="11">
        <v>2958465</v>
      </c>
      <c r="P676">
        <v>0</v>
      </c>
      <c r="U676">
        <v>4</v>
      </c>
      <c r="V676">
        <v>1</v>
      </c>
      <c r="W676" t="s">
        <v>42</v>
      </c>
      <c r="X676">
        <v>0</v>
      </c>
    </row>
    <row r="677" spans="1:24" x14ac:dyDescent="0.25">
      <c r="A677">
        <v>1</v>
      </c>
      <c r="B677" s="10">
        <v>591108240721</v>
      </c>
      <c r="C677">
        <v>40</v>
      </c>
      <c r="D677" s="10">
        <v>5952792407</v>
      </c>
      <c r="F677" t="s">
        <v>40</v>
      </c>
      <c r="G677">
        <v>0</v>
      </c>
      <c r="H677">
        <v>100</v>
      </c>
      <c r="K677">
        <v>1</v>
      </c>
      <c r="L677" t="s">
        <v>41</v>
      </c>
      <c r="M677" t="s">
        <v>89</v>
      </c>
      <c r="N677" s="11">
        <v>2958465</v>
      </c>
      <c r="P677">
        <v>0</v>
      </c>
      <c r="U677">
        <v>4</v>
      </c>
      <c r="V677">
        <v>1</v>
      </c>
      <c r="W677" t="s">
        <v>42</v>
      </c>
      <c r="X677">
        <v>0</v>
      </c>
    </row>
    <row r="678" spans="1:24" x14ac:dyDescent="0.25">
      <c r="A678">
        <v>1</v>
      </c>
      <c r="B678" s="10">
        <v>591108240721</v>
      </c>
      <c r="C678">
        <v>50</v>
      </c>
      <c r="D678" s="10">
        <v>59102307</v>
      </c>
      <c r="F678" t="s">
        <v>40</v>
      </c>
      <c r="G678">
        <v>0</v>
      </c>
      <c r="H678">
        <v>100</v>
      </c>
      <c r="K678">
        <v>2</v>
      </c>
      <c r="L678" t="s">
        <v>41</v>
      </c>
      <c r="M678" t="s">
        <v>89</v>
      </c>
      <c r="N678" s="11">
        <v>2958465</v>
      </c>
      <c r="P678">
        <v>0</v>
      </c>
      <c r="U678">
        <v>4</v>
      </c>
      <c r="V678">
        <v>1</v>
      </c>
      <c r="W678" t="s">
        <v>42</v>
      </c>
      <c r="X678">
        <v>0</v>
      </c>
    </row>
    <row r="679" spans="1:24" x14ac:dyDescent="0.25">
      <c r="A679">
        <v>1</v>
      </c>
      <c r="B679" s="10">
        <v>591108240721</v>
      </c>
      <c r="C679">
        <v>60</v>
      </c>
      <c r="D679" s="10">
        <v>12421221</v>
      </c>
      <c r="F679" t="s">
        <v>40</v>
      </c>
      <c r="G679">
        <v>0</v>
      </c>
      <c r="H679">
        <v>100</v>
      </c>
      <c r="K679">
        <v>1</v>
      </c>
      <c r="L679" t="s">
        <v>41</v>
      </c>
      <c r="M679" t="s">
        <v>89</v>
      </c>
      <c r="N679" s="11">
        <v>2958465</v>
      </c>
      <c r="P679">
        <v>0</v>
      </c>
      <c r="U679">
        <v>4</v>
      </c>
      <c r="V679">
        <v>1</v>
      </c>
      <c r="W679" t="s">
        <v>42</v>
      </c>
      <c r="X679">
        <v>0</v>
      </c>
    </row>
    <row r="680" spans="1:24" x14ac:dyDescent="0.25">
      <c r="A680">
        <v>1</v>
      </c>
      <c r="B680" s="10">
        <v>591108240721</v>
      </c>
      <c r="C680">
        <v>70</v>
      </c>
      <c r="D680" s="10">
        <v>5997499</v>
      </c>
      <c r="F680" t="s">
        <v>68</v>
      </c>
      <c r="G680">
        <v>0</v>
      </c>
      <c r="H680">
        <v>100</v>
      </c>
      <c r="K680">
        <v>1</v>
      </c>
      <c r="L680" t="s">
        <v>41</v>
      </c>
      <c r="M680" t="s">
        <v>89</v>
      </c>
      <c r="N680" s="11">
        <v>2958465</v>
      </c>
      <c r="P680">
        <v>0</v>
      </c>
      <c r="U680">
        <v>4</v>
      </c>
      <c r="V680">
        <v>1</v>
      </c>
      <c r="W680" t="s">
        <v>42</v>
      </c>
      <c r="X680">
        <v>0</v>
      </c>
    </row>
    <row r="681" spans="1:24" x14ac:dyDescent="0.25">
      <c r="A681">
        <v>1</v>
      </c>
      <c r="B681" s="10">
        <v>591108240821</v>
      </c>
      <c r="C681">
        <v>10</v>
      </c>
      <c r="D681" s="10">
        <v>5959672108</v>
      </c>
      <c r="F681" t="s">
        <v>40</v>
      </c>
      <c r="G681">
        <v>0</v>
      </c>
      <c r="H681">
        <v>100</v>
      </c>
      <c r="K681">
        <v>1</v>
      </c>
      <c r="L681" t="s">
        <v>41</v>
      </c>
      <c r="M681" t="s">
        <v>89</v>
      </c>
      <c r="N681" s="11">
        <v>2958465</v>
      </c>
      <c r="P681">
        <v>0</v>
      </c>
      <c r="U681">
        <v>4</v>
      </c>
      <c r="V681">
        <v>1</v>
      </c>
      <c r="W681" t="s">
        <v>42</v>
      </c>
      <c r="X681">
        <v>0</v>
      </c>
    </row>
    <row r="682" spans="1:24" x14ac:dyDescent="0.25">
      <c r="A682">
        <v>1</v>
      </c>
      <c r="B682" s="10">
        <v>591108240821</v>
      </c>
      <c r="C682">
        <v>20</v>
      </c>
      <c r="D682" s="10">
        <v>5959692108</v>
      </c>
      <c r="F682" t="s">
        <v>40</v>
      </c>
      <c r="G682">
        <v>0</v>
      </c>
      <c r="H682">
        <v>100</v>
      </c>
      <c r="K682">
        <v>1</v>
      </c>
      <c r="L682" t="s">
        <v>41</v>
      </c>
      <c r="M682" t="s">
        <v>89</v>
      </c>
      <c r="N682" s="11">
        <v>2958465</v>
      </c>
      <c r="P682">
        <v>0</v>
      </c>
      <c r="U682">
        <v>4</v>
      </c>
      <c r="V682">
        <v>1</v>
      </c>
      <c r="W682" t="s">
        <v>42</v>
      </c>
      <c r="X682">
        <v>0</v>
      </c>
    </row>
    <row r="683" spans="1:24" x14ac:dyDescent="0.25">
      <c r="A683">
        <v>1</v>
      </c>
      <c r="B683" s="10">
        <v>591108240821</v>
      </c>
      <c r="C683">
        <v>30</v>
      </c>
      <c r="D683" s="10">
        <v>5952482108</v>
      </c>
      <c r="F683" t="s">
        <v>40</v>
      </c>
      <c r="G683">
        <v>0</v>
      </c>
      <c r="H683">
        <v>100</v>
      </c>
      <c r="K683">
        <v>1</v>
      </c>
      <c r="L683" t="s">
        <v>41</v>
      </c>
      <c r="M683" t="s">
        <v>89</v>
      </c>
      <c r="N683" s="11">
        <v>2958465</v>
      </c>
      <c r="P683">
        <v>0</v>
      </c>
      <c r="U683">
        <v>4</v>
      </c>
      <c r="V683">
        <v>1</v>
      </c>
      <c r="W683" t="s">
        <v>42</v>
      </c>
      <c r="X683">
        <v>0</v>
      </c>
    </row>
    <row r="684" spans="1:24" x14ac:dyDescent="0.25">
      <c r="A684">
        <v>1</v>
      </c>
      <c r="B684" s="10">
        <v>591108240821</v>
      </c>
      <c r="C684">
        <v>40</v>
      </c>
      <c r="D684" s="10">
        <v>5952792408</v>
      </c>
      <c r="F684" t="s">
        <v>40</v>
      </c>
      <c r="G684">
        <v>0</v>
      </c>
      <c r="H684">
        <v>100</v>
      </c>
      <c r="K684">
        <v>1</v>
      </c>
      <c r="L684" t="s">
        <v>41</v>
      </c>
      <c r="M684" t="s">
        <v>89</v>
      </c>
      <c r="N684" s="11">
        <v>2958465</v>
      </c>
      <c r="P684">
        <v>0</v>
      </c>
      <c r="U684">
        <v>4</v>
      </c>
      <c r="V684">
        <v>1</v>
      </c>
      <c r="W684" t="s">
        <v>42</v>
      </c>
      <c r="X684">
        <v>0</v>
      </c>
    </row>
    <row r="685" spans="1:24" x14ac:dyDescent="0.25">
      <c r="A685">
        <v>1</v>
      </c>
      <c r="B685" s="10">
        <v>591108240821</v>
      </c>
      <c r="C685">
        <v>50</v>
      </c>
      <c r="D685" s="10">
        <v>59102308</v>
      </c>
      <c r="F685" t="s">
        <v>40</v>
      </c>
      <c r="G685">
        <v>0</v>
      </c>
      <c r="H685">
        <v>100</v>
      </c>
      <c r="K685">
        <v>2</v>
      </c>
      <c r="L685" t="s">
        <v>41</v>
      </c>
      <c r="M685" t="s">
        <v>89</v>
      </c>
      <c r="N685" s="11">
        <v>2958465</v>
      </c>
      <c r="P685">
        <v>0</v>
      </c>
      <c r="U685">
        <v>4</v>
      </c>
      <c r="V685">
        <v>1</v>
      </c>
      <c r="W685" t="s">
        <v>42</v>
      </c>
      <c r="X685">
        <v>0</v>
      </c>
    </row>
    <row r="686" spans="1:24" x14ac:dyDescent="0.25">
      <c r="A686">
        <v>1</v>
      </c>
      <c r="B686" s="10">
        <v>591108240821</v>
      </c>
      <c r="C686">
        <v>60</v>
      </c>
      <c r="D686" s="10">
        <v>12421221</v>
      </c>
      <c r="F686" t="s">
        <v>40</v>
      </c>
      <c r="G686">
        <v>0</v>
      </c>
      <c r="H686">
        <v>100</v>
      </c>
      <c r="K686">
        <v>1</v>
      </c>
      <c r="L686" t="s">
        <v>41</v>
      </c>
      <c r="M686" t="s">
        <v>89</v>
      </c>
      <c r="N686" s="11">
        <v>2958465</v>
      </c>
      <c r="P686">
        <v>0</v>
      </c>
      <c r="U686">
        <v>4</v>
      </c>
      <c r="V686">
        <v>1</v>
      </c>
      <c r="W686" t="s">
        <v>42</v>
      </c>
      <c r="X686">
        <v>0</v>
      </c>
    </row>
    <row r="687" spans="1:24" x14ac:dyDescent="0.25">
      <c r="A687">
        <v>1</v>
      </c>
      <c r="B687" s="10">
        <v>591108240821</v>
      </c>
      <c r="C687">
        <v>70</v>
      </c>
      <c r="D687" s="10">
        <v>5997499</v>
      </c>
      <c r="F687" t="s">
        <v>68</v>
      </c>
      <c r="G687">
        <v>0</v>
      </c>
      <c r="H687">
        <v>100</v>
      </c>
      <c r="K687">
        <v>1</v>
      </c>
      <c r="L687" t="s">
        <v>41</v>
      </c>
      <c r="M687" t="s">
        <v>89</v>
      </c>
      <c r="N687" s="11">
        <v>2958465</v>
      </c>
      <c r="P687">
        <v>0</v>
      </c>
      <c r="U687">
        <v>4</v>
      </c>
      <c r="V687">
        <v>1</v>
      </c>
      <c r="W687" t="s">
        <v>42</v>
      </c>
      <c r="X687">
        <v>0</v>
      </c>
    </row>
    <row r="688" spans="1:24" x14ac:dyDescent="0.25">
      <c r="A688">
        <v>1</v>
      </c>
      <c r="B688" s="10">
        <v>591108240106</v>
      </c>
      <c r="C688">
        <v>10</v>
      </c>
      <c r="D688" s="10">
        <v>5959672101</v>
      </c>
      <c r="F688" t="s">
        <v>40</v>
      </c>
      <c r="G688">
        <v>0</v>
      </c>
      <c r="H688">
        <v>100</v>
      </c>
      <c r="K688">
        <v>1</v>
      </c>
      <c r="L688" t="s">
        <v>41</v>
      </c>
      <c r="M688" t="s">
        <v>89</v>
      </c>
      <c r="N688" s="11">
        <v>2958465</v>
      </c>
      <c r="P688">
        <v>0</v>
      </c>
      <c r="U688">
        <v>4</v>
      </c>
      <c r="V688">
        <v>1</v>
      </c>
      <c r="W688" t="s">
        <v>42</v>
      </c>
      <c r="X688">
        <v>0</v>
      </c>
    </row>
    <row r="689" spans="1:24" x14ac:dyDescent="0.25">
      <c r="A689">
        <v>1</v>
      </c>
      <c r="B689" s="10">
        <v>591108240106</v>
      </c>
      <c r="C689">
        <v>20</v>
      </c>
      <c r="D689" s="10">
        <v>5959692101</v>
      </c>
      <c r="F689" t="s">
        <v>40</v>
      </c>
      <c r="G689">
        <v>0</v>
      </c>
      <c r="H689">
        <v>100</v>
      </c>
      <c r="K689">
        <v>1</v>
      </c>
      <c r="L689" t="s">
        <v>41</v>
      </c>
      <c r="M689" t="s">
        <v>89</v>
      </c>
      <c r="N689" s="11">
        <v>2958465</v>
      </c>
      <c r="P689">
        <v>0</v>
      </c>
      <c r="U689">
        <v>4</v>
      </c>
      <c r="V689">
        <v>1</v>
      </c>
      <c r="W689" t="s">
        <v>42</v>
      </c>
      <c r="X689">
        <v>0</v>
      </c>
    </row>
    <row r="690" spans="1:24" x14ac:dyDescent="0.25">
      <c r="A690">
        <v>1</v>
      </c>
      <c r="B690" s="10">
        <v>591108240106</v>
      </c>
      <c r="C690">
        <v>30</v>
      </c>
      <c r="D690" s="10">
        <v>5952482101</v>
      </c>
      <c r="F690" t="s">
        <v>40</v>
      </c>
      <c r="G690">
        <v>0</v>
      </c>
      <c r="H690">
        <v>100</v>
      </c>
      <c r="K690">
        <v>1</v>
      </c>
      <c r="L690" t="s">
        <v>41</v>
      </c>
      <c r="M690" t="s">
        <v>89</v>
      </c>
      <c r="N690" s="11">
        <v>2958465</v>
      </c>
      <c r="P690">
        <v>0</v>
      </c>
      <c r="U690">
        <v>4</v>
      </c>
      <c r="V690">
        <v>1</v>
      </c>
      <c r="W690" t="s">
        <v>42</v>
      </c>
      <c r="X690">
        <v>0</v>
      </c>
    </row>
    <row r="691" spans="1:24" x14ac:dyDescent="0.25">
      <c r="A691">
        <v>1</v>
      </c>
      <c r="B691" s="10">
        <v>591108240106</v>
      </c>
      <c r="C691">
        <v>40</v>
      </c>
      <c r="D691" s="10">
        <v>5952792401</v>
      </c>
      <c r="F691" t="s">
        <v>40</v>
      </c>
      <c r="G691">
        <v>0</v>
      </c>
      <c r="H691">
        <v>100</v>
      </c>
      <c r="K691">
        <v>1</v>
      </c>
      <c r="L691" t="s">
        <v>41</v>
      </c>
      <c r="M691" t="s">
        <v>89</v>
      </c>
      <c r="N691" s="11">
        <v>2958465</v>
      </c>
      <c r="P691">
        <v>0</v>
      </c>
      <c r="U691">
        <v>4</v>
      </c>
      <c r="V691">
        <v>1</v>
      </c>
      <c r="W691" t="s">
        <v>42</v>
      </c>
      <c r="X691">
        <v>0</v>
      </c>
    </row>
    <row r="692" spans="1:24" x14ac:dyDescent="0.25">
      <c r="A692">
        <v>1</v>
      </c>
      <c r="B692" s="10">
        <v>591108240106</v>
      </c>
      <c r="C692">
        <v>50</v>
      </c>
      <c r="D692" s="10">
        <v>59102301</v>
      </c>
      <c r="F692" t="s">
        <v>40</v>
      </c>
      <c r="G692">
        <v>0</v>
      </c>
      <c r="H692">
        <v>100</v>
      </c>
      <c r="K692">
        <v>2</v>
      </c>
      <c r="L692" t="s">
        <v>41</v>
      </c>
      <c r="M692" t="s">
        <v>89</v>
      </c>
      <c r="N692" s="11">
        <v>2958465</v>
      </c>
      <c r="P692">
        <v>0</v>
      </c>
      <c r="U692">
        <v>4</v>
      </c>
      <c r="V692">
        <v>1</v>
      </c>
      <c r="W692" t="s">
        <v>42</v>
      </c>
      <c r="X692">
        <v>0</v>
      </c>
    </row>
    <row r="693" spans="1:24" x14ac:dyDescent="0.25">
      <c r="A693">
        <v>1</v>
      </c>
      <c r="B693" s="10">
        <v>591108240106</v>
      </c>
      <c r="C693">
        <v>60</v>
      </c>
      <c r="D693" s="10">
        <v>12421206</v>
      </c>
      <c r="F693" t="s">
        <v>40</v>
      </c>
      <c r="G693">
        <v>0</v>
      </c>
      <c r="H693">
        <v>100</v>
      </c>
      <c r="K693">
        <v>1</v>
      </c>
      <c r="L693" t="s">
        <v>41</v>
      </c>
      <c r="M693" t="s">
        <v>89</v>
      </c>
      <c r="N693" s="11">
        <v>2958465</v>
      </c>
      <c r="P693">
        <v>0</v>
      </c>
      <c r="U693">
        <v>4</v>
      </c>
      <c r="V693">
        <v>1</v>
      </c>
      <c r="W693" t="s">
        <v>42</v>
      </c>
      <c r="X693">
        <v>0</v>
      </c>
    </row>
    <row r="694" spans="1:24" x14ac:dyDescent="0.25">
      <c r="A694">
        <v>1</v>
      </c>
      <c r="B694" s="10">
        <v>591108240106</v>
      </c>
      <c r="C694">
        <v>70</v>
      </c>
      <c r="D694" s="10">
        <v>5997499</v>
      </c>
      <c r="F694" t="s">
        <v>68</v>
      </c>
      <c r="G694">
        <v>0</v>
      </c>
      <c r="H694">
        <v>100</v>
      </c>
      <c r="K694">
        <v>1</v>
      </c>
      <c r="L694" t="s">
        <v>41</v>
      </c>
      <c r="M694" t="s">
        <v>89</v>
      </c>
      <c r="N694" s="11">
        <v>2958465</v>
      </c>
      <c r="P694">
        <v>0</v>
      </c>
      <c r="U694">
        <v>4</v>
      </c>
      <c r="V694">
        <v>1</v>
      </c>
      <c r="W694" t="s">
        <v>42</v>
      </c>
      <c r="X694">
        <v>0</v>
      </c>
    </row>
    <row r="695" spans="1:24" x14ac:dyDescent="0.25">
      <c r="A695">
        <v>1</v>
      </c>
      <c r="B695" s="10">
        <v>591108240206</v>
      </c>
      <c r="C695">
        <v>10</v>
      </c>
      <c r="D695" s="10">
        <v>5959672102</v>
      </c>
      <c r="F695" t="s">
        <v>40</v>
      </c>
      <c r="G695">
        <v>0</v>
      </c>
      <c r="H695">
        <v>100</v>
      </c>
      <c r="K695">
        <v>1</v>
      </c>
      <c r="L695" t="s">
        <v>41</v>
      </c>
      <c r="M695" t="s">
        <v>89</v>
      </c>
      <c r="N695" s="11">
        <v>2958465</v>
      </c>
      <c r="P695">
        <v>0</v>
      </c>
      <c r="U695">
        <v>4</v>
      </c>
      <c r="V695">
        <v>1</v>
      </c>
      <c r="W695" t="s">
        <v>42</v>
      </c>
      <c r="X695">
        <v>0</v>
      </c>
    </row>
    <row r="696" spans="1:24" x14ac:dyDescent="0.25">
      <c r="A696">
        <v>1</v>
      </c>
      <c r="B696" s="10">
        <v>591108240206</v>
      </c>
      <c r="C696">
        <v>20</v>
      </c>
      <c r="D696" s="10">
        <v>5959692102</v>
      </c>
      <c r="F696" t="s">
        <v>40</v>
      </c>
      <c r="G696">
        <v>0</v>
      </c>
      <c r="H696">
        <v>100</v>
      </c>
      <c r="K696">
        <v>1</v>
      </c>
      <c r="L696" t="s">
        <v>41</v>
      </c>
      <c r="M696" t="s">
        <v>89</v>
      </c>
      <c r="N696" s="11">
        <v>2958465</v>
      </c>
      <c r="P696">
        <v>0</v>
      </c>
      <c r="U696">
        <v>4</v>
      </c>
      <c r="V696">
        <v>1</v>
      </c>
      <c r="W696" t="s">
        <v>42</v>
      </c>
      <c r="X696">
        <v>0</v>
      </c>
    </row>
    <row r="697" spans="1:24" x14ac:dyDescent="0.25">
      <c r="A697">
        <v>1</v>
      </c>
      <c r="B697" s="10">
        <v>591108240206</v>
      </c>
      <c r="C697">
        <v>30</v>
      </c>
      <c r="D697" s="10">
        <v>5952482102</v>
      </c>
      <c r="F697" t="s">
        <v>40</v>
      </c>
      <c r="G697">
        <v>0</v>
      </c>
      <c r="H697">
        <v>100</v>
      </c>
      <c r="K697">
        <v>1</v>
      </c>
      <c r="L697" t="s">
        <v>41</v>
      </c>
      <c r="M697" t="s">
        <v>89</v>
      </c>
      <c r="N697" s="11">
        <v>2958465</v>
      </c>
      <c r="P697">
        <v>0</v>
      </c>
      <c r="U697">
        <v>4</v>
      </c>
      <c r="V697">
        <v>1</v>
      </c>
      <c r="W697" t="s">
        <v>42</v>
      </c>
      <c r="X697">
        <v>0</v>
      </c>
    </row>
    <row r="698" spans="1:24" x14ac:dyDescent="0.25">
      <c r="A698">
        <v>1</v>
      </c>
      <c r="B698" s="10">
        <v>591108240206</v>
      </c>
      <c r="C698">
        <v>40</v>
      </c>
      <c r="D698" s="10">
        <v>5952792402</v>
      </c>
      <c r="F698" t="s">
        <v>40</v>
      </c>
      <c r="G698">
        <v>0</v>
      </c>
      <c r="H698">
        <v>100</v>
      </c>
      <c r="K698">
        <v>1</v>
      </c>
      <c r="L698" t="s">
        <v>41</v>
      </c>
      <c r="M698" t="s">
        <v>89</v>
      </c>
      <c r="N698" s="11">
        <v>2958465</v>
      </c>
      <c r="P698">
        <v>0</v>
      </c>
      <c r="U698">
        <v>4</v>
      </c>
      <c r="V698">
        <v>1</v>
      </c>
      <c r="W698" t="s">
        <v>42</v>
      </c>
      <c r="X698">
        <v>0</v>
      </c>
    </row>
    <row r="699" spans="1:24" x14ac:dyDescent="0.25">
      <c r="A699">
        <v>1</v>
      </c>
      <c r="B699" s="10">
        <v>591108240206</v>
      </c>
      <c r="C699">
        <v>50</v>
      </c>
      <c r="D699" s="10">
        <v>59102302</v>
      </c>
      <c r="F699" t="s">
        <v>40</v>
      </c>
      <c r="G699">
        <v>0</v>
      </c>
      <c r="H699">
        <v>100</v>
      </c>
      <c r="K699">
        <v>2</v>
      </c>
      <c r="L699" t="s">
        <v>41</v>
      </c>
      <c r="M699" t="s">
        <v>89</v>
      </c>
      <c r="N699" s="11">
        <v>2958465</v>
      </c>
      <c r="P699">
        <v>0</v>
      </c>
      <c r="U699">
        <v>4</v>
      </c>
      <c r="V699">
        <v>1</v>
      </c>
      <c r="W699" t="s">
        <v>42</v>
      </c>
      <c r="X699">
        <v>0</v>
      </c>
    </row>
    <row r="700" spans="1:24" x14ac:dyDescent="0.25">
      <c r="A700">
        <v>1</v>
      </c>
      <c r="B700" s="10">
        <v>591108240206</v>
      </c>
      <c r="C700">
        <v>60</v>
      </c>
      <c r="D700" s="10">
        <v>12421206</v>
      </c>
      <c r="F700" t="s">
        <v>40</v>
      </c>
      <c r="G700">
        <v>0</v>
      </c>
      <c r="H700">
        <v>100</v>
      </c>
      <c r="K700">
        <v>1</v>
      </c>
      <c r="L700" t="s">
        <v>41</v>
      </c>
      <c r="M700" t="s">
        <v>89</v>
      </c>
      <c r="N700" s="11">
        <v>2958465</v>
      </c>
      <c r="P700">
        <v>0</v>
      </c>
      <c r="U700">
        <v>4</v>
      </c>
      <c r="V700">
        <v>1</v>
      </c>
      <c r="W700" t="s">
        <v>42</v>
      </c>
      <c r="X700">
        <v>0</v>
      </c>
    </row>
    <row r="701" spans="1:24" x14ac:dyDescent="0.25">
      <c r="A701">
        <v>1</v>
      </c>
      <c r="B701" s="10">
        <v>591108240206</v>
      </c>
      <c r="C701">
        <v>70</v>
      </c>
      <c r="D701" s="10">
        <v>5997499</v>
      </c>
      <c r="F701" t="s">
        <v>68</v>
      </c>
      <c r="G701">
        <v>0</v>
      </c>
      <c r="H701">
        <v>100</v>
      </c>
      <c r="K701">
        <v>1</v>
      </c>
      <c r="L701" t="s">
        <v>41</v>
      </c>
      <c r="M701" t="s">
        <v>89</v>
      </c>
      <c r="N701" s="11">
        <v>2958465</v>
      </c>
      <c r="P701">
        <v>0</v>
      </c>
      <c r="U701">
        <v>4</v>
      </c>
      <c r="V701">
        <v>1</v>
      </c>
      <c r="W701" t="s">
        <v>42</v>
      </c>
      <c r="X701">
        <v>0</v>
      </c>
    </row>
    <row r="702" spans="1:24" x14ac:dyDescent="0.25">
      <c r="A702">
        <v>1</v>
      </c>
      <c r="B702" s="10">
        <v>591108240306</v>
      </c>
      <c r="C702">
        <v>10</v>
      </c>
      <c r="D702" s="10">
        <v>5959672103</v>
      </c>
      <c r="F702" t="s">
        <v>40</v>
      </c>
      <c r="G702">
        <v>0</v>
      </c>
      <c r="H702">
        <v>100</v>
      </c>
      <c r="K702">
        <v>1</v>
      </c>
      <c r="L702" t="s">
        <v>41</v>
      </c>
      <c r="M702" t="s">
        <v>89</v>
      </c>
      <c r="N702" s="11">
        <v>2958465</v>
      </c>
      <c r="P702">
        <v>0</v>
      </c>
      <c r="U702">
        <v>4</v>
      </c>
      <c r="V702">
        <v>1</v>
      </c>
      <c r="W702" t="s">
        <v>42</v>
      </c>
      <c r="X702">
        <v>0</v>
      </c>
    </row>
    <row r="703" spans="1:24" x14ac:dyDescent="0.25">
      <c r="A703">
        <v>1</v>
      </c>
      <c r="B703" s="10">
        <v>591108240306</v>
      </c>
      <c r="C703">
        <v>20</v>
      </c>
      <c r="D703" s="10">
        <v>5959692103</v>
      </c>
      <c r="F703" t="s">
        <v>40</v>
      </c>
      <c r="G703">
        <v>0</v>
      </c>
      <c r="H703">
        <v>100</v>
      </c>
      <c r="K703">
        <v>1</v>
      </c>
      <c r="L703" t="s">
        <v>41</v>
      </c>
      <c r="M703" t="s">
        <v>89</v>
      </c>
      <c r="N703" s="11">
        <v>2958465</v>
      </c>
      <c r="P703">
        <v>0</v>
      </c>
      <c r="U703">
        <v>4</v>
      </c>
      <c r="V703">
        <v>1</v>
      </c>
      <c r="W703" t="s">
        <v>42</v>
      </c>
      <c r="X703">
        <v>0</v>
      </c>
    </row>
    <row r="704" spans="1:24" x14ac:dyDescent="0.25">
      <c r="A704">
        <v>1</v>
      </c>
      <c r="B704" s="10">
        <v>591108240306</v>
      </c>
      <c r="C704">
        <v>30</v>
      </c>
      <c r="D704" s="10">
        <v>5952482103</v>
      </c>
      <c r="F704" t="s">
        <v>40</v>
      </c>
      <c r="G704">
        <v>0</v>
      </c>
      <c r="H704">
        <v>100</v>
      </c>
      <c r="K704">
        <v>1</v>
      </c>
      <c r="L704" t="s">
        <v>41</v>
      </c>
      <c r="M704" t="s">
        <v>89</v>
      </c>
      <c r="N704" s="11">
        <v>2958465</v>
      </c>
      <c r="P704">
        <v>0</v>
      </c>
      <c r="U704">
        <v>4</v>
      </c>
      <c r="V704">
        <v>1</v>
      </c>
      <c r="W704" t="s">
        <v>42</v>
      </c>
      <c r="X704">
        <v>0</v>
      </c>
    </row>
    <row r="705" spans="1:24" x14ac:dyDescent="0.25">
      <c r="A705">
        <v>1</v>
      </c>
      <c r="B705" s="10">
        <v>591108240306</v>
      </c>
      <c r="C705">
        <v>40</v>
      </c>
      <c r="D705" s="10">
        <v>5952792403</v>
      </c>
      <c r="F705" t="s">
        <v>40</v>
      </c>
      <c r="G705">
        <v>0</v>
      </c>
      <c r="H705">
        <v>100</v>
      </c>
      <c r="K705">
        <v>1</v>
      </c>
      <c r="L705" t="s">
        <v>41</v>
      </c>
      <c r="M705" t="s">
        <v>89</v>
      </c>
      <c r="N705" s="11">
        <v>2958465</v>
      </c>
      <c r="P705">
        <v>0</v>
      </c>
      <c r="U705">
        <v>4</v>
      </c>
      <c r="V705">
        <v>1</v>
      </c>
      <c r="W705" t="s">
        <v>42</v>
      </c>
      <c r="X705">
        <v>0</v>
      </c>
    </row>
    <row r="706" spans="1:24" x14ac:dyDescent="0.25">
      <c r="A706">
        <v>1</v>
      </c>
      <c r="B706" s="10">
        <v>591108240306</v>
      </c>
      <c r="C706">
        <v>50</v>
      </c>
      <c r="D706" s="10">
        <v>59102303</v>
      </c>
      <c r="F706" t="s">
        <v>40</v>
      </c>
      <c r="G706">
        <v>0</v>
      </c>
      <c r="H706">
        <v>100</v>
      </c>
      <c r="K706">
        <v>2</v>
      </c>
      <c r="L706" t="s">
        <v>41</v>
      </c>
      <c r="M706" t="s">
        <v>89</v>
      </c>
      <c r="N706" s="11">
        <v>2958465</v>
      </c>
      <c r="P706">
        <v>0</v>
      </c>
      <c r="U706">
        <v>4</v>
      </c>
      <c r="V706">
        <v>1</v>
      </c>
      <c r="W706" t="s">
        <v>42</v>
      </c>
      <c r="X706">
        <v>0</v>
      </c>
    </row>
    <row r="707" spans="1:24" x14ac:dyDescent="0.25">
      <c r="A707">
        <v>1</v>
      </c>
      <c r="B707" s="10">
        <v>591108240306</v>
      </c>
      <c r="C707">
        <v>60</v>
      </c>
      <c r="D707" s="10">
        <v>12421206</v>
      </c>
      <c r="F707" t="s">
        <v>40</v>
      </c>
      <c r="G707">
        <v>0</v>
      </c>
      <c r="H707">
        <v>100</v>
      </c>
      <c r="K707">
        <v>1</v>
      </c>
      <c r="L707" t="s">
        <v>41</v>
      </c>
      <c r="M707" t="s">
        <v>89</v>
      </c>
      <c r="N707" s="11">
        <v>2958465</v>
      </c>
      <c r="P707">
        <v>0</v>
      </c>
      <c r="U707">
        <v>4</v>
      </c>
      <c r="V707">
        <v>1</v>
      </c>
      <c r="W707" t="s">
        <v>42</v>
      </c>
      <c r="X707">
        <v>0</v>
      </c>
    </row>
    <row r="708" spans="1:24" x14ac:dyDescent="0.25">
      <c r="A708">
        <v>1</v>
      </c>
      <c r="B708" s="10">
        <v>591108240306</v>
      </c>
      <c r="C708">
        <v>70</v>
      </c>
      <c r="D708" s="10">
        <v>5997499</v>
      </c>
      <c r="F708" t="s">
        <v>68</v>
      </c>
      <c r="G708">
        <v>0</v>
      </c>
      <c r="H708">
        <v>100</v>
      </c>
      <c r="K708">
        <v>1</v>
      </c>
      <c r="L708" t="s">
        <v>41</v>
      </c>
      <c r="M708" t="s">
        <v>89</v>
      </c>
      <c r="N708" s="11">
        <v>2958465</v>
      </c>
      <c r="P708">
        <v>0</v>
      </c>
      <c r="U708">
        <v>4</v>
      </c>
      <c r="V708">
        <v>1</v>
      </c>
      <c r="W708" t="s">
        <v>42</v>
      </c>
      <c r="X708">
        <v>0</v>
      </c>
    </row>
    <row r="709" spans="1:24" x14ac:dyDescent="0.25">
      <c r="A709">
        <v>1</v>
      </c>
      <c r="B709" s="10">
        <v>591108240406</v>
      </c>
      <c r="C709">
        <v>10</v>
      </c>
      <c r="D709" s="10">
        <v>5959672104</v>
      </c>
      <c r="F709" t="s">
        <v>40</v>
      </c>
      <c r="G709">
        <v>0</v>
      </c>
      <c r="H709">
        <v>100</v>
      </c>
      <c r="K709">
        <v>1</v>
      </c>
      <c r="L709" t="s">
        <v>41</v>
      </c>
      <c r="M709" t="s">
        <v>89</v>
      </c>
      <c r="N709" s="11">
        <v>2958465</v>
      </c>
      <c r="P709">
        <v>0</v>
      </c>
      <c r="U709">
        <v>4</v>
      </c>
      <c r="V709">
        <v>1</v>
      </c>
      <c r="W709" t="s">
        <v>42</v>
      </c>
      <c r="X709">
        <v>0</v>
      </c>
    </row>
    <row r="710" spans="1:24" x14ac:dyDescent="0.25">
      <c r="A710">
        <v>1</v>
      </c>
      <c r="B710" s="10">
        <v>591108240406</v>
      </c>
      <c r="C710">
        <v>20</v>
      </c>
      <c r="D710" s="10">
        <v>5959692104</v>
      </c>
      <c r="F710" t="s">
        <v>40</v>
      </c>
      <c r="G710">
        <v>0</v>
      </c>
      <c r="H710">
        <v>100</v>
      </c>
      <c r="K710">
        <v>1</v>
      </c>
      <c r="L710" t="s">
        <v>41</v>
      </c>
      <c r="M710" t="s">
        <v>89</v>
      </c>
      <c r="N710" s="11">
        <v>2958465</v>
      </c>
      <c r="P710">
        <v>0</v>
      </c>
      <c r="U710">
        <v>4</v>
      </c>
      <c r="V710">
        <v>1</v>
      </c>
      <c r="W710" t="s">
        <v>42</v>
      </c>
      <c r="X710">
        <v>0</v>
      </c>
    </row>
    <row r="711" spans="1:24" x14ac:dyDescent="0.25">
      <c r="A711">
        <v>1</v>
      </c>
      <c r="B711" s="10">
        <v>591108240406</v>
      </c>
      <c r="C711">
        <v>30</v>
      </c>
      <c r="D711" s="10">
        <v>5952482104</v>
      </c>
      <c r="F711" t="s">
        <v>40</v>
      </c>
      <c r="G711">
        <v>0</v>
      </c>
      <c r="H711">
        <v>100</v>
      </c>
      <c r="K711">
        <v>1</v>
      </c>
      <c r="L711" t="s">
        <v>41</v>
      </c>
      <c r="M711" t="s">
        <v>89</v>
      </c>
      <c r="N711" s="11">
        <v>2958465</v>
      </c>
      <c r="P711">
        <v>0</v>
      </c>
      <c r="U711">
        <v>4</v>
      </c>
      <c r="V711">
        <v>1</v>
      </c>
      <c r="W711" t="s">
        <v>42</v>
      </c>
      <c r="X711">
        <v>0</v>
      </c>
    </row>
    <row r="712" spans="1:24" x14ac:dyDescent="0.25">
      <c r="A712">
        <v>1</v>
      </c>
      <c r="B712" s="10">
        <v>591108240406</v>
      </c>
      <c r="C712">
        <v>40</v>
      </c>
      <c r="D712" s="10">
        <v>5952792404</v>
      </c>
      <c r="F712" t="s">
        <v>40</v>
      </c>
      <c r="G712">
        <v>0</v>
      </c>
      <c r="H712">
        <v>100</v>
      </c>
      <c r="K712">
        <v>1</v>
      </c>
      <c r="L712" t="s">
        <v>41</v>
      </c>
      <c r="M712" t="s">
        <v>89</v>
      </c>
      <c r="N712" s="11">
        <v>2958465</v>
      </c>
      <c r="P712">
        <v>0</v>
      </c>
      <c r="U712">
        <v>4</v>
      </c>
      <c r="V712">
        <v>1</v>
      </c>
      <c r="W712" t="s">
        <v>42</v>
      </c>
      <c r="X712">
        <v>0</v>
      </c>
    </row>
    <row r="713" spans="1:24" x14ac:dyDescent="0.25">
      <c r="A713">
        <v>1</v>
      </c>
      <c r="B713" s="10">
        <v>591108240406</v>
      </c>
      <c r="C713">
        <v>50</v>
      </c>
      <c r="D713" s="10">
        <v>59102304</v>
      </c>
      <c r="F713" t="s">
        <v>40</v>
      </c>
      <c r="G713">
        <v>0</v>
      </c>
      <c r="H713">
        <v>100</v>
      </c>
      <c r="K713">
        <v>2</v>
      </c>
      <c r="L713" t="s">
        <v>41</v>
      </c>
      <c r="M713" t="s">
        <v>89</v>
      </c>
      <c r="N713" s="11">
        <v>2958465</v>
      </c>
      <c r="P713">
        <v>0</v>
      </c>
      <c r="U713">
        <v>4</v>
      </c>
      <c r="V713">
        <v>1</v>
      </c>
      <c r="W713" t="s">
        <v>42</v>
      </c>
      <c r="X713">
        <v>0</v>
      </c>
    </row>
    <row r="714" spans="1:24" x14ac:dyDescent="0.25">
      <c r="A714">
        <v>1</v>
      </c>
      <c r="B714" s="10">
        <v>591108240406</v>
      </c>
      <c r="C714">
        <v>60</v>
      </c>
      <c r="D714" s="10">
        <v>12421206</v>
      </c>
      <c r="F714" t="s">
        <v>40</v>
      </c>
      <c r="G714">
        <v>0</v>
      </c>
      <c r="H714">
        <v>100</v>
      </c>
      <c r="K714">
        <v>1</v>
      </c>
      <c r="L714" t="s">
        <v>41</v>
      </c>
      <c r="M714" t="s">
        <v>89</v>
      </c>
      <c r="N714" s="11">
        <v>2958465</v>
      </c>
      <c r="P714">
        <v>0</v>
      </c>
      <c r="U714">
        <v>4</v>
      </c>
      <c r="V714">
        <v>1</v>
      </c>
      <c r="W714" t="s">
        <v>42</v>
      </c>
      <c r="X714">
        <v>0</v>
      </c>
    </row>
    <row r="715" spans="1:24" x14ac:dyDescent="0.25">
      <c r="A715">
        <v>1</v>
      </c>
      <c r="B715" s="10">
        <v>591108240406</v>
      </c>
      <c r="C715">
        <v>70</v>
      </c>
      <c r="D715" s="10">
        <v>5997499</v>
      </c>
      <c r="F715" t="s">
        <v>68</v>
      </c>
      <c r="G715">
        <v>0</v>
      </c>
      <c r="H715">
        <v>100</v>
      </c>
      <c r="K715">
        <v>1</v>
      </c>
      <c r="L715" t="s">
        <v>41</v>
      </c>
      <c r="M715" t="s">
        <v>89</v>
      </c>
      <c r="N715" s="11">
        <v>2958465</v>
      </c>
      <c r="P715">
        <v>0</v>
      </c>
      <c r="U715">
        <v>4</v>
      </c>
      <c r="V715">
        <v>1</v>
      </c>
      <c r="W715" t="s">
        <v>42</v>
      </c>
      <c r="X715">
        <v>0</v>
      </c>
    </row>
    <row r="716" spans="1:24" x14ac:dyDescent="0.25">
      <c r="A716">
        <v>1</v>
      </c>
      <c r="B716" s="10">
        <v>591108240506</v>
      </c>
      <c r="C716">
        <v>10</v>
      </c>
      <c r="D716" s="10">
        <v>5959672105</v>
      </c>
      <c r="F716" t="s">
        <v>40</v>
      </c>
      <c r="G716">
        <v>0</v>
      </c>
      <c r="H716">
        <v>100</v>
      </c>
      <c r="K716">
        <v>1</v>
      </c>
      <c r="L716" t="s">
        <v>41</v>
      </c>
      <c r="M716" t="s">
        <v>89</v>
      </c>
      <c r="N716" s="11">
        <v>2958465</v>
      </c>
      <c r="P716">
        <v>0</v>
      </c>
      <c r="U716">
        <v>4</v>
      </c>
      <c r="V716">
        <v>1</v>
      </c>
      <c r="W716" t="s">
        <v>42</v>
      </c>
      <c r="X716">
        <v>0</v>
      </c>
    </row>
    <row r="717" spans="1:24" x14ac:dyDescent="0.25">
      <c r="A717">
        <v>1</v>
      </c>
      <c r="B717" s="10">
        <v>591108240506</v>
      </c>
      <c r="C717">
        <v>20</v>
      </c>
      <c r="D717" s="10">
        <v>5959692105</v>
      </c>
      <c r="F717" t="s">
        <v>40</v>
      </c>
      <c r="G717">
        <v>0</v>
      </c>
      <c r="H717">
        <v>100</v>
      </c>
      <c r="K717">
        <v>1</v>
      </c>
      <c r="L717" t="s">
        <v>41</v>
      </c>
      <c r="M717" t="s">
        <v>89</v>
      </c>
      <c r="N717" s="11">
        <v>2958465</v>
      </c>
      <c r="P717">
        <v>0</v>
      </c>
      <c r="U717">
        <v>4</v>
      </c>
      <c r="V717">
        <v>1</v>
      </c>
      <c r="W717" t="s">
        <v>42</v>
      </c>
      <c r="X717">
        <v>0</v>
      </c>
    </row>
    <row r="718" spans="1:24" x14ac:dyDescent="0.25">
      <c r="A718">
        <v>1</v>
      </c>
      <c r="B718" s="10">
        <v>591108240506</v>
      </c>
      <c r="C718">
        <v>30</v>
      </c>
      <c r="D718" s="10">
        <v>5952482105</v>
      </c>
      <c r="F718" t="s">
        <v>40</v>
      </c>
      <c r="G718">
        <v>0</v>
      </c>
      <c r="H718">
        <v>100</v>
      </c>
      <c r="K718">
        <v>1</v>
      </c>
      <c r="L718" t="s">
        <v>41</v>
      </c>
      <c r="M718" t="s">
        <v>89</v>
      </c>
      <c r="N718" s="11">
        <v>2958465</v>
      </c>
      <c r="P718">
        <v>0</v>
      </c>
      <c r="U718">
        <v>4</v>
      </c>
      <c r="V718">
        <v>1</v>
      </c>
      <c r="W718" t="s">
        <v>42</v>
      </c>
      <c r="X718">
        <v>0</v>
      </c>
    </row>
    <row r="719" spans="1:24" x14ac:dyDescent="0.25">
      <c r="A719">
        <v>1</v>
      </c>
      <c r="B719" s="10">
        <v>591108240506</v>
      </c>
      <c r="C719">
        <v>40</v>
      </c>
      <c r="D719" s="10">
        <v>5952792405</v>
      </c>
      <c r="F719" t="s">
        <v>40</v>
      </c>
      <c r="G719">
        <v>0</v>
      </c>
      <c r="H719">
        <v>100</v>
      </c>
      <c r="K719">
        <v>1</v>
      </c>
      <c r="L719" t="s">
        <v>41</v>
      </c>
      <c r="M719" t="s">
        <v>89</v>
      </c>
      <c r="N719" s="11">
        <v>2958465</v>
      </c>
      <c r="P719">
        <v>0</v>
      </c>
      <c r="U719">
        <v>4</v>
      </c>
      <c r="V719">
        <v>1</v>
      </c>
      <c r="W719" t="s">
        <v>42</v>
      </c>
      <c r="X719">
        <v>0</v>
      </c>
    </row>
    <row r="720" spans="1:24" x14ac:dyDescent="0.25">
      <c r="A720">
        <v>1</v>
      </c>
      <c r="B720" s="10">
        <v>591108240506</v>
      </c>
      <c r="C720">
        <v>50</v>
      </c>
      <c r="D720" s="10">
        <v>59102305</v>
      </c>
      <c r="F720" t="s">
        <v>40</v>
      </c>
      <c r="G720">
        <v>0</v>
      </c>
      <c r="H720">
        <v>100</v>
      </c>
      <c r="K720">
        <v>2</v>
      </c>
      <c r="L720" t="s">
        <v>41</v>
      </c>
      <c r="M720" t="s">
        <v>89</v>
      </c>
      <c r="N720" s="11">
        <v>2958465</v>
      </c>
      <c r="P720">
        <v>0</v>
      </c>
      <c r="U720">
        <v>4</v>
      </c>
      <c r="V720">
        <v>1</v>
      </c>
      <c r="W720" t="s">
        <v>42</v>
      </c>
      <c r="X720">
        <v>0</v>
      </c>
    </row>
    <row r="721" spans="1:24" x14ac:dyDescent="0.25">
      <c r="A721">
        <v>1</v>
      </c>
      <c r="B721" s="10">
        <v>591108240506</v>
      </c>
      <c r="C721">
        <v>60</v>
      </c>
      <c r="D721" s="10">
        <v>12421206</v>
      </c>
      <c r="F721" t="s">
        <v>40</v>
      </c>
      <c r="G721">
        <v>0</v>
      </c>
      <c r="H721">
        <v>100</v>
      </c>
      <c r="K721">
        <v>1</v>
      </c>
      <c r="L721" t="s">
        <v>41</v>
      </c>
      <c r="M721" t="s">
        <v>89</v>
      </c>
      <c r="N721" s="11">
        <v>2958465</v>
      </c>
      <c r="P721">
        <v>0</v>
      </c>
      <c r="U721">
        <v>4</v>
      </c>
      <c r="V721">
        <v>1</v>
      </c>
      <c r="W721" t="s">
        <v>42</v>
      </c>
      <c r="X721">
        <v>0</v>
      </c>
    </row>
    <row r="722" spans="1:24" x14ac:dyDescent="0.25">
      <c r="A722">
        <v>1</v>
      </c>
      <c r="B722" s="10">
        <v>591108240506</v>
      </c>
      <c r="C722">
        <v>70</v>
      </c>
      <c r="D722" s="10">
        <v>5997499</v>
      </c>
      <c r="F722" t="s">
        <v>68</v>
      </c>
      <c r="G722">
        <v>0</v>
      </c>
      <c r="H722">
        <v>100</v>
      </c>
      <c r="K722">
        <v>1</v>
      </c>
      <c r="L722" t="s">
        <v>41</v>
      </c>
      <c r="M722" t="s">
        <v>89</v>
      </c>
      <c r="N722" s="11">
        <v>2958465</v>
      </c>
      <c r="P722">
        <v>0</v>
      </c>
      <c r="U722">
        <v>4</v>
      </c>
      <c r="V722">
        <v>1</v>
      </c>
      <c r="W722" t="s">
        <v>42</v>
      </c>
      <c r="X722">
        <v>0</v>
      </c>
    </row>
    <row r="723" spans="1:24" x14ac:dyDescent="0.25">
      <c r="A723">
        <v>1</v>
      </c>
      <c r="B723" s="10">
        <v>591108240606</v>
      </c>
      <c r="C723">
        <v>10</v>
      </c>
      <c r="D723" s="10">
        <v>5959672106</v>
      </c>
      <c r="F723" t="s">
        <v>40</v>
      </c>
      <c r="G723">
        <v>0</v>
      </c>
      <c r="H723">
        <v>100</v>
      </c>
      <c r="K723">
        <v>1</v>
      </c>
      <c r="L723" t="s">
        <v>41</v>
      </c>
      <c r="M723" t="s">
        <v>89</v>
      </c>
      <c r="N723" s="11">
        <v>2958465</v>
      </c>
      <c r="P723">
        <v>0</v>
      </c>
      <c r="U723">
        <v>4</v>
      </c>
      <c r="V723">
        <v>1</v>
      </c>
      <c r="W723" t="s">
        <v>42</v>
      </c>
      <c r="X723">
        <v>0</v>
      </c>
    </row>
    <row r="724" spans="1:24" x14ac:dyDescent="0.25">
      <c r="A724">
        <v>1</v>
      </c>
      <c r="B724" s="10">
        <v>591108240606</v>
      </c>
      <c r="C724">
        <v>20</v>
      </c>
      <c r="D724" s="10">
        <v>5959692106</v>
      </c>
      <c r="F724" t="s">
        <v>40</v>
      </c>
      <c r="G724">
        <v>0</v>
      </c>
      <c r="H724">
        <v>100</v>
      </c>
      <c r="K724">
        <v>1</v>
      </c>
      <c r="L724" t="s">
        <v>41</v>
      </c>
      <c r="M724" t="s">
        <v>89</v>
      </c>
      <c r="N724" s="11">
        <v>2958465</v>
      </c>
      <c r="P724">
        <v>0</v>
      </c>
      <c r="U724">
        <v>4</v>
      </c>
      <c r="V724">
        <v>1</v>
      </c>
      <c r="W724" t="s">
        <v>42</v>
      </c>
      <c r="X724">
        <v>0</v>
      </c>
    </row>
    <row r="725" spans="1:24" x14ac:dyDescent="0.25">
      <c r="A725">
        <v>1</v>
      </c>
      <c r="B725" s="10">
        <v>591108240606</v>
      </c>
      <c r="C725">
        <v>30</v>
      </c>
      <c r="D725" s="10">
        <v>5952482106</v>
      </c>
      <c r="F725" t="s">
        <v>40</v>
      </c>
      <c r="G725">
        <v>0</v>
      </c>
      <c r="H725">
        <v>100</v>
      </c>
      <c r="K725">
        <v>1</v>
      </c>
      <c r="L725" t="s">
        <v>41</v>
      </c>
      <c r="M725" t="s">
        <v>89</v>
      </c>
      <c r="N725" s="11">
        <v>2958465</v>
      </c>
      <c r="P725">
        <v>0</v>
      </c>
      <c r="U725">
        <v>4</v>
      </c>
      <c r="V725">
        <v>1</v>
      </c>
      <c r="W725" t="s">
        <v>42</v>
      </c>
      <c r="X725">
        <v>0</v>
      </c>
    </row>
    <row r="726" spans="1:24" x14ac:dyDescent="0.25">
      <c r="A726">
        <v>1</v>
      </c>
      <c r="B726" s="10">
        <v>591108240606</v>
      </c>
      <c r="C726">
        <v>40</v>
      </c>
      <c r="D726" s="10">
        <v>5952792406</v>
      </c>
      <c r="F726" t="s">
        <v>40</v>
      </c>
      <c r="G726">
        <v>0</v>
      </c>
      <c r="H726">
        <v>100</v>
      </c>
      <c r="K726">
        <v>1</v>
      </c>
      <c r="L726" t="s">
        <v>41</v>
      </c>
      <c r="M726" t="s">
        <v>89</v>
      </c>
      <c r="N726" s="11">
        <v>2958465</v>
      </c>
      <c r="P726">
        <v>0</v>
      </c>
      <c r="U726">
        <v>4</v>
      </c>
      <c r="V726">
        <v>1</v>
      </c>
      <c r="W726" t="s">
        <v>42</v>
      </c>
      <c r="X726">
        <v>0</v>
      </c>
    </row>
    <row r="727" spans="1:24" x14ac:dyDescent="0.25">
      <c r="A727">
        <v>1</v>
      </c>
      <c r="B727" s="10">
        <v>591108240606</v>
      </c>
      <c r="C727">
        <v>50</v>
      </c>
      <c r="D727" s="10">
        <v>59102306</v>
      </c>
      <c r="F727" t="s">
        <v>40</v>
      </c>
      <c r="G727">
        <v>0</v>
      </c>
      <c r="H727">
        <v>100</v>
      </c>
      <c r="K727">
        <v>2</v>
      </c>
      <c r="L727" t="s">
        <v>41</v>
      </c>
      <c r="M727" t="s">
        <v>89</v>
      </c>
      <c r="N727" s="11">
        <v>2958465</v>
      </c>
      <c r="P727">
        <v>0</v>
      </c>
      <c r="U727">
        <v>4</v>
      </c>
      <c r="V727">
        <v>1</v>
      </c>
      <c r="W727" t="s">
        <v>42</v>
      </c>
      <c r="X727">
        <v>0</v>
      </c>
    </row>
    <row r="728" spans="1:24" x14ac:dyDescent="0.25">
      <c r="A728">
        <v>1</v>
      </c>
      <c r="B728" s="10">
        <v>591108240606</v>
      </c>
      <c r="C728">
        <v>60</v>
      </c>
      <c r="D728" s="10">
        <v>12421206</v>
      </c>
      <c r="F728" t="s">
        <v>40</v>
      </c>
      <c r="G728">
        <v>0</v>
      </c>
      <c r="H728">
        <v>100</v>
      </c>
      <c r="K728">
        <v>1</v>
      </c>
      <c r="L728" t="s">
        <v>41</v>
      </c>
      <c r="M728" t="s">
        <v>89</v>
      </c>
      <c r="N728" s="11">
        <v>2958465</v>
      </c>
      <c r="P728">
        <v>0</v>
      </c>
      <c r="U728">
        <v>4</v>
      </c>
      <c r="V728">
        <v>1</v>
      </c>
      <c r="W728" t="s">
        <v>42</v>
      </c>
      <c r="X728">
        <v>0</v>
      </c>
    </row>
    <row r="729" spans="1:24" x14ac:dyDescent="0.25">
      <c r="A729">
        <v>1</v>
      </c>
      <c r="B729" s="10">
        <v>591108240606</v>
      </c>
      <c r="C729">
        <v>70</v>
      </c>
      <c r="D729" s="10">
        <v>5997499</v>
      </c>
      <c r="F729" t="s">
        <v>68</v>
      </c>
      <c r="G729">
        <v>0</v>
      </c>
      <c r="H729">
        <v>100</v>
      </c>
      <c r="K729">
        <v>1</v>
      </c>
      <c r="L729" t="s">
        <v>41</v>
      </c>
      <c r="M729" t="s">
        <v>89</v>
      </c>
      <c r="N729" s="11">
        <v>2958465</v>
      </c>
      <c r="P729">
        <v>0</v>
      </c>
      <c r="U729">
        <v>4</v>
      </c>
      <c r="V729">
        <v>1</v>
      </c>
      <c r="W729" t="s">
        <v>42</v>
      </c>
      <c r="X729">
        <v>0</v>
      </c>
    </row>
    <row r="730" spans="1:24" x14ac:dyDescent="0.25">
      <c r="A730">
        <v>1</v>
      </c>
      <c r="B730" s="10">
        <v>591108240706</v>
      </c>
      <c r="C730">
        <v>10</v>
      </c>
      <c r="D730" s="10">
        <v>5959672107</v>
      </c>
      <c r="F730" t="s">
        <v>40</v>
      </c>
      <c r="G730">
        <v>0</v>
      </c>
      <c r="H730">
        <v>100</v>
      </c>
      <c r="K730">
        <v>1</v>
      </c>
      <c r="L730" t="s">
        <v>41</v>
      </c>
      <c r="M730" t="s">
        <v>89</v>
      </c>
      <c r="N730" s="11">
        <v>2958465</v>
      </c>
      <c r="P730">
        <v>0</v>
      </c>
      <c r="U730">
        <v>4</v>
      </c>
      <c r="V730">
        <v>1</v>
      </c>
      <c r="W730" t="s">
        <v>42</v>
      </c>
      <c r="X730">
        <v>0</v>
      </c>
    </row>
    <row r="731" spans="1:24" x14ac:dyDescent="0.25">
      <c r="A731">
        <v>1</v>
      </c>
      <c r="B731" s="10">
        <v>591108240706</v>
      </c>
      <c r="C731">
        <v>20</v>
      </c>
      <c r="D731" s="10">
        <v>5959692107</v>
      </c>
      <c r="F731" t="s">
        <v>40</v>
      </c>
      <c r="G731">
        <v>0</v>
      </c>
      <c r="H731">
        <v>100</v>
      </c>
      <c r="K731">
        <v>1</v>
      </c>
      <c r="L731" t="s">
        <v>41</v>
      </c>
      <c r="M731" t="s">
        <v>89</v>
      </c>
      <c r="N731" s="11">
        <v>2958465</v>
      </c>
      <c r="P731">
        <v>0</v>
      </c>
      <c r="U731">
        <v>4</v>
      </c>
      <c r="V731">
        <v>1</v>
      </c>
      <c r="W731" t="s">
        <v>42</v>
      </c>
      <c r="X731">
        <v>0</v>
      </c>
    </row>
    <row r="732" spans="1:24" x14ac:dyDescent="0.25">
      <c r="A732">
        <v>1</v>
      </c>
      <c r="B732" s="10">
        <v>591108240706</v>
      </c>
      <c r="C732">
        <v>30</v>
      </c>
      <c r="D732" s="10">
        <v>5952482107</v>
      </c>
      <c r="F732" t="s">
        <v>40</v>
      </c>
      <c r="G732">
        <v>0</v>
      </c>
      <c r="H732">
        <v>100</v>
      </c>
      <c r="K732">
        <v>1</v>
      </c>
      <c r="L732" t="s">
        <v>41</v>
      </c>
      <c r="M732" t="s">
        <v>89</v>
      </c>
      <c r="N732" s="11">
        <v>2958465</v>
      </c>
      <c r="P732">
        <v>0</v>
      </c>
      <c r="U732">
        <v>4</v>
      </c>
      <c r="V732">
        <v>1</v>
      </c>
      <c r="W732" t="s">
        <v>42</v>
      </c>
      <c r="X732">
        <v>0</v>
      </c>
    </row>
    <row r="733" spans="1:24" x14ac:dyDescent="0.25">
      <c r="A733">
        <v>1</v>
      </c>
      <c r="B733" s="10">
        <v>591108240706</v>
      </c>
      <c r="C733">
        <v>40</v>
      </c>
      <c r="D733" s="10">
        <v>5952792407</v>
      </c>
      <c r="F733" t="s">
        <v>40</v>
      </c>
      <c r="G733">
        <v>0</v>
      </c>
      <c r="H733">
        <v>100</v>
      </c>
      <c r="K733">
        <v>1</v>
      </c>
      <c r="L733" t="s">
        <v>41</v>
      </c>
      <c r="M733" t="s">
        <v>89</v>
      </c>
      <c r="N733" s="11">
        <v>2958465</v>
      </c>
      <c r="P733">
        <v>0</v>
      </c>
      <c r="U733">
        <v>4</v>
      </c>
      <c r="V733">
        <v>1</v>
      </c>
      <c r="W733" t="s">
        <v>42</v>
      </c>
      <c r="X733">
        <v>0</v>
      </c>
    </row>
    <row r="734" spans="1:24" x14ac:dyDescent="0.25">
      <c r="A734">
        <v>1</v>
      </c>
      <c r="B734" s="10">
        <v>591108240706</v>
      </c>
      <c r="C734">
        <v>50</v>
      </c>
      <c r="D734" s="10">
        <v>59102307</v>
      </c>
      <c r="F734" t="s">
        <v>40</v>
      </c>
      <c r="G734">
        <v>0</v>
      </c>
      <c r="H734">
        <v>100</v>
      </c>
      <c r="K734">
        <v>2</v>
      </c>
      <c r="L734" t="s">
        <v>41</v>
      </c>
      <c r="M734" t="s">
        <v>89</v>
      </c>
      <c r="N734" s="11">
        <v>2958465</v>
      </c>
      <c r="P734">
        <v>0</v>
      </c>
      <c r="U734">
        <v>4</v>
      </c>
      <c r="V734">
        <v>1</v>
      </c>
      <c r="W734" t="s">
        <v>42</v>
      </c>
      <c r="X734">
        <v>0</v>
      </c>
    </row>
    <row r="735" spans="1:24" x14ac:dyDescent="0.25">
      <c r="A735">
        <v>1</v>
      </c>
      <c r="B735" s="10">
        <v>591108240706</v>
      </c>
      <c r="C735">
        <v>60</v>
      </c>
      <c r="D735" s="10">
        <v>12421206</v>
      </c>
      <c r="F735" t="s">
        <v>40</v>
      </c>
      <c r="G735">
        <v>0</v>
      </c>
      <c r="H735">
        <v>100</v>
      </c>
      <c r="K735">
        <v>1</v>
      </c>
      <c r="L735" t="s">
        <v>41</v>
      </c>
      <c r="M735" t="s">
        <v>89</v>
      </c>
      <c r="N735" s="11">
        <v>2958465</v>
      </c>
      <c r="P735">
        <v>0</v>
      </c>
      <c r="U735">
        <v>4</v>
      </c>
      <c r="V735">
        <v>1</v>
      </c>
      <c r="W735" t="s">
        <v>42</v>
      </c>
      <c r="X735">
        <v>0</v>
      </c>
    </row>
    <row r="736" spans="1:24" x14ac:dyDescent="0.25">
      <c r="A736">
        <v>1</v>
      </c>
      <c r="B736" s="10">
        <v>591108240706</v>
      </c>
      <c r="C736">
        <v>70</v>
      </c>
      <c r="D736" s="10">
        <v>5997499</v>
      </c>
      <c r="F736" t="s">
        <v>68</v>
      </c>
      <c r="G736">
        <v>0</v>
      </c>
      <c r="H736">
        <v>100</v>
      </c>
      <c r="K736">
        <v>1</v>
      </c>
      <c r="L736" t="s">
        <v>41</v>
      </c>
      <c r="M736" t="s">
        <v>89</v>
      </c>
      <c r="N736" s="11">
        <v>2958465</v>
      </c>
      <c r="P736">
        <v>0</v>
      </c>
      <c r="U736">
        <v>4</v>
      </c>
      <c r="V736">
        <v>1</v>
      </c>
      <c r="W736" t="s">
        <v>42</v>
      </c>
      <c r="X736">
        <v>0</v>
      </c>
    </row>
    <row r="737" spans="1:24" x14ac:dyDescent="0.25">
      <c r="A737">
        <v>1</v>
      </c>
      <c r="B737" s="10">
        <v>591108240806</v>
      </c>
      <c r="C737">
        <v>10</v>
      </c>
      <c r="D737" s="10">
        <v>5959672108</v>
      </c>
      <c r="F737" t="s">
        <v>40</v>
      </c>
      <c r="G737">
        <v>0</v>
      </c>
      <c r="H737">
        <v>100</v>
      </c>
      <c r="K737">
        <v>1</v>
      </c>
      <c r="L737" t="s">
        <v>41</v>
      </c>
      <c r="M737" t="s">
        <v>89</v>
      </c>
      <c r="N737" s="11">
        <v>2958465</v>
      </c>
      <c r="P737">
        <v>0</v>
      </c>
      <c r="U737">
        <v>4</v>
      </c>
      <c r="V737">
        <v>1</v>
      </c>
      <c r="W737" t="s">
        <v>42</v>
      </c>
      <c r="X737">
        <v>0</v>
      </c>
    </row>
    <row r="738" spans="1:24" x14ac:dyDescent="0.25">
      <c r="A738">
        <v>1</v>
      </c>
      <c r="B738" s="10">
        <v>591108240806</v>
      </c>
      <c r="C738">
        <v>20</v>
      </c>
      <c r="D738" s="10">
        <v>5959692108</v>
      </c>
      <c r="F738" t="s">
        <v>40</v>
      </c>
      <c r="G738">
        <v>0</v>
      </c>
      <c r="H738">
        <v>100</v>
      </c>
      <c r="K738">
        <v>1</v>
      </c>
      <c r="L738" t="s">
        <v>41</v>
      </c>
      <c r="M738" t="s">
        <v>89</v>
      </c>
      <c r="N738" s="11">
        <v>2958465</v>
      </c>
      <c r="P738">
        <v>0</v>
      </c>
      <c r="U738">
        <v>4</v>
      </c>
      <c r="V738">
        <v>1</v>
      </c>
      <c r="W738" t="s">
        <v>42</v>
      </c>
      <c r="X738">
        <v>0</v>
      </c>
    </row>
    <row r="739" spans="1:24" x14ac:dyDescent="0.25">
      <c r="A739">
        <v>1</v>
      </c>
      <c r="B739" s="10">
        <v>591108240806</v>
      </c>
      <c r="C739">
        <v>30</v>
      </c>
      <c r="D739" s="10">
        <v>5952482108</v>
      </c>
      <c r="F739" t="s">
        <v>40</v>
      </c>
      <c r="G739">
        <v>0</v>
      </c>
      <c r="H739">
        <v>100</v>
      </c>
      <c r="K739">
        <v>1</v>
      </c>
      <c r="L739" t="s">
        <v>41</v>
      </c>
      <c r="M739" t="s">
        <v>89</v>
      </c>
      <c r="N739" s="11">
        <v>2958465</v>
      </c>
      <c r="P739">
        <v>0</v>
      </c>
      <c r="U739">
        <v>4</v>
      </c>
      <c r="V739">
        <v>1</v>
      </c>
      <c r="W739" t="s">
        <v>42</v>
      </c>
      <c r="X739">
        <v>0</v>
      </c>
    </row>
    <row r="740" spans="1:24" x14ac:dyDescent="0.25">
      <c r="A740">
        <v>1</v>
      </c>
      <c r="B740" s="10">
        <v>591108240806</v>
      </c>
      <c r="C740">
        <v>40</v>
      </c>
      <c r="D740" s="10">
        <v>5952792408</v>
      </c>
      <c r="F740" t="s">
        <v>40</v>
      </c>
      <c r="G740">
        <v>0</v>
      </c>
      <c r="H740">
        <v>100</v>
      </c>
      <c r="K740">
        <v>1</v>
      </c>
      <c r="L740" t="s">
        <v>41</v>
      </c>
      <c r="M740" t="s">
        <v>89</v>
      </c>
      <c r="N740" s="11">
        <v>2958465</v>
      </c>
      <c r="P740">
        <v>0</v>
      </c>
      <c r="U740">
        <v>4</v>
      </c>
      <c r="V740">
        <v>1</v>
      </c>
      <c r="W740" t="s">
        <v>42</v>
      </c>
      <c r="X740">
        <v>0</v>
      </c>
    </row>
    <row r="741" spans="1:24" x14ac:dyDescent="0.25">
      <c r="A741">
        <v>1</v>
      </c>
      <c r="B741" s="10">
        <v>591108240806</v>
      </c>
      <c r="C741">
        <v>50</v>
      </c>
      <c r="D741" s="10">
        <v>59102308</v>
      </c>
      <c r="F741" t="s">
        <v>40</v>
      </c>
      <c r="G741">
        <v>0</v>
      </c>
      <c r="H741">
        <v>100</v>
      </c>
      <c r="K741">
        <v>2</v>
      </c>
      <c r="L741" t="s">
        <v>41</v>
      </c>
      <c r="M741" t="s">
        <v>89</v>
      </c>
      <c r="N741" s="11">
        <v>2958465</v>
      </c>
      <c r="P741">
        <v>0</v>
      </c>
      <c r="U741">
        <v>4</v>
      </c>
      <c r="V741">
        <v>1</v>
      </c>
      <c r="W741" t="s">
        <v>42</v>
      </c>
      <c r="X741">
        <v>0</v>
      </c>
    </row>
    <row r="742" spans="1:24" x14ac:dyDescent="0.25">
      <c r="A742">
        <v>1</v>
      </c>
      <c r="B742" s="10">
        <v>591108240806</v>
      </c>
      <c r="C742">
        <v>60</v>
      </c>
      <c r="D742" s="10">
        <v>12421206</v>
      </c>
      <c r="F742" t="s">
        <v>40</v>
      </c>
      <c r="G742">
        <v>0</v>
      </c>
      <c r="H742">
        <v>100</v>
      </c>
      <c r="K742">
        <v>1</v>
      </c>
      <c r="L742" t="s">
        <v>41</v>
      </c>
      <c r="M742" t="s">
        <v>89</v>
      </c>
      <c r="N742" s="11">
        <v>2958465</v>
      </c>
      <c r="P742">
        <v>0</v>
      </c>
      <c r="U742">
        <v>4</v>
      </c>
      <c r="V742">
        <v>1</v>
      </c>
      <c r="W742" t="s">
        <v>42</v>
      </c>
      <c r="X742">
        <v>0</v>
      </c>
    </row>
    <row r="743" spans="1:24" x14ac:dyDescent="0.25">
      <c r="A743">
        <v>1</v>
      </c>
      <c r="B743" s="10">
        <v>591108240806</v>
      </c>
      <c r="C743">
        <v>70</v>
      </c>
      <c r="D743" s="10">
        <v>5997499</v>
      </c>
      <c r="F743" t="s">
        <v>68</v>
      </c>
      <c r="G743">
        <v>0</v>
      </c>
      <c r="H743">
        <v>100</v>
      </c>
      <c r="K743">
        <v>1</v>
      </c>
      <c r="L743" t="s">
        <v>41</v>
      </c>
      <c r="M743" t="s">
        <v>89</v>
      </c>
      <c r="N743" s="11">
        <v>2958465</v>
      </c>
      <c r="P743">
        <v>0</v>
      </c>
      <c r="U743">
        <v>4</v>
      </c>
      <c r="V743">
        <v>1</v>
      </c>
      <c r="W743" t="s">
        <v>42</v>
      </c>
      <c r="X743">
        <v>0</v>
      </c>
    </row>
    <row r="744" spans="1:24" x14ac:dyDescent="0.25">
      <c r="A744">
        <v>1</v>
      </c>
      <c r="B744" s="10">
        <v>591108240906</v>
      </c>
      <c r="C744">
        <v>10</v>
      </c>
      <c r="D744" s="10">
        <v>5959672109</v>
      </c>
      <c r="F744" t="s">
        <v>40</v>
      </c>
      <c r="G744">
        <v>0</v>
      </c>
      <c r="H744">
        <v>100</v>
      </c>
      <c r="K744">
        <v>1</v>
      </c>
      <c r="L744" t="s">
        <v>41</v>
      </c>
      <c r="M744" t="s">
        <v>89</v>
      </c>
      <c r="N744" s="11">
        <v>2958465</v>
      </c>
      <c r="P744">
        <v>0</v>
      </c>
      <c r="U744">
        <v>4</v>
      </c>
      <c r="V744">
        <v>1</v>
      </c>
      <c r="W744" t="s">
        <v>42</v>
      </c>
      <c r="X744">
        <v>0</v>
      </c>
    </row>
    <row r="745" spans="1:24" x14ac:dyDescent="0.25">
      <c r="A745">
        <v>1</v>
      </c>
      <c r="B745" s="10">
        <v>591108240906</v>
      </c>
      <c r="C745">
        <v>20</v>
      </c>
      <c r="D745" s="10">
        <v>5959692109</v>
      </c>
      <c r="F745" t="s">
        <v>40</v>
      </c>
      <c r="G745">
        <v>0</v>
      </c>
      <c r="H745">
        <v>100</v>
      </c>
      <c r="K745">
        <v>1</v>
      </c>
      <c r="L745" t="s">
        <v>41</v>
      </c>
      <c r="M745" t="s">
        <v>89</v>
      </c>
      <c r="N745" s="11">
        <v>2958465</v>
      </c>
      <c r="P745">
        <v>0</v>
      </c>
      <c r="U745">
        <v>4</v>
      </c>
      <c r="V745">
        <v>1</v>
      </c>
      <c r="W745" t="s">
        <v>42</v>
      </c>
      <c r="X745">
        <v>0</v>
      </c>
    </row>
    <row r="746" spans="1:24" x14ac:dyDescent="0.25">
      <c r="A746">
        <v>1</v>
      </c>
      <c r="B746" s="10">
        <v>591108240906</v>
      </c>
      <c r="C746">
        <v>30</v>
      </c>
      <c r="D746" s="10">
        <v>5952482109</v>
      </c>
      <c r="F746" t="s">
        <v>40</v>
      </c>
      <c r="G746">
        <v>0</v>
      </c>
      <c r="H746">
        <v>100</v>
      </c>
      <c r="K746">
        <v>1</v>
      </c>
      <c r="L746" t="s">
        <v>41</v>
      </c>
      <c r="M746" t="s">
        <v>89</v>
      </c>
      <c r="N746" s="11">
        <v>2958465</v>
      </c>
      <c r="P746">
        <v>0</v>
      </c>
      <c r="U746">
        <v>4</v>
      </c>
      <c r="V746">
        <v>1</v>
      </c>
      <c r="W746" t="s">
        <v>42</v>
      </c>
      <c r="X746">
        <v>0</v>
      </c>
    </row>
    <row r="747" spans="1:24" x14ac:dyDescent="0.25">
      <c r="A747">
        <v>1</v>
      </c>
      <c r="B747" s="10">
        <v>591108240906</v>
      </c>
      <c r="C747">
        <v>40</v>
      </c>
      <c r="D747" s="10">
        <v>5952792409</v>
      </c>
      <c r="F747" t="s">
        <v>40</v>
      </c>
      <c r="G747">
        <v>0</v>
      </c>
      <c r="H747">
        <v>100</v>
      </c>
      <c r="K747">
        <v>1</v>
      </c>
      <c r="L747" t="s">
        <v>41</v>
      </c>
      <c r="M747" t="s">
        <v>89</v>
      </c>
      <c r="N747" s="11">
        <v>2958465</v>
      </c>
      <c r="P747">
        <v>0</v>
      </c>
      <c r="U747">
        <v>4</v>
      </c>
      <c r="V747">
        <v>1</v>
      </c>
      <c r="W747" t="s">
        <v>42</v>
      </c>
      <c r="X747">
        <v>0</v>
      </c>
    </row>
    <row r="748" spans="1:24" x14ac:dyDescent="0.25">
      <c r="A748">
        <v>1</v>
      </c>
      <c r="B748" s="10">
        <v>591108240906</v>
      </c>
      <c r="C748">
        <v>50</v>
      </c>
      <c r="D748" s="10">
        <v>59102309</v>
      </c>
      <c r="F748" t="s">
        <v>40</v>
      </c>
      <c r="G748">
        <v>0</v>
      </c>
      <c r="H748">
        <v>100</v>
      </c>
      <c r="K748">
        <v>2</v>
      </c>
      <c r="L748" t="s">
        <v>41</v>
      </c>
      <c r="M748" t="s">
        <v>89</v>
      </c>
      <c r="N748" s="11">
        <v>2958465</v>
      </c>
      <c r="P748">
        <v>0</v>
      </c>
      <c r="U748">
        <v>4</v>
      </c>
      <c r="V748">
        <v>1</v>
      </c>
      <c r="W748" t="s">
        <v>42</v>
      </c>
      <c r="X748">
        <v>0</v>
      </c>
    </row>
    <row r="749" spans="1:24" x14ac:dyDescent="0.25">
      <c r="A749">
        <v>1</v>
      </c>
      <c r="B749" s="10">
        <v>591108240906</v>
      </c>
      <c r="C749">
        <v>60</v>
      </c>
      <c r="D749" s="10">
        <v>12421206</v>
      </c>
      <c r="F749" t="s">
        <v>40</v>
      </c>
      <c r="G749">
        <v>0</v>
      </c>
      <c r="H749">
        <v>100</v>
      </c>
      <c r="K749">
        <v>1</v>
      </c>
      <c r="L749" t="s">
        <v>41</v>
      </c>
      <c r="M749" t="s">
        <v>89</v>
      </c>
      <c r="N749" s="11">
        <v>2958465</v>
      </c>
      <c r="P749">
        <v>0</v>
      </c>
      <c r="U749">
        <v>4</v>
      </c>
      <c r="V749">
        <v>1</v>
      </c>
      <c r="W749" t="s">
        <v>42</v>
      </c>
      <c r="X749">
        <v>0</v>
      </c>
    </row>
    <row r="750" spans="1:24" x14ac:dyDescent="0.25">
      <c r="A750">
        <v>1</v>
      </c>
      <c r="B750" s="10">
        <v>591108240906</v>
      </c>
      <c r="C750">
        <v>70</v>
      </c>
      <c r="D750" s="10">
        <v>5997499</v>
      </c>
      <c r="F750" t="s">
        <v>68</v>
      </c>
      <c r="G750">
        <v>0</v>
      </c>
      <c r="H750">
        <v>100</v>
      </c>
      <c r="K750">
        <v>1</v>
      </c>
      <c r="L750" t="s">
        <v>41</v>
      </c>
      <c r="M750" t="s">
        <v>89</v>
      </c>
      <c r="N750" s="11">
        <v>2958465</v>
      </c>
      <c r="P750">
        <v>0</v>
      </c>
      <c r="U750">
        <v>4</v>
      </c>
      <c r="V750">
        <v>1</v>
      </c>
      <c r="W750" t="s">
        <v>42</v>
      </c>
      <c r="X750">
        <v>0</v>
      </c>
    </row>
    <row r="751" spans="1:24" x14ac:dyDescent="0.25">
      <c r="A751">
        <v>1</v>
      </c>
      <c r="B751" s="10">
        <v>591108240109</v>
      </c>
      <c r="C751">
        <v>10</v>
      </c>
      <c r="D751" s="10">
        <v>5959672101</v>
      </c>
      <c r="F751" t="s">
        <v>40</v>
      </c>
      <c r="G751">
        <v>0</v>
      </c>
      <c r="H751">
        <v>100</v>
      </c>
      <c r="K751">
        <v>1</v>
      </c>
      <c r="L751" t="s">
        <v>41</v>
      </c>
      <c r="M751" t="s">
        <v>89</v>
      </c>
      <c r="N751" s="11">
        <v>2958465</v>
      </c>
      <c r="P751">
        <v>0</v>
      </c>
      <c r="U751">
        <v>4</v>
      </c>
      <c r="V751">
        <v>1</v>
      </c>
      <c r="W751" t="s">
        <v>42</v>
      </c>
      <c r="X751">
        <v>0</v>
      </c>
    </row>
    <row r="752" spans="1:24" x14ac:dyDescent="0.25">
      <c r="A752">
        <v>1</v>
      </c>
      <c r="B752" s="10">
        <v>591108240109</v>
      </c>
      <c r="C752">
        <v>20</v>
      </c>
      <c r="D752" s="10">
        <v>5959692101</v>
      </c>
      <c r="F752" t="s">
        <v>40</v>
      </c>
      <c r="G752">
        <v>0</v>
      </c>
      <c r="H752">
        <v>100</v>
      </c>
      <c r="K752">
        <v>1</v>
      </c>
      <c r="L752" t="s">
        <v>41</v>
      </c>
      <c r="M752" t="s">
        <v>89</v>
      </c>
      <c r="N752" s="11">
        <v>2958465</v>
      </c>
      <c r="P752">
        <v>0</v>
      </c>
      <c r="U752">
        <v>4</v>
      </c>
      <c r="V752">
        <v>1</v>
      </c>
      <c r="W752" t="s">
        <v>42</v>
      </c>
      <c r="X752">
        <v>0</v>
      </c>
    </row>
    <row r="753" spans="1:24" x14ac:dyDescent="0.25">
      <c r="A753">
        <v>1</v>
      </c>
      <c r="B753" s="10">
        <v>591108240109</v>
      </c>
      <c r="C753">
        <v>30</v>
      </c>
      <c r="D753" s="10">
        <v>5952482101</v>
      </c>
      <c r="F753" t="s">
        <v>40</v>
      </c>
      <c r="G753">
        <v>0</v>
      </c>
      <c r="H753">
        <v>100</v>
      </c>
      <c r="K753">
        <v>1</v>
      </c>
      <c r="L753" t="s">
        <v>41</v>
      </c>
      <c r="M753" t="s">
        <v>89</v>
      </c>
      <c r="N753" s="11">
        <v>2958465</v>
      </c>
      <c r="P753">
        <v>0</v>
      </c>
      <c r="U753">
        <v>4</v>
      </c>
      <c r="V753">
        <v>1</v>
      </c>
      <c r="W753" t="s">
        <v>42</v>
      </c>
      <c r="X753">
        <v>0</v>
      </c>
    </row>
    <row r="754" spans="1:24" x14ac:dyDescent="0.25">
      <c r="A754">
        <v>1</v>
      </c>
      <c r="B754" s="10">
        <v>591108240109</v>
      </c>
      <c r="C754">
        <v>40</v>
      </c>
      <c r="D754" s="10">
        <v>5952792401</v>
      </c>
      <c r="F754" t="s">
        <v>40</v>
      </c>
      <c r="G754">
        <v>0</v>
      </c>
      <c r="H754">
        <v>100</v>
      </c>
      <c r="K754">
        <v>1</v>
      </c>
      <c r="L754" t="s">
        <v>41</v>
      </c>
      <c r="M754" t="s">
        <v>89</v>
      </c>
      <c r="N754" s="11">
        <v>2958465</v>
      </c>
      <c r="P754">
        <v>0</v>
      </c>
      <c r="U754">
        <v>4</v>
      </c>
      <c r="V754">
        <v>1</v>
      </c>
      <c r="W754" t="s">
        <v>42</v>
      </c>
      <c r="X754">
        <v>0</v>
      </c>
    </row>
    <row r="755" spans="1:24" x14ac:dyDescent="0.25">
      <c r="A755">
        <v>1</v>
      </c>
      <c r="B755" s="10">
        <v>591108240109</v>
      </c>
      <c r="C755">
        <v>50</v>
      </c>
      <c r="D755" s="10">
        <v>59102301</v>
      </c>
      <c r="F755" t="s">
        <v>40</v>
      </c>
      <c r="G755">
        <v>0</v>
      </c>
      <c r="H755">
        <v>100</v>
      </c>
      <c r="K755">
        <v>2</v>
      </c>
      <c r="L755" t="s">
        <v>41</v>
      </c>
      <c r="M755" t="s">
        <v>89</v>
      </c>
      <c r="N755" s="11">
        <v>2958465</v>
      </c>
      <c r="P755">
        <v>0</v>
      </c>
      <c r="U755">
        <v>4</v>
      </c>
      <c r="V755">
        <v>1</v>
      </c>
      <c r="W755" t="s">
        <v>42</v>
      </c>
      <c r="X755">
        <v>0</v>
      </c>
    </row>
    <row r="756" spans="1:24" x14ac:dyDescent="0.25">
      <c r="A756">
        <v>1</v>
      </c>
      <c r="B756" s="10">
        <v>591108240109</v>
      </c>
      <c r="C756">
        <v>60</v>
      </c>
      <c r="D756" s="10">
        <v>12421209</v>
      </c>
      <c r="F756" t="s">
        <v>40</v>
      </c>
      <c r="G756">
        <v>0</v>
      </c>
      <c r="H756">
        <v>100</v>
      </c>
      <c r="K756">
        <v>1</v>
      </c>
      <c r="L756" t="s">
        <v>41</v>
      </c>
      <c r="M756" t="s">
        <v>89</v>
      </c>
      <c r="N756" s="11">
        <v>2958465</v>
      </c>
      <c r="P756">
        <v>0</v>
      </c>
      <c r="U756">
        <v>4</v>
      </c>
      <c r="V756">
        <v>1</v>
      </c>
      <c r="W756" t="s">
        <v>42</v>
      </c>
      <c r="X756">
        <v>0</v>
      </c>
    </row>
    <row r="757" spans="1:24" x14ac:dyDescent="0.25">
      <c r="A757">
        <v>1</v>
      </c>
      <c r="B757" s="10">
        <v>591108240109</v>
      </c>
      <c r="C757">
        <v>70</v>
      </c>
      <c r="D757" s="10">
        <v>5997499</v>
      </c>
      <c r="F757" t="s">
        <v>68</v>
      </c>
      <c r="G757">
        <v>0</v>
      </c>
      <c r="H757">
        <v>100</v>
      </c>
      <c r="K757">
        <v>1</v>
      </c>
      <c r="L757" t="s">
        <v>41</v>
      </c>
      <c r="M757" t="s">
        <v>89</v>
      </c>
      <c r="N757" s="11">
        <v>2958465</v>
      </c>
      <c r="P757">
        <v>0</v>
      </c>
      <c r="U757">
        <v>4</v>
      </c>
      <c r="V757">
        <v>1</v>
      </c>
      <c r="W757" t="s">
        <v>42</v>
      </c>
      <c r="X757">
        <v>0</v>
      </c>
    </row>
    <row r="758" spans="1:24" x14ac:dyDescent="0.25">
      <c r="A758">
        <v>1</v>
      </c>
      <c r="B758" s="10">
        <v>591108240209</v>
      </c>
      <c r="C758">
        <v>10</v>
      </c>
      <c r="D758" s="10">
        <v>5959672102</v>
      </c>
      <c r="F758" t="s">
        <v>40</v>
      </c>
      <c r="G758">
        <v>0</v>
      </c>
      <c r="H758">
        <v>100</v>
      </c>
      <c r="K758">
        <v>1</v>
      </c>
      <c r="L758" t="s">
        <v>41</v>
      </c>
      <c r="M758" t="s">
        <v>89</v>
      </c>
      <c r="N758" s="11">
        <v>2958465</v>
      </c>
      <c r="P758">
        <v>0</v>
      </c>
      <c r="U758">
        <v>4</v>
      </c>
      <c r="V758">
        <v>1</v>
      </c>
      <c r="W758" t="s">
        <v>42</v>
      </c>
      <c r="X758">
        <v>0</v>
      </c>
    </row>
    <row r="759" spans="1:24" x14ac:dyDescent="0.25">
      <c r="A759">
        <v>1</v>
      </c>
      <c r="B759" s="10">
        <v>591108240209</v>
      </c>
      <c r="C759">
        <v>20</v>
      </c>
      <c r="D759" s="10">
        <v>5959692102</v>
      </c>
      <c r="F759" t="s">
        <v>40</v>
      </c>
      <c r="G759">
        <v>0</v>
      </c>
      <c r="H759">
        <v>100</v>
      </c>
      <c r="K759">
        <v>1</v>
      </c>
      <c r="L759" t="s">
        <v>41</v>
      </c>
      <c r="M759" t="s">
        <v>89</v>
      </c>
      <c r="N759" s="11">
        <v>2958465</v>
      </c>
      <c r="P759">
        <v>0</v>
      </c>
      <c r="U759">
        <v>4</v>
      </c>
      <c r="V759">
        <v>1</v>
      </c>
      <c r="W759" t="s">
        <v>42</v>
      </c>
      <c r="X759">
        <v>0</v>
      </c>
    </row>
    <row r="760" spans="1:24" x14ac:dyDescent="0.25">
      <c r="A760">
        <v>1</v>
      </c>
      <c r="B760" s="10">
        <v>591108240209</v>
      </c>
      <c r="C760">
        <v>30</v>
      </c>
      <c r="D760" s="10">
        <v>5952482102</v>
      </c>
      <c r="F760" t="s">
        <v>40</v>
      </c>
      <c r="G760">
        <v>0</v>
      </c>
      <c r="H760">
        <v>100</v>
      </c>
      <c r="K760">
        <v>1</v>
      </c>
      <c r="L760" t="s">
        <v>41</v>
      </c>
      <c r="M760" t="s">
        <v>89</v>
      </c>
      <c r="N760" s="11">
        <v>2958465</v>
      </c>
      <c r="P760">
        <v>0</v>
      </c>
      <c r="U760">
        <v>4</v>
      </c>
      <c r="V760">
        <v>1</v>
      </c>
      <c r="W760" t="s">
        <v>42</v>
      </c>
      <c r="X760">
        <v>0</v>
      </c>
    </row>
    <row r="761" spans="1:24" x14ac:dyDescent="0.25">
      <c r="A761">
        <v>1</v>
      </c>
      <c r="B761" s="10">
        <v>591108240209</v>
      </c>
      <c r="C761">
        <v>40</v>
      </c>
      <c r="D761" s="10">
        <v>5952792402</v>
      </c>
      <c r="F761" t="s">
        <v>40</v>
      </c>
      <c r="G761">
        <v>0</v>
      </c>
      <c r="H761">
        <v>100</v>
      </c>
      <c r="K761">
        <v>1</v>
      </c>
      <c r="L761" t="s">
        <v>41</v>
      </c>
      <c r="M761" t="s">
        <v>89</v>
      </c>
      <c r="N761" s="11">
        <v>2958465</v>
      </c>
      <c r="P761">
        <v>0</v>
      </c>
      <c r="U761">
        <v>4</v>
      </c>
      <c r="V761">
        <v>1</v>
      </c>
      <c r="W761" t="s">
        <v>42</v>
      </c>
      <c r="X761">
        <v>0</v>
      </c>
    </row>
    <row r="762" spans="1:24" x14ac:dyDescent="0.25">
      <c r="A762">
        <v>1</v>
      </c>
      <c r="B762" s="10">
        <v>591108240209</v>
      </c>
      <c r="C762">
        <v>50</v>
      </c>
      <c r="D762" s="10">
        <v>59102302</v>
      </c>
      <c r="F762" t="s">
        <v>40</v>
      </c>
      <c r="G762">
        <v>0</v>
      </c>
      <c r="H762">
        <v>100</v>
      </c>
      <c r="K762">
        <v>2</v>
      </c>
      <c r="L762" t="s">
        <v>41</v>
      </c>
      <c r="M762" t="s">
        <v>89</v>
      </c>
      <c r="N762" s="11">
        <v>2958465</v>
      </c>
      <c r="P762">
        <v>0</v>
      </c>
      <c r="U762">
        <v>4</v>
      </c>
      <c r="V762">
        <v>1</v>
      </c>
      <c r="W762" t="s">
        <v>42</v>
      </c>
      <c r="X762">
        <v>0</v>
      </c>
    </row>
    <row r="763" spans="1:24" x14ac:dyDescent="0.25">
      <c r="A763">
        <v>1</v>
      </c>
      <c r="B763" s="10">
        <v>591108240209</v>
      </c>
      <c r="C763">
        <v>60</v>
      </c>
      <c r="D763" s="10">
        <v>12421209</v>
      </c>
      <c r="F763" t="s">
        <v>40</v>
      </c>
      <c r="G763">
        <v>0</v>
      </c>
      <c r="H763">
        <v>100</v>
      </c>
      <c r="K763">
        <v>1</v>
      </c>
      <c r="L763" t="s">
        <v>41</v>
      </c>
      <c r="M763" t="s">
        <v>89</v>
      </c>
      <c r="N763" s="11">
        <v>2958465</v>
      </c>
      <c r="P763">
        <v>0</v>
      </c>
      <c r="U763">
        <v>4</v>
      </c>
      <c r="V763">
        <v>1</v>
      </c>
      <c r="W763" t="s">
        <v>42</v>
      </c>
      <c r="X763">
        <v>0</v>
      </c>
    </row>
    <row r="764" spans="1:24" x14ac:dyDescent="0.25">
      <c r="A764">
        <v>1</v>
      </c>
      <c r="B764" s="10">
        <v>591108240209</v>
      </c>
      <c r="C764">
        <v>70</v>
      </c>
      <c r="D764" s="10">
        <v>5997499</v>
      </c>
      <c r="F764" t="s">
        <v>68</v>
      </c>
      <c r="G764">
        <v>0</v>
      </c>
      <c r="H764">
        <v>100</v>
      </c>
      <c r="K764">
        <v>1</v>
      </c>
      <c r="L764" t="s">
        <v>41</v>
      </c>
      <c r="M764" t="s">
        <v>89</v>
      </c>
      <c r="N764" s="11">
        <v>2958465</v>
      </c>
      <c r="P764">
        <v>0</v>
      </c>
      <c r="U764">
        <v>4</v>
      </c>
      <c r="V764">
        <v>1</v>
      </c>
      <c r="W764" t="s">
        <v>42</v>
      </c>
      <c r="X764">
        <v>0</v>
      </c>
    </row>
    <row r="765" spans="1:24" x14ac:dyDescent="0.25">
      <c r="A765">
        <v>1</v>
      </c>
      <c r="B765" s="10">
        <v>591108240309</v>
      </c>
      <c r="C765">
        <v>10</v>
      </c>
      <c r="D765" s="10">
        <v>5959672103</v>
      </c>
      <c r="F765" t="s">
        <v>40</v>
      </c>
      <c r="G765">
        <v>0</v>
      </c>
      <c r="H765">
        <v>100</v>
      </c>
      <c r="K765">
        <v>1</v>
      </c>
      <c r="L765" t="s">
        <v>41</v>
      </c>
      <c r="M765" t="s">
        <v>89</v>
      </c>
      <c r="N765" s="11">
        <v>2958465</v>
      </c>
      <c r="P765">
        <v>0</v>
      </c>
      <c r="U765">
        <v>4</v>
      </c>
      <c r="V765">
        <v>1</v>
      </c>
      <c r="W765" t="s">
        <v>42</v>
      </c>
      <c r="X765">
        <v>0</v>
      </c>
    </row>
    <row r="766" spans="1:24" x14ac:dyDescent="0.25">
      <c r="A766">
        <v>1</v>
      </c>
      <c r="B766" s="10">
        <v>591108240309</v>
      </c>
      <c r="C766">
        <v>20</v>
      </c>
      <c r="D766" s="10">
        <v>5959692103</v>
      </c>
      <c r="F766" t="s">
        <v>40</v>
      </c>
      <c r="G766">
        <v>0</v>
      </c>
      <c r="H766">
        <v>100</v>
      </c>
      <c r="K766">
        <v>1</v>
      </c>
      <c r="L766" t="s">
        <v>41</v>
      </c>
      <c r="M766" t="s">
        <v>89</v>
      </c>
      <c r="N766" s="11">
        <v>2958465</v>
      </c>
      <c r="P766">
        <v>0</v>
      </c>
      <c r="U766">
        <v>4</v>
      </c>
      <c r="V766">
        <v>1</v>
      </c>
      <c r="W766" t="s">
        <v>42</v>
      </c>
      <c r="X766">
        <v>0</v>
      </c>
    </row>
    <row r="767" spans="1:24" x14ac:dyDescent="0.25">
      <c r="A767">
        <v>1</v>
      </c>
      <c r="B767" s="10">
        <v>591108240309</v>
      </c>
      <c r="C767">
        <v>30</v>
      </c>
      <c r="D767" s="10">
        <v>5952482103</v>
      </c>
      <c r="F767" t="s">
        <v>40</v>
      </c>
      <c r="G767">
        <v>0</v>
      </c>
      <c r="H767">
        <v>100</v>
      </c>
      <c r="K767">
        <v>1</v>
      </c>
      <c r="L767" t="s">
        <v>41</v>
      </c>
      <c r="M767" t="s">
        <v>89</v>
      </c>
      <c r="N767" s="11">
        <v>2958465</v>
      </c>
      <c r="P767">
        <v>0</v>
      </c>
      <c r="U767">
        <v>4</v>
      </c>
      <c r="V767">
        <v>1</v>
      </c>
      <c r="W767" t="s">
        <v>42</v>
      </c>
      <c r="X767">
        <v>0</v>
      </c>
    </row>
    <row r="768" spans="1:24" x14ac:dyDescent="0.25">
      <c r="A768">
        <v>1</v>
      </c>
      <c r="B768" s="10">
        <v>591108240309</v>
      </c>
      <c r="C768">
        <v>40</v>
      </c>
      <c r="D768" s="10">
        <v>5952792403</v>
      </c>
      <c r="F768" t="s">
        <v>40</v>
      </c>
      <c r="G768">
        <v>0</v>
      </c>
      <c r="H768">
        <v>100</v>
      </c>
      <c r="K768">
        <v>1</v>
      </c>
      <c r="L768" t="s">
        <v>41</v>
      </c>
      <c r="M768" t="s">
        <v>89</v>
      </c>
      <c r="N768" s="11">
        <v>2958465</v>
      </c>
      <c r="P768">
        <v>0</v>
      </c>
      <c r="U768">
        <v>4</v>
      </c>
      <c r="V768">
        <v>1</v>
      </c>
      <c r="W768" t="s">
        <v>42</v>
      </c>
      <c r="X768">
        <v>0</v>
      </c>
    </row>
    <row r="769" spans="1:24" x14ac:dyDescent="0.25">
      <c r="A769">
        <v>1</v>
      </c>
      <c r="B769" s="10">
        <v>591108240309</v>
      </c>
      <c r="C769">
        <v>50</v>
      </c>
      <c r="D769" s="10">
        <v>59102303</v>
      </c>
      <c r="F769" t="s">
        <v>40</v>
      </c>
      <c r="G769">
        <v>0</v>
      </c>
      <c r="H769">
        <v>100</v>
      </c>
      <c r="K769">
        <v>2</v>
      </c>
      <c r="L769" t="s">
        <v>41</v>
      </c>
      <c r="M769" t="s">
        <v>89</v>
      </c>
      <c r="N769" s="11">
        <v>2958465</v>
      </c>
      <c r="P769">
        <v>0</v>
      </c>
      <c r="U769">
        <v>4</v>
      </c>
      <c r="V769">
        <v>1</v>
      </c>
      <c r="W769" t="s">
        <v>42</v>
      </c>
      <c r="X769">
        <v>0</v>
      </c>
    </row>
    <row r="770" spans="1:24" x14ac:dyDescent="0.25">
      <c r="A770">
        <v>1</v>
      </c>
      <c r="B770" s="10">
        <v>591108240309</v>
      </c>
      <c r="C770">
        <v>60</v>
      </c>
      <c r="D770" s="10">
        <v>12421209</v>
      </c>
      <c r="F770" t="s">
        <v>40</v>
      </c>
      <c r="G770">
        <v>0</v>
      </c>
      <c r="H770">
        <v>100</v>
      </c>
      <c r="K770">
        <v>1</v>
      </c>
      <c r="L770" t="s">
        <v>41</v>
      </c>
      <c r="M770" t="s">
        <v>89</v>
      </c>
      <c r="N770" s="11">
        <v>2958465</v>
      </c>
      <c r="P770">
        <v>0</v>
      </c>
      <c r="U770">
        <v>4</v>
      </c>
      <c r="V770">
        <v>1</v>
      </c>
      <c r="W770" t="s">
        <v>42</v>
      </c>
      <c r="X770">
        <v>0</v>
      </c>
    </row>
    <row r="771" spans="1:24" x14ac:dyDescent="0.25">
      <c r="A771">
        <v>1</v>
      </c>
      <c r="B771" s="10">
        <v>591108240309</v>
      </c>
      <c r="C771">
        <v>70</v>
      </c>
      <c r="D771" s="10">
        <v>5997499</v>
      </c>
      <c r="F771" t="s">
        <v>68</v>
      </c>
      <c r="G771">
        <v>0</v>
      </c>
      <c r="H771">
        <v>100</v>
      </c>
      <c r="K771">
        <v>1</v>
      </c>
      <c r="L771" t="s">
        <v>41</v>
      </c>
      <c r="M771" t="s">
        <v>89</v>
      </c>
      <c r="N771" s="11">
        <v>2958465</v>
      </c>
      <c r="P771">
        <v>0</v>
      </c>
      <c r="U771">
        <v>4</v>
      </c>
      <c r="V771">
        <v>1</v>
      </c>
      <c r="W771" t="s">
        <v>42</v>
      </c>
      <c r="X771">
        <v>0</v>
      </c>
    </row>
    <row r="772" spans="1:24" x14ac:dyDescent="0.25">
      <c r="A772">
        <v>1</v>
      </c>
      <c r="B772" s="10">
        <v>591108240409</v>
      </c>
      <c r="C772">
        <v>10</v>
      </c>
      <c r="D772" s="10">
        <v>5959672104</v>
      </c>
      <c r="F772" t="s">
        <v>40</v>
      </c>
      <c r="G772">
        <v>0</v>
      </c>
      <c r="H772">
        <v>100</v>
      </c>
      <c r="K772">
        <v>1</v>
      </c>
      <c r="L772" t="s">
        <v>41</v>
      </c>
      <c r="M772" t="s">
        <v>89</v>
      </c>
      <c r="N772" s="11">
        <v>2958465</v>
      </c>
      <c r="P772">
        <v>0</v>
      </c>
      <c r="U772">
        <v>4</v>
      </c>
      <c r="V772">
        <v>1</v>
      </c>
      <c r="W772" t="s">
        <v>42</v>
      </c>
      <c r="X772">
        <v>0</v>
      </c>
    </row>
    <row r="773" spans="1:24" x14ac:dyDescent="0.25">
      <c r="A773">
        <v>1</v>
      </c>
      <c r="B773" s="10">
        <v>591108240409</v>
      </c>
      <c r="C773">
        <v>20</v>
      </c>
      <c r="D773" s="10">
        <v>5959692104</v>
      </c>
      <c r="F773" t="s">
        <v>40</v>
      </c>
      <c r="G773">
        <v>0</v>
      </c>
      <c r="H773">
        <v>100</v>
      </c>
      <c r="K773">
        <v>1</v>
      </c>
      <c r="L773" t="s">
        <v>41</v>
      </c>
      <c r="M773" t="s">
        <v>89</v>
      </c>
      <c r="N773" s="11">
        <v>2958465</v>
      </c>
      <c r="P773">
        <v>0</v>
      </c>
      <c r="U773">
        <v>4</v>
      </c>
      <c r="V773">
        <v>1</v>
      </c>
      <c r="W773" t="s">
        <v>42</v>
      </c>
      <c r="X773">
        <v>0</v>
      </c>
    </row>
    <row r="774" spans="1:24" x14ac:dyDescent="0.25">
      <c r="A774">
        <v>1</v>
      </c>
      <c r="B774" s="10">
        <v>591108240409</v>
      </c>
      <c r="C774">
        <v>30</v>
      </c>
      <c r="D774" s="10">
        <v>5952482104</v>
      </c>
      <c r="F774" t="s">
        <v>40</v>
      </c>
      <c r="G774">
        <v>0</v>
      </c>
      <c r="H774">
        <v>100</v>
      </c>
      <c r="K774">
        <v>1</v>
      </c>
      <c r="L774" t="s">
        <v>41</v>
      </c>
      <c r="M774" t="s">
        <v>89</v>
      </c>
      <c r="N774" s="11">
        <v>2958465</v>
      </c>
      <c r="P774">
        <v>0</v>
      </c>
      <c r="U774">
        <v>4</v>
      </c>
      <c r="V774">
        <v>1</v>
      </c>
      <c r="W774" t="s">
        <v>42</v>
      </c>
      <c r="X774">
        <v>0</v>
      </c>
    </row>
    <row r="775" spans="1:24" x14ac:dyDescent="0.25">
      <c r="A775">
        <v>1</v>
      </c>
      <c r="B775" s="10">
        <v>591108240409</v>
      </c>
      <c r="C775">
        <v>40</v>
      </c>
      <c r="D775" s="10">
        <v>5952792404</v>
      </c>
      <c r="F775" t="s">
        <v>40</v>
      </c>
      <c r="G775">
        <v>0</v>
      </c>
      <c r="H775">
        <v>100</v>
      </c>
      <c r="K775">
        <v>1</v>
      </c>
      <c r="L775" t="s">
        <v>41</v>
      </c>
      <c r="M775" t="s">
        <v>89</v>
      </c>
      <c r="N775" s="11">
        <v>2958465</v>
      </c>
      <c r="P775">
        <v>0</v>
      </c>
      <c r="U775">
        <v>4</v>
      </c>
      <c r="V775">
        <v>1</v>
      </c>
      <c r="W775" t="s">
        <v>42</v>
      </c>
      <c r="X775">
        <v>0</v>
      </c>
    </row>
    <row r="776" spans="1:24" x14ac:dyDescent="0.25">
      <c r="A776">
        <v>1</v>
      </c>
      <c r="B776" s="10">
        <v>591108240409</v>
      </c>
      <c r="C776">
        <v>50</v>
      </c>
      <c r="D776" s="10">
        <v>59102304</v>
      </c>
      <c r="F776" t="s">
        <v>40</v>
      </c>
      <c r="G776">
        <v>0</v>
      </c>
      <c r="H776">
        <v>100</v>
      </c>
      <c r="K776">
        <v>2</v>
      </c>
      <c r="L776" t="s">
        <v>41</v>
      </c>
      <c r="M776" t="s">
        <v>89</v>
      </c>
      <c r="N776" s="11">
        <v>2958465</v>
      </c>
      <c r="P776">
        <v>0</v>
      </c>
      <c r="U776">
        <v>4</v>
      </c>
      <c r="V776">
        <v>1</v>
      </c>
      <c r="W776" t="s">
        <v>42</v>
      </c>
      <c r="X776">
        <v>0</v>
      </c>
    </row>
    <row r="777" spans="1:24" x14ac:dyDescent="0.25">
      <c r="A777">
        <v>1</v>
      </c>
      <c r="B777" s="10">
        <v>591108240409</v>
      </c>
      <c r="C777">
        <v>60</v>
      </c>
      <c r="D777" s="10">
        <v>12421209</v>
      </c>
      <c r="F777" t="s">
        <v>40</v>
      </c>
      <c r="G777">
        <v>0</v>
      </c>
      <c r="H777">
        <v>100</v>
      </c>
      <c r="K777">
        <v>1</v>
      </c>
      <c r="L777" t="s">
        <v>41</v>
      </c>
      <c r="M777" t="s">
        <v>89</v>
      </c>
      <c r="N777" s="11">
        <v>2958465</v>
      </c>
      <c r="P777">
        <v>0</v>
      </c>
      <c r="U777">
        <v>4</v>
      </c>
      <c r="V777">
        <v>1</v>
      </c>
      <c r="W777" t="s">
        <v>42</v>
      </c>
      <c r="X777">
        <v>0</v>
      </c>
    </row>
    <row r="778" spans="1:24" x14ac:dyDescent="0.25">
      <c r="A778">
        <v>1</v>
      </c>
      <c r="B778" s="10">
        <v>591108240409</v>
      </c>
      <c r="C778">
        <v>70</v>
      </c>
      <c r="D778" s="10">
        <v>5997499</v>
      </c>
      <c r="F778" t="s">
        <v>68</v>
      </c>
      <c r="G778">
        <v>0</v>
      </c>
      <c r="H778">
        <v>100</v>
      </c>
      <c r="K778">
        <v>1</v>
      </c>
      <c r="L778" t="s">
        <v>41</v>
      </c>
      <c r="M778" t="s">
        <v>89</v>
      </c>
      <c r="N778" s="11">
        <v>2958465</v>
      </c>
      <c r="P778">
        <v>0</v>
      </c>
      <c r="U778">
        <v>4</v>
      </c>
      <c r="V778">
        <v>1</v>
      </c>
      <c r="W778" t="s">
        <v>42</v>
      </c>
      <c r="X778">
        <v>0</v>
      </c>
    </row>
    <row r="779" spans="1:24" x14ac:dyDescent="0.25">
      <c r="A779">
        <v>1</v>
      </c>
      <c r="B779" s="10">
        <v>591108240509</v>
      </c>
      <c r="C779">
        <v>10</v>
      </c>
      <c r="D779" s="10">
        <v>5959672105</v>
      </c>
      <c r="F779" t="s">
        <v>40</v>
      </c>
      <c r="G779">
        <v>0</v>
      </c>
      <c r="H779">
        <v>100</v>
      </c>
      <c r="K779">
        <v>1</v>
      </c>
      <c r="L779" t="s">
        <v>41</v>
      </c>
      <c r="M779" t="s">
        <v>89</v>
      </c>
      <c r="N779" s="11">
        <v>2958465</v>
      </c>
      <c r="P779">
        <v>0</v>
      </c>
      <c r="U779">
        <v>4</v>
      </c>
      <c r="V779">
        <v>1</v>
      </c>
      <c r="W779" t="s">
        <v>42</v>
      </c>
      <c r="X779">
        <v>0</v>
      </c>
    </row>
    <row r="780" spans="1:24" x14ac:dyDescent="0.25">
      <c r="A780">
        <v>1</v>
      </c>
      <c r="B780" s="10">
        <v>591108240509</v>
      </c>
      <c r="C780">
        <v>20</v>
      </c>
      <c r="D780" s="10">
        <v>5959692105</v>
      </c>
      <c r="F780" t="s">
        <v>40</v>
      </c>
      <c r="G780">
        <v>0</v>
      </c>
      <c r="H780">
        <v>100</v>
      </c>
      <c r="K780">
        <v>1</v>
      </c>
      <c r="L780" t="s">
        <v>41</v>
      </c>
      <c r="M780" t="s">
        <v>89</v>
      </c>
      <c r="N780" s="11">
        <v>2958465</v>
      </c>
      <c r="P780">
        <v>0</v>
      </c>
      <c r="U780">
        <v>4</v>
      </c>
      <c r="V780">
        <v>1</v>
      </c>
      <c r="W780" t="s">
        <v>42</v>
      </c>
      <c r="X780">
        <v>0</v>
      </c>
    </row>
    <row r="781" spans="1:24" x14ac:dyDescent="0.25">
      <c r="A781">
        <v>1</v>
      </c>
      <c r="B781" s="10">
        <v>591108240509</v>
      </c>
      <c r="C781">
        <v>30</v>
      </c>
      <c r="D781" s="10">
        <v>5952482105</v>
      </c>
      <c r="F781" t="s">
        <v>40</v>
      </c>
      <c r="G781">
        <v>0</v>
      </c>
      <c r="H781">
        <v>100</v>
      </c>
      <c r="K781">
        <v>1</v>
      </c>
      <c r="L781" t="s">
        <v>41</v>
      </c>
      <c r="M781" t="s">
        <v>89</v>
      </c>
      <c r="N781" s="11">
        <v>2958465</v>
      </c>
      <c r="P781">
        <v>0</v>
      </c>
      <c r="U781">
        <v>4</v>
      </c>
      <c r="V781">
        <v>1</v>
      </c>
      <c r="W781" t="s">
        <v>42</v>
      </c>
      <c r="X781">
        <v>0</v>
      </c>
    </row>
    <row r="782" spans="1:24" x14ac:dyDescent="0.25">
      <c r="A782">
        <v>1</v>
      </c>
      <c r="B782" s="10">
        <v>591108240509</v>
      </c>
      <c r="C782">
        <v>40</v>
      </c>
      <c r="D782" s="10">
        <v>5952792405</v>
      </c>
      <c r="F782" t="s">
        <v>40</v>
      </c>
      <c r="G782">
        <v>0</v>
      </c>
      <c r="H782">
        <v>100</v>
      </c>
      <c r="K782">
        <v>1</v>
      </c>
      <c r="L782" t="s">
        <v>41</v>
      </c>
      <c r="M782" t="s">
        <v>89</v>
      </c>
      <c r="N782" s="11">
        <v>2958465</v>
      </c>
      <c r="P782">
        <v>0</v>
      </c>
      <c r="U782">
        <v>4</v>
      </c>
      <c r="V782">
        <v>1</v>
      </c>
      <c r="W782" t="s">
        <v>42</v>
      </c>
      <c r="X782">
        <v>0</v>
      </c>
    </row>
    <row r="783" spans="1:24" x14ac:dyDescent="0.25">
      <c r="A783">
        <v>1</v>
      </c>
      <c r="B783" s="10">
        <v>591108240509</v>
      </c>
      <c r="C783">
        <v>50</v>
      </c>
      <c r="D783" s="10">
        <v>59102305</v>
      </c>
      <c r="F783" t="s">
        <v>40</v>
      </c>
      <c r="G783">
        <v>0</v>
      </c>
      <c r="H783">
        <v>100</v>
      </c>
      <c r="K783">
        <v>2</v>
      </c>
      <c r="L783" t="s">
        <v>41</v>
      </c>
      <c r="M783" t="s">
        <v>89</v>
      </c>
      <c r="N783" s="11">
        <v>2958465</v>
      </c>
      <c r="P783">
        <v>0</v>
      </c>
      <c r="U783">
        <v>4</v>
      </c>
      <c r="V783">
        <v>1</v>
      </c>
      <c r="W783" t="s">
        <v>42</v>
      </c>
      <c r="X783">
        <v>0</v>
      </c>
    </row>
    <row r="784" spans="1:24" x14ac:dyDescent="0.25">
      <c r="A784">
        <v>1</v>
      </c>
      <c r="B784" s="10">
        <v>591108240509</v>
      </c>
      <c r="C784">
        <v>60</v>
      </c>
      <c r="D784" s="10">
        <v>12421209</v>
      </c>
      <c r="F784" t="s">
        <v>40</v>
      </c>
      <c r="G784">
        <v>0</v>
      </c>
      <c r="H784">
        <v>100</v>
      </c>
      <c r="K784">
        <v>1</v>
      </c>
      <c r="L784" t="s">
        <v>41</v>
      </c>
      <c r="M784" t="s">
        <v>89</v>
      </c>
      <c r="N784" s="11">
        <v>2958465</v>
      </c>
      <c r="P784">
        <v>0</v>
      </c>
      <c r="U784">
        <v>4</v>
      </c>
      <c r="V784">
        <v>1</v>
      </c>
      <c r="W784" t="s">
        <v>42</v>
      </c>
      <c r="X784">
        <v>0</v>
      </c>
    </row>
    <row r="785" spans="1:24" x14ac:dyDescent="0.25">
      <c r="A785">
        <v>1</v>
      </c>
      <c r="B785" s="10">
        <v>591108240509</v>
      </c>
      <c r="C785">
        <v>70</v>
      </c>
      <c r="D785" s="10">
        <v>5997499</v>
      </c>
      <c r="F785" t="s">
        <v>68</v>
      </c>
      <c r="G785">
        <v>0</v>
      </c>
      <c r="H785">
        <v>100</v>
      </c>
      <c r="K785">
        <v>1</v>
      </c>
      <c r="L785" t="s">
        <v>41</v>
      </c>
      <c r="M785" t="s">
        <v>89</v>
      </c>
      <c r="N785" s="11">
        <v>2958465</v>
      </c>
      <c r="P785">
        <v>0</v>
      </c>
      <c r="U785">
        <v>4</v>
      </c>
      <c r="V785">
        <v>1</v>
      </c>
      <c r="W785" t="s">
        <v>42</v>
      </c>
      <c r="X785">
        <v>0</v>
      </c>
    </row>
    <row r="786" spans="1:24" x14ac:dyDescent="0.25">
      <c r="A786">
        <v>1</v>
      </c>
      <c r="B786" s="10">
        <v>591108240609</v>
      </c>
      <c r="C786">
        <v>10</v>
      </c>
      <c r="D786" s="10">
        <v>5959672106</v>
      </c>
      <c r="F786" t="s">
        <v>40</v>
      </c>
      <c r="G786">
        <v>0</v>
      </c>
      <c r="H786">
        <v>100</v>
      </c>
      <c r="K786">
        <v>1</v>
      </c>
      <c r="L786" t="s">
        <v>41</v>
      </c>
      <c r="M786" t="s">
        <v>89</v>
      </c>
      <c r="N786" s="11">
        <v>2958465</v>
      </c>
      <c r="P786">
        <v>0</v>
      </c>
      <c r="U786">
        <v>4</v>
      </c>
      <c r="V786">
        <v>1</v>
      </c>
      <c r="W786" t="s">
        <v>42</v>
      </c>
      <c r="X786">
        <v>0</v>
      </c>
    </row>
    <row r="787" spans="1:24" x14ac:dyDescent="0.25">
      <c r="A787">
        <v>1</v>
      </c>
      <c r="B787" s="10">
        <v>591108240609</v>
      </c>
      <c r="C787">
        <v>20</v>
      </c>
      <c r="D787" s="10">
        <v>5959692106</v>
      </c>
      <c r="F787" t="s">
        <v>40</v>
      </c>
      <c r="G787">
        <v>0</v>
      </c>
      <c r="H787">
        <v>100</v>
      </c>
      <c r="K787">
        <v>1</v>
      </c>
      <c r="L787" t="s">
        <v>41</v>
      </c>
      <c r="M787" t="s">
        <v>89</v>
      </c>
      <c r="N787" s="11">
        <v>2958465</v>
      </c>
      <c r="P787">
        <v>0</v>
      </c>
      <c r="U787">
        <v>4</v>
      </c>
      <c r="V787">
        <v>1</v>
      </c>
      <c r="W787" t="s">
        <v>42</v>
      </c>
      <c r="X787">
        <v>0</v>
      </c>
    </row>
    <row r="788" spans="1:24" x14ac:dyDescent="0.25">
      <c r="A788">
        <v>1</v>
      </c>
      <c r="B788" s="10">
        <v>591108240609</v>
      </c>
      <c r="C788">
        <v>30</v>
      </c>
      <c r="D788" s="10">
        <v>5952482106</v>
      </c>
      <c r="F788" t="s">
        <v>40</v>
      </c>
      <c r="G788">
        <v>0</v>
      </c>
      <c r="H788">
        <v>100</v>
      </c>
      <c r="K788">
        <v>1</v>
      </c>
      <c r="L788" t="s">
        <v>41</v>
      </c>
      <c r="M788" t="s">
        <v>89</v>
      </c>
      <c r="N788" s="11">
        <v>2958465</v>
      </c>
      <c r="P788">
        <v>0</v>
      </c>
      <c r="U788">
        <v>4</v>
      </c>
      <c r="V788">
        <v>1</v>
      </c>
      <c r="W788" t="s">
        <v>42</v>
      </c>
      <c r="X788">
        <v>0</v>
      </c>
    </row>
    <row r="789" spans="1:24" x14ac:dyDescent="0.25">
      <c r="A789">
        <v>1</v>
      </c>
      <c r="B789" s="10">
        <v>591108240609</v>
      </c>
      <c r="C789">
        <v>40</v>
      </c>
      <c r="D789" s="10">
        <v>5952792406</v>
      </c>
      <c r="F789" t="s">
        <v>40</v>
      </c>
      <c r="G789">
        <v>0</v>
      </c>
      <c r="H789">
        <v>100</v>
      </c>
      <c r="K789">
        <v>1</v>
      </c>
      <c r="L789" t="s">
        <v>41</v>
      </c>
      <c r="M789" t="s">
        <v>89</v>
      </c>
      <c r="N789" s="11">
        <v>2958465</v>
      </c>
      <c r="P789">
        <v>0</v>
      </c>
      <c r="U789">
        <v>4</v>
      </c>
      <c r="V789">
        <v>1</v>
      </c>
      <c r="W789" t="s">
        <v>42</v>
      </c>
      <c r="X789">
        <v>0</v>
      </c>
    </row>
    <row r="790" spans="1:24" x14ac:dyDescent="0.25">
      <c r="A790">
        <v>1</v>
      </c>
      <c r="B790" s="10">
        <v>591108240609</v>
      </c>
      <c r="C790">
        <v>50</v>
      </c>
      <c r="D790" s="10">
        <v>59102306</v>
      </c>
      <c r="F790" t="s">
        <v>40</v>
      </c>
      <c r="G790">
        <v>0</v>
      </c>
      <c r="H790">
        <v>100</v>
      </c>
      <c r="K790">
        <v>2</v>
      </c>
      <c r="L790" t="s">
        <v>41</v>
      </c>
      <c r="M790" t="s">
        <v>89</v>
      </c>
      <c r="N790" s="11">
        <v>2958465</v>
      </c>
      <c r="P790">
        <v>0</v>
      </c>
      <c r="U790">
        <v>4</v>
      </c>
      <c r="V790">
        <v>1</v>
      </c>
      <c r="W790" t="s">
        <v>42</v>
      </c>
      <c r="X790">
        <v>0</v>
      </c>
    </row>
    <row r="791" spans="1:24" x14ac:dyDescent="0.25">
      <c r="A791">
        <v>1</v>
      </c>
      <c r="B791" s="10">
        <v>591108240609</v>
      </c>
      <c r="C791">
        <v>60</v>
      </c>
      <c r="D791" s="10">
        <v>12421209</v>
      </c>
      <c r="F791" t="s">
        <v>40</v>
      </c>
      <c r="G791">
        <v>0</v>
      </c>
      <c r="H791">
        <v>100</v>
      </c>
      <c r="K791">
        <v>1</v>
      </c>
      <c r="L791" t="s">
        <v>41</v>
      </c>
      <c r="M791" t="s">
        <v>89</v>
      </c>
      <c r="N791" s="11">
        <v>2958465</v>
      </c>
      <c r="P791">
        <v>0</v>
      </c>
      <c r="U791">
        <v>4</v>
      </c>
      <c r="V791">
        <v>1</v>
      </c>
      <c r="W791" t="s">
        <v>42</v>
      </c>
      <c r="X791">
        <v>0</v>
      </c>
    </row>
    <row r="792" spans="1:24" x14ac:dyDescent="0.25">
      <c r="A792">
        <v>1</v>
      </c>
      <c r="B792" s="10">
        <v>591108240609</v>
      </c>
      <c r="C792">
        <v>70</v>
      </c>
      <c r="D792" s="10">
        <v>5997499</v>
      </c>
      <c r="F792" t="s">
        <v>68</v>
      </c>
      <c r="G792">
        <v>0</v>
      </c>
      <c r="H792">
        <v>100</v>
      </c>
      <c r="K792">
        <v>1</v>
      </c>
      <c r="L792" t="s">
        <v>41</v>
      </c>
      <c r="M792" t="s">
        <v>89</v>
      </c>
      <c r="N792" s="11">
        <v>2958465</v>
      </c>
      <c r="P792">
        <v>0</v>
      </c>
      <c r="U792">
        <v>4</v>
      </c>
      <c r="V792">
        <v>1</v>
      </c>
      <c r="W792" t="s">
        <v>42</v>
      </c>
      <c r="X792">
        <v>0</v>
      </c>
    </row>
    <row r="793" spans="1:24" x14ac:dyDescent="0.25">
      <c r="A793">
        <v>1</v>
      </c>
      <c r="B793" s="10">
        <v>591108240709</v>
      </c>
      <c r="C793">
        <v>10</v>
      </c>
      <c r="D793" s="10">
        <v>5959672107</v>
      </c>
      <c r="F793" t="s">
        <v>40</v>
      </c>
      <c r="G793">
        <v>0</v>
      </c>
      <c r="H793">
        <v>100</v>
      </c>
      <c r="K793">
        <v>1</v>
      </c>
      <c r="L793" t="s">
        <v>41</v>
      </c>
      <c r="M793" t="s">
        <v>89</v>
      </c>
      <c r="N793" s="11">
        <v>2958465</v>
      </c>
      <c r="P793">
        <v>0</v>
      </c>
      <c r="U793">
        <v>4</v>
      </c>
      <c r="V793">
        <v>1</v>
      </c>
      <c r="W793" t="s">
        <v>42</v>
      </c>
      <c r="X793">
        <v>0</v>
      </c>
    </row>
    <row r="794" spans="1:24" x14ac:dyDescent="0.25">
      <c r="A794">
        <v>1</v>
      </c>
      <c r="B794" s="10">
        <v>591108240709</v>
      </c>
      <c r="C794">
        <v>20</v>
      </c>
      <c r="D794" s="10">
        <v>5959692107</v>
      </c>
      <c r="F794" t="s">
        <v>40</v>
      </c>
      <c r="G794">
        <v>0</v>
      </c>
      <c r="H794">
        <v>100</v>
      </c>
      <c r="K794">
        <v>1</v>
      </c>
      <c r="L794" t="s">
        <v>41</v>
      </c>
      <c r="M794" t="s">
        <v>89</v>
      </c>
      <c r="N794" s="11">
        <v>2958465</v>
      </c>
      <c r="P794">
        <v>0</v>
      </c>
      <c r="U794">
        <v>4</v>
      </c>
      <c r="V794">
        <v>1</v>
      </c>
      <c r="W794" t="s">
        <v>42</v>
      </c>
      <c r="X794">
        <v>0</v>
      </c>
    </row>
    <row r="795" spans="1:24" x14ac:dyDescent="0.25">
      <c r="A795">
        <v>1</v>
      </c>
      <c r="B795" s="10">
        <v>591108240709</v>
      </c>
      <c r="C795">
        <v>30</v>
      </c>
      <c r="D795" s="10">
        <v>5952482107</v>
      </c>
      <c r="F795" t="s">
        <v>40</v>
      </c>
      <c r="G795">
        <v>0</v>
      </c>
      <c r="H795">
        <v>100</v>
      </c>
      <c r="K795">
        <v>1</v>
      </c>
      <c r="L795" t="s">
        <v>41</v>
      </c>
      <c r="M795" t="s">
        <v>89</v>
      </c>
      <c r="N795" s="11">
        <v>2958465</v>
      </c>
      <c r="P795">
        <v>0</v>
      </c>
      <c r="U795">
        <v>4</v>
      </c>
      <c r="V795">
        <v>1</v>
      </c>
      <c r="W795" t="s">
        <v>42</v>
      </c>
      <c r="X795">
        <v>0</v>
      </c>
    </row>
    <row r="796" spans="1:24" x14ac:dyDescent="0.25">
      <c r="A796">
        <v>1</v>
      </c>
      <c r="B796" s="10">
        <v>591108240709</v>
      </c>
      <c r="C796">
        <v>40</v>
      </c>
      <c r="D796" s="10">
        <v>5952792407</v>
      </c>
      <c r="F796" t="s">
        <v>40</v>
      </c>
      <c r="G796">
        <v>0</v>
      </c>
      <c r="H796">
        <v>100</v>
      </c>
      <c r="K796">
        <v>1</v>
      </c>
      <c r="L796" t="s">
        <v>41</v>
      </c>
      <c r="M796" t="s">
        <v>89</v>
      </c>
      <c r="N796" s="11">
        <v>2958465</v>
      </c>
      <c r="P796">
        <v>0</v>
      </c>
      <c r="U796">
        <v>4</v>
      </c>
      <c r="V796">
        <v>1</v>
      </c>
      <c r="W796" t="s">
        <v>42</v>
      </c>
      <c r="X796">
        <v>0</v>
      </c>
    </row>
    <row r="797" spans="1:24" x14ac:dyDescent="0.25">
      <c r="A797">
        <v>1</v>
      </c>
      <c r="B797" s="10">
        <v>591108240709</v>
      </c>
      <c r="C797">
        <v>50</v>
      </c>
      <c r="D797" s="10">
        <v>59102307</v>
      </c>
      <c r="F797" t="s">
        <v>40</v>
      </c>
      <c r="G797">
        <v>0</v>
      </c>
      <c r="H797">
        <v>100</v>
      </c>
      <c r="K797">
        <v>2</v>
      </c>
      <c r="L797" t="s">
        <v>41</v>
      </c>
      <c r="M797" t="s">
        <v>89</v>
      </c>
      <c r="N797" s="11">
        <v>2958465</v>
      </c>
      <c r="P797">
        <v>0</v>
      </c>
      <c r="U797">
        <v>4</v>
      </c>
      <c r="V797">
        <v>1</v>
      </c>
      <c r="W797" t="s">
        <v>42</v>
      </c>
      <c r="X797">
        <v>0</v>
      </c>
    </row>
    <row r="798" spans="1:24" x14ac:dyDescent="0.25">
      <c r="A798">
        <v>1</v>
      </c>
      <c r="B798" s="10">
        <v>591108240709</v>
      </c>
      <c r="C798">
        <v>60</v>
      </c>
      <c r="D798" s="10">
        <v>12421209</v>
      </c>
      <c r="F798" t="s">
        <v>40</v>
      </c>
      <c r="G798">
        <v>0</v>
      </c>
      <c r="H798">
        <v>100</v>
      </c>
      <c r="K798">
        <v>1</v>
      </c>
      <c r="L798" t="s">
        <v>41</v>
      </c>
      <c r="M798" t="s">
        <v>89</v>
      </c>
      <c r="N798" s="11">
        <v>2958465</v>
      </c>
      <c r="P798">
        <v>0</v>
      </c>
      <c r="U798">
        <v>4</v>
      </c>
      <c r="V798">
        <v>1</v>
      </c>
      <c r="W798" t="s">
        <v>42</v>
      </c>
      <c r="X798">
        <v>0</v>
      </c>
    </row>
    <row r="799" spans="1:24" x14ac:dyDescent="0.25">
      <c r="A799">
        <v>1</v>
      </c>
      <c r="B799" s="10">
        <v>591108240709</v>
      </c>
      <c r="C799">
        <v>70</v>
      </c>
      <c r="D799" s="10">
        <v>5997499</v>
      </c>
      <c r="F799" t="s">
        <v>68</v>
      </c>
      <c r="G799">
        <v>0</v>
      </c>
      <c r="H799">
        <v>100</v>
      </c>
      <c r="K799">
        <v>1</v>
      </c>
      <c r="L799" t="s">
        <v>41</v>
      </c>
      <c r="M799" t="s">
        <v>89</v>
      </c>
      <c r="N799" s="11">
        <v>2958465</v>
      </c>
      <c r="P799">
        <v>0</v>
      </c>
      <c r="U799">
        <v>4</v>
      </c>
      <c r="V799">
        <v>1</v>
      </c>
      <c r="W799" t="s">
        <v>42</v>
      </c>
      <c r="X799">
        <v>0</v>
      </c>
    </row>
    <row r="800" spans="1:24" x14ac:dyDescent="0.25">
      <c r="A800">
        <v>1</v>
      </c>
      <c r="B800" s="10">
        <v>591108240809</v>
      </c>
      <c r="C800">
        <v>10</v>
      </c>
      <c r="D800" s="10">
        <v>5959672108</v>
      </c>
      <c r="F800" t="s">
        <v>40</v>
      </c>
      <c r="G800">
        <v>0</v>
      </c>
      <c r="H800">
        <v>100</v>
      </c>
      <c r="K800">
        <v>1</v>
      </c>
      <c r="L800" t="s">
        <v>41</v>
      </c>
      <c r="M800" t="s">
        <v>89</v>
      </c>
      <c r="N800" s="11">
        <v>2958465</v>
      </c>
      <c r="P800">
        <v>0</v>
      </c>
      <c r="U800">
        <v>4</v>
      </c>
      <c r="V800">
        <v>1</v>
      </c>
      <c r="W800" t="s">
        <v>42</v>
      </c>
      <c r="X800">
        <v>0</v>
      </c>
    </row>
    <row r="801" spans="1:24" x14ac:dyDescent="0.25">
      <c r="A801">
        <v>1</v>
      </c>
      <c r="B801" s="10">
        <v>591108240809</v>
      </c>
      <c r="C801">
        <v>20</v>
      </c>
      <c r="D801" s="10">
        <v>5959692108</v>
      </c>
      <c r="F801" t="s">
        <v>40</v>
      </c>
      <c r="G801">
        <v>0</v>
      </c>
      <c r="H801">
        <v>100</v>
      </c>
      <c r="K801">
        <v>1</v>
      </c>
      <c r="L801" t="s">
        <v>41</v>
      </c>
      <c r="M801" t="s">
        <v>89</v>
      </c>
      <c r="N801" s="11">
        <v>2958465</v>
      </c>
      <c r="P801">
        <v>0</v>
      </c>
      <c r="U801">
        <v>4</v>
      </c>
      <c r="V801">
        <v>1</v>
      </c>
      <c r="W801" t="s">
        <v>42</v>
      </c>
      <c r="X801">
        <v>0</v>
      </c>
    </row>
    <row r="802" spans="1:24" x14ac:dyDescent="0.25">
      <c r="A802">
        <v>1</v>
      </c>
      <c r="B802" s="10">
        <v>591108240809</v>
      </c>
      <c r="C802">
        <v>30</v>
      </c>
      <c r="D802" s="10">
        <v>5952482108</v>
      </c>
      <c r="F802" t="s">
        <v>40</v>
      </c>
      <c r="G802">
        <v>0</v>
      </c>
      <c r="H802">
        <v>100</v>
      </c>
      <c r="K802">
        <v>1</v>
      </c>
      <c r="L802" t="s">
        <v>41</v>
      </c>
      <c r="M802" t="s">
        <v>89</v>
      </c>
      <c r="N802" s="11">
        <v>2958465</v>
      </c>
      <c r="P802">
        <v>0</v>
      </c>
      <c r="U802">
        <v>4</v>
      </c>
      <c r="V802">
        <v>1</v>
      </c>
      <c r="W802" t="s">
        <v>42</v>
      </c>
      <c r="X802">
        <v>0</v>
      </c>
    </row>
    <row r="803" spans="1:24" x14ac:dyDescent="0.25">
      <c r="A803">
        <v>1</v>
      </c>
      <c r="B803" s="10">
        <v>591108240809</v>
      </c>
      <c r="C803">
        <v>40</v>
      </c>
      <c r="D803" s="10">
        <v>5952792408</v>
      </c>
      <c r="F803" t="s">
        <v>40</v>
      </c>
      <c r="G803">
        <v>0</v>
      </c>
      <c r="H803">
        <v>100</v>
      </c>
      <c r="K803">
        <v>1</v>
      </c>
      <c r="L803" t="s">
        <v>41</v>
      </c>
      <c r="M803" t="s">
        <v>89</v>
      </c>
      <c r="N803" s="11">
        <v>2958465</v>
      </c>
      <c r="P803">
        <v>0</v>
      </c>
      <c r="U803">
        <v>4</v>
      </c>
      <c r="V803">
        <v>1</v>
      </c>
      <c r="W803" t="s">
        <v>42</v>
      </c>
      <c r="X803">
        <v>0</v>
      </c>
    </row>
    <row r="804" spans="1:24" x14ac:dyDescent="0.25">
      <c r="A804">
        <v>1</v>
      </c>
      <c r="B804" s="10">
        <v>591108240809</v>
      </c>
      <c r="C804">
        <v>50</v>
      </c>
      <c r="D804" s="10">
        <v>59102308</v>
      </c>
      <c r="F804" t="s">
        <v>40</v>
      </c>
      <c r="G804">
        <v>0</v>
      </c>
      <c r="H804">
        <v>100</v>
      </c>
      <c r="K804">
        <v>2</v>
      </c>
      <c r="L804" t="s">
        <v>41</v>
      </c>
      <c r="M804" t="s">
        <v>89</v>
      </c>
      <c r="N804" s="11">
        <v>2958465</v>
      </c>
      <c r="P804">
        <v>0</v>
      </c>
      <c r="U804">
        <v>4</v>
      </c>
      <c r="V804">
        <v>1</v>
      </c>
      <c r="W804" t="s">
        <v>42</v>
      </c>
      <c r="X804">
        <v>0</v>
      </c>
    </row>
    <row r="805" spans="1:24" x14ac:dyDescent="0.25">
      <c r="A805">
        <v>1</v>
      </c>
      <c r="B805" s="10">
        <v>591108240809</v>
      </c>
      <c r="C805">
        <v>60</v>
      </c>
      <c r="D805" s="10">
        <v>12421209</v>
      </c>
      <c r="F805" t="s">
        <v>40</v>
      </c>
      <c r="G805">
        <v>0</v>
      </c>
      <c r="H805">
        <v>100</v>
      </c>
      <c r="K805">
        <v>1</v>
      </c>
      <c r="L805" t="s">
        <v>41</v>
      </c>
      <c r="M805" t="s">
        <v>89</v>
      </c>
      <c r="N805" s="11">
        <v>2958465</v>
      </c>
      <c r="P805">
        <v>0</v>
      </c>
      <c r="U805">
        <v>4</v>
      </c>
      <c r="V805">
        <v>1</v>
      </c>
      <c r="W805" t="s">
        <v>42</v>
      </c>
      <c r="X805">
        <v>0</v>
      </c>
    </row>
    <row r="806" spans="1:24" x14ac:dyDescent="0.25">
      <c r="A806">
        <v>1</v>
      </c>
      <c r="B806" s="10">
        <v>591108240809</v>
      </c>
      <c r="C806">
        <v>70</v>
      </c>
      <c r="D806" s="10">
        <v>5997499</v>
      </c>
      <c r="F806" t="s">
        <v>68</v>
      </c>
      <c r="G806">
        <v>0</v>
      </c>
      <c r="H806">
        <v>100</v>
      </c>
      <c r="K806">
        <v>1</v>
      </c>
      <c r="L806" t="s">
        <v>41</v>
      </c>
      <c r="M806" t="s">
        <v>89</v>
      </c>
      <c r="N806" s="11">
        <v>2958465</v>
      </c>
      <c r="P806">
        <v>0</v>
      </c>
      <c r="U806">
        <v>4</v>
      </c>
      <c r="V806">
        <v>1</v>
      </c>
      <c r="W806" t="s">
        <v>42</v>
      </c>
      <c r="X806">
        <v>0</v>
      </c>
    </row>
    <row r="807" spans="1:24" x14ac:dyDescent="0.25">
      <c r="A807">
        <v>1</v>
      </c>
      <c r="B807" s="10">
        <v>591108240909</v>
      </c>
      <c r="C807">
        <v>10</v>
      </c>
      <c r="D807" s="10">
        <v>5959672109</v>
      </c>
      <c r="F807" t="s">
        <v>40</v>
      </c>
      <c r="G807">
        <v>0</v>
      </c>
      <c r="H807">
        <v>100</v>
      </c>
      <c r="K807">
        <v>1</v>
      </c>
      <c r="L807" t="s">
        <v>41</v>
      </c>
      <c r="M807" t="s">
        <v>89</v>
      </c>
      <c r="N807" s="11">
        <v>2958465</v>
      </c>
      <c r="P807">
        <v>0</v>
      </c>
      <c r="U807">
        <v>4</v>
      </c>
      <c r="V807">
        <v>1</v>
      </c>
      <c r="W807" t="s">
        <v>42</v>
      </c>
      <c r="X807">
        <v>0</v>
      </c>
    </row>
    <row r="808" spans="1:24" x14ac:dyDescent="0.25">
      <c r="A808">
        <v>1</v>
      </c>
      <c r="B808" s="10">
        <v>591108240909</v>
      </c>
      <c r="C808">
        <v>20</v>
      </c>
      <c r="D808" s="10">
        <v>5959692109</v>
      </c>
      <c r="F808" t="s">
        <v>40</v>
      </c>
      <c r="G808">
        <v>0</v>
      </c>
      <c r="H808">
        <v>100</v>
      </c>
      <c r="K808">
        <v>1</v>
      </c>
      <c r="L808" t="s">
        <v>41</v>
      </c>
      <c r="M808" t="s">
        <v>89</v>
      </c>
      <c r="N808" s="11">
        <v>2958465</v>
      </c>
      <c r="P808">
        <v>0</v>
      </c>
      <c r="U808">
        <v>4</v>
      </c>
      <c r="V808">
        <v>1</v>
      </c>
      <c r="W808" t="s">
        <v>42</v>
      </c>
      <c r="X808">
        <v>0</v>
      </c>
    </row>
    <row r="809" spans="1:24" x14ac:dyDescent="0.25">
      <c r="A809">
        <v>1</v>
      </c>
      <c r="B809" s="10">
        <v>591108240909</v>
      </c>
      <c r="C809">
        <v>30</v>
      </c>
      <c r="D809" s="10">
        <v>5952482109</v>
      </c>
      <c r="F809" t="s">
        <v>40</v>
      </c>
      <c r="G809">
        <v>0</v>
      </c>
      <c r="H809">
        <v>100</v>
      </c>
      <c r="K809">
        <v>1</v>
      </c>
      <c r="L809" t="s">
        <v>41</v>
      </c>
      <c r="M809" t="s">
        <v>89</v>
      </c>
      <c r="N809" s="11">
        <v>2958465</v>
      </c>
      <c r="P809">
        <v>0</v>
      </c>
      <c r="U809">
        <v>4</v>
      </c>
      <c r="V809">
        <v>1</v>
      </c>
      <c r="W809" t="s">
        <v>42</v>
      </c>
      <c r="X809">
        <v>0</v>
      </c>
    </row>
    <row r="810" spans="1:24" x14ac:dyDescent="0.25">
      <c r="A810">
        <v>1</v>
      </c>
      <c r="B810" s="10">
        <v>591108240909</v>
      </c>
      <c r="C810">
        <v>40</v>
      </c>
      <c r="D810" s="10">
        <v>5952792409</v>
      </c>
      <c r="F810" t="s">
        <v>40</v>
      </c>
      <c r="G810">
        <v>0</v>
      </c>
      <c r="H810">
        <v>100</v>
      </c>
      <c r="K810">
        <v>1</v>
      </c>
      <c r="L810" t="s">
        <v>41</v>
      </c>
      <c r="M810" t="s">
        <v>89</v>
      </c>
      <c r="N810" s="11">
        <v>2958465</v>
      </c>
      <c r="P810">
        <v>0</v>
      </c>
      <c r="U810">
        <v>4</v>
      </c>
      <c r="V810">
        <v>1</v>
      </c>
      <c r="W810" t="s">
        <v>42</v>
      </c>
      <c r="X810">
        <v>0</v>
      </c>
    </row>
    <row r="811" spans="1:24" x14ac:dyDescent="0.25">
      <c r="A811">
        <v>1</v>
      </c>
      <c r="B811" s="10">
        <v>591108240909</v>
      </c>
      <c r="C811">
        <v>50</v>
      </c>
      <c r="D811" s="10">
        <v>59102309</v>
      </c>
      <c r="F811" t="s">
        <v>40</v>
      </c>
      <c r="G811">
        <v>0</v>
      </c>
      <c r="H811">
        <v>100</v>
      </c>
      <c r="K811">
        <v>2</v>
      </c>
      <c r="L811" t="s">
        <v>41</v>
      </c>
      <c r="M811" t="s">
        <v>89</v>
      </c>
      <c r="N811" s="11">
        <v>2958465</v>
      </c>
      <c r="P811">
        <v>0</v>
      </c>
      <c r="U811">
        <v>4</v>
      </c>
      <c r="V811">
        <v>1</v>
      </c>
      <c r="W811" t="s">
        <v>42</v>
      </c>
      <c r="X811">
        <v>0</v>
      </c>
    </row>
    <row r="812" spans="1:24" x14ac:dyDescent="0.25">
      <c r="A812">
        <v>1</v>
      </c>
      <c r="B812" s="10">
        <v>591108240909</v>
      </c>
      <c r="C812">
        <v>60</v>
      </c>
      <c r="D812" s="10">
        <v>12421209</v>
      </c>
      <c r="F812" t="s">
        <v>40</v>
      </c>
      <c r="G812">
        <v>0</v>
      </c>
      <c r="H812">
        <v>100</v>
      </c>
      <c r="K812">
        <v>1</v>
      </c>
      <c r="L812" t="s">
        <v>41</v>
      </c>
      <c r="M812" t="s">
        <v>89</v>
      </c>
      <c r="N812" s="11">
        <v>2958465</v>
      </c>
      <c r="P812">
        <v>0</v>
      </c>
      <c r="U812">
        <v>4</v>
      </c>
      <c r="V812">
        <v>1</v>
      </c>
      <c r="W812" t="s">
        <v>42</v>
      </c>
      <c r="X812">
        <v>0</v>
      </c>
    </row>
    <row r="813" spans="1:24" x14ac:dyDescent="0.25">
      <c r="A813">
        <v>1</v>
      </c>
      <c r="B813" s="10">
        <v>591108240909</v>
      </c>
      <c r="C813">
        <v>70</v>
      </c>
      <c r="D813" s="10">
        <v>5997499</v>
      </c>
      <c r="F813" t="s">
        <v>68</v>
      </c>
      <c r="G813">
        <v>0</v>
      </c>
      <c r="H813">
        <v>100</v>
      </c>
      <c r="K813">
        <v>1</v>
      </c>
      <c r="L813" t="s">
        <v>41</v>
      </c>
      <c r="M813" t="s">
        <v>89</v>
      </c>
      <c r="N813" s="11">
        <v>2958465</v>
      </c>
      <c r="P813">
        <v>0</v>
      </c>
      <c r="U813">
        <v>4</v>
      </c>
      <c r="V813">
        <v>1</v>
      </c>
      <c r="W813" t="s">
        <v>42</v>
      </c>
      <c r="X813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12D9A-8BE3-4FD7-8392-6256C37BA558}">
  <sheetPr codeName="Planilha3"/>
  <dimension ref="A1:C8"/>
  <sheetViews>
    <sheetView workbookViewId="0">
      <selection activeCell="C38" sqref="C38"/>
    </sheetView>
  </sheetViews>
  <sheetFormatPr defaultRowHeight="15" x14ac:dyDescent="0.25"/>
  <cols>
    <col min="2" max="2" width="11.140625" bestFit="1" customWidth="1"/>
    <col min="3" max="3" width="42.7109375" bestFit="1" customWidth="1"/>
  </cols>
  <sheetData>
    <row r="1" spans="1:3" x14ac:dyDescent="0.25">
      <c r="A1" t="s">
        <v>32</v>
      </c>
      <c r="B1" t="s">
        <v>33</v>
      </c>
      <c r="C1" t="s">
        <v>43</v>
      </c>
    </row>
    <row r="2" spans="1:3" x14ac:dyDescent="0.25">
      <c r="A2">
        <v>1020145</v>
      </c>
      <c r="B2" t="s">
        <v>34</v>
      </c>
      <c r="C2">
        <v>0.122</v>
      </c>
    </row>
    <row r="3" spans="1:3" x14ac:dyDescent="0.25">
      <c r="A3">
        <v>1020145</v>
      </c>
      <c r="B3" t="s">
        <v>35</v>
      </c>
      <c r="C3">
        <v>0.214</v>
      </c>
    </row>
    <row r="4" spans="1:3" x14ac:dyDescent="0.25">
      <c r="A4">
        <v>1020145</v>
      </c>
      <c r="B4" t="s">
        <v>36</v>
      </c>
      <c r="C4">
        <v>0.214</v>
      </c>
    </row>
    <row r="5" spans="1:3" x14ac:dyDescent="0.25">
      <c r="A5">
        <v>1020145</v>
      </c>
      <c r="B5" t="s">
        <v>37</v>
      </c>
      <c r="C5">
        <v>0.214</v>
      </c>
    </row>
    <row r="6" spans="1:3" x14ac:dyDescent="0.25">
      <c r="A6">
        <v>1020145</v>
      </c>
      <c r="B6" t="s">
        <v>38</v>
      </c>
      <c r="C6">
        <v>6.7400000000000002E-2</v>
      </c>
    </row>
    <row r="7" spans="1:3" x14ac:dyDescent="0.25">
      <c r="A7">
        <v>1022357</v>
      </c>
      <c r="B7" t="s">
        <v>39</v>
      </c>
      <c r="C7">
        <v>0.214</v>
      </c>
    </row>
    <row r="8" spans="1:3" x14ac:dyDescent="0.25">
      <c r="A8">
        <v>1022357</v>
      </c>
      <c r="B8" t="s">
        <v>69</v>
      </c>
      <c r="C8" t="s">
        <v>70</v>
      </c>
    </row>
  </sheetData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D9A4D-0E2D-47B8-B01F-E0669542A73A}">
  <sheetPr codeName="Planilha5"/>
  <dimension ref="A1:R73"/>
  <sheetViews>
    <sheetView topLeftCell="A10" zoomScale="70" zoomScaleNormal="70" workbookViewId="0">
      <selection activeCell="K49" sqref="K49"/>
    </sheetView>
  </sheetViews>
  <sheetFormatPr defaultRowHeight="15" x14ac:dyDescent="0.25"/>
  <cols>
    <col min="1" max="3" width="14.7109375" style="57" customWidth="1"/>
    <col min="4" max="13" width="14.42578125" style="57" customWidth="1"/>
    <col min="14" max="14" width="74" style="57" customWidth="1"/>
    <col min="15" max="15" width="18" style="57" bestFit="1" customWidth="1"/>
    <col min="16" max="18" width="10.7109375" style="57" customWidth="1"/>
  </cols>
  <sheetData>
    <row r="1" spans="1:18" ht="23.25" thickBot="1" x14ac:dyDescent="0.35">
      <c r="A1" s="16" t="s">
        <v>90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23.25" thickBot="1" x14ac:dyDescent="0.3">
      <c r="A2" s="62" t="s">
        <v>71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</row>
    <row r="3" spans="1:18" x14ac:dyDescent="0.25">
      <c r="A3" s="64" t="s">
        <v>0</v>
      </c>
      <c r="B3" s="65" t="s">
        <v>1</v>
      </c>
      <c r="C3" s="66" t="s">
        <v>2</v>
      </c>
      <c r="D3" s="67" t="s">
        <v>2</v>
      </c>
      <c r="E3" s="68"/>
      <c r="F3" s="68"/>
      <c r="G3" s="68"/>
      <c r="H3" s="68"/>
      <c r="I3" s="68"/>
      <c r="J3" s="68"/>
      <c r="K3" s="68"/>
      <c r="L3" s="68"/>
      <c r="M3" s="69"/>
      <c r="N3" s="70" t="s">
        <v>3</v>
      </c>
      <c r="O3" s="71" t="s">
        <v>29</v>
      </c>
      <c r="P3" s="72" t="s">
        <v>4</v>
      </c>
      <c r="Q3" s="72"/>
      <c r="R3" s="73"/>
    </row>
    <row r="4" spans="1:18" ht="26.25" thickBot="1" x14ac:dyDescent="0.3">
      <c r="A4" s="74"/>
      <c r="B4" s="75"/>
      <c r="C4" s="76"/>
      <c r="D4" s="14" t="s">
        <v>91</v>
      </c>
      <c r="E4" s="14" t="s">
        <v>92</v>
      </c>
      <c r="F4" s="14" t="s">
        <v>93</v>
      </c>
      <c r="G4" s="14" t="s">
        <v>94</v>
      </c>
      <c r="H4" s="14" t="s">
        <v>95</v>
      </c>
      <c r="I4" s="14" t="s">
        <v>96</v>
      </c>
      <c r="J4" s="14" t="s">
        <v>97</v>
      </c>
      <c r="K4" s="14" t="s">
        <v>5</v>
      </c>
      <c r="L4" s="14" t="s">
        <v>6</v>
      </c>
      <c r="M4" s="14" t="s">
        <v>7</v>
      </c>
      <c r="N4" s="77"/>
      <c r="O4" s="21"/>
      <c r="P4" s="78" t="s">
        <v>8</v>
      </c>
      <c r="Q4" s="78" t="s">
        <v>9</v>
      </c>
      <c r="R4" s="79" t="s">
        <v>10</v>
      </c>
    </row>
    <row r="5" spans="1:18" x14ac:dyDescent="0.25">
      <c r="A5" s="39">
        <v>223695</v>
      </c>
      <c r="B5" s="39">
        <f>VLOOKUP(A5,'[1]AQUA COZ ALUM'!$B$9:$F$285,2,FALSE)</f>
        <v>591080</v>
      </c>
      <c r="C5" s="80"/>
      <c r="D5" s="40" t="s">
        <v>11</v>
      </c>
      <c r="E5" s="40" t="s">
        <v>11</v>
      </c>
      <c r="F5" s="40" t="s">
        <v>11</v>
      </c>
      <c r="G5" s="40" t="s">
        <v>11</v>
      </c>
      <c r="H5" s="40">
        <v>240549</v>
      </c>
      <c r="I5" s="40" t="s">
        <v>11</v>
      </c>
      <c r="J5" s="40" t="s">
        <v>11</v>
      </c>
      <c r="K5" s="40">
        <v>240849</v>
      </c>
      <c r="L5" s="40" t="s">
        <v>11</v>
      </c>
      <c r="M5" s="40" t="s">
        <v>11</v>
      </c>
      <c r="N5" s="81" t="str">
        <f>VLOOKUP(A5,'[1]AQUA COZ ALUM'!$B$9:$F$285,3,FALSE)</f>
        <v>FRENTE FALSA GAV 355X396X18+COR</v>
      </c>
      <c r="O5" s="7" t="s">
        <v>72</v>
      </c>
      <c r="P5" s="82">
        <f>VLOOKUP(A5,'[1]AQUA COZ ALUM'!$B$9:$F$285,4,FALSE)</f>
        <v>355</v>
      </c>
      <c r="Q5" s="83">
        <f>VLOOKUP(A5,'[1]AQUA COZ ALUM'!$B$9:$F$285,5,FALSE)</f>
        <v>396</v>
      </c>
      <c r="R5" s="83">
        <v>19</v>
      </c>
    </row>
    <row r="6" spans="1:18" x14ac:dyDescent="0.25">
      <c r="A6" s="39"/>
      <c r="B6" s="39"/>
      <c r="C6" s="80"/>
      <c r="D6" s="40" t="s">
        <v>11</v>
      </c>
      <c r="E6" s="40" t="s">
        <v>11</v>
      </c>
      <c r="F6" s="40" t="s">
        <v>11</v>
      </c>
      <c r="G6" s="40" t="s">
        <v>11</v>
      </c>
      <c r="H6" s="40">
        <v>240550</v>
      </c>
      <c r="I6" s="40" t="s">
        <v>11</v>
      </c>
      <c r="J6" s="40" t="s">
        <v>11</v>
      </c>
      <c r="K6" s="40" t="s">
        <v>11</v>
      </c>
      <c r="L6" s="40">
        <v>240950</v>
      </c>
      <c r="M6" s="40" t="s">
        <v>11</v>
      </c>
      <c r="N6" s="22"/>
      <c r="O6" s="7" t="s">
        <v>73</v>
      </c>
      <c r="P6" s="23"/>
      <c r="Q6" s="27"/>
      <c r="R6" s="27"/>
    </row>
    <row r="7" spans="1:18" x14ac:dyDescent="0.25">
      <c r="A7" s="39"/>
      <c r="B7" s="39"/>
      <c r="C7" s="80"/>
      <c r="D7" s="40" t="s">
        <v>11</v>
      </c>
      <c r="E7" s="40" t="s">
        <v>11</v>
      </c>
      <c r="F7" s="40" t="s">
        <v>11</v>
      </c>
      <c r="G7" s="40" t="s">
        <v>11</v>
      </c>
      <c r="H7" s="40" t="s">
        <v>11</v>
      </c>
      <c r="I7" s="40" t="s">
        <v>11</v>
      </c>
      <c r="J7" s="40" t="s">
        <v>11</v>
      </c>
      <c r="K7" s="40" t="s">
        <v>11</v>
      </c>
      <c r="L7" s="40" t="s">
        <v>11</v>
      </c>
      <c r="M7" s="40">
        <v>241051</v>
      </c>
      <c r="N7" s="22"/>
      <c r="O7" s="7" t="s">
        <v>74</v>
      </c>
      <c r="P7" s="23"/>
      <c r="Q7" s="27"/>
      <c r="R7" s="27"/>
    </row>
    <row r="8" spans="1:18" x14ac:dyDescent="0.25">
      <c r="A8" s="39"/>
      <c r="B8" s="39"/>
      <c r="C8" s="80"/>
      <c r="D8" s="40">
        <v>240152</v>
      </c>
      <c r="E8" s="40" t="s">
        <v>11</v>
      </c>
      <c r="F8" s="40">
        <v>240352</v>
      </c>
      <c r="G8" s="40" t="s">
        <v>11</v>
      </c>
      <c r="H8" s="40" t="s">
        <v>11</v>
      </c>
      <c r="I8" s="40" t="s">
        <v>11</v>
      </c>
      <c r="J8" s="40">
        <v>240752</v>
      </c>
      <c r="K8" s="40" t="s">
        <v>11</v>
      </c>
      <c r="L8" s="40" t="s">
        <v>11</v>
      </c>
      <c r="M8" s="40" t="s">
        <v>11</v>
      </c>
      <c r="N8" s="22"/>
      <c r="O8" s="7" t="s">
        <v>75</v>
      </c>
      <c r="P8" s="23"/>
      <c r="Q8" s="27"/>
      <c r="R8" s="27"/>
    </row>
    <row r="9" spans="1:18" x14ac:dyDescent="0.25">
      <c r="A9" s="39"/>
      <c r="B9" s="39"/>
      <c r="C9" s="80"/>
      <c r="D9" s="40">
        <v>240105</v>
      </c>
      <c r="E9" s="40">
        <v>240205</v>
      </c>
      <c r="F9" s="40">
        <v>240305</v>
      </c>
      <c r="G9" s="40">
        <v>240405</v>
      </c>
      <c r="H9" s="40">
        <v>240505</v>
      </c>
      <c r="I9" s="40">
        <v>240605</v>
      </c>
      <c r="J9" s="40">
        <v>240705</v>
      </c>
      <c r="K9" s="40">
        <v>240805</v>
      </c>
      <c r="L9" s="40">
        <v>240905</v>
      </c>
      <c r="M9" s="40">
        <v>241005</v>
      </c>
      <c r="N9" s="22"/>
      <c r="O9" s="41" t="s">
        <v>98</v>
      </c>
      <c r="P9" s="23"/>
      <c r="Q9" s="27"/>
      <c r="R9" s="27"/>
    </row>
    <row r="10" spans="1:18" x14ac:dyDescent="0.25">
      <c r="A10" s="39"/>
      <c r="B10" s="39"/>
      <c r="C10" s="80"/>
      <c r="D10" s="40">
        <v>240112</v>
      </c>
      <c r="E10" s="40">
        <v>240212</v>
      </c>
      <c r="F10" s="40">
        <v>240312</v>
      </c>
      <c r="G10" s="40">
        <v>240405</v>
      </c>
      <c r="H10" s="40">
        <v>240512</v>
      </c>
      <c r="I10" s="40">
        <v>240612</v>
      </c>
      <c r="J10" s="40">
        <v>240712</v>
      </c>
      <c r="K10" s="40" t="s">
        <v>11</v>
      </c>
      <c r="L10" s="40">
        <v>240912</v>
      </c>
      <c r="M10" s="40" t="s">
        <v>11</v>
      </c>
      <c r="N10" s="22"/>
      <c r="O10" s="41" t="s">
        <v>76</v>
      </c>
      <c r="P10" s="23"/>
      <c r="Q10" s="27"/>
      <c r="R10" s="27"/>
    </row>
    <row r="11" spans="1:18" x14ac:dyDescent="0.25">
      <c r="A11" s="39"/>
      <c r="B11" s="39"/>
      <c r="C11" s="80"/>
      <c r="D11" s="40">
        <v>240127</v>
      </c>
      <c r="E11" s="40">
        <v>240227</v>
      </c>
      <c r="F11" s="40">
        <v>240327</v>
      </c>
      <c r="G11" s="40">
        <v>240427</v>
      </c>
      <c r="H11" s="40">
        <v>240527</v>
      </c>
      <c r="I11" s="40">
        <v>240627</v>
      </c>
      <c r="J11" s="40">
        <v>240727</v>
      </c>
      <c r="K11" s="40">
        <v>240827</v>
      </c>
      <c r="L11" s="40" t="s">
        <v>11</v>
      </c>
      <c r="M11" s="40">
        <v>241027</v>
      </c>
      <c r="N11" s="22"/>
      <c r="O11" s="41" t="s">
        <v>99</v>
      </c>
      <c r="P11" s="23"/>
      <c r="Q11" s="27"/>
      <c r="R11" s="27"/>
    </row>
    <row r="12" spans="1:18" x14ac:dyDescent="0.25">
      <c r="A12" s="39"/>
      <c r="B12" s="39"/>
      <c r="C12" s="80"/>
      <c r="D12" s="40">
        <v>240126</v>
      </c>
      <c r="E12" s="40">
        <v>240226</v>
      </c>
      <c r="F12" s="40">
        <v>240326</v>
      </c>
      <c r="G12" s="40">
        <v>240426</v>
      </c>
      <c r="H12" s="40">
        <v>240526</v>
      </c>
      <c r="I12" s="40">
        <v>240626</v>
      </c>
      <c r="J12" s="40">
        <v>240726</v>
      </c>
      <c r="K12" s="40">
        <v>240826</v>
      </c>
      <c r="L12" s="40">
        <v>240926</v>
      </c>
      <c r="M12" s="40" t="s">
        <v>11</v>
      </c>
      <c r="N12" s="22"/>
      <c r="O12" s="41" t="s">
        <v>100</v>
      </c>
      <c r="P12" s="23"/>
      <c r="Q12" s="27"/>
      <c r="R12" s="27"/>
    </row>
    <row r="13" spans="1:18" x14ac:dyDescent="0.25">
      <c r="A13" s="39"/>
      <c r="B13" s="39"/>
      <c r="C13" s="80"/>
      <c r="D13" s="40">
        <v>240113</v>
      </c>
      <c r="E13" s="40">
        <v>240213</v>
      </c>
      <c r="F13" s="40">
        <v>240313</v>
      </c>
      <c r="G13" s="40">
        <v>240413</v>
      </c>
      <c r="H13" s="40">
        <v>240513</v>
      </c>
      <c r="I13" s="40">
        <v>240613</v>
      </c>
      <c r="J13" s="40">
        <v>240713</v>
      </c>
      <c r="K13" s="40">
        <v>240813</v>
      </c>
      <c r="L13" s="40">
        <v>240913</v>
      </c>
      <c r="M13" s="40" t="s">
        <v>11</v>
      </c>
      <c r="N13" s="22"/>
      <c r="O13" s="41" t="s">
        <v>101</v>
      </c>
      <c r="P13" s="23"/>
      <c r="Q13" s="27"/>
      <c r="R13" s="27"/>
    </row>
    <row r="14" spans="1:18" x14ac:dyDescent="0.25">
      <c r="A14" s="39"/>
      <c r="B14" s="39"/>
      <c r="C14" s="80"/>
      <c r="D14" s="40">
        <v>240115</v>
      </c>
      <c r="E14" s="40">
        <v>240215</v>
      </c>
      <c r="F14" s="40">
        <v>240315</v>
      </c>
      <c r="G14" s="40">
        <v>240415</v>
      </c>
      <c r="H14" s="40">
        <v>240515</v>
      </c>
      <c r="I14" s="40">
        <v>240615</v>
      </c>
      <c r="J14" s="40">
        <v>240715</v>
      </c>
      <c r="K14" s="40" t="s">
        <v>11</v>
      </c>
      <c r="L14" s="40">
        <v>240915</v>
      </c>
      <c r="M14" s="40" t="s">
        <v>11</v>
      </c>
      <c r="N14" s="22"/>
      <c r="O14" s="41" t="s">
        <v>77</v>
      </c>
      <c r="P14" s="23"/>
      <c r="Q14" s="27"/>
      <c r="R14" s="27"/>
    </row>
    <row r="15" spans="1:18" x14ac:dyDescent="0.25">
      <c r="A15" s="39"/>
      <c r="B15" s="39"/>
      <c r="C15" s="80"/>
      <c r="D15" s="40">
        <v>240138</v>
      </c>
      <c r="E15" s="40">
        <v>240238</v>
      </c>
      <c r="F15" s="40">
        <v>240338</v>
      </c>
      <c r="G15" s="40">
        <v>240438</v>
      </c>
      <c r="H15" s="40">
        <v>240538</v>
      </c>
      <c r="I15" s="40">
        <v>240638</v>
      </c>
      <c r="J15" s="40">
        <v>240738</v>
      </c>
      <c r="K15" s="40" t="s">
        <v>11</v>
      </c>
      <c r="L15" s="40">
        <v>240938</v>
      </c>
      <c r="M15" s="40" t="s">
        <v>11</v>
      </c>
      <c r="N15" s="22"/>
      <c r="O15" s="41" t="s">
        <v>78</v>
      </c>
      <c r="P15" s="23"/>
      <c r="Q15" s="27"/>
      <c r="R15" s="27"/>
    </row>
    <row r="16" spans="1:18" x14ac:dyDescent="0.25">
      <c r="A16" s="39"/>
      <c r="B16" s="39"/>
      <c r="C16" s="80"/>
      <c r="D16" s="40">
        <v>240144</v>
      </c>
      <c r="E16" s="40">
        <v>240244</v>
      </c>
      <c r="F16" s="40">
        <v>240344</v>
      </c>
      <c r="G16" s="40">
        <v>240444</v>
      </c>
      <c r="H16" s="40">
        <v>240544</v>
      </c>
      <c r="I16" s="40">
        <v>240644</v>
      </c>
      <c r="J16" s="40">
        <v>240744</v>
      </c>
      <c r="K16" s="40">
        <v>240844</v>
      </c>
      <c r="L16" s="40">
        <v>240944</v>
      </c>
      <c r="M16" s="40" t="s">
        <v>11</v>
      </c>
      <c r="N16" s="22"/>
      <c r="O16" s="41" t="s">
        <v>79</v>
      </c>
      <c r="P16" s="23"/>
      <c r="Q16" s="27"/>
      <c r="R16" s="27"/>
    </row>
    <row r="17" spans="1:18" x14ac:dyDescent="0.25">
      <c r="A17" s="39"/>
      <c r="B17" s="39"/>
      <c r="C17" s="80"/>
      <c r="D17" s="40">
        <v>240110</v>
      </c>
      <c r="E17" s="40">
        <v>240210</v>
      </c>
      <c r="F17" s="40">
        <v>240310</v>
      </c>
      <c r="G17" s="40">
        <v>240410</v>
      </c>
      <c r="H17" s="84">
        <v>240510</v>
      </c>
      <c r="I17" s="40">
        <v>240610</v>
      </c>
      <c r="J17" s="40">
        <v>240710</v>
      </c>
      <c r="K17" s="40">
        <v>240810</v>
      </c>
      <c r="L17" s="40">
        <v>240910</v>
      </c>
      <c r="M17" s="40" t="s">
        <v>11</v>
      </c>
      <c r="N17" s="22"/>
      <c r="O17" s="41" t="s">
        <v>80</v>
      </c>
      <c r="P17" s="23"/>
      <c r="Q17" s="27"/>
      <c r="R17" s="27"/>
    </row>
    <row r="18" spans="1:18" x14ac:dyDescent="0.25">
      <c r="A18" s="39"/>
      <c r="B18" s="39"/>
      <c r="C18" s="80"/>
      <c r="D18" s="40" t="s">
        <v>11</v>
      </c>
      <c r="E18" s="40" t="s">
        <v>11</v>
      </c>
      <c r="F18" s="40">
        <v>240308</v>
      </c>
      <c r="G18" s="40" t="s">
        <v>11</v>
      </c>
      <c r="H18" s="40">
        <v>240508</v>
      </c>
      <c r="I18" s="40" t="s">
        <v>11</v>
      </c>
      <c r="J18" s="40" t="s">
        <v>11</v>
      </c>
      <c r="K18" s="40" t="s">
        <v>11</v>
      </c>
      <c r="L18" s="40">
        <v>240908</v>
      </c>
      <c r="M18" s="40" t="s">
        <v>11</v>
      </c>
      <c r="N18" s="22"/>
      <c r="O18" s="41" t="s">
        <v>81</v>
      </c>
      <c r="P18" s="23"/>
      <c r="Q18" s="27"/>
      <c r="R18" s="27"/>
    </row>
    <row r="19" spans="1:18" x14ac:dyDescent="0.25">
      <c r="A19" s="39"/>
      <c r="B19" s="39"/>
      <c r="C19" s="80"/>
      <c r="D19" s="40">
        <v>240121</v>
      </c>
      <c r="E19" s="40">
        <v>240221</v>
      </c>
      <c r="F19" s="40">
        <v>240321</v>
      </c>
      <c r="G19" s="40">
        <v>240421</v>
      </c>
      <c r="H19" s="40">
        <v>240521</v>
      </c>
      <c r="I19" s="40">
        <v>240621</v>
      </c>
      <c r="J19" s="40">
        <v>240721</v>
      </c>
      <c r="K19" s="40">
        <v>240821</v>
      </c>
      <c r="L19" s="40" t="s">
        <v>11</v>
      </c>
      <c r="M19" s="40" t="s">
        <v>11</v>
      </c>
      <c r="N19" s="22"/>
      <c r="O19" s="41" t="s">
        <v>82</v>
      </c>
      <c r="P19" s="23"/>
      <c r="Q19" s="27"/>
      <c r="R19" s="27"/>
    </row>
    <row r="20" spans="1:18" x14ac:dyDescent="0.25">
      <c r="A20" s="39"/>
      <c r="B20" s="39"/>
      <c r="C20" s="80"/>
      <c r="D20" s="40">
        <v>240106</v>
      </c>
      <c r="E20" s="40">
        <v>240206</v>
      </c>
      <c r="F20" s="40">
        <v>240306</v>
      </c>
      <c r="G20" s="40">
        <v>240406</v>
      </c>
      <c r="H20" s="40">
        <v>240506</v>
      </c>
      <c r="I20" s="40">
        <v>240606</v>
      </c>
      <c r="J20" s="40">
        <v>240706</v>
      </c>
      <c r="K20" s="40">
        <v>240806</v>
      </c>
      <c r="L20" s="40">
        <v>240906</v>
      </c>
      <c r="M20" s="40" t="s">
        <v>11</v>
      </c>
      <c r="N20" s="22"/>
      <c r="O20" s="41" t="s">
        <v>83</v>
      </c>
      <c r="P20" s="23"/>
      <c r="Q20" s="27"/>
      <c r="R20" s="27"/>
    </row>
    <row r="21" spans="1:18" x14ac:dyDescent="0.25">
      <c r="A21" s="39"/>
      <c r="B21" s="39"/>
      <c r="C21" s="80"/>
      <c r="D21" s="40">
        <v>240109</v>
      </c>
      <c r="E21" s="40">
        <v>240209</v>
      </c>
      <c r="F21" s="40">
        <v>240309</v>
      </c>
      <c r="G21" s="40">
        <v>240409</v>
      </c>
      <c r="H21" s="40">
        <v>240509</v>
      </c>
      <c r="I21" s="40">
        <v>240609</v>
      </c>
      <c r="J21" s="40">
        <v>240709</v>
      </c>
      <c r="K21" s="40">
        <v>240809</v>
      </c>
      <c r="L21" s="40">
        <v>240909</v>
      </c>
      <c r="M21" s="40" t="s">
        <v>11</v>
      </c>
      <c r="N21" s="24"/>
      <c r="O21" s="41" t="s">
        <v>102</v>
      </c>
      <c r="P21" s="25"/>
      <c r="Q21" s="28"/>
      <c r="R21" s="28"/>
    </row>
    <row r="22" spans="1:18" ht="19.5" x14ac:dyDescent="0.25">
      <c r="A22" s="29" t="s">
        <v>84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1"/>
    </row>
    <row r="23" spans="1:18" x14ac:dyDescent="0.25">
      <c r="A23" s="32" t="s">
        <v>12</v>
      </c>
      <c r="B23" s="32" t="s">
        <v>1</v>
      </c>
      <c r="C23" s="32" t="s">
        <v>13</v>
      </c>
      <c r="D23" s="18" t="s">
        <v>2</v>
      </c>
      <c r="E23" s="19"/>
      <c r="F23" s="19"/>
      <c r="G23" s="19"/>
      <c r="H23" s="19"/>
      <c r="I23" s="19"/>
      <c r="J23" s="20"/>
      <c r="K23" s="85"/>
      <c r="L23" s="85"/>
      <c r="M23" s="85"/>
      <c r="N23" s="33" t="s">
        <v>3</v>
      </c>
      <c r="O23" s="35" t="s">
        <v>14</v>
      </c>
      <c r="P23" s="35" t="s">
        <v>15</v>
      </c>
      <c r="Q23" s="35"/>
      <c r="R23" s="35"/>
    </row>
    <row r="24" spans="1:18" ht="25.5" x14ac:dyDescent="0.25">
      <c r="A24" s="32"/>
      <c r="B24" s="32"/>
      <c r="C24" s="32"/>
      <c r="D24" s="14" t="s">
        <v>91</v>
      </c>
      <c r="E24" s="14" t="s">
        <v>92</v>
      </c>
      <c r="F24" s="14" t="s">
        <v>93</v>
      </c>
      <c r="G24" s="14" t="s">
        <v>94</v>
      </c>
      <c r="H24" s="14" t="s">
        <v>95</v>
      </c>
      <c r="I24" s="14" t="s">
        <v>96</v>
      </c>
      <c r="J24" s="14" t="s">
        <v>97</v>
      </c>
      <c r="K24" s="14" t="s">
        <v>5</v>
      </c>
      <c r="L24" s="14" t="s">
        <v>6</v>
      </c>
      <c r="M24" s="14" t="s">
        <v>7</v>
      </c>
      <c r="N24" s="34"/>
      <c r="O24" s="35"/>
      <c r="P24" s="15" t="s">
        <v>16</v>
      </c>
      <c r="Q24" s="15" t="s">
        <v>9</v>
      </c>
      <c r="R24" s="15" t="s">
        <v>10</v>
      </c>
    </row>
    <row r="25" spans="1:18" x14ac:dyDescent="0.25">
      <c r="A25" s="1">
        <v>595960</v>
      </c>
      <c r="B25" s="1"/>
      <c r="C25" s="1"/>
      <c r="D25" s="1">
        <v>2101</v>
      </c>
      <c r="E25" s="1">
        <v>2102</v>
      </c>
      <c r="F25" s="1">
        <v>2103</v>
      </c>
      <c r="G25" s="1">
        <v>2104</v>
      </c>
      <c r="H25" s="1">
        <v>2105</v>
      </c>
      <c r="I25" s="1">
        <v>2106</v>
      </c>
      <c r="J25" s="1">
        <v>2107</v>
      </c>
      <c r="K25" s="1">
        <v>2108</v>
      </c>
      <c r="L25" s="1">
        <v>2109</v>
      </c>
      <c r="M25" s="1">
        <v>2110</v>
      </c>
      <c r="N25" s="2" t="str">
        <f>VLOOKUP(A25,'[2]PERFIL ALUM COZ'!$A$6:$P$143,13,FALSE)</f>
        <v>LATERAL DIR FTE FALSA TERRA 320X45X14+COR</v>
      </c>
      <c r="O25" s="26">
        <v>1</v>
      </c>
      <c r="P25" s="26">
        <f>VLOOKUP(A25,'[2]PERFIL ALUM COZ'!$A$6:$P$143,14,FALSE)</f>
        <v>320</v>
      </c>
      <c r="Q25" s="26">
        <f>VLOOKUP(A25,'[2]PERFIL ALUM COZ'!$A$6:$P$143,15,FALSE)</f>
        <v>45.2</v>
      </c>
      <c r="R25" s="26">
        <f>VLOOKUP(A25,'[2]PERFIL ALUM COZ'!$A$6:$P$143,16,FALSE)</f>
        <v>14</v>
      </c>
    </row>
    <row r="26" spans="1:18" x14ac:dyDescent="0.25">
      <c r="A26" s="2"/>
      <c r="B26" s="1">
        <f>A25</f>
        <v>595960</v>
      </c>
      <c r="C26" s="2"/>
      <c r="D26" s="1">
        <v>2100</v>
      </c>
      <c r="E26" s="1">
        <v>2100</v>
      </c>
      <c r="F26" s="1">
        <v>2100</v>
      </c>
      <c r="G26" s="1">
        <v>2100</v>
      </c>
      <c r="H26" s="1">
        <v>2100</v>
      </c>
      <c r="I26" s="1">
        <v>2100</v>
      </c>
      <c r="J26" s="1">
        <v>2100</v>
      </c>
      <c r="K26" s="1">
        <v>2100</v>
      </c>
      <c r="L26" s="1">
        <v>2100</v>
      </c>
      <c r="M26" s="1">
        <v>2100</v>
      </c>
      <c r="N26" s="2" t="str">
        <f>SUBSTITUTE(N25,"+ COR", "- NATURAL")</f>
        <v>LATERAL DIR FTE FALSA TERRA 320X45X14+COR</v>
      </c>
      <c r="O26" s="28"/>
      <c r="P26" s="28"/>
      <c r="Q26" s="28"/>
      <c r="R26" s="28"/>
    </row>
    <row r="27" spans="1:18" x14ac:dyDescent="0.25">
      <c r="A27" s="6"/>
      <c r="B27" s="9"/>
      <c r="C27" s="3">
        <v>1020141</v>
      </c>
      <c r="D27" s="3" t="s">
        <v>11</v>
      </c>
      <c r="E27" s="3" t="s">
        <v>11</v>
      </c>
      <c r="F27" s="3" t="s">
        <v>11</v>
      </c>
      <c r="G27" s="3" t="s">
        <v>11</v>
      </c>
      <c r="H27" s="3" t="s">
        <v>11</v>
      </c>
      <c r="I27" s="3" t="s">
        <v>11</v>
      </c>
      <c r="J27" s="3" t="s">
        <v>11</v>
      </c>
      <c r="K27" s="9" t="s">
        <v>11</v>
      </c>
      <c r="L27" s="9" t="s">
        <v>11</v>
      </c>
      <c r="M27" s="9" t="s">
        <v>11</v>
      </c>
      <c r="N27" s="4" t="s">
        <v>103</v>
      </c>
      <c r="O27" s="44"/>
      <c r="P27" s="44"/>
      <c r="Q27" s="44"/>
      <c r="R27" s="45"/>
    </row>
    <row r="28" spans="1:18" x14ac:dyDescent="0.25">
      <c r="A28" s="6"/>
      <c r="B28" s="3">
        <v>595220</v>
      </c>
      <c r="C28" s="3"/>
      <c r="D28" s="5" t="s">
        <v>17</v>
      </c>
      <c r="E28" s="5" t="s">
        <v>18</v>
      </c>
      <c r="F28" s="5" t="s">
        <v>19</v>
      </c>
      <c r="G28" s="5" t="s">
        <v>20</v>
      </c>
      <c r="H28" s="5" t="s">
        <v>21</v>
      </c>
      <c r="I28" s="5" t="s">
        <v>22</v>
      </c>
      <c r="J28" s="5" t="s">
        <v>23</v>
      </c>
      <c r="K28" s="56" t="s">
        <v>24</v>
      </c>
      <c r="L28" s="56" t="s">
        <v>25</v>
      </c>
      <c r="M28" s="47">
        <v>10</v>
      </c>
      <c r="N28" s="4" t="s">
        <v>104</v>
      </c>
      <c r="O28" s="9"/>
      <c r="P28" s="86" t="s">
        <v>26</v>
      </c>
      <c r="Q28" s="87"/>
      <c r="R28" s="88"/>
    </row>
    <row r="29" spans="1:18" x14ac:dyDescent="0.25">
      <c r="A29" s="49"/>
      <c r="B29" s="49"/>
      <c r="C29" s="50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50"/>
      <c r="O29" s="49"/>
      <c r="P29" s="49"/>
      <c r="Q29" s="50"/>
      <c r="R29" s="50"/>
    </row>
    <row r="30" spans="1:18" x14ac:dyDescent="0.25">
      <c r="A30" s="1">
        <v>595963</v>
      </c>
      <c r="B30" s="1"/>
      <c r="C30" s="1"/>
      <c r="D30" s="1">
        <v>2101</v>
      </c>
      <c r="E30" s="1">
        <v>2102</v>
      </c>
      <c r="F30" s="1">
        <v>2103</v>
      </c>
      <c r="G30" s="1">
        <v>2104</v>
      </c>
      <c r="H30" s="1">
        <v>2105</v>
      </c>
      <c r="I30" s="1">
        <v>2106</v>
      </c>
      <c r="J30" s="1">
        <v>2107</v>
      </c>
      <c r="K30" s="1">
        <v>2108</v>
      </c>
      <c r="L30" s="1">
        <v>2109</v>
      </c>
      <c r="M30" s="1">
        <v>2110</v>
      </c>
      <c r="N30" s="2" t="str">
        <f>VLOOKUP(A30,'[2]PERFIL ALUM COZ'!$A$6:$P$143,13,FALSE)</f>
        <v>LATERAL ESQ FTE FALSA TERRA 320X45,2X14+COR</v>
      </c>
      <c r="O30" s="26">
        <v>1</v>
      </c>
      <c r="P30" s="26">
        <f>VLOOKUP(A30,'[2]PERFIL ALUM COZ'!$A$6:$P$143,14,FALSE)</f>
        <v>320</v>
      </c>
      <c r="Q30" s="26">
        <f>VLOOKUP(A30,'[2]PERFIL ALUM COZ'!$A$6:$P$143,15,FALSE)</f>
        <v>45.2</v>
      </c>
      <c r="R30" s="26">
        <f>VLOOKUP(A30,'[2]PERFIL ALUM COZ'!$A$6:$P$143,16,FALSE)</f>
        <v>14</v>
      </c>
    </row>
    <row r="31" spans="1:18" x14ac:dyDescent="0.25">
      <c r="A31" s="2"/>
      <c r="B31" s="1">
        <f>A30</f>
        <v>595963</v>
      </c>
      <c r="C31" s="2"/>
      <c r="D31" s="1">
        <v>2100</v>
      </c>
      <c r="E31" s="1">
        <v>2100</v>
      </c>
      <c r="F31" s="1">
        <v>2100</v>
      </c>
      <c r="G31" s="1">
        <v>2100</v>
      </c>
      <c r="H31" s="1">
        <v>2100</v>
      </c>
      <c r="I31" s="1">
        <v>2100</v>
      </c>
      <c r="J31" s="1">
        <v>2100</v>
      </c>
      <c r="K31" s="1">
        <v>2100</v>
      </c>
      <c r="L31" s="1">
        <v>2100</v>
      </c>
      <c r="M31" s="1">
        <v>2100</v>
      </c>
      <c r="N31" s="2" t="str">
        <f>SUBSTITUTE(N30,"+ COR", "- NATURAL")</f>
        <v>LATERAL ESQ FTE FALSA TERRA 320X45,2X14+COR</v>
      </c>
      <c r="O31" s="28"/>
      <c r="P31" s="28"/>
      <c r="Q31" s="28"/>
      <c r="R31" s="28"/>
    </row>
    <row r="32" spans="1:18" x14ac:dyDescent="0.25">
      <c r="A32" s="6"/>
      <c r="B32" s="9"/>
      <c r="C32" s="3">
        <v>1020141</v>
      </c>
      <c r="D32" s="3" t="s">
        <v>11</v>
      </c>
      <c r="E32" s="3" t="s">
        <v>11</v>
      </c>
      <c r="F32" s="3" t="s">
        <v>11</v>
      </c>
      <c r="G32" s="3" t="s">
        <v>11</v>
      </c>
      <c r="H32" s="3" t="s">
        <v>11</v>
      </c>
      <c r="I32" s="3" t="s">
        <v>11</v>
      </c>
      <c r="J32" s="3" t="s">
        <v>11</v>
      </c>
      <c r="K32" s="9" t="s">
        <v>11</v>
      </c>
      <c r="L32" s="9" t="s">
        <v>11</v>
      </c>
      <c r="M32" s="9" t="s">
        <v>11</v>
      </c>
      <c r="N32" s="4" t="s">
        <v>103</v>
      </c>
      <c r="O32" s="44"/>
      <c r="P32" s="44"/>
      <c r="Q32" s="44"/>
      <c r="R32" s="45"/>
    </row>
    <row r="33" spans="1:18" x14ac:dyDescent="0.25">
      <c r="A33" s="6"/>
      <c r="B33" s="3">
        <v>595220</v>
      </c>
      <c r="C33" s="3"/>
      <c r="D33" s="5" t="s">
        <v>17</v>
      </c>
      <c r="E33" s="5" t="s">
        <v>18</v>
      </c>
      <c r="F33" s="5" t="s">
        <v>19</v>
      </c>
      <c r="G33" s="5" t="s">
        <v>20</v>
      </c>
      <c r="H33" s="5" t="s">
        <v>21</v>
      </c>
      <c r="I33" s="5" t="s">
        <v>22</v>
      </c>
      <c r="J33" s="5" t="s">
        <v>23</v>
      </c>
      <c r="K33" s="56" t="s">
        <v>24</v>
      </c>
      <c r="L33" s="56" t="s">
        <v>25</v>
      </c>
      <c r="M33" s="47">
        <v>10</v>
      </c>
      <c r="N33" s="4" t="s">
        <v>104</v>
      </c>
      <c r="O33" s="9"/>
      <c r="P33" s="86" t="s">
        <v>26</v>
      </c>
      <c r="Q33" s="87"/>
      <c r="R33" s="88"/>
    </row>
    <row r="34" spans="1:18" x14ac:dyDescent="0.25">
      <c r="A34" s="49"/>
      <c r="B34" s="49"/>
      <c r="C34" s="50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50"/>
      <c r="O34" s="49"/>
      <c r="P34" s="49"/>
      <c r="Q34" s="50"/>
      <c r="R34" s="50"/>
    </row>
    <row r="35" spans="1:18" x14ac:dyDescent="0.25">
      <c r="A35" s="9">
        <v>595234</v>
      </c>
      <c r="B35" s="9"/>
      <c r="C35" s="9"/>
      <c r="D35" s="9">
        <v>2101</v>
      </c>
      <c r="E35" s="9">
        <v>2102</v>
      </c>
      <c r="F35" s="9">
        <v>2103</v>
      </c>
      <c r="G35" s="9">
        <v>2104</v>
      </c>
      <c r="H35" s="9">
        <v>2105</v>
      </c>
      <c r="I35" s="9">
        <v>2106</v>
      </c>
      <c r="J35" s="9">
        <v>2107</v>
      </c>
      <c r="K35" s="9">
        <v>2108</v>
      </c>
      <c r="L35" s="9">
        <v>2109</v>
      </c>
      <c r="M35" s="9">
        <v>2110</v>
      </c>
      <c r="N35" s="6" t="str">
        <f>VLOOKUP(A35,'[2]PERFIL ALUM COZ'!$A$6:$P$143,13,FALSE)</f>
        <v>CABECEIRA S/DOB PL TERRA 396X45,2X14 + COR</v>
      </c>
      <c r="O35" s="42">
        <v>1</v>
      </c>
      <c r="P35" s="42">
        <f>VLOOKUP(A35,'[2]PERFIL ALUM COZ'!$A$6:$P$143,14,FALSE)</f>
        <v>396</v>
      </c>
      <c r="Q35" s="42">
        <f>VLOOKUP(A35,'[2]PERFIL ALUM COZ'!$A$6:$P$143,15,FALSE)</f>
        <v>45.2</v>
      </c>
      <c r="R35" s="42">
        <f>VLOOKUP(A35,'[2]PERFIL ALUM COZ'!$A$6:$P$143,16,FALSE)</f>
        <v>14</v>
      </c>
    </row>
    <row r="36" spans="1:18" x14ac:dyDescent="0.25">
      <c r="A36" s="6"/>
      <c r="B36" s="9">
        <f>A35</f>
        <v>595234</v>
      </c>
      <c r="C36" s="6"/>
      <c r="D36" s="9">
        <v>2100</v>
      </c>
      <c r="E36" s="9">
        <v>2100</v>
      </c>
      <c r="F36" s="9">
        <v>2100</v>
      </c>
      <c r="G36" s="9">
        <v>2100</v>
      </c>
      <c r="H36" s="9">
        <v>2100</v>
      </c>
      <c r="I36" s="9">
        <v>2100</v>
      </c>
      <c r="J36" s="9">
        <v>2100</v>
      </c>
      <c r="K36" s="9">
        <v>2100</v>
      </c>
      <c r="L36" s="9">
        <v>2100</v>
      </c>
      <c r="M36" s="9">
        <v>2100</v>
      </c>
      <c r="N36" s="6" t="str">
        <f>SUBSTITUTE(N35,"+ COR", "- NATURAL")</f>
        <v>CABECEIRA S/DOB PL TERRA 396X45,2X14 - NATURAL</v>
      </c>
      <c r="O36" s="43"/>
      <c r="P36" s="43"/>
      <c r="Q36" s="43"/>
      <c r="R36" s="43"/>
    </row>
    <row r="37" spans="1:18" x14ac:dyDescent="0.25">
      <c r="A37" s="6"/>
      <c r="B37" s="9"/>
      <c r="C37" s="3">
        <v>1020141</v>
      </c>
      <c r="D37" s="3" t="s">
        <v>11</v>
      </c>
      <c r="E37" s="3" t="s">
        <v>11</v>
      </c>
      <c r="F37" s="3" t="s">
        <v>11</v>
      </c>
      <c r="G37" s="3" t="s">
        <v>11</v>
      </c>
      <c r="H37" s="3" t="s">
        <v>11</v>
      </c>
      <c r="I37" s="3" t="s">
        <v>11</v>
      </c>
      <c r="J37" s="3" t="s">
        <v>11</v>
      </c>
      <c r="K37" s="9" t="s">
        <v>11</v>
      </c>
      <c r="L37" s="9" t="s">
        <v>11</v>
      </c>
      <c r="M37" s="9" t="s">
        <v>11</v>
      </c>
      <c r="N37" s="4" t="s">
        <v>103</v>
      </c>
      <c r="O37" s="44"/>
      <c r="P37" s="44"/>
      <c r="Q37" s="44"/>
      <c r="R37" s="45"/>
    </row>
    <row r="38" spans="1:18" x14ac:dyDescent="0.25">
      <c r="A38" s="6"/>
      <c r="B38" s="3">
        <v>595220</v>
      </c>
      <c r="C38" s="3"/>
      <c r="D38" s="5" t="s">
        <v>17</v>
      </c>
      <c r="E38" s="5" t="s">
        <v>18</v>
      </c>
      <c r="F38" s="5" t="s">
        <v>19</v>
      </c>
      <c r="G38" s="5" t="s">
        <v>20</v>
      </c>
      <c r="H38" s="5" t="s">
        <v>21</v>
      </c>
      <c r="I38" s="5" t="s">
        <v>22</v>
      </c>
      <c r="J38" s="5" t="s">
        <v>23</v>
      </c>
      <c r="K38" s="56" t="s">
        <v>24</v>
      </c>
      <c r="L38" s="56" t="s">
        <v>25</v>
      </c>
      <c r="M38" s="47">
        <v>10</v>
      </c>
      <c r="N38" s="4" t="s">
        <v>104</v>
      </c>
      <c r="O38" s="9"/>
      <c r="P38" s="86" t="s">
        <v>26</v>
      </c>
      <c r="Q38" s="87"/>
      <c r="R38" s="88"/>
    </row>
    <row r="39" spans="1:18" x14ac:dyDescent="0.25">
      <c r="A39" s="49"/>
      <c r="B39" s="49"/>
      <c r="C39" s="50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50"/>
      <c r="O39" s="49"/>
      <c r="P39" s="49"/>
      <c r="Q39" s="50"/>
      <c r="R39" s="50"/>
    </row>
    <row r="40" spans="1:18" x14ac:dyDescent="0.25">
      <c r="A40" s="9">
        <v>595234</v>
      </c>
      <c r="B40" s="9"/>
      <c r="C40" s="9"/>
      <c r="D40" s="9">
        <v>2401</v>
      </c>
      <c r="E40" s="9">
        <v>2402</v>
      </c>
      <c r="F40" s="9">
        <v>2403</v>
      </c>
      <c r="G40" s="9">
        <v>2404</v>
      </c>
      <c r="H40" s="9">
        <v>2405</v>
      </c>
      <c r="I40" s="9">
        <v>2406</v>
      </c>
      <c r="J40" s="9">
        <v>2407</v>
      </c>
      <c r="K40" s="9">
        <v>2408</v>
      </c>
      <c r="L40" s="9">
        <v>2409</v>
      </c>
      <c r="M40" s="9">
        <v>2410</v>
      </c>
      <c r="N40" s="6" t="str">
        <f>VLOOKUP(A40,'[2]PERFIL ALUM COZ'!$A$6:$P$143,13,FALSE)</f>
        <v>CABECEIRA S/DOB PL TERRA 396X45,2X14 + COR</v>
      </c>
      <c r="O40" s="42">
        <v>1</v>
      </c>
      <c r="P40" s="42">
        <f>VLOOKUP(A40,'[2]PERFIL ALUM COZ'!$A$6:$P$143,14,FALSE)</f>
        <v>396</v>
      </c>
      <c r="Q40" s="42">
        <f>VLOOKUP(A40,'[2]PERFIL ALUM COZ'!$A$6:$P$143,15,FALSE)</f>
        <v>45.2</v>
      </c>
      <c r="R40" s="42">
        <f>VLOOKUP(A40,'[2]PERFIL ALUM COZ'!$A$6:$P$143,16,FALSE)</f>
        <v>14</v>
      </c>
    </row>
    <row r="41" spans="1:18" x14ac:dyDescent="0.25">
      <c r="A41" s="6"/>
      <c r="B41" s="9">
        <f>A40</f>
        <v>595234</v>
      </c>
      <c r="C41" s="6"/>
      <c r="D41" s="9">
        <v>2400</v>
      </c>
      <c r="E41" s="9">
        <v>2400</v>
      </c>
      <c r="F41" s="9">
        <v>2400</v>
      </c>
      <c r="G41" s="9">
        <v>2400</v>
      </c>
      <c r="H41" s="9">
        <v>2400</v>
      </c>
      <c r="I41" s="9">
        <v>2400</v>
      </c>
      <c r="J41" s="9">
        <v>2400</v>
      </c>
      <c r="K41" s="9">
        <v>2400</v>
      </c>
      <c r="L41" s="9">
        <v>2400</v>
      </c>
      <c r="M41" s="9">
        <v>2400</v>
      </c>
      <c r="N41" s="6" t="str">
        <f>SUBSTITUTE(N40,"+ COR", "- NATURAL")</f>
        <v>CABECEIRA S/DOB PL TERRA 396X45,2X14 - NATURAL</v>
      </c>
      <c r="O41" s="43"/>
      <c r="P41" s="43"/>
      <c r="Q41" s="43"/>
      <c r="R41" s="43"/>
    </row>
    <row r="42" spans="1:18" x14ac:dyDescent="0.25">
      <c r="A42" s="6"/>
      <c r="B42" s="9"/>
      <c r="C42" s="3">
        <v>1020153</v>
      </c>
      <c r="D42" s="3" t="s">
        <v>11</v>
      </c>
      <c r="E42" s="3" t="s">
        <v>11</v>
      </c>
      <c r="F42" s="3" t="s">
        <v>11</v>
      </c>
      <c r="G42" s="3" t="s">
        <v>11</v>
      </c>
      <c r="H42" s="3" t="s">
        <v>11</v>
      </c>
      <c r="I42" s="3" t="s">
        <v>11</v>
      </c>
      <c r="J42" s="3" t="s">
        <v>11</v>
      </c>
      <c r="K42" s="9" t="s">
        <v>11</v>
      </c>
      <c r="L42" s="9" t="s">
        <v>11</v>
      </c>
      <c r="M42" s="9" t="s">
        <v>11</v>
      </c>
      <c r="N42" s="4" t="s">
        <v>105</v>
      </c>
      <c r="O42" s="44"/>
      <c r="P42" s="44"/>
      <c r="Q42" s="44"/>
      <c r="R42" s="45"/>
    </row>
    <row r="43" spans="1:18" x14ac:dyDescent="0.25">
      <c r="A43" s="6"/>
      <c r="B43" s="3">
        <v>595227</v>
      </c>
      <c r="C43" s="3"/>
      <c r="D43" s="5" t="s">
        <v>17</v>
      </c>
      <c r="E43" s="5" t="s">
        <v>18</v>
      </c>
      <c r="F43" s="5" t="s">
        <v>19</v>
      </c>
      <c r="G43" s="5" t="s">
        <v>20</v>
      </c>
      <c r="H43" s="5" t="s">
        <v>21</v>
      </c>
      <c r="I43" s="5" t="s">
        <v>22</v>
      </c>
      <c r="J43" s="5" t="s">
        <v>23</v>
      </c>
      <c r="K43" s="56" t="s">
        <v>24</v>
      </c>
      <c r="L43" s="56" t="s">
        <v>25</v>
      </c>
      <c r="M43" s="47">
        <v>10</v>
      </c>
      <c r="N43" s="4" t="s">
        <v>106</v>
      </c>
      <c r="O43" s="9"/>
      <c r="P43" s="86" t="s">
        <v>26</v>
      </c>
      <c r="Q43" s="87"/>
      <c r="R43" s="88"/>
    </row>
    <row r="44" spans="1:18" x14ac:dyDescent="0.25">
      <c r="A44" s="49"/>
      <c r="B44" s="49"/>
      <c r="C44" s="50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50"/>
      <c r="O44" s="49"/>
      <c r="P44" s="49"/>
      <c r="Q44" s="50"/>
      <c r="R44" s="50"/>
    </row>
    <row r="45" spans="1:18" x14ac:dyDescent="0.25">
      <c r="A45" s="9">
        <v>591023</v>
      </c>
      <c r="B45" s="9"/>
      <c r="C45" s="9"/>
      <c r="D45" s="47" t="s">
        <v>17</v>
      </c>
      <c r="E45" s="47" t="s">
        <v>18</v>
      </c>
      <c r="F45" s="47" t="s">
        <v>19</v>
      </c>
      <c r="G45" s="47" t="s">
        <v>20</v>
      </c>
      <c r="H45" s="47" t="s">
        <v>21</v>
      </c>
      <c r="I45" s="47" t="s">
        <v>22</v>
      </c>
      <c r="J45" s="47" t="s">
        <v>23</v>
      </c>
      <c r="K45" s="56" t="s">
        <v>24</v>
      </c>
      <c r="L45" s="56" t="s">
        <v>25</v>
      </c>
      <c r="M45" s="47">
        <v>10</v>
      </c>
      <c r="N45" s="6" t="s">
        <v>107</v>
      </c>
      <c r="O45" s="9">
        <v>2</v>
      </c>
      <c r="P45" s="9">
        <v>35</v>
      </c>
      <c r="Q45" s="9">
        <v>19</v>
      </c>
      <c r="R45" s="9">
        <v>6</v>
      </c>
    </row>
    <row r="46" spans="1:18" x14ac:dyDescent="0.25">
      <c r="A46" s="6"/>
      <c r="B46" s="9"/>
      <c r="C46" s="3">
        <v>1020156</v>
      </c>
      <c r="D46" s="3" t="s">
        <v>11</v>
      </c>
      <c r="E46" s="3" t="s">
        <v>11</v>
      </c>
      <c r="F46" s="3" t="s">
        <v>11</v>
      </c>
      <c r="G46" s="3" t="s">
        <v>11</v>
      </c>
      <c r="H46" s="3" t="s">
        <v>11</v>
      </c>
      <c r="I46" s="3" t="s">
        <v>11</v>
      </c>
      <c r="J46" s="3" t="s">
        <v>11</v>
      </c>
      <c r="K46" s="9" t="s">
        <v>11</v>
      </c>
      <c r="L46" s="9" t="s">
        <v>11</v>
      </c>
      <c r="M46" s="9" t="s">
        <v>11</v>
      </c>
      <c r="N46" s="4" t="s">
        <v>108</v>
      </c>
      <c r="O46" s="89"/>
      <c r="P46" s="90"/>
      <c r="Q46" s="89"/>
      <c r="R46" s="91"/>
    </row>
    <row r="47" spans="1:18" x14ac:dyDescent="0.25">
      <c r="A47" s="6"/>
      <c r="B47" s="3">
        <v>595231</v>
      </c>
      <c r="C47" s="3"/>
      <c r="D47" s="5" t="s">
        <v>17</v>
      </c>
      <c r="E47" s="5" t="s">
        <v>18</v>
      </c>
      <c r="F47" s="5" t="s">
        <v>19</v>
      </c>
      <c r="G47" s="5" t="s">
        <v>20</v>
      </c>
      <c r="H47" s="5" t="s">
        <v>21</v>
      </c>
      <c r="I47" s="5" t="s">
        <v>22</v>
      </c>
      <c r="J47" s="5" t="s">
        <v>23</v>
      </c>
      <c r="K47" s="56" t="s">
        <v>24</v>
      </c>
      <c r="L47" s="56" t="s">
        <v>25</v>
      </c>
      <c r="M47" s="9">
        <v>10</v>
      </c>
      <c r="N47" s="4" t="s">
        <v>109</v>
      </c>
      <c r="O47" s="6"/>
      <c r="P47" s="9" t="s">
        <v>26</v>
      </c>
      <c r="Q47" s="6"/>
      <c r="R47" s="6"/>
    </row>
    <row r="48" spans="1:18" x14ac:dyDescent="0.25">
      <c r="A48" s="49"/>
      <c r="B48" s="49"/>
      <c r="C48" s="50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50"/>
      <c r="O48" s="49"/>
      <c r="P48" s="49"/>
      <c r="Q48" s="50"/>
      <c r="R48" s="50"/>
    </row>
    <row r="49" spans="1:18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>
        <v>1020145</v>
      </c>
      <c r="N49" s="6" t="s">
        <v>110</v>
      </c>
      <c r="O49" s="9">
        <v>1.38</v>
      </c>
      <c r="P49" s="9">
        <v>1.38</v>
      </c>
      <c r="Q49" s="6"/>
      <c r="R49" s="6"/>
    </row>
    <row r="50" spans="1:18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>
        <v>1021225</v>
      </c>
      <c r="N50" s="6" t="s">
        <v>112</v>
      </c>
      <c r="O50" s="9"/>
      <c r="P50" s="9" t="s">
        <v>113</v>
      </c>
      <c r="Q50" s="6"/>
      <c r="R50" s="6"/>
    </row>
    <row r="51" spans="1:18" x14ac:dyDescent="0.25">
      <c r="A51" s="49"/>
      <c r="B51" s="49"/>
      <c r="C51" s="50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50"/>
      <c r="O51" s="49"/>
      <c r="P51" s="49"/>
      <c r="Q51" s="50"/>
      <c r="R51" s="50"/>
    </row>
    <row r="52" spans="1:18" x14ac:dyDescent="0.25">
      <c r="A52" s="9"/>
      <c r="B52" s="9"/>
      <c r="C52" s="6"/>
      <c r="D52" s="9"/>
      <c r="E52" s="9"/>
      <c r="F52" s="9"/>
      <c r="G52" s="9"/>
      <c r="H52" s="9"/>
      <c r="I52" s="9"/>
      <c r="J52" s="9"/>
      <c r="K52" s="9"/>
      <c r="L52" s="9"/>
      <c r="M52" s="9">
        <v>5997499</v>
      </c>
      <c r="N52" s="6" t="s">
        <v>114</v>
      </c>
      <c r="O52" s="9">
        <v>1</v>
      </c>
      <c r="P52" s="6"/>
      <c r="Q52" s="6"/>
      <c r="R52" s="6"/>
    </row>
    <row r="53" spans="1:18" x14ac:dyDescent="0.25">
      <c r="A53" s="9"/>
      <c r="B53" s="9"/>
      <c r="C53" s="6"/>
      <c r="D53" s="9"/>
      <c r="E53" s="9"/>
      <c r="F53" s="9"/>
      <c r="G53" s="9"/>
      <c r="H53" s="9"/>
      <c r="I53" s="9"/>
      <c r="J53" s="9"/>
      <c r="K53" s="9"/>
      <c r="L53" s="9"/>
      <c r="M53" s="9">
        <v>1020144</v>
      </c>
      <c r="N53" s="6" t="s">
        <v>115</v>
      </c>
      <c r="O53" s="9">
        <v>4</v>
      </c>
      <c r="P53" s="6"/>
      <c r="Q53" s="6"/>
      <c r="R53" s="6"/>
    </row>
    <row r="54" spans="1:18" x14ac:dyDescent="0.25">
      <c r="A54" s="9"/>
      <c r="B54" s="9"/>
      <c r="C54" s="6"/>
      <c r="D54" s="9"/>
      <c r="E54" s="9"/>
      <c r="F54" s="9"/>
      <c r="G54" s="9"/>
      <c r="H54" s="9"/>
      <c r="I54" s="9"/>
      <c r="J54" s="9"/>
      <c r="K54" s="9"/>
      <c r="L54" s="9"/>
      <c r="M54" s="9">
        <v>1018359</v>
      </c>
      <c r="N54" s="6" t="s">
        <v>116</v>
      </c>
      <c r="O54" s="9">
        <v>8</v>
      </c>
      <c r="P54" s="6"/>
      <c r="Q54" s="6"/>
      <c r="R54" s="6"/>
    </row>
    <row r="55" spans="1:18" x14ac:dyDescent="0.25">
      <c r="A55" s="92" t="s">
        <v>86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1:18" ht="25.5" x14ac:dyDescent="0.25">
      <c r="A56" s="15" t="s">
        <v>27</v>
      </c>
      <c r="B56" s="14" t="s">
        <v>28</v>
      </c>
      <c r="C56" s="14" t="s">
        <v>29</v>
      </c>
      <c r="D56" s="36" t="s">
        <v>85</v>
      </c>
      <c r="E56" s="37"/>
      <c r="F56" s="37"/>
      <c r="G56" s="37"/>
      <c r="H56" s="37"/>
      <c r="I56" s="37"/>
      <c r="J56" s="37"/>
      <c r="K56" s="37"/>
      <c r="L56" s="37"/>
      <c r="M56" s="38"/>
      <c r="N56" s="46" t="s">
        <v>3</v>
      </c>
      <c r="O56" s="15" t="s">
        <v>30</v>
      </c>
      <c r="P56" s="35" t="s">
        <v>31</v>
      </c>
      <c r="Q56" s="35"/>
      <c r="R56" s="35"/>
    </row>
    <row r="57" spans="1:18" x14ac:dyDescent="0.25">
      <c r="A57" s="51" t="s">
        <v>87</v>
      </c>
      <c r="B57" s="51">
        <f>VLOOKUP((CONCATENATE("VIDRO ",P57,"X",Q57,"X",R57)),'[2]VIDROS AQUA'!$A$6:$AC$124,3,FALSE)</f>
        <v>181021432</v>
      </c>
      <c r="C57" s="52" t="s">
        <v>21</v>
      </c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53" t="str">
        <f>CONCATENATE("VIDRO PELIC ESP PRATA ",P$57,"X",Q$57,"X",R$57)</f>
        <v>VIDRO PELIC ESP PRATA 319X394X4</v>
      </c>
      <c r="O57" s="42">
        <v>1</v>
      </c>
      <c r="P57" s="42">
        <f>(P5-35)-1</f>
        <v>319</v>
      </c>
      <c r="Q57" s="42">
        <f>(Q5-2)</f>
        <v>394</v>
      </c>
      <c r="R57" s="42">
        <v>4</v>
      </c>
    </row>
    <row r="58" spans="1:18" x14ac:dyDescent="0.25">
      <c r="A58" s="54"/>
      <c r="B58" s="54"/>
      <c r="C58" s="52">
        <v>26</v>
      </c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53" t="str">
        <f>CONCATENATE("VIDRO PELIC ESP FUME ",P$57,"X",Q$57,"X",R$57)</f>
        <v>VIDRO PELIC ESP FUME 319X394X4</v>
      </c>
      <c r="O58" s="94"/>
      <c r="P58" s="94"/>
      <c r="Q58" s="94"/>
      <c r="R58" s="94"/>
    </row>
    <row r="59" spans="1:18" x14ac:dyDescent="0.25">
      <c r="A59" s="55"/>
      <c r="B59" s="55"/>
      <c r="C59" s="52">
        <v>27</v>
      </c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53" t="str">
        <f>CONCATENATE("VIDRO PELIC ESP CHAMP ",P$57,"X",Q$57,"X",R$57)</f>
        <v>VIDRO PELIC ESP CHAMP 319X394X4</v>
      </c>
      <c r="O59" s="94"/>
      <c r="P59" s="94"/>
      <c r="Q59" s="94"/>
      <c r="R59" s="94"/>
    </row>
    <row r="60" spans="1:18" x14ac:dyDescent="0.25">
      <c r="A60" s="95" t="s">
        <v>88</v>
      </c>
      <c r="B60" s="42">
        <f>VLOOKUP((CONCATENATE("VIDRO ",P57,"X",Q57,"X",R57)),'[2]VIDROS AQUA'!$A$6:$AC$124,2,FALSE)</f>
        <v>121432</v>
      </c>
      <c r="C60" s="47" t="s">
        <v>117</v>
      </c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48" t="str">
        <f>CONCATENATE("VIDRO PELIC MET GRAFITE ",P$57,"X",Q$57,"X",R$57)</f>
        <v>VIDRO PELIC MET GRAFITE 319X394X4</v>
      </c>
      <c r="O60" s="94"/>
      <c r="P60" s="94"/>
      <c r="Q60" s="94"/>
      <c r="R60" s="94"/>
    </row>
    <row r="61" spans="1:18" x14ac:dyDescent="0.25">
      <c r="A61" s="96"/>
      <c r="B61" s="94"/>
      <c r="C61" s="47" t="s">
        <v>118</v>
      </c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48" t="str">
        <f>CONCATENATE("VIDRO PELIC MET PRATA ",P$57,"X",Q$57,"X",R$57)</f>
        <v>VIDRO PELIC MET PRATA 319X394X4</v>
      </c>
      <c r="O61" s="94"/>
      <c r="P61" s="94"/>
      <c r="Q61" s="94"/>
      <c r="R61" s="94"/>
    </row>
    <row r="62" spans="1:18" x14ac:dyDescent="0.25">
      <c r="A62" s="96"/>
      <c r="B62" s="94"/>
      <c r="C62" s="47" t="s">
        <v>119</v>
      </c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48" t="str">
        <f>CONCATENATE("VIDRO PELIC MET DOURADO ",P$57,"X",Q$57,"X",R$57)</f>
        <v>VIDRO PELIC MET DOURADO 319X394X4</v>
      </c>
      <c r="O62" s="94"/>
      <c r="P62" s="94"/>
      <c r="Q62" s="94"/>
      <c r="R62" s="94"/>
    </row>
    <row r="63" spans="1:18" x14ac:dyDescent="0.25">
      <c r="A63" s="96"/>
      <c r="B63" s="94"/>
      <c r="C63" s="47" t="s">
        <v>120</v>
      </c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48" t="str">
        <f>CONCATENATE("VIDRO PELIC MET PEROLA ",P$57,"X",Q$57,"X",R$57)</f>
        <v>VIDRO PELIC MET PEROLA 319X394X4</v>
      </c>
      <c r="O63" s="94"/>
      <c r="P63" s="94"/>
      <c r="Q63" s="94"/>
      <c r="R63" s="94"/>
    </row>
    <row r="64" spans="1:18" x14ac:dyDescent="0.25">
      <c r="A64" s="96"/>
      <c r="B64" s="94"/>
      <c r="C64" s="47">
        <v>12</v>
      </c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48" t="str">
        <f>CONCATENATE("VIDRO PELIC BIANCO ",P$57,"X",Q$57,"X",R$57)</f>
        <v>VIDRO PELIC BIANCO 319X394X4</v>
      </c>
      <c r="O64" s="94"/>
      <c r="P64" s="94"/>
      <c r="Q64" s="94"/>
      <c r="R64" s="94"/>
    </row>
    <row r="65" spans="1:18" x14ac:dyDescent="0.25">
      <c r="A65" s="96"/>
      <c r="B65" s="94"/>
      <c r="C65" s="47">
        <v>13</v>
      </c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48" t="str">
        <f>CONCATENATE("VIDRO PELIC ONIX ",P$57,"X",Q$57,"X",R$57)</f>
        <v>VIDRO PELIC ONIX 319X394X4</v>
      </c>
      <c r="O65" s="94"/>
      <c r="P65" s="94"/>
      <c r="Q65" s="94"/>
      <c r="R65" s="94"/>
    </row>
    <row r="66" spans="1:18" x14ac:dyDescent="0.25">
      <c r="A66" s="96"/>
      <c r="B66" s="94"/>
      <c r="C66" s="47">
        <v>15</v>
      </c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48" t="str">
        <f>CONCATENATE("VIDRO PELIC GELO ",P$57,"X",Q$57,"X",R$57)</f>
        <v>VIDRO PELIC GELO 319X394X4</v>
      </c>
      <c r="O66" s="94"/>
      <c r="P66" s="94"/>
      <c r="Q66" s="94"/>
      <c r="R66" s="94"/>
    </row>
    <row r="67" spans="1:18" x14ac:dyDescent="0.25">
      <c r="A67" s="96"/>
      <c r="B67" s="94"/>
      <c r="C67" s="47">
        <v>38</v>
      </c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48" t="str">
        <f>CONCATENATE("VIDRO PELIC NATA ",P$57,"X",Q$57,"X",R$57)</f>
        <v>VIDRO PELIC NATA 319X394X4</v>
      </c>
      <c r="O67" s="94"/>
      <c r="P67" s="94"/>
      <c r="Q67" s="94"/>
      <c r="R67" s="94"/>
    </row>
    <row r="68" spans="1:18" x14ac:dyDescent="0.25">
      <c r="A68" s="96"/>
      <c r="B68" s="94"/>
      <c r="C68" s="47">
        <v>44</v>
      </c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48" t="str">
        <f>CONCATENATE("VIDRO PELIC BASALTO ",P$57,"X",Q$57,"X",R$57)</f>
        <v>VIDRO PELIC BASALTO 319X394X4</v>
      </c>
      <c r="O68" s="94"/>
      <c r="P68" s="94"/>
      <c r="Q68" s="94"/>
      <c r="R68" s="94"/>
    </row>
    <row r="69" spans="1:18" x14ac:dyDescent="0.25">
      <c r="A69" s="96"/>
      <c r="B69" s="94"/>
      <c r="C69" s="47" t="s">
        <v>24</v>
      </c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48" t="str">
        <f>CONCATENATE("VIDRO PELIC PETROLEO ",P$57,"X",Q$57,"X",R$57)</f>
        <v>VIDRO PELIC PETROLEO 319X394X4</v>
      </c>
      <c r="O69" s="94"/>
      <c r="P69" s="94"/>
      <c r="Q69" s="94"/>
      <c r="R69" s="94"/>
    </row>
    <row r="70" spans="1:18" x14ac:dyDescent="0.25">
      <c r="A70" s="96"/>
      <c r="B70" s="94"/>
      <c r="C70" s="47">
        <v>10</v>
      </c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48" t="str">
        <f>CONCATENATE("VIDRO PELIC SAND ",P$57,"X",Q$57,"X",R$57)</f>
        <v>VIDRO PELIC SAND 319X394X4</v>
      </c>
      <c r="O70" s="94"/>
      <c r="P70" s="94"/>
      <c r="Q70" s="94"/>
      <c r="R70" s="94"/>
    </row>
    <row r="71" spans="1:18" x14ac:dyDescent="0.25">
      <c r="A71" s="96"/>
      <c r="B71" s="94"/>
      <c r="C71" s="47">
        <v>21</v>
      </c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48" t="str">
        <f>CONCATENATE("VIDRO PELIC FENDI ",P$57,"X",Q$57,"X",R$57)</f>
        <v>VIDRO PELIC FENDI 319X394X4</v>
      </c>
      <c r="O71" s="94"/>
      <c r="P71" s="94"/>
      <c r="Q71" s="94"/>
      <c r="R71" s="94"/>
    </row>
    <row r="72" spans="1:18" x14ac:dyDescent="0.25">
      <c r="A72" s="96"/>
      <c r="B72" s="94"/>
      <c r="C72" s="47" t="s">
        <v>22</v>
      </c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48" t="str">
        <f>CONCATENATE("VIDRO PELIC SISAL ",P$57,"X",Q$57,"X",R$57)</f>
        <v>VIDRO PELIC SISAL 319X394X4</v>
      </c>
      <c r="O72" s="94"/>
      <c r="P72" s="94"/>
      <c r="Q72" s="94"/>
      <c r="R72" s="94"/>
    </row>
    <row r="73" spans="1:18" x14ac:dyDescent="0.25">
      <c r="A73" s="97"/>
      <c r="B73" s="43"/>
      <c r="C73" s="47" t="s">
        <v>25</v>
      </c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48" t="str">
        <f>CONCATENATE("VIDRO PELIC ARDOSIA ",P$57,"X",Q$57,"X",R$57)</f>
        <v>VIDRO PELIC ARDOSIA 319X394X4</v>
      </c>
      <c r="O73" s="43"/>
      <c r="P73" s="43"/>
      <c r="Q73" s="43"/>
      <c r="R73" s="43"/>
    </row>
  </sheetData>
  <mergeCells count="53">
    <mergeCell ref="B60:B73"/>
    <mergeCell ref="O35:O36"/>
    <mergeCell ref="P38:R38"/>
    <mergeCell ref="O40:O41"/>
    <mergeCell ref="P43:R43"/>
    <mergeCell ref="A55:R55"/>
    <mergeCell ref="D56:M56"/>
    <mergeCell ref="P56:R56"/>
    <mergeCell ref="O25:O26"/>
    <mergeCell ref="P25:P26"/>
    <mergeCell ref="Q25:Q26"/>
    <mergeCell ref="R25:R26"/>
    <mergeCell ref="P28:R28"/>
    <mergeCell ref="O30:O31"/>
    <mergeCell ref="P30:P31"/>
    <mergeCell ref="Q30:Q31"/>
    <mergeCell ref="R30:R31"/>
    <mergeCell ref="B23:B24"/>
    <mergeCell ref="C23:C24"/>
    <mergeCell ref="D23:J23"/>
    <mergeCell ref="N23:N24"/>
    <mergeCell ref="O23:O24"/>
    <mergeCell ref="P23:R23"/>
    <mergeCell ref="A1:R1"/>
    <mergeCell ref="A2:R2"/>
    <mergeCell ref="D3:M3"/>
    <mergeCell ref="N3:N4"/>
    <mergeCell ref="P3:R3"/>
    <mergeCell ref="A5:A21"/>
    <mergeCell ref="B5:C21"/>
    <mergeCell ref="N5:N21"/>
    <mergeCell ref="P5:P21"/>
    <mergeCell ref="O57:O73"/>
    <mergeCell ref="P57:P73"/>
    <mergeCell ref="Q57:Q73"/>
    <mergeCell ref="R57:R73"/>
    <mergeCell ref="A57:A59"/>
    <mergeCell ref="B57:B59"/>
    <mergeCell ref="A60:A73"/>
    <mergeCell ref="P35:P36"/>
    <mergeCell ref="Q35:Q36"/>
    <mergeCell ref="R35:R36"/>
    <mergeCell ref="P40:P41"/>
    <mergeCell ref="Q40:Q41"/>
    <mergeCell ref="R40:R41"/>
    <mergeCell ref="P33:R33"/>
    <mergeCell ref="Q5:Q21"/>
    <mergeCell ref="R5:R21"/>
    <mergeCell ref="A22:R22"/>
    <mergeCell ref="A23:A24"/>
    <mergeCell ref="A3:A4"/>
    <mergeCell ref="B3:C4"/>
    <mergeCell ref="O3:O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FICHAS</vt:lpstr>
      <vt:lpstr>ESTRUTURA PAI</vt:lpstr>
      <vt:lpstr>ESTRUTURA</vt:lpstr>
      <vt:lpstr>FITA</vt:lpstr>
      <vt:lpstr>EXEMPLO DE FICHA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Benatti Bondan</dc:creator>
  <cp:lastModifiedBy>Lorenzo Benatti Bondan</cp:lastModifiedBy>
  <dcterms:created xsi:type="dcterms:W3CDTF">2022-07-14T16:09:13Z</dcterms:created>
  <dcterms:modified xsi:type="dcterms:W3CDTF">2022-07-20T19:54:13Z</dcterms:modified>
</cp:coreProperties>
</file>