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I:\Engenharia de Produto\Programas VBA\ESTRUTURA ALUMINIOS\"/>
    </mc:Choice>
  </mc:AlternateContent>
  <xr:revisionPtr revIDLastSave="0" documentId="8_{53BD4D85-03A7-402A-9CB0-552D1AC5E3CF}" xr6:coauthVersionLast="47" xr6:coauthVersionMax="47" xr10:uidLastSave="{00000000-0000-0000-0000-000000000000}"/>
  <bookViews>
    <workbookView xWindow="-120" yWindow="-120" windowWidth="29040" windowHeight="15720" tabRatio="854" firstSheet="1" activeTab="3" xr2:uid="{00000000-000D-0000-FFFF-FFFF00000000}"/>
  </bookViews>
  <sheets>
    <sheet name="padrao" sheetId="30" state="hidden" r:id="rId1"/>
    <sheet name="FICHAS" sheetId="86" r:id="rId2"/>
    <sheet name="ESTRUTURA PAI" sheetId="80" r:id="rId3"/>
    <sheet name="ESTRUTURA" sheetId="81" r:id="rId4"/>
    <sheet name="DZEN0205" sheetId="84" r:id="rId5"/>
  </sheets>
  <externalReferences>
    <externalReference r:id="rId6"/>
    <externalReference r:id="rId7"/>
  </externalReferences>
  <definedNames>
    <definedName name="_xlnm._FilterDatabase" localSheetId="3" hidden="1">ESTRUTURA!$A$1:$AB$2278</definedName>
    <definedName name="_xlnm._FilterDatabase" localSheetId="2" hidden="1">'ESTRUTURA PAI'!$A$1:$AE$2743</definedName>
    <definedName name="_xlnm.Print_Area" localSheetId="0">padrao!$A$1:$P$150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270" i="81" l="1"/>
  <c r="Y2261" i="81"/>
  <c r="Y2252" i="81"/>
  <c r="Y2243" i="81"/>
  <c r="Y2234" i="81"/>
  <c r="Y2225" i="81"/>
  <c r="Y2216" i="81"/>
  <c r="Y2207" i="81"/>
  <c r="Y2198" i="81"/>
  <c r="Y2189" i="81"/>
  <c r="Y2180" i="81"/>
  <c r="Y2171" i="81"/>
  <c r="Y2162" i="81"/>
  <c r="Y2153" i="81"/>
  <c r="Y2144" i="81"/>
  <c r="Y2135" i="81"/>
  <c r="Y2126" i="81"/>
  <c r="Y2117" i="81"/>
  <c r="Y2108" i="81"/>
  <c r="Y2099" i="81"/>
  <c r="Y2090" i="81"/>
  <c r="Y2081" i="81"/>
  <c r="Y2072" i="81"/>
  <c r="Y2063" i="81"/>
  <c r="Y2054" i="81"/>
  <c r="Y2045" i="81"/>
  <c r="Y2036" i="81"/>
  <c r="Y2027" i="81"/>
  <c r="Y2018" i="81"/>
  <c r="Y2009" i="81"/>
  <c r="Y2000" i="81"/>
  <c r="Y1991" i="81"/>
  <c r="Y1982" i="81"/>
  <c r="Y1973" i="81"/>
  <c r="Y1964" i="81"/>
  <c r="Y1955" i="81"/>
  <c r="Y1946" i="81"/>
  <c r="Y1937" i="81"/>
  <c r="Y1928" i="81"/>
  <c r="Y1919" i="81"/>
  <c r="Y1910" i="81"/>
  <c r="Y1901" i="81"/>
  <c r="Y1892" i="81"/>
  <c r="Y1883" i="81"/>
  <c r="Y1874" i="81"/>
  <c r="Y1865" i="81"/>
  <c r="Y1856" i="81"/>
  <c r="Y1847" i="81"/>
  <c r="Y1838" i="81"/>
  <c r="Y1829" i="81"/>
  <c r="Y1820" i="81"/>
  <c r="Y1811" i="81"/>
  <c r="Y1802" i="81"/>
  <c r="Y1793" i="81"/>
  <c r="Y1784" i="81"/>
  <c r="Y1775" i="81"/>
  <c r="Y1766" i="81"/>
  <c r="Y1757" i="81"/>
  <c r="Y1748" i="81"/>
  <c r="Y1739" i="81"/>
  <c r="Y1730" i="81"/>
  <c r="Y1721" i="81"/>
  <c r="Y1712" i="81"/>
  <c r="Y1703" i="81"/>
  <c r="Y1694" i="81"/>
  <c r="Y1685" i="81"/>
  <c r="Y1676" i="81"/>
  <c r="Y1667" i="81"/>
  <c r="Y1658" i="81"/>
  <c r="Y1649" i="81"/>
  <c r="Y1640" i="81"/>
  <c r="Y1631" i="81"/>
  <c r="Y1622" i="81"/>
  <c r="Y1613" i="81"/>
  <c r="Y1604" i="81"/>
  <c r="Y1595" i="81"/>
  <c r="Y1586" i="81"/>
  <c r="Y1577" i="81"/>
  <c r="Y1568" i="81"/>
  <c r="Y1559" i="81"/>
  <c r="Y1550" i="81"/>
  <c r="Y1541" i="81"/>
  <c r="Y1532" i="81"/>
  <c r="Y1523" i="81"/>
  <c r="Y1514" i="81"/>
  <c r="Y1505" i="81"/>
  <c r="Y1496" i="81"/>
  <c r="Y1487" i="81"/>
  <c r="Y1478" i="81"/>
  <c r="Y1469" i="81"/>
  <c r="Y1460" i="81"/>
  <c r="Y1451" i="81"/>
  <c r="Y1442" i="81"/>
  <c r="Y1433" i="81"/>
  <c r="Y1424" i="81"/>
  <c r="Y1415" i="81"/>
  <c r="Y1406" i="81"/>
  <c r="Y1397" i="81"/>
  <c r="Y1388" i="81"/>
  <c r="Y1379" i="81"/>
  <c r="Y1370" i="81"/>
  <c r="Y1361" i="81"/>
  <c r="Y1352" i="81"/>
  <c r="Y1343" i="81"/>
  <c r="Y1334" i="81"/>
  <c r="Y1325" i="81"/>
  <c r="Y1316" i="81"/>
  <c r="Y1307" i="81"/>
  <c r="Y1298" i="81"/>
  <c r="Y1289" i="81"/>
  <c r="Y1280" i="81"/>
  <c r="Y1271" i="81"/>
  <c r="Y1262" i="81"/>
  <c r="Y1253" i="81"/>
  <c r="Y1244" i="81"/>
  <c r="Y1235" i="81"/>
  <c r="Y1226" i="81"/>
  <c r="Y1217" i="81"/>
  <c r="Y1208" i="81"/>
  <c r="Y1199" i="81"/>
  <c r="Y1190" i="81"/>
  <c r="Y1181" i="81"/>
  <c r="Y1172" i="81"/>
  <c r="Y1163" i="81"/>
  <c r="Y1154" i="81"/>
  <c r="Y1145" i="81"/>
  <c r="Y1136" i="81"/>
  <c r="Y1127" i="81"/>
  <c r="Y1118" i="81"/>
  <c r="Y1109" i="81"/>
  <c r="Y1100" i="81"/>
  <c r="Y1091" i="81"/>
  <c r="Y1082" i="81"/>
  <c r="Y1073" i="81"/>
  <c r="Y1064" i="81"/>
  <c r="Y1055" i="81"/>
  <c r="Y1046" i="81"/>
  <c r="Y1037" i="81"/>
  <c r="Y1028" i="81"/>
  <c r="Y1019" i="81"/>
  <c r="Y1010" i="81"/>
  <c r="Y1001" i="81"/>
  <c r="Y992" i="81"/>
  <c r="Y983" i="81"/>
  <c r="Y974" i="81"/>
  <c r="Y965" i="81"/>
  <c r="Y956" i="81"/>
  <c r="Y947" i="81"/>
  <c r="Y938" i="81"/>
  <c r="Y929" i="81"/>
  <c r="Y920" i="81"/>
  <c r="Y911" i="81"/>
  <c r="Y902" i="81"/>
  <c r="Y893" i="81"/>
  <c r="Y884" i="81"/>
  <c r="Y875" i="81"/>
  <c r="Y866" i="81"/>
  <c r="Y857" i="81"/>
  <c r="Y848" i="81"/>
  <c r="Y839" i="81"/>
  <c r="Y830" i="81"/>
  <c r="Y821" i="81"/>
  <c r="Y812" i="81"/>
  <c r="Y803" i="81"/>
  <c r="Y794" i="81"/>
  <c r="Y785" i="81"/>
  <c r="Y776" i="81"/>
  <c r="Y767" i="81"/>
  <c r="Y758" i="81"/>
  <c r="Y749" i="81"/>
  <c r="Y740" i="81"/>
  <c r="Y731" i="81"/>
  <c r="Y722" i="81"/>
  <c r="Y713" i="81"/>
  <c r="Y704" i="81"/>
  <c r="Y695" i="81"/>
  <c r="Y686" i="81"/>
  <c r="Y677" i="81"/>
  <c r="Y668" i="81"/>
  <c r="Y659" i="81"/>
  <c r="Y650" i="81"/>
  <c r="Y641" i="81"/>
  <c r="Y632" i="81"/>
  <c r="Y623" i="81"/>
  <c r="Y614" i="81"/>
  <c r="Y605" i="81"/>
  <c r="Y596" i="81"/>
  <c r="Y587" i="81"/>
  <c r="Y578" i="81"/>
  <c r="Y569" i="81"/>
  <c r="Y560" i="81"/>
  <c r="Y551" i="81"/>
  <c r="Y542" i="81"/>
  <c r="Y533" i="81"/>
  <c r="Y524" i="81"/>
  <c r="Y515" i="81"/>
  <c r="Y506" i="81"/>
  <c r="Y497" i="81"/>
  <c r="Y488" i="81"/>
  <c r="Y479" i="81"/>
  <c r="Y470" i="81"/>
  <c r="Y461" i="81"/>
  <c r="Y452" i="81"/>
  <c r="Y443" i="81"/>
  <c r="Y434" i="81"/>
  <c r="Y425" i="81"/>
  <c r="Y416" i="81"/>
  <c r="Y407" i="81"/>
  <c r="Y398" i="81"/>
  <c r="Y389" i="81"/>
  <c r="Y380" i="81"/>
  <c r="Y371" i="81"/>
  <c r="Y362" i="81"/>
  <c r="Y353" i="81"/>
  <c r="Y344" i="81"/>
  <c r="Y335" i="81"/>
  <c r="Y326" i="81"/>
  <c r="Y317" i="81"/>
  <c r="Y308" i="81"/>
  <c r="Y299" i="81"/>
  <c r="Y290" i="81"/>
  <c r="Y281" i="81"/>
  <c r="Y272" i="81"/>
  <c r="Y263" i="81"/>
  <c r="Y254" i="81"/>
  <c r="Y245" i="81"/>
  <c r="Y236" i="81"/>
  <c r="Y227" i="81"/>
  <c r="Y218" i="81"/>
  <c r="Y209" i="81"/>
  <c r="Y200" i="81"/>
  <c r="Y191" i="81"/>
  <c r="Y182" i="81"/>
  <c r="Y173" i="81"/>
  <c r="Y164" i="81"/>
  <c r="Y155" i="81"/>
  <c r="Y146" i="81"/>
  <c r="Y137" i="81"/>
  <c r="Y128" i="81"/>
  <c r="Y119" i="81"/>
  <c r="Y110" i="81"/>
  <c r="Y101" i="81"/>
  <c r="Y92" i="81"/>
  <c r="Y83" i="81"/>
  <c r="Y74" i="81"/>
  <c r="Y65" i="81"/>
  <c r="Y56" i="81"/>
  <c r="Y47" i="81"/>
  <c r="Y38" i="81"/>
  <c r="Y29" i="81"/>
  <c r="Y20" i="81"/>
  <c r="Y11" i="81"/>
  <c r="Y2" i="81"/>
  <c r="O61" i="86"/>
  <c r="O57" i="86"/>
  <c r="B55" i="86"/>
  <c r="S54" i="86"/>
  <c r="R54" i="86"/>
  <c r="Q54" i="86"/>
  <c r="O54" i="86"/>
  <c r="O55" i="86" s="1"/>
  <c r="O52" i="86"/>
  <c r="B50" i="86"/>
  <c r="S49" i="86"/>
  <c r="R49" i="86"/>
  <c r="Q49" i="86"/>
  <c r="O49" i="86"/>
  <c r="O50" i="86" s="1"/>
  <c r="O47" i="86"/>
  <c r="B45" i="86"/>
  <c r="S44" i="86"/>
  <c r="R44" i="86"/>
  <c r="Q44" i="86"/>
  <c r="O44" i="86"/>
  <c r="O45" i="86" s="1"/>
  <c r="O42" i="86"/>
  <c r="B40" i="86"/>
  <c r="S39" i="86"/>
  <c r="R39" i="86"/>
  <c r="Q39" i="86"/>
  <c r="O39" i="86"/>
  <c r="O40" i="86" s="1"/>
  <c r="R5" i="86"/>
  <c r="R70" i="86" s="1"/>
  <c r="Q5" i="86"/>
  <c r="Q70" i="86" s="1"/>
  <c r="B5" i="86"/>
  <c r="T40" i="86" l="1"/>
  <c r="O100" i="86"/>
  <c r="O90" i="86"/>
  <c r="O74" i="86"/>
  <c r="O99" i="86"/>
  <c r="O89" i="86"/>
  <c r="O82" i="86"/>
  <c r="O73" i="86"/>
  <c r="B70" i="86"/>
  <c r="O98" i="86"/>
  <c r="O88" i="86"/>
  <c r="O81" i="86"/>
  <c r="O72" i="86"/>
  <c r="O94" i="86"/>
  <c r="O86" i="86"/>
  <c r="O80" i="86"/>
  <c r="O71" i="86"/>
  <c r="O92" i="86"/>
  <c r="O85" i="86"/>
  <c r="O79" i="86"/>
  <c r="O91" i="86"/>
  <c r="O84" i="86"/>
  <c r="O75" i="86"/>
  <c r="O83" i="86"/>
  <c r="O70" i="86"/>
  <c r="L197" i="30" l="1"/>
  <c r="L196" i="30"/>
  <c r="B195" i="30"/>
  <c r="P194" i="30"/>
  <c r="O194" i="30"/>
  <c r="N194" i="30"/>
  <c r="L194" i="30"/>
  <c r="L195" i="30" s="1"/>
  <c r="L192" i="30"/>
  <c r="L191" i="30"/>
  <c r="B190" i="30"/>
  <c r="P189" i="30"/>
  <c r="O189" i="30"/>
  <c r="N189" i="30"/>
  <c r="L189" i="30"/>
  <c r="L190" i="30" s="1"/>
  <c r="L187" i="30"/>
  <c r="L186" i="30"/>
  <c r="B185" i="30"/>
  <c r="P184" i="30"/>
  <c r="O184" i="30"/>
  <c r="N184" i="30"/>
  <c r="L184" i="30"/>
  <c r="L185" i="30" s="1"/>
  <c r="L182" i="30"/>
  <c r="L181" i="30"/>
  <c r="B180" i="30"/>
  <c r="P179" i="30"/>
  <c r="O179" i="30"/>
  <c r="N179" i="30"/>
  <c r="L179" i="30"/>
  <c r="L180" i="30" s="1"/>
  <c r="O155" i="30"/>
  <c r="O205" i="30" s="1"/>
  <c r="N155" i="30"/>
  <c r="N205" i="30" s="1"/>
  <c r="L155" i="30"/>
  <c r="L122" i="30" l="1"/>
  <c r="L121" i="30"/>
  <c r="B120" i="30"/>
  <c r="P119" i="30"/>
  <c r="O119" i="30"/>
  <c r="N119" i="30"/>
  <c r="L119" i="30"/>
  <c r="L120" i="30" s="1"/>
  <c r="L117" i="30"/>
  <c r="L116" i="30"/>
  <c r="B115" i="30"/>
  <c r="P114" i="30"/>
  <c r="O114" i="30"/>
  <c r="N114" i="30"/>
  <c r="L114" i="30"/>
  <c r="L115" i="30" s="1"/>
  <c r="L112" i="30"/>
  <c r="L111" i="30"/>
  <c r="B110" i="30"/>
  <c r="P109" i="30"/>
  <c r="O109" i="30"/>
  <c r="N109" i="30"/>
  <c r="L109" i="30"/>
  <c r="L110" i="30" s="1"/>
  <c r="L107" i="30"/>
  <c r="L106" i="30"/>
  <c r="B105" i="30"/>
  <c r="P104" i="30"/>
  <c r="O104" i="30"/>
  <c r="N104" i="30"/>
  <c r="L104" i="30"/>
  <c r="L105" i="30" s="1"/>
  <c r="O80" i="30"/>
  <c r="O130" i="30" s="1"/>
  <c r="N80" i="30"/>
  <c r="N130" i="30" s="1"/>
  <c r="L80" i="30"/>
  <c r="L47" i="30" l="1"/>
  <c r="L44" i="30"/>
  <c r="L42" i="30"/>
  <c r="L39" i="30"/>
  <c r="L37" i="30"/>
  <c r="L34" i="30"/>
  <c r="L32" i="30"/>
  <c r="L29" i="30"/>
  <c r="N44" i="30"/>
  <c r="N39" i="30"/>
  <c r="N34" i="30"/>
  <c r="N29" i="30"/>
  <c r="O44" i="30"/>
  <c r="O39" i="30"/>
  <c r="O34" i="30"/>
  <c r="O29" i="30"/>
  <c r="P44" i="30"/>
  <c r="P39" i="30"/>
  <c r="P34" i="30"/>
  <c r="P29" i="30"/>
  <c r="L46" i="30" l="1"/>
  <c r="B45" i="30"/>
  <c r="L45" i="30"/>
  <c r="L41" i="30"/>
  <c r="B40" i="30"/>
  <c r="L40" i="30"/>
  <c r="L36" i="30"/>
  <c r="B35" i="30"/>
  <c r="L35" i="30"/>
  <c r="L31" i="30"/>
  <c r="O5" i="30" l="1"/>
  <c r="O55" i="30" s="1"/>
  <c r="N5" i="30"/>
  <c r="N55" i="30" s="1"/>
  <c r="L5" i="30"/>
  <c r="B5" i="30"/>
  <c r="L225" i="30" l="1"/>
  <c r="L219" i="30"/>
  <c r="L213" i="30"/>
  <c r="L207" i="30"/>
  <c r="L222" i="30"/>
  <c r="L210" i="30"/>
  <c r="L224" i="30"/>
  <c r="L218" i="30"/>
  <c r="L212" i="30"/>
  <c r="L206" i="30"/>
  <c r="L217" i="30"/>
  <c r="L205" i="30"/>
  <c r="L221" i="30"/>
  <c r="L215" i="30"/>
  <c r="L209" i="30"/>
  <c r="L220" i="30"/>
  <c r="L214" i="30"/>
  <c r="L208" i="30"/>
  <c r="L223" i="30"/>
  <c r="L211" i="30"/>
  <c r="L216" i="30"/>
  <c r="L150" i="30"/>
  <c r="L144" i="30"/>
  <c r="L138" i="30"/>
  <c r="L132" i="30"/>
  <c r="L149" i="30"/>
  <c r="L143" i="30"/>
  <c r="L137" i="30"/>
  <c r="L131" i="30"/>
  <c r="L148" i="30"/>
  <c r="L142" i="30"/>
  <c r="L136" i="30"/>
  <c r="L130" i="30"/>
  <c r="L147" i="30"/>
  <c r="L141" i="30"/>
  <c r="L135" i="30"/>
  <c r="L146" i="30"/>
  <c r="L140" i="30"/>
  <c r="L134" i="30"/>
  <c r="L145" i="30"/>
  <c r="L139" i="30"/>
  <c r="L133" i="30"/>
  <c r="L59" i="30"/>
  <c r="L57" i="30"/>
  <c r="L58" i="30"/>
  <c r="B30" i="30" l="1"/>
  <c r="L30" i="30"/>
  <c r="L71" i="30" l="1"/>
  <c r="L75" i="30"/>
  <c r="L67" i="30"/>
  <c r="L73" i="30"/>
  <c r="L65" i="30"/>
  <c r="L72" i="30"/>
  <c r="L64" i="30"/>
  <c r="L63" i="30"/>
  <c r="L56" i="30"/>
  <c r="L70" i="30"/>
  <c r="L62" i="30"/>
  <c r="L69" i="30"/>
  <c r="L61" i="30"/>
  <c r="L68" i="30"/>
  <c r="L60" i="30"/>
  <c r="L55" i="30"/>
  <c r="L74" i="30"/>
  <c r="L66" i="30"/>
</calcChain>
</file>

<file path=xl/sharedStrings.xml><?xml version="1.0" encoding="utf-8"?>
<sst xmlns="http://schemas.openxmlformats.org/spreadsheetml/2006/main" count="15712" uniqueCount="412">
  <si>
    <t>COMP</t>
  </si>
  <si>
    <t>ESP</t>
  </si>
  <si>
    <t>05</t>
  </si>
  <si>
    <t>CÓD COMERCIAL</t>
  </si>
  <si>
    <t>CÓD INTERNO</t>
  </si>
  <si>
    <t>DESCRIÇÃO</t>
  </si>
  <si>
    <t>CORES</t>
  </si>
  <si>
    <t>DIMENSÃO</t>
  </si>
  <si>
    <t>ALT</t>
  </si>
  <si>
    <t>LARG</t>
  </si>
  <si>
    <t>QDADE</t>
  </si>
  <si>
    <t>MEDIDAS</t>
  </si>
  <si>
    <t>BIANCO</t>
  </si>
  <si>
    <t>CÓD MAT PRIMA</t>
  </si>
  <si>
    <t>-</t>
  </si>
  <si>
    <t>CÓDIGO PINTURA</t>
  </si>
  <si>
    <t>01</t>
  </si>
  <si>
    <t>02</t>
  </si>
  <si>
    <t>03</t>
  </si>
  <si>
    <t>ML</t>
  </si>
  <si>
    <t>ESP FUME</t>
  </si>
  <si>
    <t>TRANSPARENTE</t>
  </si>
  <si>
    <t>ONIX</t>
  </si>
  <si>
    <t>GELO</t>
  </si>
  <si>
    <t>NATA</t>
  </si>
  <si>
    <t>BASALTO</t>
  </si>
  <si>
    <t>AREIA</t>
  </si>
  <si>
    <t>FENDI</t>
  </si>
  <si>
    <t>SISAL</t>
  </si>
  <si>
    <t>ARDOSIA</t>
  </si>
  <si>
    <t>04</t>
  </si>
  <si>
    <t>06</t>
  </si>
  <si>
    <t>07</t>
  </si>
  <si>
    <t>09</t>
  </si>
  <si>
    <t>OPÇÕES DE VIDRO S/ MÁSCARA</t>
  </si>
  <si>
    <t>FRENTE</t>
  </si>
  <si>
    <t>CÓDIGO VIDRO</t>
  </si>
  <si>
    <t>COR VIDRO</t>
  </si>
  <si>
    <t>QTD (UN)</t>
  </si>
  <si>
    <t>DIMENSÕES</t>
  </si>
  <si>
    <t>TIPO</t>
  </si>
  <si>
    <t>COR DA MÁSCARA</t>
  </si>
  <si>
    <t>PÇ</t>
  </si>
  <si>
    <t>VIDROS</t>
  </si>
  <si>
    <t>25</t>
  </si>
  <si>
    <t>28</t>
  </si>
  <si>
    <t>19</t>
  </si>
  <si>
    <t>LINEE ARGENTO</t>
  </si>
  <si>
    <t>LINEE ORO</t>
  </si>
  <si>
    <t>REFLETO</t>
  </si>
  <si>
    <t>REFLETO CINZA</t>
  </si>
  <si>
    <t>ESP PRATA</t>
  </si>
  <si>
    <t>ESP CHAMP</t>
  </si>
  <si>
    <t>MATERIAS</t>
  </si>
  <si>
    <t xml:space="preserve"> PINT BRANCO</t>
  </si>
  <si>
    <t xml:space="preserve"> PINT CHAMP</t>
  </si>
  <si>
    <t xml:space="preserve"> PINT INOX</t>
  </si>
  <si>
    <t xml:space="preserve"> PINT BRONZE</t>
  </si>
  <si>
    <t xml:space="preserve"> PINT PRETO</t>
  </si>
  <si>
    <t xml:space="preserve"> PINT SISAL</t>
  </si>
  <si>
    <t xml:space="preserve"> PINT AREIA</t>
  </si>
  <si>
    <t>ANOD NAT</t>
  </si>
  <si>
    <t>PARAFUSO M4 X 8 XX RI + COR</t>
  </si>
  <si>
    <t>PETRÓLEO</t>
  </si>
  <si>
    <t>08</t>
  </si>
  <si>
    <t>FRENTE H-2210</t>
  </si>
  <si>
    <t>FUMÊ CHAMP</t>
  </si>
  <si>
    <t>FUMÊ CZ</t>
  </si>
  <si>
    <t>ESQUADRETA P/ PL PIANO 6F/M4 (69,5x65,9X3,65MM)</t>
  </si>
  <si>
    <t>REFL CRISTAL</t>
  </si>
  <si>
    <t>FRENTES ALUMÍNIO PIANO</t>
  </si>
  <si>
    <t>PERFIL INCOLOR 4 ALETAS P/FTE PIANO/PIANO AG206.0015</t>
  </si>
  <si>
    <t>CT</t>
  </si>
  <si>
    <t>CALCULAR</t>
  </si>
  <si>
    <t>TESTE</t>
  </si>
  <si>
    <t>TES01</t>
  </si>
  <si>
    <t>c-tran</t>
  </si>
  <si>
    <t>c-item</t>
  </si>
  <si>
    <t>c-sequ</t>
  </si>
  <si>
    <t>c-comp</t>
  </si>
  <si>
    <t>c-revi</t>
  </si>
  <si>
    <t>c-fant</t>
  </si>
  <si>
    <t>c-perd</t>
  </si>
  <si>
    <t>c-prop</t>
  </si>
  <si>
    <t>c-seri</t>
  </si>
  <si>
    <t>c-serf</t>
  </si>
  <si>
    <t>c-qtde</t>
  </si>
  <si>
    <t>c-resv</t>
  </si>
  <si>
    <t>c-dtin</t>
  </si>
  <si>
    <t>c-dtfi</t>
  </si>
  <si>
    <t>c-rote</t>
  </si>
  <si>
    <t>c-oper</t>
  </si>
  <si>
    <t>c-mont</t>
  </si>
  <si>
    <t>c-obse</t>
  </si>
  <si>
    <t>c-refp</t>
  </si>
  <si>
    <t>c-reff</t>
  </si>
  <si>
    <t>c-sobr</t>
  </si>
  <si>
    <t>c-qtit</t>
  </si>
  <si>
    <t>c-veic</t>
  </si>
  <si>
    <t>c-disv</t>
  </si>
  <si>
    <t>S</t>
  </si>
  <si>
    <t>?</t>
  </si>
  <si>
    <t>31/12/9999</t>
  </si>
  <si>
    <t>N</t>
  </si>
  <si>
    <t>PORTAS DE PASSAGEM DESLIZANTES ALUMÍNIO</t>
  </si>
  <si>
    <t>PORTAS DESLIZANTE H-1800</t>
  </si>
  <si>
    <t xml:space="preserve"> PINT GRAFITE</t>
  </si>
  <si>
    <t xml:space="preserve"> PINT PRATA</t>
  </si>
  <si>
    <t xml:space="preserve"> PINT DOURADO</t>
  </si>
  <si>
    <t>3300307</t>
  </si>
  <si>
    <t>3301307</t>
  </si>
  <si>
    <t>3302307</t>
  </si>
  <si>
    <t>3303307</t>
  </si>
  <si>
    <t>3304307</t>
  </si>
  <si>
    <t>3305307</t>
  </si>
  <si>
    <t>3306307</t>
  </si>
  <si>
    <t>3307307</t>
  </si>
  <si>
    <t>3308307</t>
  </si>
  <si>
    <t>3309307</t>
  </si>
  <si>
    <t>3310307</t>
  </si>
  <si>
    <t>MINERALE</t>
  </si>
  <si>
    <t>3300302</t>
  </si>
  <si>
    <t>3301302</t>
  </si>
  <si>
    <t>3302302</t>
  </si>
  <si>
    <t>3303302</t>
  </si>
  <si>
    <t>3304302</t>
  </si>
  <si>
    <t>3305302</t>
  </si>
  <si>
    <t>3306302</t>
  </si>
  <si>
    <t>3307302</t>
  </si>
  <si>
    <t>3308302</t>
  </si>
  <si>
    <t>3309302</t>
  </si>
  <si>
    <t>3310302</t>
  </si>
  <si>
    <t>PRISMA</t>
  </si>
  <si>
    <t>3300308</t>
  </si>
  <si>
    <t>3301308</t>
  </si>
  <si>
    <t>3302308</t>
  </si>
  <si>
    <t>3303308</t>
  </si>
  <si>
    <t>3304308</t>
  </si>
  <si>
    <t>3305308</t>
  </si>
  <si>
    <t>3306308</t>
  </si>
  <si>
    <t>3307308</t>
  </si>
  <si>
    <t>3308308</t>
  </si>
  <si>
    <t>3309308</t>
  </si>
  <si>
    <t>3310308</t>
  </si>
  <si>
    <t>STONE</t>
  </si>
  <si>
    <t>3300309</t>
  </si>
  <si>
    <t>3301309</t>
  </si>
  <si>
    <t>3302309</t>
  </si>
  <si>
    <t>3303309</t>
  </si>
  <si>
    <t>3304309</t>
  </si>
  <si>
    <t>3305309</t>
  </si>
  <si>
    <t>3306309</t>
  </si>
  <si>
    <t>3307309</t>
  </si>
  <si>
    <t>3308309</t>
  </si>
  <si>
    <t>3309309</t>
  </si>
  <si>
    <t>3310309</t>
  </si>
  <si>
    <t>CREMMA</t>
  </si>
  <si>
    <t>3300316</t>
  </si>
  <si>
    <t>3301316</t>
  </si>
  <si>
    <t>3302316</t>
  </si>
  <si>
    <t>3303316</t>
  </si>
  <si>
    <t>3304316</t>
  </si>
  <si>
    <t>3305316</t>
  </si>
  <si>
    <t>3306316</t>
  </si>
  <si>
    <t>3307316</t>
  </si>
  <si>
    <t>3308316</t>
  </si>
  <si>
    <t>3309316</t>
  </si>
  <si>
    <t>3310316</t>
  </si>
  <si>
    <t>AMBER</t>
  </si>
  <si>
    <t>3300318</t>
  </si>
  <si>
    <t>3301318</t>
  </si>
  <si>
    <t>3302318</t>
  </si>
  <si>
    <t>3303318</t>
  </si>
  <si>
    <t>3304318</t>
  </si>
  <si>
    <t>3305318</t>
  </si>
  <si>
    <t>3306318</t>
  </si>
  <si>
    <t>3307318</t>
  </si>
  <si>
    <t>3308318</t>
  </si>
  <si>
    <t>3309318</t>
  </si>
  <si>
    <t>3310318</t>
  </si>
  <si>
    <t>BAROCCO</t>
  </si>
  <si>
    <t>HERA</t>
  </si>
  <si>
    <t>OCEAN</t>
  </si>
  <si>
    <t>VITA</t>
  </si>
  <si>
    <t>3300724</t>
  </si>
  <si>
    <t>3301724</t>
  </si>
  <si>
    <t>3302724</t>
  </si>
  <si>
    <t>3303724</t>
  </si>
  <si>
    <t>3304724</t>
  </si>
  <si>
    <t>3305724</t>
  </si>
  <si>
    <t>3306724</t>
  </si>
  <si>
    <t>3307724</t>
  </si>
  <si>
    <t>3308724</t>
  </si>
  <si>
    <t>3309724</t>
  </si>
  <si>
    <t>3310724</t>
  </si>
  <si>
    <t>GARDEN</t>
  </si>
  <si>
    <t>3300911</t>
  </si>
  <si>
    <t>3301911</t>
  </si>
  <si>
    <t>3302911</t>
  </si>
  <si>
    <t>3303911</t>
  </si>
  <si>
    <t>3304911</t>
  </si>
  <si>
    <t>3305911</t>
  </si>
  <si>
    <t>3306911</t>
  </si>
  <si>
    <t>3307911</t>
  </si>
  <si>
    <t>3308911</t>
  </si>
  <si>
    <t>3309911</t>
  </si>
  <si>
    <t>3310911</t>
  </si>
  <si>
    <t>OURO PRETO</t>
  </si>
  <si>
    <t>3300480</t>
  </si>
  <si>
    <t>3301480</t>
  </si>
  <si>
    <t>3302480</t>
  </si>
  <si>
    <t>3303480</t>
  </si>
  <si>
    <t>3304480</t>
  </si>
  <si>
    <t>3305480</t>
  </si>
  <si>
    <t>3306480</t>
  </si>
  <si>
    <t>3307480</t>
  </si>
  <si>
    <t>3308480</t>
  </si>
  <si>
    <t>3309480</t>
  </si>
  <si>
    <t>3310480</t>
  </si>
  <si>
    <t>OURO BRANCO</t>
  </si>
  <si>
    <t>3300501</t>
  </si>
  <si>
    <t>3301501</t>
  </si>
  <si>
    <t>3302501</t>
  </si>
  <si>
    <t>3303501</t>
  </si>
  <si>
    <t>3304501</t>
  </si>
  <si>
    <t>3305501</t>
  </si>
  <si>
    <t>3306501</t>
  </si>
  <si>
    <t>3307501</t>
  </si>
  <si>
    <t>3308501</t>
  </si>
  <si>
    <t>3309501</t>
  </si>
  <si>
    <t>3310501</t>
  </si>
  <si>
    <t>LINUM</t>
  </si>
  <si>
    <t>3300450</t>
  </si>
  <si>
    <t>3301450</t>
  </si>
  <si>
    <t>3302450</t>
  </si>
  <si>
    <t>3303450</t>
  </si>
  <si>
    <t>3304450</t>
  </si>
  <si>
    <t>3305450</t>
  </si>
  <si>
    <t>3306450</t>
  </si>
  <si>
    <t>3307450</t>
  </si>
  <si>
    <t>3308450</t>
  </si>
  <si>
    <t>3309450</t>
  </si>
  <si>
    <t>3310450</t>
  </si>
  <si>
    <t>CYDONIA</t>
  </si>
  <si>
    <t>3300304</t>
  </si>
  <si>
    <t>3301304</t>
  </si>
  <si>
    <t>3302304</t>
  </si>
  <si>
    <t>3303304</t>
  </si>
  <si>
    <t>3304304</t>
  </si>
  <si>
    <t>3305304</t>
  </si>
  <si>
    <t>3306304</t>
  </si>
  <si>
    <t>3307304</t>
  </si>
  <si>
    <t>3308304</t>
  </si>
  <si>
    <t>3309304</t>
  </si>
  <si>
    <t>3310304</t>
  </si>
  <si>
    <t>CARBO</t>
  </si>
  <si>
    <t>3300421</t>
  </si>
  <si>
    <t>3301421</t>
  </si>
  <si>
    <t>3302421</t>
  </si>
  <si>
    <t>3303421</t>
  </si>
  <si>
    <t>3304421</t>
  </si>
  <si>
    <t>3305421</t>
  </si>
  <si>
    <t>3306421</t>
  </si>
  <si>
    <t>3307421</t>
  </si>
  <si>
    <t>3308421</t>
  </si>
  <si>
    <t>3309421</t>
  </si>
  <si>
    <t>3310421</t>
  </si>
  <si>
    <t>BLEND</t>
  </si>
  <si>
    <t>3300422</t>
  </si>
  <si>
    <t>3301422</t>
  </si>
  <si>
    <t>3302422</t>
  </si>
  <si>
    <t>3303422</t>
  </si>
  <si>
    <t>3304422</t>
  </si>
  <si>
    <t>3305422</t>
  </si>
  <si>
    <t>3306422</t>
  </si>
  <si>
    <t>3307422</t>
  </si>
  <si>
    <t>3308422</t>
  </si>
  <si>
    <t>3309422</t>
  </si>
  <si>
    <t>3310422</t>
  </si>
  <si>
    <t>TAIGA</t>
  </si>
  <si>
    <t>BETON</t>
  </si>
  <si>
    <t>3300495</t>
  </si>
  <si>
    <t>3301495</t>
  </si>
  <si>
    <t>3302495</t>
  </si>
  <si>
    <t>3303495</t>
  </si>
  <si>
    <t>3304495</t>
  </si>
  <si>
    <t>3305495</t>
  </si>
  <si>
    <t>3306495</t>
  </si>
  <si>
    <t>3307495</t>
  </si>
  <si>
    <t>3308495</t>
  </si>
  <si>
    <t>3309495</t>
  </si>
  <si>
    <t>3310495</t>
  </si>
  <si>
    <t>MALBEC SINCRO</t>
  </si>
  <si>
    <t>3300502</t>
  </si>
  <si>
    <t>3301502</t>
  </si>
  <si>
    <t>3302502</t>
  </si>
  <si>
    <t>3303502</t>
  </si>
  <si>
    <t>3304502</t>
  </si>
  <si>
    <t>3305502</t>
  </si>
  <si>
    <t>3306502</t>
  </si>
  <si>
    <t>3307502</t>
  </si>
  <si>
    <t>3308502</t>
  </si>
  <si>
    <t>3309502</t>
  </si>
  <si>
    <t>3310502</t>
  </si>
  <si>
    <t>FOREST</t>
  </si>
  <si>
    <t>3300305</t>
  </si>
  <si>
    <t>3301305</t>
  </si>
  <si>
    <t>3302305</t>
  </si>
  <si>
    <t>3303305</t>
  </si>
  <si>
    <t>3304305</t>
  </si>
  <si>
    <t>3305305</t>
  </si>
  <si>
    <t>3306305</t>
  </si>
  <si>
    <t>3307305</t>
  </si>
  <si>
    <t>3308305</t>
  </si>
  <si>
    <t>3309305</t>
  </si>
  <si>
    <t>3310305</t>
  </si>
  <si>
    <t>LEBLON</t>
  </si>
  <si>
    <t>3300306</t>
  </si>
  <si>
    <t>3301306</t>
  </si>
  <si>
    <t>3302306</t>
  </si>
  <si>
    <t>3303306</t>
  </si>
  <si>
    <t>3304306</t>
  </si>
  <si>
    <t>3305306</t>
  </si>
  <si>
    <t>3306306</t>
  </si>
  <si>
    <t>3307306</t>
  </si>
  <si>
    <t>3308306</t>
  </si>
  <si>
    <t>3309306</t>
  </si>
  <si>
    <t>3310306</t>
  </si>
  <si>
    <t>DOURO</t>
  </si>
  <si>
    <t>3300730</t>
  </si>
  <si>
    <t>3301730</t>
  </si>
  <si>
    <t>3302730</t>
  </si>
  <si>
    <t>3303730</t>
  </si>
  <si>
    <t>3304730</t>
  </si>
  <si>
    <t>3305730</t>
  </si>
  <si>
    <t>3306730</t>
  </si>
  <si>
    <t>3307730</t>
  </si>
  <si>
    <t>3308730</t>
  </si>
  <si>
    <t>3309730</t>
  </si>
  <si>
    <t>3310730</t>
  </si>
  <si>
    <t>CANELA</t>
  </si>
  <si>
    <t>AURORA</t>
  </si>
  <si>
    <t>3300748</t>
  </si>
  <si>
    <t>3301748</t>
  </si>
  <si>
    <t>3302748</t>
  </si>
  <si>
    <t>3303748</t>
  </si>
  <si>
    <t>3304748</t>
  </si>
  <si>
    <t>3305748</t>
  </si>
  <si>
    <t>3306748</t>
  </si>
  <si>
    <t>3307748</t>
  </si>
  <si>
    <t>3308748</t>
  </si>
  <si>
    <t>3309748</t>
  </si>
  <si>
    <t>3310748</t>
  </si>
  <si>
    <t>PECAN</t>
  </si>
  <si>
    <t>OLIVA</t>
  </si>
  <si>
    <t>INDIGO</t>
  </si>
  <si>
    <t>MARBLE</t>
  </si>
  <si>
    <t>3300722</t>
  </si>
  <si>
    <t>3301722</t>
  </si>
  <si>
    <t>3302722</t>
  </si>
  <si>
    <t>3303722</t>
  </si>
  <si>
    <t>3304722</t>
  </si>
  <si>
    <t>3305722</t>
  </si>
  <si>
    <t>3306722</t>
  </si>
  <si>
    <t>3307722</t>
  </si>
  <si>
    <t>3308722</t>
  </si>
  <si>
    <t>3309722</t>
  </si>
  <si>
    <t>3310722</t>
  </si>
  <si>
    <t>ROCA</t>
  </si>
  <si>
    <t>3300723</t>
  </si>
  <si>
    <t>3301723</t>
  </si>
  <si>
    <t>3302723</t>
  </si>
  <si>
    <t>3303723</t>
  </si>
  <si>
    <t>3304723</t>
  </si>
  <si>
    <t>3305723</t>
  </si>
  <si>
    <t>3306723</t>
  </si>
  <si>
    <t>3307723</t>
  </si>
  <si>
    <t>3308723</t>
  </si>
  <si>
    <t>3309723</t>
  </si>
  <si>
    <t>3310723</t>
  </si>
  <si>
    <t>WALNUT</t>
  </si>
  <si>
    <t>3300725</t>
  </si>
  <si>
    <t>3301725</t>
  </si>
  <si>
    <t>3302725</t>
  </si>
  <si>
    <t>3303725</t>
  </si>
  <si>
    <t>3304725</t>
  </si>
  <si>
    <t>3305725</t>
  </si>
  <si>
    <t>3306725</t>
  </si>
  <si>
    <t>3307725</t>
  </si>
  <si>
    <t>3308725</t>
  </si>
  <si>
    <t>3309725</t>
  </si>
  <si>
    <t>3310725</t>
  </si>
  <si>
    <t>PANDORA</t>
  </si>
  <si>
    <t>ESTRUTURA</t>
  </si>
  <si>
    <t>PERFIL  ALUM SUPERIOR MAD DES-1775 JAT/ ANOD/ NAT/FOSCO - 6,0M</t>
  </si>
  <si>
    <t>10</t>
  </si>
  <si>
    <t>PERFIL  ALUM INFERIOR MAD DES-1776 JAT/ ANOD/ NAT/FOSCO - 6,0M</t>
  </si>
  <si>
    <t>PERFIL  ALUM LATERAL MAD DES-1774 JAT/ ANOD/ NAT/FOSCO - 6,0M</t>
  </si>
  <si>
    <t>PERFIL ALUM LATERAL AL DES-1771 JAT/ ANOD/ NAT/FOSCO - 6,0M</t>
  </si>
  <si>
    <t>PUXADOR PL ALUM MAD C/CILINDRO + COR</t>
  </si>
  <si>
    <t>PUXADOR PL ALUM MAD C/CILINDRO - NATURAL</t>
  </si>
  <si>
    <t>PARAFUSO CAB CH PHILIPS AAT 4,8X45 ZB</t>
  </si>
  <si>
    <t>PARAFUSO MÁQUINA CAB CH PHILIPS RI M4X25 + COR</t>
  </si>
  <si>
    <t>BP 18MM</t>
  </si>
  <si>
    <t>TODESCHINI</t>
  </si>
  <si>
    <t>929200F68</t>
  </si>
  <si>
    <t>25/01/2022</t>
  </si>
  <si>
    <t>FITA DUPLA FACE 0,6X9MM 3M VHB 4930</t>
  </si>
  <si>
    <t>calcular</t>
  </si>
  <si>
    <t>PORTA ANTARES</t>
  </si>
  <si>
    <t>25/02/2022</t>
  </si>
  <si>
    <t>1010277 NAT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</si>
</sst>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12"/>
      <name val="Verdana"/>
      <family val="2"/>
    </font>
    <font>
      <sz val="11"/>
      <name val="Verdana"/>
      <family val="2"/>
    </font>
    <font>
      <sz val="10"/>
      <color rgb="FFFF0000"/>
      <name val="Verdana"/>
      <family val="2"/>
    </font>
    <font>
      <b/>
      <sz val="16"/>
      <color theme="0"/>
      <name val="Verdana"/>
      <family val="2"/>
    </font>
    <font>
      <b/>
      <sz val="18"/>
      <color rgb="FFFF0000"/>
      <name val="Verdana"/>
      <family val="2"/>
    </font>
    <font>
      <b/>
      <sz val="18"/>
      <color rgb="FF002060"/>
      <name val="Verdana"/>
      <family val="2"/>
    </font>
    <font>
      <b/>
      <sz val="8"/>
      <name val="Verdana"/>
      <family val="2"/>
    </font>
    <font>
      <sz val="10"/>
      <color rgb="FF0000FF"/>
      <name val="Verdana"/>
      <family val="2"/>
    </font>
    <font>
      <b/>
      <sz val="12"/>
      <color rgb="FFFF0000"/>
      <name val="Verdana"/>
      <family val="2"/>
    </font>
    <font>
      <sz val="10"/>
      <color rgb="FFFF0000"/>
      <name val="Arial"/>
      <family val="2"/>
    </font>
    <font>
      <b/>
      <sz val="10"/>
      <color rgb="FFFF0000"/>
      <name val="Verdana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FF0000"/>
      <name val="Verdana"/>
      <family val="2"/>
    </font>
    <font>
      <sz val="9"/>
      <name val="Calibri"/>
      <family val="2"/>
      <scheme val="minor"/>
    </font>
    <font>
      <sz val="12"/>
      <name val="Arial"/>
      <family val="2"/>
    </font>
    <font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3">
    <xf numFmtId="0" fontId="0" fillId="0" borderId="0"/>
    <xf numFmtId="0" fontId="6" fillId="0" borderId="0"/>
    <xf numFmtId="0" fontId="20" fillId="0" borderId="0"/>
    <xf numFmtId="0" fontId="5" fillId="0" borderId="0"/>
    <xf numFmtId="0" fontId="4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" fillId="0" borderId="0"/>
    <xf numFmtId="0" fontId="20" fillId="0" borderId="0"/>
  </cellStyleXfs>
  <cellXfs count="155">
    <xf numFmtId="0" fontId="0" fillId="0" borderId="0" xfId="0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0" fontId="15" fillId="0" borderId="1" xfId="0" applyFont="1" applyFill="1" applyBorder="1" applyAlignment="1">
      <alignment horizontal="center" vertical="center" wrapText="1"/>
    </xf>
    <xf numFmtId="49" fontId="11" fillId="4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16" fillId="0" borderId="5" xfId="0" applyFont="1" applyFill="1" applyBorder="1" applyAlignment="1">
      <alignment vertical="center"/>
    </xf>
    <xf numFmtId="0" fontId="16" fillId="0" borderId="8" xfId="0" applyFont="1" applyFill="1" applyBorder="1" applyAlignment="1">
      <alignment vertical="center"/>
    </xf>
    <xf numFmtId="0" fontId="16" fillId="0" borderId="7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 wrapText="1"/>
    </xf>
    <xf numFmtId="0" fontId="8" fillId="0" borderId="1" xfId="0" quotePrefix="1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18" fillId="4" borderId="1" xfId="1" applyFont="1" applyFill="1" applyBorder="1" applyAlignment="1">
      <alignment horizontal="center" vertical="center"/>
    </xf>
    <xf numFmtId="49" fontId="11" fillId="4" borderId="1" xfId="0" quotePrefix="1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8" fillId="0" borderId="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8" xfId="0" quotePrefix="1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0" fontId="16" fillId="0" borderId="1" xfId="0" applyFont="1" applyBorder="1" applyAlignment="1">
      <alignment horizontal="center" vertical="center"/>
    </xf>
    <xf numFmtId="0" fontId="16" fillId="0" borderId="5" xfId="0" applyFont="1" applyBorder="1" applyAlignment="1">
      <alignment vertical="center"/>
    </xf>
    <xf numFmtId="49" fontId="16" fillId="0" borderId="1" xfId="0" applyNumberFormat="1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25" xfId="0" applyFont="1" applyBorder="1" applyAlignment="1">
      <alignment vertical="center"/>
    </xf>
    <xf numFmtId="0" fontId="7" fillId="0" borderId="22" xfId="0" applyFont="1" applyBorder="1" applyAlignment="1">
      <alignment horizontal="center" vertical="center"/>
    </xf>
    <xf numFmtId="0" fontId="11" fillId="4" borderId="20" xfId="0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8" xfId="0" applyFont="1" applyBorder="1" applyAlignment="1">
      <alignment vertical="center"/>
    </xf>
    <xf numFmtId="0" fontId="11" fillId="4" borderId="1" xfId="0" applyFont="1" applyFill="1" applyBorder="1" applyAlignment="1">
      <alignment vertical="center"/>
    </xf>
    <xf numFmtId="0" fontId="16" fillId="0" borderId="22" xfId="0" applyFont="1" applyBorder="1" applyAlignment="1">
      <alignment vertical="center"/>
    </xf>
    <xf numFmtId="0" fontId="16" fillId="0" borderId="27" xfId="0" applyFont="1" applyBorder="1" applyAlignment="1">
      <alignment vertical="center"/>
    </xf>
    <xf numFmtId="0" fontId="16" fillId="0" borderId="28" xfId="0" applyFont="1" applyBorder="1" applyAlignment="1">
      <alignment vertic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11" fillId="4" borderId="22" xfId="0" applyFont="1" applyFill="1" applyBorder="1" applyAlignment="1">
      <alignment vertical="center"/>
    </xf>
    <xf numFmtId="0" fontId="21" fillId="0" borderId="0" xfId="0" applyFont="1" applyFill="1" applyAlignment="1">
      <alignment horizontal="left"/>
    </xf>
    <xf numFmtId="0" fontId="7" fillId="2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1" fillId="4" borderId="25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2" fontId="11" fillId="4" borderId="1" xfId="7" applyNumberFormat="1" applyFont="1" applyFill="1" applyBorder="1" applyAlignment="1">
      <alignment horizontal="center" vertical="center"/>
    </xf>
    <xf numFmtId="0" fontId="22" fillId="4" borderId="1" xfId="12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24" fillId="0" borderId="1" xfId="12" applyFont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23" fillId="4" borderId="33" xfId="1" applyFont="1" applyFill="1" applyBorder="1" applyAlignment="1" applyProtection="1">
      <alignment horizontal="center" vertical="center"/>
      <protection locked="0"/>
    </xf>
    <xf numFmtId="0" fontId="23" fillId="4" borderId="22" xfId="0" applyFont="1" applyFill="1" applyBorder="1" applyAlignment="1">
      <alignment horizontal="center" vertical="center"/>
    </xf>
    <xf numFmtId="0" fontId="24" fillId="0" borderId="20" xfId="12" applyFont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" fontId="0" fillId="8" borderId="0" xfId="0" applyNumberFormat="1" applyFill="1" applyAlignment="1">
      <alignment horizontal="center"/>
    </xf>
    <xf numFmtId="0" fontId="0" fillId="8" borderId="0" xfId="0" applyFill="1"/>
    <xf numFmtId="0" fontId="26" fillId="0" borderId="0" xfId="0" applyFont="1" applyAlignment="1">
      <alignment horizontal="left"/>
    </xf>
    <xf numFmtId="1" fontId="26" fillId="0" borderId="0" xfId="0" applyNumberFormat="1" applyFont="1" applyAlignment="1">
      <alignment horizontal="left"/>
    </xf>
    <xf numFmtId="1" fontId="26" fillId="0" borderId="0" xfId="0" applyNumberFormat="1" applyFont="1" applyAlignment="1">
      <alignment horizontal="left" wrapText="1"/>
    </xf>
    <xf numFmtId="0" fontId="17" fillId="5" borderId="5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19" fillId="4" borderId="11" xfId="0" applyFont="1" applyFill="1" applyBorder="1" applyAlignment="1">
      <alignment horizontal="center" vertical="center" wrapText="1"/>
    </xf>
    <xf numFmtId="0" fontId="19" fillId="4" borderId="10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3" fillId="0" borderId="32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/>
    </xf>
    <xf numFmtId="0" fontId="11" fillId="4" borderId="29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14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/>
    </xf>
    <xf numFmtId="0" fontId="11" fillId="4" borderId="19" xfId="0" applyFont="1" applyFill="1" applyBorder="1" applyAlignment="1">
      <alignment horizontal="center" vertical="center"/>
    </xf>
    <xf numFmtId="0" fontId="11" fillId="4" borderId="16" xfId="0" applyFont="1" applyFill="1" applyBorder="1" applyAlignment="1">
      <alignment horizontal="center" vertical="center"/>
    </xf>
    <xf numFmtId="0" fontId="11" fillId="4" borderId="17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17" fillId="5" borderId="28" xfId="0" applyFont="1" applyFill="1" applyBorder="1" applyAlignment="1">
      <alignment horizontal="center" vertical="center"/>
    </xf>
    <xf numFmtId="0" fontId="17" fillId="5" borderId="27" xfId="0" applyFont="1" applyFill="1" applyBorder="1" applyAlignment="1">
      <alignment horizontal="center" vertical="center"/>
    </xf>
    <xf numFmtId="0" fontId="7" fillId="0" borderId="34" xfId="0" applyFont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 wrapText="1"/>
    </xf>
    <xf numFmtId="0" fontId="19" fillId="4" borderId="20" xfId="0" applyFont="1" applyFill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1" fontId="26" fillId="8" borderId="0" xfId="0" applyNumberFormat="1" applyFont="1" applyFill="1" applyAlignment="1">
      <alignment horizontal="left"/>
    </xf>
    <xf numFmtId="1" fontId="26" fillId="8" borderId="0" xfId="0" applyNumberFormat="1" applyFont="1" applyFill="1" applyAlignment="1">
      <alignment horizontal="left" wrapText="1"/>
    </xf>
  </cellXfs>
  <cellStyles count="13">
    <cellStyle name="Normal" xfId="0" builtinId="0"/>
    <cellStyle name="Normal 2" xfId="2" xr:uid="{1B976CA1-3123-4264-B303-F33E74DEE9A5}"/>
    <cellStyle name="Normal 2 2 2" xfId="12" xr:uid="{DBA42BB5-9FDA-4816-B995-8EBD7B6536CB}"/>
    <cellStyle name="Normal 3" xfId="3" xr:uid="{3FB6472F-7436-444D-9AA7-68B34FCB9F6C}"/>
    <cellStyle name="Normal 3 2" xfId="8" xr:uid="{6EC21970-C33F-4C40-9F77-B573E2BF942E}"/>
    <cellStyle name="Normal 4" xfId="4" xr:uid="{7AC11065-D89D-4439-9881-F565CBD80198}"/>
    <cellStyle name="Normal 4 2" xfId="9" xr:uid="{949A36E7-61C5-4D22-804D-A30BD1D9B2C8}"/>
    <cellStyle name="Normal 5" xfId="6" xr:uid="{D5DD4715-CB79-465A-AFCE-CEDBFDA34D20}"/>
    <cellStyle name="Normal 6" xfId="5" xr:uid="{A88F8004-C26E-407A-A0F4-D478FC8819C5}"/>
    <cellStyle name="Normal 7" xfId="10" xr:uid="{BCE73DCE-A46E-489C-BF06-B6458BDDF87F}"/>
    <cellStyle name="Normal 8" xfId="1" xr:uid="{00000000-0005-0000-0000-000001000000}"/>
    <cellStyle name="Normal 8 2" xfId="7" xr:uid="{DED0B828-0906-40D7-8B00-14BC1B738A4A}"/>
    <cellStyle name="Normal 9" xfId="11" xr:uid="{CDCB21E1-7CDF-465F-A527-D248403390A4}"/>
  </cellStyles>
  <dxfs count="0"/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246529</xdr:colOff>
      <xdr:row>2</xdr:row>
      <xdr:rowOff>33617</xdr:rowOff>
    </xdr:from>
    <xdr:to>
      <xdr:col>39</xdr:col>
      <xdr:colOff>504265</xdr:colOff>
      <xdr:row>6</xdr:row>
      <xdr:rowOff>22412</xdr:rowOff>
    </xdr:to>
    <xdr:sp macro="[0]!Planilha2.Estrutura_Filho" textlink="">
      <xdr:nvSpPr>
        <xdr:cNvPr id="2" name="Retângulo 1">
          <a:extLst>
            <a:ext uri="{FF2B5EF4-FFF2-40B4-BE49-F238E27FC236}">
              <a16:creationId xmlns:a16="http://schemas.microsoft.com/office/drawing/2014/main" id="{E1275EC2-44E7-4589-8F27-279E9382F60F}"/>
            </a:ext>
          </a:extLst>
        </xdr:cNvPr>
        <xdr:cNvSpPr/>
      </xdr:nvSpPr>
      <xdr:spPr>
        <a:xfrm>
          <a:off x="16349382" y="347382"/>
          <a:ext cx="2073089" cy="616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11%20-%20FICHAS%20T&#201;CNICAS%20LAN&#199;AMENTOS%202020\LAN&#199;AMENTO%20MAR&#199;O%202020-1\FICHAS%20T&#201;CNICAS%202020-1\FTES%20E%20PRAT%20ALUM%202020-1\FTES%20PIANO\FTES%20PIANO%202020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)%20DOCUMENTOS%20LAN&#199;AMENTOS/LAN&#199;AMENTOS%202022/PORTAS%20PASSAGEM%20DESLIZANTES%20-%20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ANO DORM ALUM"/>
      <sheetName val="PERFIL ALUM PIANO"/>
      <sheetName val="VIDROS PIANO"/>
      <sheetName val="PAINEL CARPI E ESTOBEL"/>
      <sheetName val="PERFIS"/>
      <sheetName val="COMBINAÇÕES CORES"/>
    </sheetNames>
    <sheetDataSet>
      <sheetData sheetId="0" refreshError="1">
        <row r="8">
          <cell r="B8">
            <v>227020</v>
          </cell>
          <cell r="C8">
            <v>590394</v>
          </cell>
          <cell r="D8" t="str">
            <v>FRENTE DIR DESLIZ 2210X800X44</v>
          </cell>
          <cell r="E8">
            <v>2210</v>
          </cell>
          <cell r="F8">
            <v>800</v>
          </cell>
        </row>
        <row r="9">
          <cell r="B9">
            <v>227025</v>
          </cell>
          <cell r="C9">
            <v>590395</v>
          </cell>
          <cell r="D9" t="str">
            <v>FRENTE ESQ DESLIZ 2210X800X44</v>
          </cell>
          <cell r="E9">
            <v>2210</v>
          </cell>
          <cell r="F9">
            <v>800</v>
          </cell>
        </row>
        <row r="10">
          <cell r="B10">
            <v>227030</v>
          </cell>
          <cell r="C10">
            <v>590396</v>
          </cell>
          <cell r="D10" t="str">
            <v>FRENTE FRONT DESLIZ 2210X800X44</v>
          </cell>
          <cell r="E10">
            <v>2210</v>
          </cell>
          <cell r="F10">
            <v>800</v>
          </cell>
        </row>
        <row r="11">
          <cell r="B11">
            <v>227021</v>
          </cell>
          <cell r="C11">
            <v>590397</v>
          </cell>
          <cell r="D11" t="str">
            <v>FRENTE DIR DESLIZ 2210X900X44</v>
          </cell>
          <cell r="E11">
            <v>2210</v>
          </cell>
          <cell r="F11">
            <v>900</v>
          </cell>
        </row>
        <row r="12">
          <cell r="B12">
            <v>227026</v>
          </cell>
          <cell r="C12">
            <v>590398</v>
          </cell>
          <cell r="D12" t="str">
            <v>FRENTE ESQ DESLIZ 2210X900X44</v>
          </cell>
          <cell r="E12">
            <v>2210</v>
          </cell>
          <cell r="F12">
            <v>900</v>
          </cell>
        </row>
        <row r="13">
          <cell r="B13">
            <v>227031</v>
          </cell>
          <cell r="C13">
            <v>590399</v>
          </cell>
          <cell r="D13" t="str">
            <v>FRENTE FRONT DESLIZ 2210X900X44</v>
          </cell>
          <cell r="E13">
            <v>2210</v>
          </cell>
          <cell r="F13">
            <v>900</v>
          </cell>
        </row>
        <row r="14">
          <cell r="B14">
            <v>227022</v>
          </cell>
          <cell r="C14">
            <v>590400</v>
          </cell>
          <cell r="D14" t="str">
            <v>FRENTE DIR DESLIZ 2210X1000X44</v>
          </cell>
          <cell r="E14">
            <v>2210</v>
          </cell>
          <cell r="F14">
            <v>1000</v>
          </cell>
        </row>
        <row r="15">
          <cell r="B15">
            <v>227027</v>
          </cell>
          <cell r="C15">
            <v>590401</v>
          </cell>
          <cell r="D15" t="str">
            <v>FRENTE ESQ DESLIZ 2210X1000X44</v>
          </cell>
          <cell r="E15">
            <v>2210</v>
          </cell>
          <cell r="F15">
            <v>1000</v>
          </cell>
        </row>
        <row r="16">
          <cell r="B16">
            <v>227032</v>
          </cell>
          <cell r="C16">
            <v>590402</v>
          </cell>
          <cell r="D16" t="str">
            <v>FRENTE FRONT DESLIZ 2210X1000X44</v>
          </cell>
          <cell r="E16">
            <v>2210</v>
          </cell>
          <cell r="F16">
            <v>1000</v>
          </cell>
        </row>
        <row r="17">
          <cell r="B17">
            <v>227023</v>
          </cell>
          <cell r="C17">
            <v>590403</v>
          </cell>
          <cell r="D17" t="str">
            <v>FRENTE DIR DESLIZ 2210X1100X44</v>
          </cell>
          <cell r="E17">
            <v>2210</v>
          </cell>
          <cell r="F17">
            <v>1100</v>
          </cell>
        </row>
        <row r="18">
          <cell r="B18">
            <v>227028</v>
          </cell>
          <cell r="C18">
            <v>590404</v>
          </cell>
          <cell r="D18" t="str">
            <v>FRENTE ESQ DESLIZ 2210X1100X44</v>
          </cell>
          <cell r="E18">
            <v>2210</v>
          </cell>
          <cell r="F18">
            <v>1100</v>
          </cell>
        </row>
        <row r="19">
          <cell r="B19">
            <v>227033</v>
          </cell>
          <cell r="C19">
            <v>590405</v>
          </cell>
          <cell r="D19" t="str">
            <v>FRENTE FRONT DESLIZ 2210X1100X44</v>
          </cell>
          <cell r="E19">
            <v>2210</v>
          </cell>
          <cell r="F19">
            <v>1100</v>
          </cell>
        </row>
        <row r="20">
          <cell r="B20">
            <v>227024</v>
          </cell>
          <cell r="C20">
            <v>590406</v>
          </cell>
          <cell r="D20" t="str">
            <v>FRENTE DIR DESLIZ 2210X1200X44</v>
          </cell>
          <cell r="E20">
            <v>2210</v>
          </cell>
          <cell r="F20">
            <v>1200</v>
          </cell>
        </row>
        <row r="21">
          <cell r="B21">
            <v>227029</v>
          </cell>
          <cell r="C21">
            <v>590407</v>
          </cell>
          <cell r="D21" t="str">
            <v>FRENTE ESQ DESLIZ 2210X1200X44</v>
          </cell>
          <cell r="E21">
            <v>2210</v>
          </cell>
          <cell r="F21">
            <v>1200</v>
          </cell>
        </row>
        <row r="22">
          <cell r="B22">
            <v>227034</v>
          </cell>
          <cell r="C22">
            <v>590408</v>
          </cell>
          <cell r="D22" t="str">
            <v>FRENTE FRONT DESLIZ 2210X1200X44</v>
          </cell>
          <cell r="E22">
            <v>2210</v>
          </cell>
          <cell r="F22">
            <v>1200</v>
          </cell>
        </row>
        <row r="23">
          <cell r="B23"/>
          <cell r="C23"/>
          <cell r="D23"/>
          <cell r="E23"/>
          <cell r="F23"/>
        </row>
        <row r="24">
          <cell r="B24">
            <v>227120</v>
          </cell>
          <cell r="C24">
            <v>590412</v>
          </cell>
          <cell r="D24" t="str">
            <v>FRENTE DIR DESLIZ 2390X800X44</v>
          </cell>
          <cell r="E24">
            <v>2390</v>
          </cell>
          <cell r="F24">
            <v>800</v>
          </cell>
        </row>
        <row r="25">
          <cell r="B25">
            <v>227125</v>
          </cell>
          <cell r="C25">
            <v>590413</v>
          </cell>
          <cell r="D25" t="str">
            <v>FRENTE ESQ DESLIZ 2390X800X44</v>
          </cell>
          <cell r="E25">
            <v>2390</v>
          </cell>
          <cell r="F25">
            <v>800</v>
          </cell>
        </row>
        <row r="26">
          <cell r="B26">
            <v>227130</v>
          </cell>
          <cell r="C26">
            <v>590414</v>
          </cell>
          <cell r="D26" t="str">
            <v>FRENTE FRONT DESLIZ 2390X800X44</v>
          </cell>
          <cell r="E26">
            <v>2390</v>
          </cell>
          <cell r="F26">
            <v>800</v>
          </cell>
        </row>
        <row r="27">
          <cell r="B27">
            <v>227121</v>
          </cell>
          <cell r="C27">
            <v>590415</v>
          </cell>
          <cell r="D27" t="str">
            <v>FRENTE DIR DESLIZ 2390X900X44</v>
          </cell>
          <cell r="E27">
            <v>2390</v>
          </cell>
          <cell r="F27">
            <v>900</v>
          </cell>
        </row>
        <row r="28">
          <cell r="B28">
            <v>227126</v>
          </cell>
          <cell r="C28">
            <v>590416</v>
          </cell>
          <cell r="D28" t="str">
            <v>FRENTE ESQ DESLIZ 2390X900X44</v>
          </cell>
          <cell r="E28">
            <v>2390</v>
          </cell>
          <cell r="F28">
            <v>900</v>
          </cell>
        </row>
        <row r="29">
          <cell r="B29">
            <v>227131</v>
          </cell>
          <cell r="C29">
            <v>590417</v>
          </cell>
          <cell r="D29" t="str">
            <v>FRENTE FRONT DESLIZ 2390X900X44</v>
          </cell>
          <cell r="E29">
            <v>2390</v>
          </cell>
          <cell r="F29">
            <v>900</v>
          </cell>
        </row>
        <row r="30">
          <cell r="B30">
            <v>227122</v>
          </cell>
          <cell r="C30">
            <v>590418</v>
          </cell>
          <cell r="D30" t="str">
            <v>FRENTE DIR DESLIZ 2390X1000X44</v>
          </cell>
          <cell r="E30">
            <v>2390</v>
          </cell>
          <cell r="F30">
            <v>1000</v>
          </cell>
        </row>
        <row r="31">
          <cell r="B31">
            <v>227127</v>
          </cell>
          <cell r="C31">
            <v>590419</v>
          </cell>
          <cell r="D31" t="str">
            <v>FRENTE ESQ DESLIZ 2390X1000X44</v>
          </cell>
          <cell r="E31">
            <v>2390</v>
          </cell>
          <cell r="F31">
            <v>1000</v>
          </cell>
        </row>
        <row r="32">
          <cell r="B32">
            <v>227132</v>
          </cell>
          <cell r="C32">
            <v>590420</v>
          </cell>
          <cell r="D32" t="str">
            <v>FRENTE FRONT DESLIZ 2390X1000X44</v>
          </cell>
          <cell r="E32">
            <v>2390</v>
          </cell>
          <cell r="F32">
            <v>1000</v>
          </cell>
        </row>
        <row r="33">
          <cell r="B33">
            <v>227123</v>
          </cell>
          <cell r="C33">
            <v>590421</v>
          </cell>
          <cell r="D33" t="str">
            <v>FRENTE DIR DESLIZ 2390X1100X44</v>
          </cell>
          <cell r="E33">
            <v>2390</v>
          </cell>
          <cell r="F33">
            <v>1100</v>
          </cell>
        </row>
        <row r="34">
          <cell r="B34">
            <v>227128</v>
          </cell>
          <cell r="C34">
            <v>590422</v>
          </cell>
          <cell r="D34" t="str">
            <v>FRENTE ESQ DESLIZ 2390X1100X44</v>
          </cell>
          <cell r="E34">
            <v>2390</v>
          </cell>
          <cell r="F34">
            <v>1100</v>
          </cell>
        </row>
        <row r="35">
          <cell r="B35">
            <v>227133</v>
          </cell>
          <cell r="C35">
            <v>590423</v>
          </cell>
          <cell r="D35" t="str">
            <v>FRENTE FRONT DESLIZ 2390X1100X44</v>
          </cell>
          <cell r="E35">
            <v>2390</v>
          </cell>
          <cell r="F35">
            <v>1100</v>
          </cell>
        </row>
        <row r="36">
          <cell r="B36">
            <v>227124</v>
          </cell>
          <cell r="C36">
            <v>590424</v>
          </cell>
          <cell r="D36" t="str">
            <v>FRENTE DIR DESLIZ 2390X1200X44</v>
          </cell>
          <cell r="E36">
            <v>2390</v>
          </cell>
          <cell r="F36">
            <v>1200</v>
          </cell>
        </row>
        <row r="37">
          <cell r="B37">
            <v>227129</v>
          </cell>
          <cell r="C37">
            <v>590425</v>
          </cell>
          <cell r="D37" t="str">
            <v>FRENTE ESQ DESLIZ 2390X1200X44</v>
          </cell>
          <cell r="E37">
            <v>2390</v>
          </cell>
          <cell r="F37">
            <v>1200</v>
          </cell>
        </row>
        <row r="38">
          <cell r="B38">
            <v>227134</v>
          </cell>
          <cell r="C38">
            <v>590426</v>
          </cell>
          <cell r="D38" t="str">
            <v>FRENTE FRONT DESLIZ 2390X1200X44</v>
          </cell>
          <cell r="E38">
            <v>2390</v>
          </cell>
          <cell r="F38">
            <v>1200</v>
          </cell>
        </row>
        <row r="39">
          <cell r="B39"/>
          <cell r="C39"/>
          <cell r="D39"/>
          <cell r="E39"/>
          <cell r="F39"/>
        </row>
        <row r="40">
          <cell r="B40">
            <v>227220</v>
          </cell>
          <cell r="C40">
            <v>590430</v>
          </cell>
          <cell r="D40" t="str">
            <v>FRENTE DIR DESLIZ 2570X800X44</v>
          </cell>
          <cell r="E40">
            <v>2570</v>
          </cell>
          <cell r="F40">
            <v>800</v>
          </cell>
        </row>
        <row r="41">
          <cell r="B41">
            <v>227225</v>
          </cell>
          <cell r="C41">
            <v>590431</v>
          </cell>
          <cell r="D41" t="str">
            <v>FRENTE ESQ DESLIZ 2570X800X44</v>
          </cell>
          <cell r="E41">
            <v>2570</v>
          </cell>
          <cell r="F41">
            <v>800</v>
          </cell>
        </row>
        <row r="42">
          <cell r="B42">
            <v>227230</v>
          </cell>
          <cell r="C42">
            <v>590432</v>
          </cell>
          <cell r="D42" t="str">
            <v>FRENTE FRONT DESLIZ 2570X800X44</v>
          </cell>
          <cell r="E42">
            <v>2570</v>
          </cell>
          <cell r="F42">
            <v>800</v>
          </cell>
        </row>
        <row r="43">
          <cell r="B43">
            <v>227221</v>
          </cell>
          <cell r="C43">
            <v>590433</v>
          </cell>
          <cell r="D43" t="str">
            <v>FRENTE DIR DESLIZ 2570X900X44</v>
          </cell>
          <cell r="E43">
            <v>2570</v>
          </cell>
          <cell r="F43">
            <v>900</v>
          </cell>
        </row>
        <row r="44">
          <cell r="B44">
            <v>227226</v>
          </cell>
          <cell r="C44">
            <v>590434</v>
          </cell>
          <cell r="D44" t="str">
            <v>FRENTE ESQ DESLIZ 2570X900X44</v>
          </cell>
          <cell r="E44">
            <v>2570</v>
          </cell>
          <cell r="F44">
            <v>900</v>
          </cell>
        </row>
        <row r="45">
          <cell r="B45">
            <v>227231</v>
          </cell>
          <cell r="C45">
            <v>590435</v>
          </cell>
          <cell r="D45" t="str">
            <v>FRENTE FRONT DESLIZ 2570X900X44</v>
          </cell>
          <cell r="E45">
            <v>2570</v>
          </cell>
          <cell r="F45">
            <v>900</v>
          </cell>
        </row>
        <row r="46">
          <cell r="B46">
            <v>227222</v>
          </cell>
          <cell r="C46">
            <v>590436</v>
          </cell>
          <cell r="D46" t="str">
            <v>FRENTE DIR DESLIZ 2570X1000X44</v>
          </cell>
          <cell r="E46">
            <v>2570</v>
          </cell>
          <cell r="F46">
            <v>1000</v>
          </cell>
        </row>
        <row r="47">
          <cell r="B47">
            <v>227227</v>
          </cell>
          <cell r="C47">
            <v>590437</v>
          </cell>
          <cell r="D47" t="str">
            <v>FRENTE ESQ DESLIZ 2570X1000X44</v>
          </cell>
          <cell r="E47">
            <v>2570</v>
          </cell>
          <cell r="F47">
            <v>1000</v>
          </cell>
        </row>
        <row r="48">
          <cell r="B48">
            <v>227232</v>
          </cell>
          <cell r="C48">
            <v>590438</v>
          </cell>
          <cell r="D48" t="str">
            <v>FRENTE FRONT DESLIZ 2570X1000X44</v>
          </cell>
          <cell r="E48">
            <v>2570</v>
          </cell>
          <cell r="F48">
            <v>1000</v>
          </cell>
        </row>
        <row r="49">
          <cell r="B49">
            <v>227223</v>
          </cell>
          <cell r="C49">
            <v>590439</v>
          </cell>
          <cell r="D49" t="str">
            <v>FRENTE DIR DESLIZ 2570X1100X44</v>
          </cell>
          <cell r="E49">
            <v>2570</v>
          </cell>
          <cell r="F49">
            <v>1100</v>
          </cell>
        </row>
        <row r="50">
          <cell r="B50">
            <v>227228</v>
          </cell>
          <cell r="C50">
            <v>590440</v>
          </cell>
          <cell r="D50" t="str">
            <v>FRENTE ESQ DESLIZ 2570X1100X44</v>
          </cell>
          <cell r="E50">
            <v>2570</v>
          </cell>
          <cell r="F50">
            <v>1100</v>
          </cell>
        </row>
        <row r="51">
          <cell r="B51">
            <v>227233</v>
          </cell>
          <cell r="C51">
            <v>590441</v>
          </cell>
          <cell r="D51" t="str">
            <v>FRENTE FRONT DESLIZ 2570X1100X44</v>
          </cell>
          <cell r="E51">
            <v>2570</v>
          </cell>
          <cell r="F51">
            <v>1100</v>
          </cell>
        </row>
        <row r="52">
          <cell r="B52">
            <v>227224</v>
          </cell>
          <cell r="C52">
            <v>590442</v>
          </cell>
          <cell r="D52" t="str">
            <v>FRENTE DIR DESLIZ 2570X1200X44</v>
          </cell>
          <cell r="E52">
            <v>2570</v>
          </cell>
          <cell r="F52">
            <v>1200</v>
          </cell>
        </row>
        <row r="53">
          <cell r="B53">
            <v>227229</v>
          </cell>
          <cell r="C53">
            <v>590443</v>
          </cell>
          <cell r="D53" t="str">
            <v>FRENTE ESQ DESLIZ 2570X1200X44</v>
          </cell>
          <cell r="E53">
            <v>2570</v>
          </cell>
          <cell r="F53">
            <v>1200</v>
          </cell>
        </row>
        <row r="54">
          <cell r="B54">
            <v>227234</v>
          </cell>
          <cell r="C54">
            <v>590444</v>
          </cell>
          <cell r="D54" t="str">
            <v>FRENTE FRONT DESLIZ 2570X1200X44</v>
          </cell>
          <cell r="E54">
            <v>2570</v>
          </cell>
          <cell r="F54">
            <v>1200</v>
          </cell>
        </row>
        <row r="55">
          <cell r="B55"/>
          <cell r="C55"/>
          <cell r="D55"/>
          <cell r="E55"/>
          <cell r="F55"/>
        </row>
        <row r="56">
          <cell r="B56">
            <v>227040</v>
          </cell>
          <cell r="C56">
            <v>590448</v>
          </cell>
          <cell r="D56" t="str">
            <v>FRENTE DIR DESLIZ 2307X800X44</v>
          </cell>
          <cell r="E56">
            <v>2307</v>
          </cell>
          <cell r="F56">
            <v>800</v>
          </cell>
        </row>
        <row r="57">
          <cell r="B57">
            <v>227045</v>
          </cell>
          <cell r="C57">
            <v>590449</v>
          </cell>
          <cell r="D57" t="str">
            <v>FRENTE ESQ DESLIZ 2307X800X44</v>
          </cell>
          <cell r="E57">
            <v>2307</v>
          </cell>
          <cell r="F57">
            <v>800</v>
          </cell>
        </row>
        <row r="58">
          <cell r="B58">
            <v>227050</v>
          </cell>
          <cell r="C58">
            <v>590450</v>
          </cell>
          <cell r="D58" t="str">
            <v>FRENTE FRONT DESLIZ 2307X800X44</v>
          </cell>
          <cell r="E58">
            <v>2307</v>
          </cell>
          <cell r="F58">
            <v>800</v>
          </cell>
        </row>
        <row r="59">
          <cell r="B59">
            <v>227041</v>
          </cell>
          <cell r="C59">
            <v>590451</v>
          </cell>
          <cell r="D59" t="str">
            <v>FRENTE DIR DESLIZ 2307X900X44</v>
          </cell>
          <cell r="E59">
            <v>2307</v>
          </cell>
          <cell r="F59">
            <v>900</v>
          </cell>
        </row>
        <row r="60">
          <cell r="B60">
            <v>227046</v>
          </cell>
          <cell r="C60">
            <v>590452</v>
          </cell>
          <cell r="D60" t="str">
            <v>FRENTE ESQ DESLIZ 2307X900X44</v>
          </cell>
          <cell r="E60">
            <v>2307</v>
          </cell>
          <cell r="F60">
            <v>900</v>
          </cell>
        </row>
        <row r="61">
          <cell r="B61">
            <v>227051</v>
          </cell>
          <cell r="C61">
            <v>590453</v>
          </cell>
          <cell r="D61" t="str">
            <v>FRENTE FRONT DESLIZ 2307X900X44</v>
          </cell>
          <cell r="E61">
            <v>2307</v>
          </cell>
          <cell r="F61">
            <v>900</v>
          </cell>
        </row>
        <row r="62">
          <cell r="B62">
            <v>227042</v>
          </cell>
          <cell r="C62">
            <v>590454</v>
          </cell>
          <cell r="D62" t="str">
            <v>FRENTE DIR DESLIZ 2307X1000X44</v>
          </cell>
          <cell r="E62">
            <v>2307</v>
          </cell>
          <cell r="F62">
            <v>1000</v>
          </cell>
        </row>
        <row r="63">
          <cell r="B63">
            <v>227047</v>
          </cell>
          <cell r="C63">
            <v>590455</v>
          </cell>
          <cell r="D63" t="str">
            <v>FRENTE ESQ DESLIZ 2307X1000X44</v>
          </cell>
          <cell r="E63">
            <v>2307</v>
          </cell>
          <cell r="F63">
            <v>1000</v>
          </cell>
        </row>
        <row r="64">
          <cell r="B64">
            <v>227052</v>
          </cell>
          <cell r="C64">
            <v>590456</v>
          </cell>
          <cell r="D64" t="str">
            <v>FRENTE FRONT DESLIZ 2307X1000X44</v>
          </cell>
          <cell r="E64">
            <v>2307</v>
          </cell>
          <cell r="F64">
            <v>1000</v>
          </cell>
        </row>
        <row r="65">
          <cell r="B65">
            <v>227043</v>
          </cell>
          <cell r="C65">
            <v>590457</v>
          </cell>
          <cell r="D65" t="str">
            <v>FRENTE DIR DESLIZ 2307X1100X44</v>
          </cell>
          <cell r="E65">
            <v>2307</v>
          </cell>
          <cell r="F65">
            <v>1100</v>
          </cell>
        </row>
        <row r="66">
          <cell r="B66">
            <v>227048</v>
          </cell>
          <cell r="C66">
            <v>590458</v>
          </cell>
          <cell r="D66" t="str">
            <v>FRENTE ESQ DESLIZ 2307X1100X44</v>
          </cell>
          <cell r="E66">
            <v>2307</v>
          </cell>
          <cell r="F66">
            <v>1100</v>
          </cell>
        </row>
        <row r="67">
          <cell r="B67">
            <v>227053</v>
          </cell>
          <cell r="C67">
            <v>590459</v>
          </cell>
          <cell r="D67" t="str">
            <v>FRENTE FRONT DESLIZ 2307X1100X44</v>
          </cell>
          <cell r="E67">
            <v>2307</v>
          </cell>
          <cell r="F67">
            <v>1100</v>
          </cell>
        </row>
        <row r="68">
          <cell r="B68">
            <v>227044</v>
          </cell>
          <cell r="C68">
            <v>590460</v>
          </cell>
          <cell r="D68" t="str">
            <v>FRENTE DIR DESLIZ 2307X1200X44</v>
          </cell>
          <cell r="E68">
            <v>2307</v>
          </cell>
          <cell r="F68">
            <v>1200</v>
          </cell>
        </row>
        <row r="69">
          <cell r="B69">
            <v>227049</v>
          </cell>
          <cell r="C69">
            <v>590461</v>
          </cell>
          <cell r="D69" t="str">
            <v>FRENTE ESQ DESLIZ 2307X1200X44</v>
          </cell>
          <cell r="E69">
            <v>2307</v>
          </cell>
          <cell r="F69">
            <v>1200</v>
          </cell>
        </row>
        <row r="70">
          <cell r="B70">
            <v>227054</v>
          </cell>
          <cell r="C70">
            <v>590462</v>
          </cell>
          <cell r="D70" t="str">
            <v>FRENTE FRONT DESLIZ 2307X1200X44</v>
          </cell>
          <cell r="E70">
            <v>2307</v>
          </cell>
          <cell r="F70">
            <v>1200</v>
          </cell>
        </row>
        <row r="71">
          <cell r="B71"/>
          <cell r="C71"/>
          <cell r="D71"/>
          <cell r="E71"/>
          <cell r="F71"/>
        </row>
        <row r="72">
          <cell r="B72">
            <v>227140</v>
          </cell>
          <cell r="C72">
            <v>590466</v>
          </cell>
          <cell r="D72" t="str">
            <v>FRENTE DIR DESLIZ 2487X800X44</v>
          </cell>
          <cell r="E72">
            <v>2487</v>
          </cell>
          <cell r="F72">
            <v>800</v>
          </cell>
        </row>
        <row r="73">
          <cell r="B73">
            <v>227145</v>
          </cell>
          <cell r="C73">
            <v>590467</v>
          </cell>
          <cell r="D73" t="str">
            <v>FRENTE ESQ DESLIZ 2487X800X44</v>
          </cell>
          <cell r="E73">
            <v>2487</v>
          </cell>
          <cell r="F73">
            <v>800</v>
          </cell>
        </row>
        <row r="74">
          <cell r="B74">
            <v>227150</v>
          </cell>
          <cell r="C74">
            <v>590468</v>
          </cell>
          <cell r="D74" t="str">
            <v>FRENTE FRONT DESLIZ 2487X800X44</v>
          </cell>
          <cell r="E74">
            <v>2487</v>
          </cell>
          <cell r="F74">
            <v>800</v>
          </cell>
        </row>
        <row r="75">
          <cell r="B75">
            <v>227141</v>
          </cell>
          <cell r="C75">
            <v>590469</v>
          </cell>
          <cell r="D75" t="str">
            <v>FRENTE DIR DESLIZ 2487X900X44</v>
          </cell>
          <cell r="E75">
            <v>2487</v>
          </cell>
          <cell r="F75">
            <v>900</v>
          </cell>
        </row>
        <row r="76">
          <cell r="B76">
            <v>227146</v>
          </cell>
          <cell r="C76">
            <v>590470</v>
          </cell>
          <cell r="D76" t="str">
            <v>FRENTE ESQ DESLIZ 2487X900X44</v>
          </cell>
          <cell r="E76">
            <v>2487</v>
          </cell>
          <cell r="F76">
            <v>900</v>
          </cell>
        </row>
        <row r="77">
          <cell r="B77">
            <v>227151</v>
          </cell>
          <cell r="C77">
            <v>590471</v>
          </cell>
          <cell r="D77" t="str">
            <v>FRENTE FRONT DESLIZ 2487X900X44</v>
          </cell>
          <cell r="E77">
            <v>2487</v>
          </cell>
          <cell r="F77">
            <v>900</v>
          </cell>
        </row>
        <row r="78">
          <cell r="B78">
            <v>227142</v>
          </cell>
          <cell r="C78">
            <v>590472</v>
          </cell>
          <cell r="D78" t="str">
            <v>FRENTE DIR DESLIZ 2487X1000X44</v>
          </cell>
          <cell r="E78">
            <v>2487</v>
          </cell>
          <cell r="F78">
            <v>1000</v>
          </cell>
        </row>
        <row r="79">
          <cell r="B79">
            <v>227147</v>
          </cell>
          <cell r="C79">
            <v>590473</v>
          </cell>
          <cell r="D79" t="str">
            <v>FRENTE ESQ DESLIZ 2487X1000X44</v>
          </cell>
          <cell r="E79">
            <v>2487</v>
          </cell>
          <cell r="F79">
            <v>1000</v>
          </cell>
        </row>
        <row r="80">
          <cell r="B80">
            <v>227152</v>
          </cell>
          <cell r="C80">
            <v>590474</v>
          </cell>
          <cell r="D80" t="str">
            <v>FRENTE FRONT DESLIZ 2487X1000X44</v>
          </cell>
          <cell r="E80">
            <v>2487</v>
          </cell>
          <cell r="F80">
            <v>1000</v>
          </cell>
        </row>
        <row r="81">
          <cell r="B81">
            <v>227143</v>
          </cell>
          <cell r="C81">
            <v>590475</v>
          </cell>
          <cell r="D81" t="str">
            <v>FRENTE DIR DESLIZ 2487X1100X44</v>
          </cell>
          <cell r="E81">
            <v>2487</v>
          </cell>
          <cell r="F81">
            <v>1100</v>
          </cell>
        </row>
        <row r="82">
          <cell r="B82">
            <v>227148</v>
          </cell>
          <cell r="C82">
            <v>590476</v>
          </cell>
          <cell r="D82" t="str">
            <v>FRENTE ESQ DESLIZ 2487X1100X44</v>
          </cell>
          <cell r="E82">
            <v>2487</v>
          </cell>
          <cell r="F82">
            <v>1100</v>
          </cell>
        </row>
        <row r="83">
          <cell r="B83">
            <v>227153</v>
          </cell>
          <cell r="C83">
            <v>590477</v>
          </cell>
          <cell r="D83" t="str">
            <v>FRENTE FRONT DESLIZ 2487X1100X44</v>
          </cell>
          <cell r="E83">
            <v>2487</v>
          </cell>
          <cell r="F83">
            <v>1100</v>
          </cell>
        </row>
        <row r="84">
          <cell r="B84">
            <v>227144</v>
          </cell>
          <cell r="C84">
            <v>590478</v>
          </cell>
          <cell r="D84" t="str">
            <v>FRENTE DIR DESLIZ 2487X1200X44</v>
          </cell>
          <cell r="E84">
            <v>2487</v>
          </cell>
          <cell r="F84">
            <v>1200</v>
          </cell>
        </row>
        <row r="85">
          <cell r="B85">
            <v>227149</v>
          </cell>
          <cell r="C85">
            <v>590479</v>
          </cell>
          <cell r="D85" t="str">
            <v>FRENTE ESQ DESLIZ 2487X1200X44</v>
          </cell>
          <cell r="E85">
            <v>2487</v>
          </cell>
          <cell r="F85">
            <v>1200</v>
          </cell>
        </row>
        <row r="86">
          <cell r="B86">
            <v>227154</v>
          </cell>
          <cell r="C86">
            <v>590480</v>
          </cell>
          <cell r="D86" t="str">
            <v>FRENTE FRONT DESLIZ 2487X1200X44</v>
          </cell>
          <cell r="E86">
            <v>2487</v>
          </cell>
          <cell r="F86">
            <v>1200</v>
          </cell>
        </row>
        <row r="87">
          <cell r="B87"/>
          <cell r="C87"/>
          <cell r="D87"/>
          <cell r="E87"/>
          <cell r="F87"/>
        </row>
        <row r="88">
          <cell r="B88">
            <v>227240</v>
          </cell>
          <cell r="C88">
            <v>590484</v>
          </cell>
          <cell r="D88" t="str">
            <v>FRENTE DIR DESLIZ 2667X800X44</v>
          </cell>
          <cell r="E88">
            <v>2667</v>
          </cell>
          <cell r="F88">
            <v>800</v>
          </cell>
        </row>
        <row r="89">
          <cell r="B89">
            <v>227245</v>
          </cell>
          <cell r="C89">
            <v>590485</v>
          </cell>
          <cell r="D89" t="str">
            <v>FRENTE ESQ DESLIZ 2667X800X44</v>
          </cell>
          <cell r="E89">
            <v>2667</v>
          </cell>
          <cell r="F89">
            <v>800</v>
          </cell>
        </row>
        <row r="90">
          <cell r="B90">
            <v>227250</v>
          </cell>
          <cell r="C90">
            <v>590486</v>
          </cell>
          <cell r="D90" t="str">
            <v>FRENTE FRONT DESLIZ 2667X800X44</v>
          </cell>
          <cell r="E90">
            <v>2667</v>
          </cell>
          <cell r="F90">
            <v>800</v>
          </cell>
        </row>
        <row r="91">
          <cell r="B91">
            <v>227241</v>
          </cell>
          <cell r="C91">
            <v>590487</v>
          </cell>
          <cell r="D91" t="str">
            <v>FRENTE DIR DESLIZ 2667X900X44</v>
          </cell>
          <cell r="E91">
            <v>2667</v>
          </cell>
          <cell r="F91">
            <v>900</v>
          </cell>
        </row>
        <row r="92">
          <cell r="B92">
            <v>227246</v>
          </cell>
          <cell r="C92">
            <v>590488</v>
          </cell>
          <cell r="D92" t="str">
            <v>FRENTE ESQ DESLIZ 2667X900X44</v>
          </cell>
          <cell r="E92">
            <v>2667</v>
          </cell>
          <cell r="F92">
            <v>900</v>
          </cell>
        </row>
        <row r="93">
          <cell r="B93">
            <v>227251</v>
          </cell>
          <cell r="C93">
            <v>590489</v>
          </cell>
          <cell r="D93" t="str">
            <v>FRENTE FRONT DESLIZ 2667X900X44</v>
          </cell>
          <cell r="E93">
            <v>2667</v>
          </cell>
          <cell r="F93">
            <v>900</v>
          </cell>
        </row>
        <row r="94">
          <cell r="B94">
            <v>227242</v>
          </cell>
          <cell r="C94">
            <v>590490</v>
          </cell>
          <cell r="D94" t="str">
            <v>FRENTE DIR DESLIZ 2667X1000X44</v>
          </cell>
          <cell r="E94">
            <v>2667</v>
          </cell>
          <cell r="F94">
            <v>1000</v>
          </cell>
        </row>
        <row r="95">
          <cell r="B95">
            <v>227247</v>
          </cell>
          <cell r="C95">
            <v>590491</v>
          </cell>
          <cell r="D95" t="str">
            <v>FRENTE ESQ DESLIZ 2667X1000X44</v>
          </cell>
          <cell r="E95">
            <v>2667</v>
          </cell>
          <cell r="F95">
            <v>1000</v>
          </cell>
        </row>
        <row r="96">
          <cell r="B96">
            <v>227252</v>
          </cell>
          <cell r="C96">
            <v>590492</v>
          </cell>
          <cell r="D96" t="str">
            <v>FRENTE FRONT DESLIZ 2667X1000X44</v>
          </cell>
          <cell r="E96">
            <v>2667</v>
          </cell>
          <cell r="F96">
            <v>1000</v>
          </cell>
        </row>
        <row r="97">
          <cell r="B97">
            <v>227243</v>
          </cell>
          <cell r="C97">
            <v>590493</v>
          </cell>
          <cell r="D97" t="str">
            <v>FRENTE DIR DESLIZ 2667X1100X44</v>
          </cell>
          <cell r="E97">
            <v>2667</v>
          </cell>
          <cell r="F97">
            <v>1100</v>
          </cell>
        </row>
        <row r="98">
          <cell r="B98">
            <v>227248</v>
          </cell>
          <cell r="C98">
            <v>590494</v>
          </cell>
          <cell r="D98" t="str">
            <v>FRENTE ESQ DESLIZ 2667X1100X44</v>
          </cell>
          <cell r="E98">
            <v>2667</v>
          </cell>
          <cell r="F98">
            <v>1100</v>
          </cell>
        </row>
        <row r="99">
          <cell r="B99">
            <v>227253</v>
          </cell>
          <cell r="C99">
            <v>590495</v>
          </cell>
          <cell r="D99" t="str">
            <v>FRENTE FRONT DESLIZ 2667X1100X44</v>
          </cell>
          <cell r="E99">
            <v>2667</v>
          </cell>
          <cell r="F99">
            <v>1100</v>
          </cell>
        </row>
        <row r="100">
          <cell r="B100">
            <v>227244</v>
          </cell>
          <cell r="C100">
            <v>590496</v>
          </cell>
          <cell r="D100" t="str">
            <v>FRENTE DIR DESLIZ 2667X1200X44</v>
          </cell>
          <cell r="E100">
            <v>2667</v>
          </cell>
          <cell r="F100">
            <v>1200</v>
          </cell>
        </row>
        <row r="101">
          <cell r="B101">
            <v>227249</v>
          </cell>
          <cell r="C101">
            <v>590497</v>
          </cell>
          <cell r="D101" t="str">
            <v>FRENTE ESQ DESLIZ 2667X1200X44</v>
          </cell>
          <cell r="E101">
            <v>2667</v>
          </cell>
          <cell r="F101">
            <v>1200</v>
          </cell>
        </row>
        <row r="102">
          <cell r="B102">
            <v>227254</v>
          </cell>
          <cell r="C102">
            <v>590498</v>
          </cell>
          <cell r="D102" t="str">
            <v>FRENTE FRONT DESLIZ 2667X1200X44</v>
          </cell>
          <cell r="E102">
            <v>2667</v>
          </cell>
          <cell r="F102">
            <v>1200</v>
          </cell>
        </row>
      </sheetData>
      <sheetData sheetId="1" refreshError="1">
        <row r="6">
          <cell r="A6">
            <v>595702</v>
          </cell>
          <cell r="B6" t="str">
            <v>-</v>
          </cell>
          <cell r="C6" t="str">
            <v>-</v>
          </cell>
          <cell r="D6" t="str">
            <v>02</v>
          </cell>
          <cell r="E6" t="str">
            <v>03</v>
          </cell>
          <cell r="F6" t="str">
            <v>04</v>
          </cell>
          <cell r="G6" t="str">
            <v>05</v>
          </cell>
          <cell r="H6" t="str">
            <v>-</v>
          </cell>
          <cell r="I6" t="str">
            <v>07</v>
          </cell>
          <cell r="J6" t="str">
            <v>-</v>
          </cell>
          <cell r="K6" t="str">
            <v>PINTURA ALUMINIO PL TRAV ARCH/PIANO + COR</v>
          </cell>
          <cell r="L6" t="str">
            <v>-</v>
          </cell>
          <cell r="M6" t="str">
            <v>-</v>
          </cell>
          <cell r="N6" t="str">
            <v>-</v>
          </cell>
        </row>
        <row r="7">
          <cell r="A7">
            <v>595703</v>
          </cell>
          <cell r="B7" t="str">
            <v>-</v>
          </cell>
          <cell r="C7" t="str">
            <v>-</v>
          </cell>
          <cell r="D7" t="str">
            <v>02</v>
          </cell>
          <cell r="E7" t="str">
            <v>03</v>
          </cell>
          <cell r="F7" t="str">
            <v>04</v>
          </cell>
          <cell r="G7" t="str">
            <v>05</v>
          </cell>
          <cell r="H7" t="str">
            <v>-</v>
          </cell>
          <cell r="I7" t="str">
            <v>07</v>
          </cell>
          <cell r="J7" t="str">
            <v>-</v>
          </cell>
          <cell r="K7" t="str">
            <v>PINTURA ALUMINIO PL TRAV OCULTA ARCH/PIANO + COR</v>
          </cell>
          <cell r="L7" t="str">
            <v>-</v>
          </cell>
          <cell r="M7" t="str">
            <v>-</v>
          </cell>
          <cell r="N7" t="str">
            <v>-</v>
          </cell>
        </row>
        <row r="8">
          <cell r="A8">
            <v>595704</v>
          </cell>
          <cell r="B8" t="str">
            <v>-</v>
          </cell>
          <cell r="C8" t="str">
            <v>01</v>
          </cell>
          <cell r="D8" t="str">
            <v>02</v>
          </cell>
          <cell r="E8" t="str">
            <v>03</v>
          </cell>
          <cell r="F8" t="str">
            <v>04</v>
          </cell>
          <cell r="G8" t="str">
            <v>05</v>
          </cell>
          <cell r="H8" t="str">
            <v>06</v>
          </cell>
          <cell r="I8" t="str">
            <v>07</v>
          </cell>
          <cell r="J8" t="str">
            <v>-</v>
          </cell>
          <cell r="K8" t="str">
            <v>PINTURA ALUMINIO PL PIANO PUX + COR</v>
          </cell>
          <cell r="L8" t="str">
            <v>-</v>
          </cell>
          <cell r="M8" t="str">
            <v>-</v>
          </cell>
          <cell r="N8" t="str">
            <v>-</v>
          </cell>
        </row>
        <row r="9">
          <cell r="A9">
            <v>595705</v>
          </cell>
          <cell r="B9" t="str">
            <v>-</v>
          </cell>
          <cell r="C9" t="str">
            <v>01</v>
          </cell>
          <cell r="D9" t="str">
            <v>02</v>
          </cell>
          <cell r="E9" t="str">
            <v>03</v>
          </cell>
          <cell r="F9" t="str">
            <v>04</v>
          </cell>
          <cell r="G9" t="str">
            <v>05</v>
          </cell>
          <cell r="H9" t="str">
            <v>06</v>
          </cell>
          <cell r="I9" t="str">
            <v>07</v>
          </cell>
          <cell r="J9" t="str">
            <v>-</v>
          </cell>
          <cell r="K9" t="str">
            <v>PINTURA ALUMINIO PL PIANO + COR</v>
          </cell>
          <cell r="L9" t="str">
            <v>-</v>
          </cell>
          <cell r="M9" t="str">
            <v>-</v>
          </cell>
          <cell r="N9" t="str">
            <v>-</v>
          </cell>
        </row>
        <row r="10">
          <cell r="A10">
            <v>595706</v>
          </cell>
          <cell r="B10" t="str">
            <v>-</v>
          </cell>
          <cell r="C10" t="str">
            <v>01</v>
          </cell>
          <cell r="D10" t="str">
            <v>02</v>
          </cell>
          <cell r="E10" t="str">
            <v>03</v>
          </cell>
          <cell r="F10" t="str">
            <v>04</v>
          </cell>
          <cell r="G10" t="str">
            <v>05</v>
          </cell>
          <cell r="H10" t="str">
            <v>06</v>
          </cell>
          <cell r="I10" t="str">
            <v>07</v>
          </cell>
          <cell r="J10" t="str">
            <v>-</v>
          </cell>
          <cell r="K10" t="str">
            <v>PINTURA ALUMINIO PL PIANO CABECEIRA + COR</v>
          </cell>
          <cell r="L10" t="str">
            <v>-</v>
          </cell>
          <cell r="M10" t="str">
            <v>-</v>
          </cell>
          <cell r="N10" t="str">
            <v>-</v>
          </cell>
        </row>
        <row r="12">
          <cell r="A12" t="str">
            <v>PEÇAS PRAT PIANO (595000-595999)</v>
          </cell>
          <cell r="B12"/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/>
          <cell r="N12"/>
        </row>
        <row r="13">
          <cell r="A13">
            <v>595770</v>
          </cell>
          <cell r="B13">
            <v>3299</v>
          </cell>
          <cell r="C13">
            <v>3201</v>
          </cell>
          <cell r="D13">
            <v>3202</v>
          </cell>
          <cell r="E13">
            <v>3203</v>
          </cell>
          <cell r="F13">
            <v>3204</v>
          </cell>
          <cell r="G13">
            <v>3205</v>
          </cell>
          <cell r="H13">
            <v>3206</v>
          </cell>
          <cell r="I13">
            <v>3207</v>
          </cell>
          <cell r="J13">
            <v>3200</v>
          </cell>
          <cell r="K13" t="str">
            <v>CABECEIRA NESE SUP PIANO 750X70X24+COR</v>
          </cell>
          <cell r="L13">
            <v>750</v>
          </cell>
          <cell r="M13">
            <v>70</v>
          </cell>
          <cell r="N13">
            <v>24</v>
          </cell>
        </row>
        <row r="14">
          <cell r="A14">
            <v>595771</v>
          </cell>
          <cell r="B14">
            <v>3299</v>
          </cell>
          <cell r="C14">
            <v>3201</v>
          </cell>
          <cell r="D14">
            <v>3202</v>
          </cell>
          <cell r="E14">
            <v>3203</v>
          </cell>
          <cell r="F14">
            <v>3204</v>
          </cell>
          <cell r="G14">
            <v>3205</v>
          </cell>
          <cell r="H14">
            <v>3206</v>
          </cell>
          <cell r="I14">
            <v>3207</v>
          </cell>
          <cell r="J14">
            <v>3200</v>
          </cell>
          <cell r="K14" t="str">
            <v>CABECEIRA NESE SUP PIANO 850X70X24+COR</v>
          </cell>
          <cell r="L14">
            <v>850</v>
          </cell>
          <cell r="M14">
            <v>70</v>
          </cell>
          <cell r="N14">
            <v>24</v>
          </cell>
        </row>
        <row r="15">
          <cell r="A15">
            <v>595772</v>
          </cell>
          <cell r="B15">
            <v>3299</v>
          </cell>
          <cell r="C15">
            <v>3201</v>
          </cell>
          <cell r="D15">
            <v>3202</v>
          </cell>
          <cell r="E15">
            <v>3203</v>
          </cell>
          <cell r="F15">
            <v>3204</v>
          </cell>
          <cell r="G15">
            <v>3205</v>
          </cell>
          <cell r="H15">
            <v>3206</v>
          </cell>
          <cell r="I15">
            <v>3207</v>
          </cell>
          <cell r="J15">
            <v>3200</v>
          </cell>
          <cell r="K15" t="str">
            <v>CABECEIRA NESE SUP PIANO 950X70X24+COR</v>
          </cell>
          <cell r="L15">
            <v>950</v>
          </cell>
          <cell r="M15">
            <v>70</v>
          </cell>
          <cell r="N15">
            <v>24</v>
          </cell>
        </row>
        <row r="16">
          <cell r="A16">
            <v>595773</v>
          </cell>
          <cell r="B16">
            <v>3299</v>
          </cell>
          <cell r="C16">
            <v>3201</v>
          </cell>
          <cell r="D16">
            <v>3202</v>
          </cell>
          <cell r="E16">
            <v>3203</v>
          </cell>
          <cell r="F16">
            <v>3204</v>
          </cell>
          <cell r="G16">
            <v>3205</v>
          </cell>
          <cell r="H16">
            <v>3206</v>
          </cell>
          <cell r="I16">
            <v>3207</v>
          </cell>
          <cell r="J16">
            <v>3200</v>
          </cell>
          <cell r="K16" t="str">
            <v>CABECEIRA NESE SUP PIANO 1050X70X24+COR</v>
          </cell>
          <cell r="L16">
            <v>1050</v>
          </cell>
          <cell r="M16">
            <v>70</v>
          </cell>
          <cell r="N16">
            <v>24</v>
          </cell>
        </row>
        <row r="17">
          <cell r="A17">
            <v>595774</v>
          </cell>
          <cell r="B17">
            <v>3299</v>
          </cell>
          <cell r="C17">
            <v>3201</v>
          </cell>
          <cell r="D17">
            <v>3202</v>
          </cell>
          <cell r="E17">
            <v>3203</v>
          </cell>
          <cell r="F17">
            <v>3204</v>
          </cell>
          <cell r="G17">
            <v>3205</v>
          </cell>
          <cell r="H17">
            <v>3206</v>
          </cell>
          <cell r="I17">
            <v>3207</v>
          </cell>
          <cell r="J17">
            <v>3200</v>
          </cell>
          <cell r="K17" t="str">
            <v>CABECEIRA NESE SUP PIANO 1150X70X24+COR</v>
          </cell>
          <cell r="L17">
            <v>1150</v>
          </cell>
          <cell r="M17">
            <v>70</v>
          </cell>
          <cell r="N17">
            <v>24</v>
          </cell>
        </row>
        <row r="19">
          <cell r="A19">
            <v>595775</v>
          </cell>
          <cell r="B19">
            <v>3299</v>
          </cell>
          <cell r="C19">
            <v>3201</v>
          </cell>
          <cell r="D19">
            <v>3202</v>
          </cell>
          <cell r="E19">
            <v>3203</v>
          </cell>
          <cell r="F19">
            <v>3204</v>
          </cell>
          <cell r="G19">
            <v>3205</v>
          </cell>
          <cell r="H19">
            <v>3206</v>
          </cell>
          <cell r="I19">
            <v>3207</v>
          </cell>
          <cell r="J19">
            <v>3200</v>
          </cell>
          <cell r="K19" t="str">
            <v>CABECEIRA NESE INF PIANO C/ REC 750X70X24+COR</v>
          </cell>
          <cell r="L19">
            <v>750</v>
          </cell>
          <cell r="M19">
            <v>70</v>
          </cell>
          <cell r="N19">
            <v>24</v>
          </cell>
        </row>
        <row r="20">
          <cell r="A20">
            <v>595776</v>
          </cell>
          <cell r="B20">
            <v>3299</v>
          </cell>
          <cell r="C20">
            <v>3201</v>
          </cell>
          <cell r="D20">
            <v>3202</v>
          </cell>
          <cell r="E20">
            <v>3203</v>
          </cell>
          <cell r="F20">
            <v>3204</v>
          </cell>
          <cell r="G20">
            <v>3205</v>
          </cell>
          <cell r="H20">
            <v>3206</v>
          </cell>
          <cell r="I20">
            <v>3207</v>
          </cell>
          <cell r="J20">
            <v>3200</v>
          </cell>
          <cell r="K20" t="str">
            <v>CABECEIRA NESE INF PIANO C/ REC 850X70X24+COR</v>
          </cell>
          <cell r="L20">
            <v>850</v>
          </cell>
          <cell r="M20">
            <v>70</v>
          </cell>
          <cell r="N20">
            <v>24</v>
          </cell>
        </row>
        <row r="21">
          <cell r="A21">
            <v>595777</v>
          </cell>
          <cell r="B21">
            <v>3299</v>
          </cell>
          <cell r="C21">
            <v>3201</v>
          </cell>
          <cell r="D21">
            <v>3202</v>
          </cell>
          <cell r="E21">
            <v>3203</v>
          </cell>
          <cell r="F21">
            <v>3204</v>
          </cell>
          <cell r="G21">
            <v>3205</v>
          </cell>
          <cell r="H21">
            <v>3206</v>
          </cell>
          <cell r="I21">
            <v>3207</v>
          </cell>
          <cell r="J21">
            <v>3200</v>
          </cell>
          <cell r="K21" t="str">
            <v>CABECEIRA NESE INF PIANO C/ REC 950X70X24+COR</v>
          </cell>
          <cell r="L21">
            <v>950</v>
          </cell>
          <cell r="M21">
            <v>70</v>
          </cell>
          <cell r="N21">
            <v>24</v>
          </cell>
        </row>
        <row r="22">
          <cell r="A22">
            <v>595778</v>
          </cell>
          <cell r="B22">
            <v>3299</v>
          </cell>
          <cell r="C22">
            <v>3201</v>
          </cell>
          <cell r="D22">
            <v>3202</v>
          </cell>
          <cell r="E22">
            <v>3203</v>
          </cell>
          <cell r="F22">
            <v>3204</v>
          </cell>
          <cell r="G22">
            <v>3205</v>
          </cell>
          <cell r="H22">
            <v>3206</v>
          </cell>
          <cell r="I22">
            <v>3207</v>
          </cell>
          <cell r="J22">
            <v>3200</v>
          </cell>
          <cell r="K22" t="str">
            <v>CABECEIRA NESE INF PIANO C/ REC 1050X70X24+COR</v>
          </cell>
          <cell r="L22">
            <v>1050</v>
          </cell>
          <cell r="M22">
            <v>70</v>
          </cell>
          <cell r="N22">
            <v>24</v>
          </cell>
        </row>
        <row r="23">
          <cell r="A23">
            <v>595779</v>
          </cell>
          <cell r="B23">
            <v>3299</v>
          </cell>
          <cell r="C23">
            <v>3201</v>
          </cell>
          <cell r="D23">
            <v>3202</v>
          </cell>
          <cell r="E23">
            <v>3203</v>
          </cell>
          <cell r="F23">
            <v>3204</v>
          </cell>
          <cell r="G23">
            <v>3205</v>
          </cell>
          <cell r="H23">
            <v>3206</v>
          </cell>
          <cell r="I23">
            <v>3207</v>
          </cell>
          <cell r="J23">
            <v>3200</v>
          </cell>
          <cell r="K23" t="str">
            <v>CABECEIRA NESE INF PIANO C/ REC 1150X70X24+COR</v>
          </cell>
          <cell r="L23">
            <v>1150</v>
          </cell>
          <cell r="M23">
            <v>70</v>
          </cell>
          <cell r="N23">
            <v>24</v>
          </cell>
        </row>
        <row r="25">
          <cell r="A25">
            <v>595780</v>
          </cell>
          <cell r="B25">
            <v>3299</v>
          </cell>
          <cell r="C25">
            <v>3201</v>
          </cell>
          <cell r="D25">
            <v>3202</v>
          </cell>
          <cell r="E25">
            <v>3203</v>
          </cell>
          <cell r="F25">
            <v>3204</v>
          </cell>
          <cell r="G25">
            <v>3205</v>
          </cell>
          <cell r="H25">
            <v>3206</v>
          </cell>
          <cell r="I25">
            <v>3207</v>
          </cell>
          <cell r="J25">
            <v>3200</v>
          </cell>
          <cell r="K25" t="str">
            <v>CABECEIRA PLUS SUP PIANO C/ FURO 750X70X24+COR</v>
          </cell>
          <cell r="L25">
            <v>750</v>
          </cell>
          <cell r="M25">
            <v>70</v>
          </cell>
          <cell r="N25">
            <v>24</v>
          </cell>
        </row>
        <row r="26">
          <cell r="A26">
            <v>595781</v>
          </cell>
          <cell r="B26">
            <v>3299</v>
          </cell>
          <cell r="C26">
            <v>3201</v>
          </cell>
          <cell r="D26">
            <v>3202</v>
          </cell>
          <cell r="E26">
            <v>3203</v>
          </cell>
          <cell r="F26">
            <v>3204</v>
          </cell>
          <cell r="G26">
            <v>3205</v>
          </cell>
          <cell r="H26">
            <v>3206</v>
          </cell>
          <cell r="I26">
            <v>3207</v>
          </cell>
          <cell r="J26">
            <v>3200</v>
          </cell>
          <cell r="K26" t="str">
            <v>CABECEIRA PLUS SUP PIANO C/ FURO 850X70X24+COR</v>
          </cell>
          <cell r="L26">
            <v>850</v>
          </cell>
          <cell r="M26">
            <v>70</v>
          </cell>
          <cell r="N26">
            <v>24</v>
          </cell>
        </row>
        <row r="27">
          <cell r="A27">
            <v>595782</v>
          </cell>
          <cell r="B27">
            <v>3299</v>
          </cell>
          <cell r="C27">
            <v>3201</v>
          </cell>
          <cell r="D27">
            <v>3202</v>
          </cell>
          <cell r="E27">
            <v>3203</v>
          </cell>
          <cell r="F27">
            <v>3204</v>
          </cell>
          <cell r="G27">
            <v>3205</v>
          </cell>
          <cell r="H27">
            <v>3206</v>
          </cell>
          <cell r="I27">
            <v>3207</v>
          </cell>
          <cell r="J27">
            <v>3200</v>
          </cell>
          <cell r="K27" t="str">
            <v>CABECEIRA PLUS SUP PIANO C/ FURO 950X70X24+COR</v>
          </cell>
          <cell r="L27">
            <v>950</v>
          </cell>
          <cell r="M27">
            <v>70</v>
          </cell>
          <cell r="N27">
            <v>24</v>
          </cell>
        </row>
        <row r="28">
          <cell r="A28">
            <v>595783</v>
          </cell>
          <cell r="B28">
            <v>3299</v>
          </cell>
          <cell r="C28">
            <v>3201</v>
          </cell>
          <cell r="D28">
            <v>3202</v>
          </cell>
          <cell r="E28">
            <v>3203</v>
          </cell>
          <cell r="F28">
            <v>3204</v>
          </cell>
          <cell r="G28">
            <v>3205</v>
          </cell>
          <cell r="H28">
            <v>3206</v>
          </cell>
          <cell r="I28">
            <v>3207</v>
          </cell>
          <cell r="J28">
            <v>3200</v>
          </cell>
          <cell r="K28" t="str">
            <v>CABECEIRA PLUS SUP PIANO C/ FURO 1050X70X24+COR</v>
          </cell>
          <cell r="L28">
            <v>1050</v>
          </cell>
          <cell r="M28">
            <v>70</v>
          </cell>
          <cell r="N28">
            <v>24</v>
          </cell>
        </row>
        <row r="29">
          <cell r="A29">
            <v>595784</v>
          </cell>
          <cell r="B29">
            <v>3299</v>
          </cell>
          <cell r="C29">
            <v>3201</v>
          </cell>
          <cell r="D29">
            <v>3202</v>
          </cell>
          <cell r="E29">
            <v>3203</v>
          </cell>
          <cell r="F29">
            <v>3204</v>
          </cell>
          <cell r="G29">
            <v>3205</v>
          </cell>
          <cell r="H29">
            <v>3206</v>
          </cell>
          <cell r="I29">
            <v>3207</v>
          </cell>
          <cell r="J29">
            <v>3200</v>
          </cell>
          <cell r="K29" t="str">
            <v>CABECEIRA PLUS SUP PIANO C/ FURO 1150X70X24+COR</v>
          </cell>
          <cell r="L29">
            <v>1150</v>
          </cell>
          <cell r="M29">
            <v>70</v>
          </cell>
          <cell r="N29">
            <v>24</v>
          </cell>
        </row>
        <row r="31">
          <cell r="A31">
            <v>595785</v>
          </cell>
          <cell r="B31">
            <v>3299</v>
          </cell>
          <cell r="C31">
            <v>3201</v>
          </cell>
          <cell r="D31">
            <v>3202</v>
          </cell>
          <cell r="E31">
            <v>3203</v>
          </cell>
          <cell r="F31">
            <v>3204</v>
          </cell>
          <cell r="G31">
            <v>3205</v>
          </cell>
          <cell r="H31">
            <v>3206</v>
          </cell>
          <cell r="I31">
            <v>3207</v>
          </cell>
          <cell r="J31">
            <v>3200</v>
          </cell>
          <cell r="K31" t="str">
            <v>CABECEIRA PLUS INF PIANO 750X70X24+COR</v>
          </cell>
          <cell r="L31">
            <v>750</v>
          </cell>
          <cell r="M31">
            <v>70</v>
          </cell>
          <cell r="N31">
            <v>24</v>
          </cell>
        </row>
        <row r="32">
          <cell r="A32">
            <v>595786</v>
          </cell>
          <cell r="B32">
            <v>3299</v>
          </cell>
          <cell r="C32">
            <v>3201</v>
          </cell>
          <cell r="D32">
            <v>3202</v>
          </cell>
          <cell r="E32">
            <v>3203</v>
          </cell>
          <cell r="F32">
            <v>3204</v>
          </cell>
          <cell r="G32">
            <v>3205</v>
          </cell>
          <cell r="H32">
            <v>3206</v>
          </cell>
          <cell r="I32">
            <v>3207</v>
          </cell>
          <cell r="J32">
            <v>3200</v>
          </cell>
          <cell r="K32" t="str">
            <v>CABECEIRA PLUS INF PIANO 850X70X24+COR</v>
          </cell>
          <cell r="L32">
            <v>850</v>
          </cell>
          <cell r="M32">
            <v>70</v>
          </cell>
          <cell r="N32">
            <v>24</v>
          </cell>
        </row>
        <row r="33">
          <cell r="A33">
            <v>595787</v>
          </cell>
          <cell r="B33">
            <v>3299</v>
          </cell>
          <cell r="C33">
            <v>3201</v>
          </cell>
          <cell r="D33">
            <v>3202</v>
          </cell>
          <cell r="E33">
            <v>3203</v>
          </cell>
          <cell r="F33">
            <v>3204</v>
          </cell>
          <cell r="G33">
            <v>3205</v>
          </cell>
          <cell r="H33">
            <v>3206</v>
          </cell>
          <cell r="I33">
            <v>3207</v>
          </cell>
          <cell r="J33">
            <v>3200</v>
          </cell>
          <cell r="K33" t="str">
            <v>CABECEIRA PLUS INF PIANO 950X70X24+COR</v>
          </cell>
          <cell r="L33">
            <v>950</v>
          </cell>
          <cell r="M33">
            <v>70</v>
          </cell>
          <cell r="N33">
            <v>24</v>
          </cell>
        </row>
        <row r="34">
          <cell r="A34">
            <v>595788</v>
          </cell>
          <cell r="B34">
            <v>3299</v>
          </cell>
          <cell r="C34">
            <v>3201</v>
          </cell>
          <cell r="D34">
            <v>3202</v>
          </cell>
          <cell r="E34">
            <v>3203</v>
          </cell>
          <cell r="F34">
            <v>3204</v>
          </cell>
          <cell r="G34">
            <v>3205</v>
          </cell>
          <cell r="H34">
            <v>3206</v>
          </cell>
          <cell r="I34">
            <v>3207</v>
          </cell>
          <cell r="J34">
            <v>3200</v>
          </cell>
          <cell r="K34" t="str">
            <v>CABECEIRA PLUS INF PIANO 1050X70X24+COR</v>
          </cell>
          <cell r="L34">
            <v>1050</v>
          </cell>
          <cell r="M34">
            <v>70</v>
          </cell>
          <cell r="N34">
            <v>24</v>
          </cell>
        </row>
        <row r="35">
          <cell r="A35">
            <v>595789</v>
          </cell>
          <cell r="B35">
            <v>3299</v>
          </cell>
          <cell r="C35">
            <v>3201</v>
          </cell>
          <cell r="D35">
            <v>3202</v>
          </cell>
          <cell r="E35">
            <v>3203</v>
          </cell>
          <cell r="F35">
            <v>3204</v>
          </cell>
          <cell r="G35">
            <v>3205</v>
          </cell>
          <cell r="H35">
            <v>3206</v>
          </cell>
          <cell r="I35">
            <v>3207</v>
          </cell>
          <cell r="J35">
            <v>3200</v>
          </cell>
          <cell r="K35" t="str">
            <v>CABECEIRA PLUS INF PIANO 1150X70X24+COR</v>
          </cell>
          <cell r="L35">
            <v>1150</v>
          </cell>
          <cell r="M35">
            <v>70</v>
          </cell>
          <cell r="N35">
            <v>24</v>
          </cell>
        </row>
        <row r="37">
          <cell r="A37">
            <v>595790</v>
          </cell>
          <cell r="B37">
            <v>3299</v>
          </cell>
          <cell r="C37">
            <v>3201</v>
          </cell>
          <cell r="D37">
            <v>3202</v>
          </cell>
          <cell r="E37">
            <v>3203</v>
          </cell>
          <cell r="F37">
            <v>3204</v>
          </cell>
          <cell r="G37">
            <v>3205</v>
          </cell>
          <cell r="H37">
            <v>3206</v>
          </cell>
          <cell r="I37">
            <v>3207</v>
          </cell>
          <cell r="J37">
            <v>3200</v>
          </cell>
          <cell r="K37" t="str">
            <v>TRAVESSA PIANO 750X25X23,3+COR</v>
          </cell>
          <cell r="L37">
            <v>750</v>
          </cell>
          <cell r="M37">
            <v>25</v>
          </cell>
          <cell r="N37">
            <v>23.3</v>
          </cell>
        </row>
        <row r="38">
          <cell r="A38">
            <v>595791</v>
          </cell>
          <cell r="B38">
            <v>3299</v>
          </cell>
          <cell r="C38">
            <v>3201</v>
          </cell>
          <cell r="D38">
            <v>3202</v>
          </cell>
          <cell r="E38">
            <v>3203</v>
          </cell>
          <cell r="F38">
            <v>3204</v>
          </cell>
          <cell r="G38">
            <v>3205</v>
          </cell>
          <cell r="H38">
            <v>3206</v>
          </cell>
          <cell r="I38">
            <v>3207</v>
          </cell>
          <cell r="J38">
            <v>3200</v>
          </cell>
          <cell r="K38" t="str">
            <v>TRAVESSA PIANO 850X25X23,3+COR</v>
          </cell>
          <cell r="L38">
            <v>850</v>
          </cell>
          <cell r="M38">
            <v>25</v>
          </cell>
          <cell r="N38">
            <v>23.3</v>
          </cell>
        </row>
        <row r="39">
          <cell r="A39">
            <v>595792</v>
          </cell>
          <cell r="B39">
            <v>3299</v>
          </cell>
          <cell r="C39">
            <v>3201</v>
          </cell>
          <cell r="D39">
            <v>3202</v>
          </cell>
          <cell r="E39">
            <v>3203</v>
          </cell>
          <cell r="F39">
            <v>3204</v>
          </cell>
          <cell r="G39">
            <v>3205</v>
          </cell>
          <cell r="H39">
            <v>3206</v>
          </cell>
          <cell r="I39">
            <v>3207</v>
          </cell>
          <cell r="J39">
            <v>3200</v>
          </cell>
          <cell r="K39" t="str">
            <v>TRAVESSA PIANO 950X25X23,3+COR</v>
          </cell>
          <cell r="L39">
            <v>950</v>
          </cell>
          <cell r="M39">
            <v>25</v>
          </cell>
          <cell r="N39">
            <v>23.3</v>
          </cell>
        </row>
        <row r="40">
          <cell r="A40">
            <v>595793</v>
          </cell>
          <cell r="B40">
            <v>3299</v>
          </cell>
          <cell r="C40">
            <v>3201</v>
          </cell>
          <cell r="D40">
            <v>3202</v>
          </cell>
          <cell r="E40">
            <v>3203</v>
          </cell>
          <cell r="F40">
            <v>3204</v>
          </cell>
          <cell r="G40">
            <v>3205</v>
          </cell>
          <cell r="H40">
            <v>3206</v>
          </cell>
          <cell r="I40">
            <v>3207</v>
          </cell>
          <cell r="J40">
            <v>3200</v>
          </cell>
          <cell r="K40" t="str">
            <v>TRAVESSA PIANO 1050X25X23,3+COR</v>
          </cell>
          <cell r="L40">
            <v>1050</v>
          </cell>
          <cell r="M40">
            <v>25</v>
          </cell>
          <cell r="N40">
            <v>23.3</v>
          </cell>
        </row>
        <row r="41">
          <cell r="A41">
            <v>595794</v>
          </cell>
          <cell r="B41">
            <v>3299</v>
          </cell>
          <cell r="C41">
            <v>3201</v>
          </cell>
          <cell r="D41">
            <v>3202</v>
          </cell>
          <cell r="E41">
            <v>3203</v>
          </cell>
          <cell r="F41">
            <v>3204</v>
          </cell>
          <cell r="G41">
            <v>3205</v>
          </cell>
          <cell r="H41">
            <v>3206</v>
          </cell>
          <cell r="I41">
            <v>3207</v>
          </cell>
          <cell r="J41">
            <v>3200</v>
          </cell>
          <cell r="K41" t="str">
            <v>TRAVESSA PIANO 1150X25X23,3+COR</v>
          </cell>
          <cell r="L41">
            <v>1150</v>
          </cell>
          <cell r="M41">
            <v>25</v>
          </cell>
          <cell r="N41">
            <v>23.3</v>
          </cell>
        </row>
        <row r="43">
          <cell r="A43">
            <v>595795</v>
          </cell>
          <cell r="B43">
            <v>3299</v>
          </cell>
          <cell r="C43">
            <v>3201</v>
          </cell>
          <cell r="D43">
            <v>3202</v>
          </cell>
          <cell r="E43">
            <v>3203</v>
          </cell>
          <cell r="F43">
            <v>3204</v>
          </cell>
          <cell r="G43">
            <v>3205</v>
          </cell>
          <cell r="H43">
            <v>3206</v>
          </cell>
          <cell r="I43">
            <v>3207</v>
          </cell>
          <cell r="J43">
            <v>3200</v>
          </cell>
          <cell r="K43" t="str">
            <v>TRAVESSA OCULTA PIANO 750X25X13,3+COR</v>
          </cell>
          <cell r="L43">
            <v>750</v>
          </cell>
          <cell r="M43">
            <v>25</v>
          </cell>
          <cell r="N43">
            <v>13.3</v>
          </cell>
        </row>
        <row r="44">
          <cell r="A44">
            <v>595796</v>
          </cell>
          <cell r="B44">
            <v>3299</v>
          </cell>
          <cell r="C44">
            <v>3201</v>
          </cell>
          <cell r="D44">
            <v>3202</v>
          </cell>
          <cell r="E44">
            <v>3203</v>
          </cell>
          <cell r="F44">
            <v>3204</v>
          </cell>
          <cell r="G44">
            <v>3205</v>
          </cell>
          <cell r="H44">
            <v>3206</v>
          </cell>
          <cell r="I44">
            <v>3207</v>
          </cell>
          <cell r="J44">
            <v>3200</v>
          </cell>
          <cell r="K44" t="str">
            <v>TRAVESSA OCULTA PIANO 850X25X13,3+COR</v>
          </cell>
          <cell r="L44">
            <v>850</v>
          </cell>
          <cell r="M44">
            <v>25</v>
          </cell>
          <cell r="N44">
            <v>13.3</v>
          </cell>
        </row>
        <row r="45">
          <cell r="A45">
            <v>595797</v>
          </cell>
          <cell r="B45">
            <v>3299</v>
          </cell>
          <cell r="C45">
            <v>3201</v>
          </cell>
          <cell r="D45">
            <v>3202</v>
          </cell>
          <cell r="E45">
            <v>3203</v>
          </cell>
          <cell r="F45">
            <v>3204</v>
          </cell>
          <cell r="G45">
            <v>3205</v>
          </cell>
          <cell r="H45">
            <v>3206</v>
          </cell>
          <cell r="I45">
            <v>3207</v>
          </cell>
          <cell r="J45">
            <v>3200</v>
          </cell>
          <cell r="K45" t="str">
            <v>TRAVESSA OCULTA PIANO 950X25X13,3+COR</v>
          </cell>
          <cell r="L45">
            <v>950</v>
          </cell>
          <cell r="M45">
            <v>25</v>
          </cell>
          <cell r="N45">
            <v>13.3</v>
          </cell>
        </row>
        <row r="46">
          <cell r="A46">
            <v>595798</v>
          </cell>
          <cell r="B46">
            <v>3299</v>
          </cell>
          <cell r="C46">
            <v>3201</v>
          </cell>
          <cell r="D46">
            <v>3202</v>
          </cell>
          <cell r="E46">
            <v>3203</v>
          </cell>
          <cell r="F46">
            <v>3204</v>
          </cell>
          <cell r="G46">
            <v>3205</v>
          </cell>
          <cell r="H46">
            <v>3206</v>
          </cell>
          <cell r="I46">
            <v>3207</v>
          </cell>
          <cell r="J46">
            <v>3200</v>
          </cell>
          <cell r="K46" t="str">
            <v>TRAVESSA OCULTA PIANO 1050X25X13,3+COR</v>
          </cell>
          <cell r="L46">
            <v>1050</v>
          </cell>
          <cell r="M46">
            <v>25</v>
          </cell>
          <cell r="N46">
            <v>13.3</v>
          </cell>
        </row>
        <row r="47">
          <cell r="A47">
            <v>595799</v>
          </cell>
          <cell r="B47">
            <v>3299</v>
          </cell>
          <cell r="C47">
            <v>3201</v>
          </cell>
          <cell r="D47">
            <v>3202</v>
          </cell>
          <cell r="E47">
            <v>3203</v>
          </cell>
          <cell r="F47">
            <v>3204</v>
          </cell>
          <cell r="G47">
            <v>3205</v>
          </cell>
          <cell r="H47">
            <v>3206</v>
          </cell>
          <cell r="I47">
            <v>3207</v>
          </cell>
          <cell r="J47">
            <v>3200</v>
          </cell>
          <cell r="K47" t="str">
            <v>TRAVESSA OCULTA PIANO 1150X25X13,3+COR</v>
          </cell>
          <cell r="L47">
            <v>1150</v>
          </cell>
          <cell r="M47">
            <v>25</v>
          </cell>
          <cell r="N47">
            <v>13.3</v>
          </cell>
        </row>
        <row r="49">
          <cell r="A49">
            <v>595800</v>
          </cell>
          <cell r="B49">
            <v>3299</v>
          </cell>
          <cell r="C49">
            <v>3201</v>
          </cell>
          <cell r="D49">
            <v>3202</v>
          </cell>
          <cell r="E49">
            <v>3203</v>
          </cell>
          <cell r="F49">
            <v>3204</v>
          </cell>
          <cell r="G49">
            <v>3205</v>
          </cell>
          <cell r="H49">
            <v>3206</v>
          </cell>
          <cell r="I49">
            <v>3207</v>
          </cell>
          <cell r="J49">
            <v>3200</v>
          </cell>
          <cell r="K49" t="str">
            <v>LATERAL DIR PIANO C/ PUX 2210X25X44+COR</v>
          </cell>
          <cell r="L49">
            <v>2210</v>
          </cell>
          <cell r="M49">
            <v>25</v>
          </cell>
          <cell r="N49">
            <v>44</v>
          </cell>
        </row>
        <row r="50">
          <cell r="A50">
            <v>595801</v>
          </cell>
          <cell r="B50">
            <v>3299</v>
          </cell>
          <cell r="C50">
            <v>3201</v>
          </cell>
          <cell r="D50">
            <v>3202</v>
          </cell>
          <cell r="E50">
            <v>3203</v>
          </cell>
          <cell r="F50">
            <v>3204</v>
          </cell>
          <cell r="G50">
            <v>3205</v>
          </cell>
          <cell r="H50">
            <v>3206</v>
          </cell>
          <cell r="I50">
            <v>3207</v>
          </cell>
          <cell r="J50">
            <v>3200</v>
          </cell>
          <cell r="K50" t="str">
            <v>LATERAL DIR PIANO C/ PUX 2390X25X44+COR</v>
          </cell>
          <cell r="L50">
            <v>2390</v>
          </cell>
          <cell r="M50">
            <v>25</v>
          </cell>
          <cell r="N50">
            <v>44</v>
          </cell>
        </row>
        <row r="51">
          <cell r="A51">
            <v>595802</v>
          </cell>
          <cell r="B51">
            <v>3299</v>
          </cell>
          <cell r="C51">
            <v>3201</v>
          </cell>
          <cell r="D51">
            <v>3202</v>
          </cell>
          <cell r="E51">
            <v>3203</v>
          </cell>
          <cell r="F51">
            <v>3204</v>
          </cell>
          <cell r="G51">
            <v>3205</v>
          </cell>
          <cell r="H51">
            <v>3206</v>
          </cell>
          <cell r="I51">
            <v>3207</v>
          </cell>
          <cell r="J51">
            <v>3200</v>
          </cell>
          <cell r="K51" t="str">
            <v>LATERAL DIR PIANO C/ PUX 2570X25X44+COR</v>
          </cell>
          <cell r="L51">
            <v>2570</v>
          </cell>
          <cell r="M51">
            <v>25</v>
          </cell>
          <cell r="N51">
            <v>44</v>
          </cell>
        </row>
        <row r="53">
          <cell r="A53">
            <v>595803</v>
          </cell>
          <cell r="B53">
            <v>3299</v>
          </cell>
          <cell r="C53">
            <v>3201</v>
          </cell>
          <cell r="D53">
            <v>3202</v>
          </cell>
          <cell r="E53">
            <v>3203</v>
          </cell>
          <cell r="F53">
            <v>3204</v>
          </cell>
          <cell r="G53">
            <v>3205</v>
          </cell>
          <cell r="H53">
            <v>3206</v>
          </cell>
          <cell r="I53">
            <v>3207</v>
          </cell>
          <cell r="J53">
            <v>3200</v>
          </cell>
          <cell r="K53" t="str">
            <v>LATERAL ESQ PIANO C/ PUX 2210X25X44+COR</v>
          </cell>
          <cell r="L53">
            <v>2210</v>
          </cell>
          <cell r="M53">
            <v>25</v>
          </cell>
          <cell r="N53">
            <v>44</v>
          </cell>
        </row>
        <row r="54">
          <cell r="A54">
            <v>595804</v>
          </cell>
          <cell r="B54">
            <v>3299</v>
          </cell>
          <cell r="C54">
            <v>3201</v>
          </cell>
          <cell r="D54">
            <v>3202</v>
          </cell>
          <cell r="E54">
            <v>3203</v>
          </cell>
          <cell r="F54">
            <v>3204</v>
          </cell>
          <cell r="G54">
            <v>3205</v>
          </cell>
          <cell r="H54">
            <v>3206</v>
          </cell>
          <cell r="I54">
            <v>3207</v>
          </cell>
          <cell r="J54">
            <v>3200</v>
          </cell>
          <cell r="K54" t="str">
            <v>LATERAL ESQ PIANO C/ PUX 2390X25X44+COR</v>
          </cell>
          <cell r="L54">
            <v>2390</v>
          </cell>
          <cell r="M54">
            <v>25</v>
          </cell>
          <cell r="N54">
            <v>44</v>
          </cell>
        </row>
        <row r="55">
          <cell r="A55">
            <v>595805</v>
          </cell>
          <cell r="B55">
            <v>3299</v>
          </cell>
          <cell r="C55">
            <v>3201</v>
          </cell>
          <cell r="D55">
            <v>3202</v>
          </cell>
          <cell r="E55">
            <v>3203</v>
          </cell>
          <cell r="F55">
            <v>3204</v>
          </cell>
          <cell r="G55">
            <v>3205</v>
          </cell>
          <cell r="H55">
            <v>3206</v>
          </cell>
          <cell r="I55">
            <v>3207</v>
          </cell>
          <cell r="J55">
            <v>3200</v>
          </cell>
          <cell r="K55" t="str">
            <v>LATERAL ESQ PIANO C/ PUX 2570X25X44+COR</v>
          </cell>
          <cell r="L55">
            <v>2570</v>
          </cell>
          <cell r="M55">
            <v>25</v>
          </cell>
          <cell r="N55">
            <v>44</v>
          </cell>
        </row>
        <row r="57">
          <cell r="A57">
            <v>595806</v>
          </cell>
          <cell r="B57">
            <v>3299</v>
          </cell>
          <cell r="C57">
            <v>3201</v>
          </cell>
          <cell r="D57">
            <v>3202</v>
          </cell>
          <cell r="E57">
            <v>3203</v>
          </cell>
          <cell r="F57">
            <v>3204</v>
          </cell>
          <cell r="G57">
            <v>3205</v>
          </cell>
          <cell r="H57">
            <v>3206</v>
          </cell>
          <cell r="I57">
            <v>3207</v>
          </cell>
          <cell r="J57">
            <v>3200</v>
          </cell>
          <cell r="K57" t="str">
            <v>LATERAL DIR PIANO 2210X25X24+COR</v>
          </cell>
          <cell r="L57">
            <v>2210</v>
          </cell>
          <cell r="M57">
            <v>25</v>
          </cell>
          <cell r="N57">
            <v>24</v>
          </cell>
        </row>
        <row r="58">
          <cell r="A58">
            <v>595807</v>
          </cell>
          <cell r="B58">
            <v>3299</v>
          </cell>
          <cell r="C58">
            <v>3201</v>
          </cell>
          <cell r="D58">
            <v>3202</v>
          </cell>
          <cell r="E58">
            <v>3203</v>
          </cell>
          <cell r="F58">
            <v>3204</v>
          </cell>
          <cell r="G58">
            <v>3205</v>
          </cell>
          <cell r="H58">
            <v>3206</v>
          </cell>
          <cell r="I58">
            <v>3207</v>
          </cell>
          <cell r="J58">
            <v>3200</v>
          </cell>
          <cell r="K58" t="str">
            <v>LATERAL DIR PIANO 2390X25X24+COR</v>
          </cell>
          <cell r="L58">
            <v>2390</v>
          </cell>
          <cell r="M58">
            <v>25</v>
          </cell>
          <cell r="N58">
            <v>24</v>
          </cell>
        </row>
        <row r="59">
          <cell r="A59">
            <v>595808</v>
          </cell>
          <cell r="B59">
            <v>3299</v>
          </cell>
          <cell r="C59">
            <v>3201</v>
          </cell>
          <cell r="D59">
            <v>3202</v>
          </cell>
          <cell r="E59">
            <v>3203</v>
          </cell>
          <cell r="F59">
            <v>3204</v>
          </cell>
          <cell r="G59">
            <v>3205</v>
          </cell>
          <cell r="H59">
            <v>3206</v>
          </cell>
          <cell r="I59">
            <v>3207</v>
          </cell>
          <cell r="J59">
            <v>3200</v>
          </cell>
          <cell r="K59" t="str">
            <v>LATERAL DIR PIANO 2570X25X24+COR</v>
          </cell>
          <cell r="L59">
            <v>2570</v>
          </cell>
          <cell r="M59">
            <v>25</v>
          </cell>
          <cell r="N59">
            <v>24</v>
          </cell>
        </row>
        <row r="61">
          <cell r="A61">
            <v>595809</v>
          </cell>
          <cell r="B61">
            <v>3299</v>
          </cell>
          <cell r="C61">
            <v>3201</v>
          </cell>
          <cell r="D61">
            <v>3202</v>
          </cell>
          <cell r="E61">
            <v>3203</v>
          </cell>
          <cell r="F61">
            <v>3204</v>
          </cell>
          <cell r="G61">
            <v>3205</v>
          </cell>
          <cell r="H61">
            <v>3206</v>
          </cell>
          <cell r="I61">
            <v>3207</v>
          </cell>
          <cell r="J61">
            <v>3200</v>
          </cell>
          <cell r="K61" t="str">
            <v>LATERAL ESQ PIANO 2210X25X24+COR</v>
          </cell>
          <cell r="L61">
            <v>2210</v>
          </cell>
          <cell r="M61">
            <v>25</v>
          </cell>
          <cell r="N61">
            <v>24</v>
          </cell>
        </row>
        <row r="62">
          <cell r="A62">
            <v>595810</v>
          </cell>
          <cell r="B62">
            <v>3299</v>
          </cell>
          <cell r="C62">
            <v>3201</v>
          </cell>
          <cell r="D62">
            <v>3202</v>
          </cell>
          <cell r="E62">
            <v>3203</v>
          </cell>
          <cell r="F62">
            <v>3204</v>
          </cell>
          <cell r="G62">
            <v>3205</v>
          </cell>
          <cell r="H62">
            <v>3206</v>
          </cell>
          <cell r="I62">
            <v>3207</v>
          </cell>
          <cell r="J62">
            <v>3200</v>
          </cell>
          <cell r="K62" t="str">
            <v>LATERAL ESQ PIANO 2390X25X24+COR</v>
          </cell>
          <cell r="L62">
            <v>2390</v>
          </cell>
          <cell r="M62">
            <v>25</v>
          </cell>
          <cell r="N62">
            <v>24</v>
          </cell>
        </row>
        <row r="63">
          <cell r="A63">
            <v>595811</v>
          </cell>
          <cell r="B63">
            <v>3299</v>
          </cell>
          <cell r="C63">
            <v>3201</v>
          </cell>
          <cell r="D63">
            <v>3202</v>
          </cell>
          <cell r="E63">
            <v>3203</v>
          </cell>
          <cell r="F63">
            <v>3204</v>
          </cell>
          <cell r="G63">
            <v>3205</v>
          </cell>
          <cell r="H63">
            <v>3206</v>
          </cell>
          <cell r="I63">
            <v>3207</v>
          </cell>
          <cell r="J63">
            <v>3200</v>
          </cell>
          <cell r="K63" t="str">
            <v>LATERAL ESQ PIANO 2570X25X24+COR</v>
          </cell>
          <cell r="L63">
            <v>2570</v>
          </cell>
          <cell r="M63">
            <v>25</v>
          </cell>
          <cell r="N63">
            <v>24</v>
          </cell>
        </row>
        <row r="65">
          <cell r="A65">
            <v>595812</v>
          </cell>
          <cell r="B65">
            <v>3299</v>
          </cell>
          <cell r="C65">
            <v>3201</v>
          </cell>
          <cell r="D65">
            <v>3202</v>
          </cell>
          <cell r="E65">
            <v>3203</v>
          </cell>
          <cell r="F65">
            <v>3204</v>
          </cell>
          <cell r="G65">
            <v>3205</v>
          </cell>
          <cell r="H65">
            <v>3206</v>
          </cell>
          <cell r="I65">
            <v>3207</v>
          </cell>
          <cell r="J65">
            <v>3200</v>
          </cell>
          <cell r="K65" t="str">
            <v>LATERAL DIR PIANO C/ PUX 2307X25X44+COR</v>
          </cell>
          <cell r="L65">
            <v>2307</v>
          </cell>
          <cell r="M65">
            <v>25</v>
          </cell>
          <cell r="N65">
            <v>44</v>
          </cell>
        </row>
        <row r="66">
          <cell r="A66">
            <v>595813</v>
          </cell>
          <cell r="B66">
            <v>3299</v>
          </cell>
          <cell r="C66">
            <v>3201</v>
          </cell>
          <cell r="D66">
            <v>3202</v>
          </cell>
          <cell r="E66">
            <v>3203</v>
          </cell>
          <cell r="F66">
            <v>3204</v>
          </cell>
          <cell r="G66">
            <v>3205</v>
          </cell>
          <cell r="H66">
            <v>3206</v>
          </cell>
          <cell r="I66">
            <v>3207</v>
          </cell>
          <cell r="J66">
            <v>3200</v>
          </cell>
          <cell r="K66" t="str">
            <v>LATERAL DIR PIANO C/ PUX 2487X25X44+COR</v>
          </cell>
          <cell r="L66">
            <v>2487</v>
          </cell>
          <cell r="M66">
            <v>25</v>
          </cell>
          <cell r="N66">
            <v>44</v>
          </cell>
        </row>
        <row r="67">
          <cell r="A67">
            <v>595814</v>
          </cell>
          <cell r="B67">
            <v>3299</v>
          </cell>
          <cell r="C67">
            <v>3201</v>
          </cell>
          <cell r="D67">
            <v>3202</v>
          </cell>
          <cell r="E67">
            <v>3203</v>
          </cell>
          <cell r="F67">
            <v>3204</v>
          </cell>
          <cell r="G67">
            <v>3205</v>
          </cell>
          <cell r="H67">
            <v>3206</v>
          </cell>
          <cell r="I67">
            <v>3207</v>
          </cell>
          <cell r="J67">
            <v>3200</v>
          </cell>
          <cell r="K67" t="str">
            <v>LATERAL DIR PIANO C/ PUX 2667X25X44+COR</v>
          </cell>
          <cell r="L67">
            <v>2667</v>
          </cell>
          <cell r="M67">
            <v>25</v>
          </cell>
          <cell r="N67">
            <v>44</v>
          </cell>
        </row>
        <row r="69">
          <cell r="A69">
            <v>595815</v>
          </cell>
          <cell r="B69">
            <v>3299</v>
          </cell>
          <cell r="C69">
            <v>3201</v>
          </cell>
          <cell r="D69">
            <v>3202</v>
          </cell>
          <cell r="E69">
            <v>3203</v>
          </cell>
          <cell r="F69">
            <v>3204</v>
          </cell>
          <cell r="G69">
            <v>3205</v>
          </cell>
          <cell r="H69">
            <v>3206</v>
          </cell>
          <cell r="I69">
            <v>3207</v>
          </cell>
          <cell r="J69">
            <v>3200</v>
          </cell>
          <cell r="K69" t="str">
            <v>LATERAL ESQ PIANO C/ PUX 2307X25X44+COR</v>
          </cell>
          <cell r="L69">
            <v>2307</v>
          </cell>
          <cell r="M69">
            <v>25</v>
          </cell>
          <cell r="N69">
            <v>44</v>
          </cell>
        </row>
        <row r="70">
          <cell r="A70">
            <v>595816</v>
          </cell>
          <cell r="B70">
            <v>3299</v>
          </cell>
          <cell r="C70">
            <v>3201</v>
          </cell>
          <cell r="D70">
            <v>3202</v>
          </cell>
          <cell r="E70">
            <v>3203</v>
          </cell>
          <cell r="F70">
            <v>3204</v>
          </cell>
          <cell r="G70">
            <v>3205</v>
          </cell>
          <cell r="H70">
            <v>3206</v>
          </cell>
          <cell r="I70">
            <v>3207</v>
          </cell>
          <cell r="J70">
            <v>3200</v>
          </cell>
          <cell r="K70" t="str">
            <v>LATERAL ESQ PIANO C/ PUX 2487X25X44+COR</v>
          </cell>
          <cell r="L70">
            <v>2487</v>
          </cell>
          <cell r="M70">
            <v>25</v>
          </cell>
          <cell r="N70">
            <v>44</v>
          </cell>
        </row>
        <row r="71">
          <cell r="A71">
            <v>595817</v>
          </cell>
          <cell r="B71">
            <v>3299</v>
          </cell>
          <cell r="C71">
            <v>3201</v>
          </cell>
          <cell r="D71">
            <v>3202</v>
          </cell>
          <cell r="E71">
            <v>3203</v>
          </cell>
          <cell r="F71">
            <v>3204</v>
          </cell>
          <cell r="G71">
            <v>3205</v>
          </cell>
          <cell r="H71">
            <v>3206</v>
          </cell>
          <cell r="I71">
            <v>3207</v>
          </cell>
          <cell r="J71">
            <v>3200</v>
          </cell>
          <cell r="K71" t="str">
            <v>LATERAL ESQ PIANO C/ PUX 2667X25X44+COR</v>
          </cell>
          <cell r="L71">
            <v>2667</v>
          </cell>
          <cell r="M71">
            <v>25</v>
          </cell>
          <cell r="N71">
            <v>44</v>
          </cell>
        </row>
        <row r="73">
          <cell r="A73">
            <v>595818</v>
          </cell>
          <cell r="B73">
            <v>3299</v>
          </cell>
          <cell r="C73">
            <v>3201</v>
          </cell>
          <cell r="D73">
            <v>3202</v>
          </cell>
          <cell r="E73">
            <v>3203</v>
          </cell>
          <cell r="F73">
            <v>3204</v>
          </cell>
          <cell r="G73">
            <v>3205</v>
          </cell>
          <cell r="H73">
            <v>3206</v>
          </cell>
          <cell r="I73">
            <v>3207</v>
          </cell>
          <cell r="J73">
            <v>3200</v>
          </cell>
          <cell r="K73" t="str">
            <v>LATERAL DIR PIANO 2307X25X24+COR</v>
          </cell>
          <cell r="L73">
            <v>2307</v>
          </cell>
          <cell r="M73">
            <v>25</v>
          </cell>
          <cell r="N73">
            <v>24</v>
          </cell>
        </row>
        <row r="74">
          <cell r="A74">
            <v>595819</v>
          </cell>
          <cell r="B74">
            <v>3299</v>
          </cell>
          <cell r="C74">
            <v>3201</v>
          </cell>
          <cell r="D74">
            <v>3202</v>
          </cell>
          <cell r="E74">
            <v>3203</v>
          </cell>
          <cell r="F74">
            <v>3204</v>
          </cell>
          <cell r="G74">
            <v>3205</v>
          </cell>
          <cell r="H74">
            <v>3206</v>
          </cell>
          <cell r="I74">
            <v>3207</v>
          </cell>
          <cell r="J74">
            <v>3200</v>
          </cell>
          <cell r="K74" t="str">
            <v>LATERAL DIR PIANO 2487X25X24+COR</v>
          </cell>
          <cell r="L74">
            <v>2487</v>
          </cell>
          <cell r="M74">
            <v>25</v>
          </cell>
          <cell r="N74">
            <v>24</v>
          </cell>
        </row>
        <row r="75">
          <cell r="A75">
            <v>595820</v>
          </cell>
          <cell r="B75">
            <v>3299</v>
          </cell>
          <cell r="C75">
            <v>3201</v>
          </cell>
          <cell r="D75">
            <v>3202</v>
          </cell>
          <cell r="E75">
            <v>3203</v>
          </cell>
          <cell r="F75">
            <v>3204</v>
          </cell>
          <cell r="G75">
            <v>3205</v>
          </cell>
          <cell r="H75">
            <v>3206</v>
          </cell>
          <cell r="I75">
            <v>3207</v>
          </cell>
          <cell r="J75">
            <v>3200</v>
          </cell>
          <cell r="K75" t="str">
            <v>LATERAL DIR PIANO 2667X25X24+COR</v>
          </cell>
          <cell r="L75">
            <v>2667</v>
          </cell>
          <cell r="M75">
            <v>25</v>
          </cell>
          <cell r="N75">
            <v>24</v>
          </cell>
        </row>
        <row r="77">
          <cell r="A77">
            <v>595821</v>
          </cell>
          <cell r="B77">
            <v>3299</v>
          </cell>
          <cell r="C77">
            <v>3201</v>
          </cell>
          <cell r="D77">
            <v>3202</v>
          </cell>
          <cell r="E77">
            <v>3203</v>
          </cell>
          <cell r="F77">
            <v>3204</v>
          </cell>
          <cell r="G77">
            <v>3205</v>
          </cell>
          <cell r="H77">
            <v>3206</v>
          </cell>
          <cell r="I77">
            <v>3207</v>
          </cell>
          <cell r="J77">
            <v>3200</v>
          </cell>
          <cell r="K77" t="str">
            <v>LATERAL ESQ PIANO 2307X25X24+COR</v>
          </cell>
          <cell r="L77">
            <v>2307</v>
          </cell>
          <cell r="M77">
            <v>25</v>
          </cell>
          <cell r="N77">
            <v>24</v>
          </cell>
        </row>
        <row r="78">
          <cell r="A78">
            <v>595822</v>
          </cell>
          <cell r="B78">
            <v>3299</v>
          </cell>
          <cell r="C78">
            <v>3201</v>
          </cell>
          <cell r="D78">
            <v>3202</v>
          </cell>
          <cell r="E78">
            <v>3203</v>
          </cell>
          <cell r="F78">
            <v>3204</v>
          </cell>
          <cell r="G78">
            <v>3205</v>
          </cell>
          <cell r="H78">
            <v>3206</v>
          </cell>
          <cell r="I78">
            <v>3207</v>
          </cell>
          <cell r="J78">
            <v>3200</v>
          </cell>
          <cell r="K78" t="str">
            <v>LATERAL ESQ PIANO 2487X25X24+COR</v>
          </cell>
          <cell r="L78">
            <v>2487</v>
          </cell>
          <cell r="M78">
            <v>25</v>
          </cell>
          <cell r="N78">
            <v>24</v>
          </cell>
        </row>
        <row r="79">
          <cell r="A79">
            <v>595823</v>
          </cell>
          <cell r="B79">
            <v>3299</v>
          </cell>
          <cell r="C79">
            <v>3201</v>
          </cell>
          <cell r="D79">
            <v>3202</v>
          </cell>
          <cell r="E79">
            <v>3203</v>
          </cell>
          <cell r="F79">
            <v>3204</v>
          </cell>
          <cell r="G79">
            <v>3205</v>
          </cell>
          <cell r="H79">
            <v>3206</v>
          </cell>
          <cell r="I79">
            <v>3207</v>
          </cell>
          <cell r="J79">
            <v>3200</v>
          </cell>
          <cell r="K79" t="str">
            <v>LATERAL ESQ PIANO 2667X25X24+COR</v>
          </cell>
          <cell r="L79">
            <v>2667</v>
          </cell>
          <cell r="M79">
            <v>25</v>
          </cell>
          <cell r="N79">
            <v>24</v>
          </cell>
        </row>
        <row r="81">
          <cell r="A81">
            <v>595824</v>
          </cell>
          <cell r="B81">
            <v>3299</v>
          </cell>
          <cell r="C81">
            <v>3201</v>
          </cell>
          <cell r="D81">
            <v>3202</v>
          </cell>
          <cell r="E81">
            <v>3203</v>
          </cell>
          <cell r="F81">
            <v>3204</v>
          </cell>
          <cell r="G81">
            <v>3205</v>
          </cell>
          <cell r="H81" t="str">
            <v>-</v>
          </cell>
          <cell r="I81">
            <v>3207</v>
          </cell>
          <cell r="J81">
            <v>3200</v>
          </cell>
          <cell r="K81" t="str">
            <v>LATERAL 1 TRAV DIR PIANO C/ PUX 2210X25X44+COR</v>
          </cell>
          <cell r="L81">
            <v>2210</v>
          </cell>
          <cell r="M81">
            <v>25</v>
          </cell>
          <cell r="N81">
            <v>44</v>
          </cell>
        </row>
        <row r="82">
          <cell r="A82">
            <v>595825</v>
          </cell>
          <cell r="B82">
            <v>3299</v>
          </cell>
          <cell r="C82">
            <v>3201</v>
          </cell>
          <cell r="D82">
            <v>3202</v>
          </cell>
          <cell r="E82">
            <v>3203</v>
          </cell>
          <cell r="F82">
            <v>3204</v>
          </cell>
          <cell r="G82">
            <v>3205</v>
          </cell>
          <cell r="H82" t="str">
            <v>-</v>
          </cell>
          <cell r="I82">
            <v>3207</v>
          </cell>
          <cell r="J82">
            <v>3200</v>
          </cell>
          <cell r="K82" t="str">
            <v>LATERAL 1 TRAV DIR PIANO C/ PUX 2390X25X44+COR</v>
          </cell>
          <cell r="L82">
            <v>2390</v>
          </cell>
          <cell r="M82">
            <v>25</v>
          </cell>
          <cell r="N82">
            <v>44</v>
          </cell>
        </row>
        <row r="83">
          <cell r="A83">
            <v>595826</v>
          </cell>
          <cell r="B83">
            <v>3299</v>
          </cell>
          <cell r="C83">
            <v>3201</v>
          </cell>
          <cell r="D83">
            <v>3202</v>
          </cell>
          <cell r="E83">
            <v>3203</v>
          </cell>
          <cell r="F83">
            <v>3204</v>
          </cell>
          <cell r="G83">
            <v>3205</v>
          </cell>
          <cell r="H83" t="str">
            <v>-</v>
          </cell>
          <cell r="I83">
            <v>3207</v>
          </cell>
          <cell r="J83">
            <v>3200</v>
          </cell>
          <cell r="K83" t="str">
            <v>LATERAL 1 TRAV DIR PIANO C/ PUX 2570X25X44+COR</v>
          </cell>
          <cell r="L83">
            <v>2570</v>
          </cell>
          <cell r="M83">
            <v>25</v>
          </cell>
          <cell r="N83">
            <v>44</v>
          </cell>
        </row>
        <row r="85">
          <cell r="A85">
            <v>595827</v>
          </cell>
          <cell r="B85">
            <v>3299</v>
          </cell>
          <cell r="C85">
            <v>3201</v>
          </cell>
          <cell r="D85">
            <v>3202</v>
          </cell>
          <cell r="E85">
            <v>3203</v>
          </cell>
          <cell r="F85">
            <v>3204</v>
          </cell>
          <cell r="G85">
            <v>3205</v>
          </cell>
          <cell r="H85" t="str">
            <v>-</v>
          </cell>
          <cell r="I85">
            <v>3207</v>
          </cell>
          <cell r="J85">
            <v>3200</v>
          </cell>
          <cell r="K85" t="str">
            <v>LATERAL 1 TRAV ESQ PIANO C/ PUX 2210X25X44+COR</v>
          </cell>
          <cell r="L85">
            <v>2210</v>
          </cell>
          <cell r="M85">
            <v>25</v>
          </cell>
          <cell r="N85">
            <v>44</v>
          </cell>
        </row>
        <row r="86">
          <cell r="A86">
            <v>595828</v>
          </cell>
          <cell r="B86">
            <v>3299</v>
          </cell>
          <cell r="C86">
            <v>3201</v>
          </cell>
          <cell r="D86">
            <v>3202</v>
          </cell>
          <cell r="E86">
            <v>3203</v>
          </cell>
          <cell r="F86">
            <v>3204</v>
          </cell>
          <cell r="G86">
            <v>3205</v>
          </cell>
          <cell r="H86" t="str">
            <v>-</v>
          </cell>
          <cell r="I86">
            <v>3207</v>
          </cell>
          <cell r="J86">
            <v>3200</v>
          </cell>
          <cell r="K86" t="str">
            <v>LATERAL 1 TRAV ESQ PIANO C/ PUX 2390X25X44+COR</v>
          </cell>
          <cell r="L86">
            <v>2390</v>
          </cell>
          <cell r="M86">
            <v>25</v>
          </cell>
          <cell r="N86">
            <v>44</v>
          </cell>
        </row>
        <row r="87">
          <cell r="A87">
            <v>595829</v>
          </cell>
          <cell r="B87">
            <v>3299</v>
          </cell>
          <cell r="C87">
            <v>3201</v>
          </cell>
          <cell r="D87">
            <v>3202</v>
          </cell>
          <cell r="E87">
            <v>3203</v>
          </cell>
          <cell r="F87">
            <v>3204</v>
          </cell>
          <cell r="G87">
            <v>3205</v>
          </cell>
          <cell r="H87" t="str">
            <v>-</v>
          </cell>
          <cell r="I87">
            <v>3207</v>
          </cell>
          <cell r="J87">
            <v>3200</v>
          </cell>
          <cell r="K87" t="str">
            <v>LATERAL 1 TRAV ESQ PIANO C/ PUX 2570X25X44+COR</v>
          </cell>
          <cell r="L87">
            <v>2570</v>
          </cell>
          <cell r="M87">
            <v>25</v>
          </cell>
          <cell r="N87">
            <v>44</v>
          </cell>
        </row>
        <row r="89">
          <cell r="A89">
            <v>595830</v>
          </cell>
          <cell r="B89">
            <v>3299</v>
          </cell>
          <cell r="C89">
            <v>3201</v>
          </cell>
          <cell r="D89">
            <v>3202</v>
          </cell>
          <cell r="E89">
            <v>3203</v>
          </cell>
          <cell r="F89">
            <v>3204</v>
          </cell>
          <cell r="G89">
            <v>3205</v>
          </cell>
          <cell r="H89" t="str">
            <v>-</v>
          </cell>
          <cell r="I89">
            <v>3207</v>
          </cell>
          <cell r="J89">
            <v>3200</v>
          </cell>
          <cell r="K89" t="str">
            <v>LATERAL 1 TRAV DIR PIANO 2210X25X24+COR</v>
          </cell>
          <cell r="L89">
            <v>2210</v>
          </cell>
          <cell r="M89">
            <v>25</v>
          </cell>
          <cell r="N89">
            <v>24</v>
          </cell>
        </row>
        <row r="90">
          <cell r="A90">
            <v>595831</v>
          </cell>
          <cell r="B90">
            <v>3299</v>
          </cell>
          <cell r="C90">
            <v>3201</v>
          </cell>
          <cell r="D90">
            <v>3202</v>
          </cell>
          <cell r="E90">
            <v>3203</v>
          </cell>
          <cell r="F90">
            <v>3204</v>
          </cell>
          <cell r="G90">
            <v>3205</v>
          </cell>
          <cell r="H90" t="str">
            <v>-</v>
          </cell>
          <cell r="I90">
            <v>3207</v>
          </cell>
          <cell r="J90">
            <v>3200</v>
          </cell>
          <cell r="K90" t="str">
            <v>LATERAL 1 TRAV DIR PIANO 2390X25X24+COR</v>
          </cell>
          <cell r="L90">
            <v>2390</v>
          </cell>
          <cell r="M90">
            <v>25</v>
          </cell>
          <cell r="N90">
            <v>24</v>
          </cell>
        </row>
        <row r="91">
          <cell r="A91">
            <v>595832</v>
          </cell>
          <cell r="B91">
            <v>3299</v>
          </cell>
          <cell r="C91">
            <v>3201</v>
          </cell>
          <cell r="D91">
            <v>3202</v>
          </cell>
          <cell r="E91">
            <v>3203</v>
          </cell>
          <cell r="F91">
            <v>3204</v>
          </cell>
          <cell r="G91">
            <v>3205</v>
          </cell>
          <cell r="H91" t="str">
            <v>-</v>
          </cell>
          <cell r="I91">
            <v>3207</v>
          </cell>
          <cell r="J91">
            <v>3200</v>
          </cell>
          <cell r="K91" t="str">
            <v>LATERAL 1 TRAV DIR PIANO 2570X25X24+COR</v>
          </cell>
          <cell r="L91">
            <v>2570</v>
          </cell>
          <cell r="M91">
            <v>25</v>
          </cell>
          <cell r="N91">
            <v>24</v>
          </cell>
        </row>
        <row r="93">
          <cell r="A93">
            <v>595833</v>
          </cell>
          <cell r="B93">
            <v>3299</v>
          </cell>
          <cell r="C93">
            <v>3201</v>
          </cell>
          <cell r="D93">
            <v>3202</v>
          </cell>
          <cell r="E93">
            <v>3203</v>
          </cell>
          <cell r="F93">
            <v>3204</v>
          </cell>
          <cell r="G93">
            <v>3205</v>
          </cell>
          <cell r="H93" t="str">
            <v>-</v>
          </cell>
          <cell r="I93">
            <v>3207</v>
          </cell>
          <cell r="J93">
            <v>3200</v>
          </cell>
          <cell r="K93" t="str">
            <v>LATERAL 1 TRAV ESQ PIANO 2210X25X24+COR</v>
          </cell>
          <cell r="L93">
            <v>2210</v>
          </cell>
          <cell r="M93">
            <v>25</v>
          </cell>
          <cell r="N93">
            <v>24</v>
          </cell>
        </row>
        <row r="94">
          <cell r="A94">
            <v>595834</v>
          </cell>
          <cell r="B94">
            <v>3299</v>
          </cell>
          <cell r="C94">
            <v>3201</v>
          </cell>
          <cell r="D94">
            <v>3202</v>
          </cell>
          <cell r="E94">
            <v>3203</v>
          </cell>
          <cell r="F94">
            <v>3204</v>
          </cell>
          <cell r="G94">
            <v>3205</v>
          </cell>
          <cell r="H94" t="str">
            <v>-</v>
          </cell>
          <cell r="I94">
            <v>3207</v>
          </cell>
          <cell r="J94">
            <v>3200</v>
          </cell>
          <cell r="K94" t="str">
            <v>LATERAL 1 TRAV ESQ PIANO 2390X25X24+COR</v>
          </cell>
          <cell r="L94">
            <v>2390</v>
          </cell>
          <cell r="M94">
            <v>25</v>
          </cell>
          <cell r="N94">
            <v>24</v>
          </cell>
        </row>
        <row r="95">
          <cell r="A95">
            <v>595835</v>
          </cell>
          <cell r="B95">
            <v>3299</v>
          </cell>
          <cell r="C95">
            <v>3201</v>
          </cell>
          <cell r="D95">
            <v>3202</v>
          </cell>
          <cell r="E95">
            <v>3203</v>
          </cell>
          <cell r="F95">
            <v>3204</v>
          </cell>
          <cell r="G95">
            <v>3205</v>
          </cell>
          <cell r="H95" t="str">
            <v>-</v>
          </cell>
          <cell r="I95">
            <v>3207</v>
          </cell>
          <cell r="J95">
            <v>3200</v>
          </cell>
          <cell r="K95" t="str">
            <v>LATERAL 1 TRAV ESQ PIANO 2570X25X24+COR</v>
          </cell>
          <cell r="L95">
            <v>2570</v>
          </cell>
          <cell r="M95">
            <v>25</v>
          </cell>
          <cell r="N95">
            <v>24</v>
          </cell>
        </row>
        <row r="97">
          <cell r="A97">
            <v>595836</v>
          </cell>
          <cell r="B97">
            <v>3299</v>
          </cell>
          <cell r="C97">
            <v>3201</v>
          </cell>
          <cell r="D97">
            <v>3202</v>
          </cell>
          <cell r="E97">
            <v>3203</v>
          </cell>
          <cell r="F97">
            <v>3204</v>
          </cell>
          <cell r="G97">
            <v>3205</v>
          </cell>
          <cell r="H97" t="str">
            <v>-</v>
          </cell>
          <cell r="I97">
            <v>3207</v>
          </cell>
          <cell r="J97">
            <v>3200</v>
          </cell>
          <cell r="K97" t="str">
            <v>LATERAL 1 TRAV DIR PIANO C/ PUX 2307X25X44+COR</v>
          </cell>
          <cell r="L97">
            <v>2307</v>
          </cell>
          <cell r="M97">
            <v>25</v>
          </cell>
          <cell r="N97">
            <v>44</v>
          </cell>
        </row>
        <row r="98">
          <cell r="A98">
            <v>595837</v>
          </cell>
          <cell r="B98">
            <v>3299</v>
          </cell>
          <cell r="C98">
            <v>3201</v>
          </cell>
          <cell r="D98">
            <v>3202</v>
          </cell>
          <cell r="E98">
            <v>3203</v>
          </cell>
          <cell r="F98">
            <v>3204</v>
          </cell>
          <cell r="G98">
            <v>3205</v>
          </cell>
          <cell r="H98" t="str">
            <v>-</v>
          </cell>
          <cell r="I98">
            <v>3207</v>
          </cell>
          <cell r="J98">
            <v>3200</v>
          </cell>
          <cell r="K98" t="str">
            <v>LATERAL 1 TRAV DIR PIANO C/ PUX 2487X25X44+COR</v>
          </cell>
          <cell r="L98">
            <v>2487</v>
          </cell>
          <cell r="M98">
            <v>25</v>
          </cell>
          <cell r="N98">
            <v>44</v>
          </cell>
        </row>
        <row r="99">
          <cell r="A99">
            <v>595838</v>
          </cell>
          <cell r="B99">
            <v>3299</v>
          </cell>
          <cell r="C99">
            <v>3201</v>
          </cell>
          <cell r="D99">
            <v>3202</v>
          </cell>
          <cell r="E99">
            <v>3203</v>
          </cell>
          <cell r="F99">
            <v>3204</v>
          </cell>
          <cell r="G99">
            <v>3205</v>
          </cell>
          <cell r="H99" t="str">
            <v>-</v>
          </cell>
          <cell r="I99">
            <v>3207</v>
          </cell>
          <cell r="J99">
            <v>3200</v>
          </cell>
          <cell r="K99" t="str">
            <v>LATERAL 1 TRAV DIR PIANO C/ PUX 2667X25X44+COR</v>
          </cell>
          <cell r="L99">
            <v>2667</v>
          </cell>
          <cell r="M99">
            <v>25</v>
          </cell>
          <cell r="N99">
            <v>44</v>
          </cell>
        </row>
        <row r="101">
          <cell r="A101">
            <v>595839</v>
          </cell>
          <cell r="B101">
            <v>3299</v>
          </cell>
          <cell r="C101">
            <v>3201</v>
          </cell>
          <cell r="D101">
            <v>3202</v>
          </cell>
          <cell r="E101">
            <v>3203</v>
          </cell>
          <cell r="F101">
            <v>3204</v>
          </cell>
          <cell r="G101">
            <v>3205</v>
          </cell>
          <cell r="H101" t="str">
            <v>-</v>
          </cell>
          <cell r="I101">
            <v>3207</v>
          </cell>
          <cell r="J101">
            <v>3200</v>
          </cell>
          <cell r="K101" t="str">
            <v>LATERAL 1 TRAV ESQ PIANO C/ PUX 2307X25X44+COR</v>
          </cell>
          <cell r="L101">
            <v>2307</v>
          </cell>
          <cell r="M101">
            <v>25</v>
          </cell>
          <cell r="N101">
            <v>44</v>
          </cell>
        </row>
        <row r="102">
          <cell r="A102">
            <v>595840</v>
          </cell>
          <cell r="B102">
            <v>3299</v>
          </cell>
          <cell r="C102">
            <v>3201</v>
          </cell>
          <cell r="D102">
            <v>3202</v>
          </cell>
          <cell r="E102">
            <v>3203</v>
          </cell>
          <cell r="F102">
            <v>3204</v>
          </cell>
          <cell r="G102">
            <v>3205</v>
          </cell>
          <cell r="H102" t="str">
            <v>-</v>
          </cell>
          <cell r="I102">
            <v>3207</v>
          </cell>
          <cell r="J102">
            <v>3200</v>
          </cell>
          <cell r="K102" t="str">
            <v>LATERAL 1 TRAV ESQ PIANO C/ PUX 2487X25X44+COR</v>
          </cell>
          <cell r="L102">
            <v>2487</v>
          </cell>
          <cell r="M102">
            <v>25</v>
          </cell>
          <cell r="N102">
            <v>44</v>
          </cell>
        </row>
        <row r="103">
          <cell r="A103">
            <v>595841</v>
          </cell>
          <cell r="B103">
            <v>3299</v>
          </cell>
          <cell r="C103">
            <v>3201</v>
          </cell>
          <cell r="D103">
            <v>3202</v>
          </cell>
          <cell r="E103">
            <v>3203</v>
          </cell>
          <cell r="F103">
            <v>3204</v>
          </cell>
          <cell r="G103">
            <v>3205</v>
          </cell>
          <cell r="H103" t="str">
            <v>-</v>
          </cell>
          <cell r="I103">
            <v>3207</v>
          </cell>
          <cell r="J103">
            <v>3200</v>
          </cell>
          <cell r="K103" t="str">
            <v>LATERAL 1 TRAV ESQ PIANO C/ PUX 2667X25X44+COR</v>
          </cell>
          <cell r="L103">
            <v>2667</v>
          </cell>
          <cell r="M103">
            <v>25</v>
          </cell>
          <cell r="N103">
            <v>44</v>
          </cell>
        </row>
        <row r="105">
          <cell r="A105">
            <v>595842</v>
          </cell>
          <cell r="B105">
            <v>3299</v>
          </cell>
          <cell r="C105">
            <v>3201</v>
          </cell>
          <cell r="D105">
            <v>3202</v>
          </cell>
          <cell r="E105">
            <v>3203</v>
          </cell>
          <cell r="F105">
            <v>3204</v>
          </cell>
          <cell r="G105">
            <v>3205</v>
          </cell>
          <cell r="H105" t="str">
            <v>-</v>
          </cell>
          <cell r="I105">
            <v>3207</v>
          </cell>
          <cell r="J105">
            <v>3200</v>
          </cell>
          <cell r="K105" t="str">
            <v>LATERAL 1 TRAV DIR PIANO 2307X25X24+COR</v>
          </cell>
          <cell r="L105">
            <v>2307</v>
          </cell>
          <cell r="M105">
            <v>25</v>
          </cell>
          <cell r="N105">
            <v>24</v>
          </cell>
        </row>
        <row r="106">
          <cell r="A106">
            <v>595843</v>
          </cell>
          <cell r="B106">
            <v>3299</v>
          </cell>
          <cell r="C106">
            <v>3201</v>
          </cell>
          <cell r="D106">
            <v>3202</v>
          </cell>
          <cell r="E106">
            <v>3203</v>
          </cell>
          <cell r="F106">
            <v>3204</v>
          </cell>
          <cell r="G106">
            <v>3205</v>
          </cell>
          <cell r="H106" t="str">
            <v>-</v>
          </cell>
          <cell r="I106">
            <v>3207</v>
          </cell>
          <cell r="J106">
            <v>3200</v>
          </cell>
          <cell r="K106" t="str">
            <v>LATERAL 1 TRAV DIR PIANO 2487X25X24+COR</v>
          </cell>
          <cell r="L106">
            <v>2487</v>
          </cell>
          <cell r="M106">
            <v>25</v>
          </cell>
          <cell r="N106">
            <v>24</v>
          </cell>
        </row>
        <row r="107">
          <cell r="A107">
            <v>595844</v>
          </cell>
          <cell r="B107">
            <v>3299</v>
          </cell>
          <cell r="C107">
            <v>3201</v>
          </cell>
          <cell r="D107">
            <v>3202</v>
          </cell>
          <cell r="E107">
            <v>3203</v>
          </cell>
          <cell r="F107">
            <v>3204</v>
          </cell>
          <cell r="G107">
            <v>3205</v>
          </cell>
          <cell r="H107" t="str">
            <v>-</v>
          </cell>
          <cell r="I107">
            <v>3207</v>
          </cell>
          <cell r="J107">
            <v>3200</v>
          </cell>
          <cell r="K107" t="str">
            <v>LATERAL 1 TRAV DIR PIANO 2667X25X24+COR</v>
          </cell>
          <cell r="L107">
            <v>2667</v>
          </cell>
          <cell r="M107">
            <v>25</v>
          </cell>
          <cell r="N107">
            <v>24</v>
          </cell>
        </row>
        <row r="109">
          <cell r="A109">
            <v>595845</v>
          </cell>
          <cell r="B109">
            <v>3299</v>
          </cell>
          <cell r="C109">
            <v>3201</v>
          </cell>
          <cell r="D109">
            <v>3202</v>
          </cell>
          <cell r="E109">
            <v>3203</v>
          </cell>
          <cell r="F109">
            <v>3204</v>
          </cell>
          <cell r="G109">
            <v>3205</v>
          </cell>
          <cell r="H109" t="str">
            <v>-</v>
          </cell>
          <cell r="I109">
            <v>3207</v>
          </cell>
          <cell r="J109">
            <v>3200</v>
          </cell>
          <cell r="K109" t="str">
            <v>LATERAL 1 TRAV ESQ PIANO 2307X25X24+COR</v>
          </cell>
          <cell r="L109">
            <v>2307</v>
          </cell>
          <cell r="M109">
            <v>25</v>
          </cell>
          <cell r="N109">
            <v>24</v>
          </cell>
        </row>
        <row r="110">
          <cell r="A110">
            <v>595846</v>
          </cell>
          <cell r="B110">
            <v>3299</v>
          </cell>
          <cell r="C110">
            <v>3201</v>
          </cell>
          <cell r="D110">
            <v>3202</v>
          </cell>
          <cell r="E110">
            <v>3203</v>
          </cell>
          <cell r="F110">
            <v>3204</v>
          </cell>
          <cell r="G110">
            <v>3205</v>
          </cell>
          <cell r="H110" t="str">
            <v>-</v>
          </cell>
          <cell r="I110">
            <v>3207</v>
          </cell>
          <cell r="J110">
            <v>3200</v>
          </cell>
          <cell r="K110" t="str">
            <v>LATERAL 1 TRAV ESQ PIANO 2487X25X24+COR</v>
          </cell>
          <cell r="L110">
            <v>2487</v>
          </cell>
          <cell r="M110">
            <v>25</v>
          </cell>
          <cell r="N110">
            <v>24</v>
          </cell>
        </row>
        <row r="111">
          <cell r="A111">
            <v>595847</v>
          </cell>
          <cell r="B111">
            <v>3299</v>
          </cell>
          <cell r="C111">
            <v>3201</v>
          </cell>
          <cell r="D111">
            <v>3202</v>
          </cell>
          <cell r="E111">
            <v>3203</v>
          </cell>
          <cell r="F111">
            <v>3204</v>
          </cell>
          <cell r="G111">
            <v>3205</v>
          </cell>
          <cell r="H111" t="str">
            <v>-</v>
          </cell>
          <cell r="I111">
            <v>3207</v>
          </cell>
          <cell r="J111">
            <v>3200</v>
          </cell>
          <cell r="K111" t="str">
            <v>LATERAL 1 TRAV ESQ PIANO 2667X25X24+COR</v>
          </cell>
          <cell r="L111">
            <v>2667</v>
          </cell>
          <cell r="M111">
            <v>25</v>
          </cell>
          <cell r="N111">
            <v>24</v>
          </cell>
        </row>
        <row r="113">
          <cell r="A113">
            <v>595848</v>
          </cell>
          <cell r="B113" t="str">
            <v>-</v>
          </cell>
          <cell r="C113" t="str">
            <v>-</v>
          </cell>
          <cell r="D113" t="str">
            <v>-</v>
          </cell>
          <cell r="E113" t="str">
            <v>-</v>
          </cell>
          <cell r="F113" t="str">
            <v>-</v>
          </cell>
          <cell r="G113">
            <v>3205</v>
          </cell>
          <cell r="H113" t="str">
            <v>-</v>
          </cell>
          <cell r="I113" t="str">
            <v>-</v>
          </cell>
          <cell r="J113">
            <v>3200</v>
          </cell>
          <cell r="K113" t="str">
            <v>LATERAL 2 TRAV DIR PIANO C/ PUX 2210X25X44+COR</v>
          </cell>
          <cell r="L113">
            <v>2210</v>
          </cell>
          <cell r="M113">
            <v>25</v>
          </cell>
          <cell r="N113">
            <v>44</v>
          </cell>
        </row>
        <row r="114">
          <cell r="A114">
            <v>595849</v>
          </cell>
          <cell r="B114" t="str">
            <v>-</v>
          </cell>
          <cell r="C114" t="str">
            <v>-</v>
          </cell>
          <cell r="D114" t="str">
            <v>-</v>
          </cell>
          <cell r="E114" t="str">
            <v>-</v>
          </cell>
          <cell r="F114" t="str">
            <v>-</v>
          </cell>
          <cell r="G114">
            <v>3205</v>
          </cell>
          <cell r="H114" t="str">
            <v>-</v>
          </cell>
          <cell r="I114" t="str">
            <v>-</v>
          </cell>
          <cell r="J114">
            <v>3200</v>
          </cell>
          <cell r="K114" t="str">
            <v>LATERAL 2 TRAV DIR PIANO C/ PUX 2390X25X44+COR</v>
          </cell>
          <cell r="L114">
            <v>2390</v>
          </cell>
          <cell r="M114">
            <v>25</v>
          </cell>
          <cell r="N114">
            <v>44</v>
          </cell>
        </row>
        <row r="115">
          <cell r="A115">
            <v>595850</v>
          </cell>
          <cell r="B115" t="str">
            <v>-</v>
          </cell>
          <cell r="C115" t="str">
            <v>-</v>
          </cell>
          <cell r="D115" t="str">
            <v>-</v>
          </cell>
          <cell r="E115" t="str">
            <v>-</v>
          </cell>
          <cell r="F115" t="str">
            <v>-</v>
          </cell>
          <cell r="G115">
            <v>3205</v>
          </cell>
          <cell r="H115" t="str">
            <v>-</v>
          </cell>
          <cell r="I115" t="str">
            <v>-</v>
          </cell>
          <cell r="J115">
            <v>3200</v>
          </cell>
          <cell r="K115" t="str">
            <v>LATERAL 2 TRAV DIR PIANO C/ PUX 2570X25X44+COR</v>
          </cell>
          <cell r="L115">
            <v>2570</v>
          </cell>
          <cell r="M115">
            <v>25</v>
          </cell>
          <cell r="N115">
            <v>44</v>
          </cell>
        </row>
        <row r="117">
          <cell r="A117">
            <v>595851</v>
          </cell>
          <cell r="B117" t="str">
            <v>-</v>
          </cell>
          <cell r="C117" t="str">
            <v>-</v>
          </cell>
          <cell r="D117" t="str">
            <v>-</v>
          </cell>
          <cell r="E117" t="str">
            <v>-</v>
          </cell>
          <cell r="F117" t="str">
            <v>-</v>
          </cell>
          <cell r="G117">
            <v>3205</v>
          </cell>
          <cell r="H117" t="str">
            <v>-</v>
          </cell>
          <cell r="I117" t="str">
            <v>-</v>
          </cell>
          <cell r="J117">
            <v>3200</v>
          </cell>
          <cell r="K117" t="str">
            <v>LATERAL 2 TRAV ESQ PIANO C/ PUX 2210X25X44+COR</v>
          </cell>
          <cell r="L117">
            <v>2210</v>
          </cell>
          <cell r="M117">
            <v>25</v>
          </cell>
          <cell r="N117">
            <v>44</v>
          </cell>
        </row>
        <row r="118">
          <cell r="A118">
            <v>595852</v>
          </cell>
          <cell r="B118" t="str">
            <v>-</v>
          </cell>
          <cell r="C118" t="str">
            <v>-</v>
          </cell>
          <cell r="D118" t="str">
            <v>-</v>
          </cell>
          <cell r="E118" t="str">
            <v>-</v>
          </cell>
          <cell r="F118" t="str">
            <v>-</v>
          </cell>
          <cell r="G118">
            <v>3205</v>
          </cell>
          <cell r="H118" t="str">
            <v>-</v>
          </cell>
          <cell r="I118" t="str">
            <v>-</v>
          </cell>
          <cell r="J118">
            <v>3200</v>
          </cell>
          <cell r="K118" t="str">
            <v>LATERAL 2 TRAV ESQ PIANO C/ PUX 2390X25X44+COR</v>
          </cell>
          <cell r="L118">
            <v>2390</v>
          </cell>
          <cell r="M118">
            <v>25</v>
          </cell>
          <cell r="N118">
            <v>44</v>
          </cell>
        </row>
        <row r="119">
          <cell r="A119">
            <v>595853</v>
          </cell>
          <cell r="B119" t="str">
            <v>-</v>
          </cell>
          <cell r="C119" t="str">
            <v>-</v>
          </cell>
          <cell r="D119" t="str">
            <v>-</v>
          </cell>
          <cell r="E119" t="str">
            <v>-</v>
          </cell>
          <cell r="F119" t="str">
            <v>-</v>
          </cell>
          <cell r="G119">
            <v>3205</v>
          </cell>
          <cell r="H119" t="str">
            <v>-</v>
          </cell>
          <cell r="I119" t="str">
            <v>-</v>
          </cell>
          <cell r="J119">
            <v>3200</v>
          </cell>
          <cell r="K119" t="str">
            <v>LATERAL 2 TRAV ESQ PIANO C/ PUX 2570X25X44+COR</v>
          </cell>
          <cell r="L119">
            <v>2570</v>
          </cell>
          <cell r="M119">
            <v>25</v>
          </cell>
          <cell r="N119">
            <v>44</v>
          </cell>
        </row>
        <row r="121">
          <cell r="A121">
            <v>595854</v>
          </cell>
          <cell r="B121" t="str">
            <v>-</v>
          </cell>
          <cell r="C121" t="str">
            <v>-</v>
          </cell>
          <cell r="D121" t="str">
            <v>-</v>
          </cell>
          <cell r="E121" t="str">
            <v>-</v>
          </cell>
          <cell r="F121" t="str">
            <v>-</v>
          </cell>
          <cell r="G121">
            <v>3205</v>
          </cell>
          <cell r="H121" t="str">
            <v>-</v>
          </cell>
          <cell r="I121" t="str">
            <v>-</v>
          </cell>
          <cell r="J121">
            <v>3200</v>
          </cell>
          <cell r="K121" t="str">
            <v>LATERAL 2 TRAV DIR PIANO 2210X25X24+COR</v>
          </cell>
          <cell r="L121">
            <v>2210</v>
          </cell>
          <cell r="M121">
            <v>25</v>
          </cell>
          <cell r="N121">
            <v>24</v>
          </cell>
        </row>
        <row r="122">
          <cell r="A122">
            <v>595855</v>
          </cell>
          <cell r="B122" t="str">
            <v>-</v>
          </cell>
          <cell r="C122" t="str">
            <v>-</v>
          </cell>
          <cell r="D122" t="str">
            <v>-</v>
          </cell>
          <cell r="E122" t="str">
            <v>-</v>
          </cell>
          <cell r="F122" t="str">
            <v>-</v>
          </cell>
          <cell r="G122">
            <v>3205</v>
          </cell>
          <cell r="H122" t="str">
            <v>-</v>
          </cell>
          <cell r="I122" t="str">
            <v>-</v>
          </cell>
          <cell r="J122">
            <v>3200</v>
          </cell>
          <cell r="K122" t="str">
            <v>LATERAL 2 TRAV DIR PIANO 2390X25X24+COR</v>
          </cell>
          <cell r="L122">
            <v>2390</v>
          </cell>
          <cell r="M122">
            <v>25</v>
          </cell>
          <cell r="N122">
            <v>24</v>
          </cell>
        </row>
        <row r="123">
          <cell r="A123">
            <v>595856</v>
          </cell>
          <cell r="B123" t="str">
            <v>-</v>
          </cell>
          <cell r="C123" t="str">
            <v>-</v>
          </cell>
          <cell r="D123" t="str">
            <v>-</v>
          </cell>
          <cell r="E123" t="str">
            <v>-</v>
          </cell>
          <cell r="F123" t="str">
            <v>-</v>
          </cell>
          <cell r="G123">
            <v>3205</v>
          </cell>
          <cell r="H123" t="str">
            <v>-</v>
          </cell>
          <cell r="I123" t="str">
            <v>-</v>
          </cell>
          <cell r="J123">
            <v>3200</v>
          </cell>
          <cell r="K123" t="str">
            <v>LATERAL 2 TRAV DIR PIANO 2570X25X24+COR</v>
          </cell>
          <cell r="L123">
            <v>2570</v>
          </cell>
          <cell r="M123">
            <v>25</v>
          </cell>
          <cell r="N123">
            <v>24</v>
          </cell>
        </row>
        <row r="125">
          <cell r="A125">
            <v>595857</v>
          </cell>
          <cell r="B125" t="str">
            <v>-</v>
          </cell>
          <cell r="C125" t="str">
            <v>-</v>
          </cell>
          <cell r="D125" t="str">
            <v>-</v>
          </cell>
          <cell r="E125" t="str">
            <v>-</v>
          </cell>
          <cell r="F125" t="str">
            <v>-</v>
          </cell>
          <cell r="G125">
            <v>3205</v>
          </cell>
          <cell r="H125" t="str">
            <v>-</v>
          </cell>
          <cell r="I125" t="str">
            <v>-</v>
          </cell>
          <cell r="J125">
            <v>3200</v>
          </cell>
          <cell r="K125" t="str">
            <v>LATERAL 2 TRAV ESQ PIANO 2210X25X24+COR</v>
          </cell>
          <cell r="L125">
            <v>2210</v>
          </cell>
          <cell r="M125">
            <v>25</v>
          </cell>
          <cell r="N125">
            <v>24</v>
          </cell>
        </row>
        <row r="126">
          <cell r="A126">
            <v>595858</v>
          </cell>
          <cell r="B126" t="str">
            <v>-</v>
          </cell>
          <cell r="C126" t="str">
            <v>-</v>
          </cell>
          <cell r="D126" t="str">
            <v>-</v>
          </cell>
          <cell r="E126" t="str">
            <v>-</v>
          </cell>
          <cell r="F126" t="str">
            <v>-</v>
          </cell>
          <cell r="G126">
            <v>3205</v>
          </cell>
          <cell r="H126" t="str">
            <v>-</v>
          </cell>
          <cell r="I126" t="str">
            <v>-</v>
          </cell>
          <cell r="J126">
            <v>3200</v>
          </cell>
          <cell r="K126" t="str">
            <v>LATERAL 2 TRAV ESQ PIANO 2390X25X24+COR</v>
          </cell>
          <cell r="L126">
            <v>2390</v>
          </cell>
          <cell r="M126">
            <v>25</v>
          </cell>
          <cell r="N126">
            <v>24</v>
          </cell>
        </row>
        <row r="127">
          <cell r="A127">
            <v>595859</v>
          </cell>
          <cell r="B127" t="str">
            <v>-</v>
          </cell>
          <cell r="C127" t="str">
            <v>-</v>
          </cell>
          <cell r="D127" t="str">
            <v>-</v>
          </cell>
          <cell r="E127" t="str">
            <v>-</v>
          </cell>
          <cell r="F127" t="str">
            <v>-</v>
          </cell>
          <cell r="G127">
            <v>3205</v>
          </cell>
          <cell r="H127" t="str">
            <v>-</v>
          </cell>
          <cell r="I127" t="str">
            <v>-</v>
          </cell>
          <cell r="J127">
            <v>3200</v>
          </cell>
          <cell r="K127" t="str">
            <v>LATERAL 2 TRAV ESQ PIANO 2570X25X24+COR</v>
          </cell>
          <cell r="L127">
            <v>2570</v>
          </cell>
          <cell r="M127">
            <v>25</v>
          </cell>
          <cell r="N127">
            <v>24</v>
          </cell>
        </row>
        <row r="129">
          <cell r="A129">
            <v>595860</v>
          </cell>
          <cell r="B129" t="str">
            <v>-</v>
          </cell>
          <cell r="C129" t="str">
            <v>-</v>
          </cell>
          <cell r="D129" t="str">
            <v>-</v>
          </cell>
          <cell r="E129" t="str">
            <v>-</v>
          </cell>
          <cell r="F129" t="str">
            <v>-</v>
          </cell>
          <cell r="G129">
            <v>3205</v>
          </cell>
          <cell r="H129" t="str">
            <v>-</v>
          </cell>
          <cell r="I129" t="str">
            <v>-</v>
          </cell>
          <cell r="J129">
            <v>3200</v>
          </cell>
          <cell r="K129" t="str">
            <v>LATERAL 2 TRAV DIR PIANO C/ PUX 2307X25X44+COR</v>
          </cell>
          <cell r="L129">
            <v>2307</v>
          </cell>
          <cell r="M129">
            <v>25</v>
          </cell>
          <cell r="N129">
            <v>44</v>
          </cell>
        </row>
        <row r="130">
          <cell r="A130">
            <v>595861</v>
          </cell>
          <cell r="B130" t="str">
            <v>-</v>
          </cell>
          <cell r="C130" t="str">
            <v>-</v>
          </cell>
          <cell r="D130" t="str">
            <v>-</v>
          </cell>
          <cell r="E130" t="str">
            <v>-</v>
          </cell>
          <cell r="F130" t="str">
            <v>-</v>
          </cell>
          <cell r="G130">
            <v>3205</v>
          </cell>
          <cell r="H130" t="str">
            <v>-</v>
          </cell>
          <cell r="I130" t="str">
            <v>-</v>
          </cell>
          <cell r="J130">
            <v>3200</v>
          </cell>
          <cell r="K130" t="str">
            <v>LATERAL 2 TRAV DIR PIANO C/ PUX 2487X25X44+COR</v>
          </cell>
          <cell r="L130">
            <v>2487</v>
          </cell>
          <cell r="M130">
            <v>25</v>
          </cell>
          <cell r="N130">
            <v>44</v>
          </cell>
        </row>
        <row r="131">
          <cell r="A131">
            <v>595862</v>
          </cell>
          <cell r="B131" t="str">
            <v>-</v>
          </cell>
          <cell r="C131" t="str">
            <v>-</v>
          </cell>
          <cell r="D131" t="str">
            <v>-</v>
          </cell>
          <cell r="E131" t="str">
            <v>-</v>
          </cell>
          <cell r="F131" t="str">
            <v>-</v>
          </cell>
          <cell r="G131">
            <v>3205</v>
          </cell>
          <cell r="H131" t="str">
            <v>-</v>
          </cell>
          <cell r="I131" t="str">
            <v>-</v>
          </cell>
          <cell r="J131">
            <v>3200</v>
          </cell>
          <cell r="K131" t="str">
            <v>LATERAL 2 TRAV DIR PIANO C/ PUX 2667X25X44+COR</v>
          </cell>
          <cell r="L131">
            <v>2667</v>
          </cell>
          <cell r="M131">
            <v>25</v>
          </cell>
          <cell r="N131">
            <v>44</v>
          </cell>
        </row>
      </sheetData>
      <sheetData sheetId="2" refreshError="1"/>
      <sheetData sheetId="3" refreshError="1"/>
      <sheetData sheetId="4" refreshError="1">
        <row r="4">
          <cell r="A4">
            <v>1022132</v>
          </cell>
          <cell r="B4" t="str">
            <v>PERFIL  ALUMINIO PIANO C/PUX 5,5 M JAT/ ANOD/ NAT/FOSCO</v>
          </cell>
        </row>
        <row r="5">
          <cell r="A5">
            <v>1022133</v>
          </cell>
          <cell r="B5" t="str">
            <v>PERFIL  ALUMINIO PIANO S/PUX 5,5 M JAT/ ANOD/ NAT/FOSCO</v>
          </cell>
        </row>
        <row r="6">
          <cell r="A6">
            <v>1022134</v>
          </cell>
          <cell r="B6" t="str">
            <v>PERFIL  ALUMINIO PIANO CABECEIRA 6M JAT/ ANOD/ NAT/FOSCO</v>
          </cell>
        </row>
        <row r="7">
          <cell r="A7">
            <v>1022135</v>
          </cell>
          <cell r="B7" t="str">
            <v>PERFIL ALUMINIO TRAVESSA PIANO 6M - JAT/ANOD/NAT/FOSCO</v>
          </cell>
        </row>
        <row r="8">
          <cell r="A8">
            <v>1022136</v>
          </cell>
          <cell r="B8" t="str">
            <v>PERFIL  ALUMINIO TRAVESSA OCULTA PIANO  6M JAT/ ANOD/ NAT/FOSCO</v>
          </cell>
        </row>
        <row r="9">
          <cell r="A9">
            <v>1022213</v>
          </cell>
          <cell r="B9" t="str">
            <v>PERFIL INCOLOR 4 ALETAS P/FTE ARCH/PIANO AG206.0015</v>
          </cell>
        </row>
        <row r="10">
          <cell r="A10">
            <v>1022214</v>
          </cell>
          <cell r="B10" t="str">
            <v>PERFIL INCOLOR 4 ALETAS P/TRAVESSA PIANO AG205.0021</v>
          </cell>
        </row>
        <row r="11">
          <cell r="A11">
            <v>1022222</v>
          </cell>
          <cell r="B11" t="str">
            <v>ESQUADRETA P/ TRAVESSA PIANO 2F/M4 (50X21,5X3,65MM)</v>
          </cell>
        </row>
        <row r="12">
          <cell r="A12">
            <v>1022223</v>
          </cell>
          <cell r="B12" t="str">
            <v>ESQUADRETA P/ PL PIANO 6F/M4 (69,5x65,9X3,65MM)</v>
          </cell>
        </row>
      </sheetData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A DESL ALUM VD"/>
      <sheetName val="PTA DESL ALUM BP"/>
      <sheetName val="PTA DESL PINT-LAM-BP"/>
      <sheetName val="PEÇAS"/>
      <sheetName val="VIDROS"/>
      <sheetName val="BP"/>
    </sheetNames>
    <sheetDataSet>
      <sheetData sheetId="0" refreshError="1"/>
      <sheetData sheetId="1" refreshError="1">
        <row r="10">
          <cell r="B10">
            <v>929000</v>
          </cell>
          <cell r="C10">
            <v>570000</v>
          </cell>
          <cell r="D10" t="str">
            <v>PORTA ESP ANTARES 1800X800X45 + COR</v>
          </cell>
          <cell r="E10">
            <v>1800</v>
          </cell>
          <cell r="F10">
            <v>800</v>
          </cell>
        </row>
        <row r="11">
          <cell r="B11">
            <v>929001</v>
          </cell>
          <cell r="C11">
            <v>570001</v>
          </cell>
          <cell r="D11" t="str">
            <v>PORTA ESP ANTARES 1800X900X45 + COR</v>
          </cell>
          <cell r="E11">
            <v>1800</v>
          </cell>
          <cell r="F11">
            <v>900</v>
          </cell>
        </row>
        <row r="12">
          <cell r="B12">
            <v>929002</v>
          </cell>
          <cell r="C12">
            <v>570002</v>
          </cell>
          <cell r="D12" t="str">
            <v>PORTA ESP ANTARES 1800X1000X45 + COR</v>
          </cell>
          <cell r="E12">
            <v>1800</v>
          </cell>
          <cell r="F12">
            <v>1000</v>
          </cell>
        </row>
        <row r="13">
          <cell r="B13">
            <v>929003</v>
          </cell>
          <cell r="C13">
            <v>570003</v>
          </cell>
          <cell r="D13" t="str">
            <v>PORTA ESP ANTARES 1800X1100X45 + COR</v>
          </cell>
          <cell r="E13">
            <v>1800</v>
          </cell>
          <cell r="F13">
            <v>1100</v>
          </cell>
        </row>
        <row r="14">
          <cell r="B14">
            <v>929004</v>
          </cell>
          <cell r="C14">
            <v>570004</v>
          </cell>
          <cell r="D14" t="str">
            <v>PORTA ESP ANTARES 1800X1200X45 + COR</v>
          </cell>
          <cell r="E14">
            <v>1800</v>
          </cell>
          <cell r="F14">
            <v>1200</v>
          </cell>
        </row>
        <row r="15">
          <cell r="B15">
            <v>929005</v>
          </cell>
          <cell r="C15">
            <v>570005</v>
          </cell>
          <cell r="D15" t="str">
            <v>PORTA ESP ANTARES 1800X1300X45 + COR</v>
          </cell>
          <cell r="E15">
            <v>1800</v>
          </cell>
          <cell r="F15">
            <v>1300</v>
          </cell>
        </row>
        <row r="16">
          <cell r="B16">
            <v>929006</v>
          </cell>
          <cell r="C16">
            <v>570006</v>
          </cell>
          <cell r="D16" t="str">
            <v>PORTA ESP ANTARES 1800X1400X45 + COR</v>
          </cell>
          <cell r="E16">
            <v>1800</v>
          </cell>
          <cell r="F16">
            <v>1400</v>
          </cell>
        </row>
        <row r="17">
          <cell r="B17">
            <v>929007</v>
          </cell>
          <cell r="C17">
            <v>570007</v>
          </cell>
          <cell r="D17" t="str">
            <v>PORTA ESP ANTARES 1800X1500X45 + COR</v>
          </cell>
          <cell r="E17">
            <v>1800</v>
          </cell>
          <cell r="F17">
            <v>1500</v>
          </cell>
        </row>
        <row r="19">
          <cell r="B19">
            <v>929010</v>
          </cell>
          <cell r="C19">
            <v>570008</v>
          </cell>
          <cell r="D19" t="str">
            <v>PORTA ESP ANTARES 1900X800X45 + COR</v>
          </cell>
          <cell r="E19">
            <v>1900</v>
          </cell>
          <cell r="F19">
            <v>800</v>
          </cell>
        </row>
        <row r="20">
          <cell r="B20">
            <v>929011</v>
          </cell>
          <cell r="C20">
            <v>570009</v>
          </cell>
          <cell r="D20" t="str">
            <v>PORTA ESP ANTARES 1900X900X45 + COR</v>
          </cell>
          <cell r="E20">
            <v>1900</v>
          </cell>
          <cell r="F20">
            <v>900</v>
          </cell>
        </row>
        <row r="21">
          <cell r="B21">
            <v>929012</v>
          </cell>
          <cell r="C21">
            <v>570010</v>
          </cell>
          <cell r="D21" t="str">
            <v>PORTA ESP ANTARES 1900X1000X45 + COR</v>
          </cell>
          <cell r="E21">
            <v>1900</v>
          </cell>
          <cell r="F21">
            <v>1000</v>
          </cell>
        </row>
        <row r="22">
          <cell r="B22">
            <v>929013</v>
          </cell>
          <cell r="C22">
            <v>570011</v>
          </cell>
          <cell r="D22" t="str">
            <v>PORTA ESP ANTARES 1900X1100X45 + COR</v>
          </cell>
          <cell r="E22">
            <v>1900</v>
          </cell>
          <cell r="F22">
            <v>1100</v>
          </cell>
        </row>
        <row r="23">
          <cell r="B23">
            <v>929014</v>
          </cell>
          <cell r="C23">
            <v>570012</v>
          </cell>
          <cell r="D23" t="str">
            <v>PORTA ESP ANTARES 1900X1200X45 + COR</v>
          </cell>
          <cell r="E23">
            <v>1900</v>
          </cell>
          <cell r="F23">
            <v>1200</v>
          </cell>
        </row>
        <row r="24">
          <cell r="B24">
            <v>929015</v>
          </cell>
          <cell r="C24">
            <v>570013</v>
          </cell>
          <cell r="D24" t="str">
            <v>PORTA ESP ANTARES 1900X1300X45 + COR</v>
          </cell>
          <cell r="E24">
            <v>1900</v>
          </cell>
          <cell r="F24">
            <v>1300</v>
          </cell>
        </row>
        <row r="25">
          <cell r="B25">
            <v>929016</v>
          </cell>
          <cell r="C25">
            <v>570014</v>
          </cell>
          <cell r="D25" t="str">
            <v>PORTA ESP ANTARES 1900X1400X45 + COR</v>
          </cell>
          <cell r="E25">
            <v>1900</v>
          </cell>
          <cell r="F25">
            <v>1400</v>
          </cell>
        </row>
        <row r="26">
          <cell r="B26">
            <v>929017</v>
          </cell>
          <cell r="C26">
            <v>570015</v>
          </cell>
          <cell r="D26" t="str">
            <v>PORTA ESP ANTARES 1900X1500X45 + COR</v>
          </cell>
          <cell r="E26">
            <v>1900</v>
          </cell>
          <cell r="F26">
            <v>1500</v>
          </cell>
        </row>
        <row r="28">
          <cell r="B28">
            <v>929020</v>
          </cell>
          <cell r="C28">
            <v>570016</v>
          </cell>
          <cell r="D28" t="str">
            <v>PORTA ESP ANTARES 2000X800X45 + COR</v>
          </cell>
          <cell r="E28">
            <v>2000</v>
          </cell>
          <cell r="F28">
            <v>800</v>
          </cell>
        </row>
        <row r="29">
          <cell r="B29">
            <v>929021</v>
          </cell>
          <cell r="C29">
            <v>570017</v>
          </cell>
          <cell r="D29" t="str">
            <v>PORTA ESP ANTARES 2000X900X45 + COR</v>
          </cell>
          <cell r="E29">
            <v>2000</v>
          </cell>
          <cell r="F29">
            <v>900</v>
          </cell>
        </row>
        <row r="30">
          <cell r="B30">
            <v>929022</v>
          </cell>
          <cell r="C30">
            <v>570018</v>
          </cell>
          <cell r="D30" t="str">
            <v>PORTA ESP ANTARES 2000X1000X45 + COR</v>
          </cell>
          <cell r="E30">
            <v>2000</v>
          </cell>
          <cell r="F30">
            <v>1000</v>
          </cell>
        </row>
        <row r="31">
          <cell r="B31">
            <v>929023</v>
          </cell>
          <cell r="C31">
            <v>570019</v>
          </cell>
          <cell r="D31" t="str">
            <v>PORTA ESP ANTARES 2000X1100X45 + COR</v>
          </cell>
          <cell r="E31">
            <v>2000</v>
          </cell>
          <cell r="F31">
            <v>1100</v>
          </cell>
        </row>
        <row r="32">
          <cell r="B32">
            <v>929024</v>
          </cell>
          <cell r="C32">
            <v>570020</v>
          </cell>
          <cell r="D32" t="str">
            <v>PORTA ESP ANTARES 2000X1200X45 + COR</v>
          </cell>
          <cell r="E32">
            <v>2000</v>
          </cell>
          <cell r="F32">
            <v>1200</v>
          </cell>
        </row>
        <row r="33">
          <cell r="B33">
            <v>929025</v>
          </cell>
          <cell r="C33">
            <v>570021</v>
          </cell>
          <cell r="D33" t="str">
            <v>PORTA ESP ANTARES 2000X1300X45 + COR</v>
          </cell>
          <cell r="E33">
            <v>2000</v>
          </cell>
          <cell r="F33">
            <v>1300</v>
          </cell>
        </row>
        <row r="34">
          <cell r="B34">
            <v>929026</v>
          </cell>
          <cell r="C34">
            <v>570022</v>
          </cell>
          <cell r="D34" t="str">
            <v>PORTA ESP ANTARES 2000X1400X45 + COR</v>
          </cell>
          <cell r="E34">
            <v>2000</v>
          </cell>
          <cell r="F34">
            <v>1400</v>
          </cell>
        </row>
        <row r="35">
          <cell r="B35">
            <v>929027</v>
          </cell>
          <cell r="C35">
            <v>570023</v>
          </cell>
          <cell r="D35" t="str">
            <v>PORTA ESP ANTARES 2000X1500X45 + COR</v>
          </cell>
          <cell r="E35">
            <v>2000</v>
          </cell>
          <cell r="F35">
            <v>1500</v>
          </cell>
        </row>
        <row r="37">
          <cell r="B37">
            <v>929030</v>
          </cell>
          <cell r="C37">
            <v>570024</v>
          </cell>
          <cell r="D37" t="str">
            <v>PORTA ESP ANTARES 2100X800X45 + COR</v>
          </cell>
          <cell r="E37">
            <v>2100</v>
          </cell>
          <cell r="F37">
            <v>800</v>
          </cell>
        </row>
        <row r="38">
          <cell r="B38">
            <v>929031</v>
          </cell>
          <cell r="C38">
            <v>570025</v>
          </cell>
          <cell r="D38" t="str">
            <v>PORTA ESP ANTARES 2100X900X45 + COR</v>
          </cell>
          <cell r="E38">
            <v>2100</v>
          </cell>
          <cell r="F38">
            <v>900</v>
          </cell>
        </row>
        <row r="39">
          <cell r="B39">
            <v>929032</v>
          </cell>
          <cell r="C39">
            <v>570026</v>
          </cell>
          <cell r="D39" t="str">
            <v>PORTA ESP ANTARES 2100X1000X45 + COR</v>
          </cell>
          <cell r="E39">
            <v>2100</v>
          </cell>
          <cell r="F39">
            <v>1000</v>
          </cell>
        </row>
        <row r="40">
          <cell r="B40">
            <v>929033</v>
          </cell>
          <cell r="C40">
            <v>570027</v>
          </cell>
          <cell r="D40" t="str">
            <v>PORTA ESP ANTARES 2100X1100X45 + COR</v>
          </cell>
          <cell r="E40">
            <v>2100</v>
          </cell>
          <cell r="F40">
            <v>1100</v>
          </cell>
        </row>
        <row r="41">
          <cell r="B41">
            <v>929034</v>
          </cell>
          <cell r="C41">
            <v>570028</v>
          </cell>
          <cell r="D41" t="str">
            <v>PORTA ESP ANTARES 2100X1200X45 + COR</v>
          </cell>
          <cell r="E41">
            <v>2100</v>
          </cell>
          <cell r="F41">
            <v>1200</v>
          </cell>
        </row>
        <row r="42">
          <cell r="B42">
            <v>929035</v>
          </cell>
          <cell r="C42">
            <v>570029</v>
          </cell>
          <cell r="D42" t="str">
            <v>PORTA ESP ANTARES 2100X1300X45 + COR</v>
          </cell>
          <cell r="E42">
            <v>2100</v>
          </cell>
          <cell r="F42">
            <v>1300</v>
          </cell>
        </row>
        <row r="43">
          <cell r="B43">
            <v>929036</v>
          </cell>
          <cell r="C43">
            <v>570030</v>
          </cell>
          <cell r="D43" t="str">
            <v>PORTA ESP ANTARES 2100X1400X45 + COR</v>
          </cell>
          <cell r="E43">
            <v>2100</v>
          </cell>
          <cell r="F43">
            <v>1400</v>
          </cell>
        </row>
        <row r="44">
          <cell r="B44">
            <v>929037</v>
          </cell>
          <cell r="C44">
            <v>570031</v>
          </cell>
          <cell r="D44" t="str">
            <v>PORTA ESP ANTARES 2100X1500X45 + COR</v>
          </cell>
          <cell r="E44">
            <v>2100</v>
          </cell>
          <cell r="F44">
            <v>1500</v>
          </cell>
        </row>
        <row r="46">
          <cell r="B46">
            <v>929040</v>
          </cell>
          <cell r="C46">
            <v>570032</v>
          </cell>
          <cell r="D46" t="str">
            <v>PORTA ESP ANTARES 2200X800X45 + COR</v>
          </cell>
          <cell r="E46">
            <v>2200</v>
          </cell>
          <cell r="F46">
            <v>800</v>
          </cell>
        </row>
        <row r="47">
          <cell r="B47">
            <v>929041</v>
          </cell>
          <cell r="C47">
            <v>570033</v>
          </cell>
          <cell r="D47" t="str">
            <v>PORTA ESP ANTARES 2200X900X45 + COR</v>
          </cell>
          <cell r="E47">
            <v>2200</v>
          </cell>
          <cell r="F47">
            <v>900</v>
          </cell>
        </row>
        <row r="48">
          <cell r="B48">
            <v>929042</v>
          </cell>
          <cell r="C48">
            <v>570034</v>
          </cell>
          <cell r="D48" t="str">
            <v>PORTA ESP ANTARES 2200X1000X45 + COR</v>
          </cell>
          <cell r="E48">
            <v>2200</v>
          </cell>
          <cell r="F48">
            <v>1000</v>
          </cell>
        </row>
        <row r="49">
          <cell r="B49">
            <v>929043</v>
          </cell>
          <cell r="C49">
            <v>570035</v>
          </cell>
          <cell r="D49" t="str">
            <v>PORTA ESP ANTARES 2200X1100X45 + COR</v>
          </cell>
          <cell r="E49">
            <v>2200</v>
          </cell>
          <cell r="F49">
            <v>1100</v>
          </cell>
        </row>
        <row r="50">
          <cell r="B50">
            <v>929044</v>
          </cell>
          <cell r="C50">
            <v>570036</v>
          </cell>
          <cell r="D50" t="str">
            <v>PORTA ESP ANTARES 2200X1200X45 + COR</v>
          </cell>
          <cell r="E50">
            <v>2200</v>
          </cell>
          <cell r="F50">
            <v>1200</v>
          </cell>
        </row>
        <row r="51">
          <cell r="B51">
            <v>929045</v>
          </cell>
          <cell r="C51">
            <v>570037</v>
          </cell>
          <cell r="D51" t="str">
            <v>PORTA ESP ANTARES 2200X1300X45 + COR</v>
          </cell>
          <cell r="E51">
            <v>2200</v>
          </cell>
          <cell r="F51">
            <v>1300</v>
          </cell>
        </row>
        <row r="52">
          <cell r="B52">
            <v>929046</v>
          </cell>
          <cell r="C52">
            <v>570038</v>
          </cell>
          <cell r="D52" t="str">
            <v>PORTA ESP ANTARES 2200X1400X45 + COR</v>
          </cell>
          <cell r="E52">
            <v>2200</v>
          </cell>
          <cell r="F52">
            <v>1400</v>
          </cell>
        </row>
        <row r="53">
          <cell r="B53">
            <v>929047</v>
          </cell>
          <cell r="C53">
            <v>570039</v>
          </cell>
          <cell r="D53" t="str">
            <v>PORTA ESP ANTARES 2200X1500X45 + COR</v>
          </cell>
          <cell r="E53">
            <v>2200</v>
          </cell>
          <cell r="F53">
            <v>1500</v>
          </cell>
        </row>
        <row r="55">
          <cell r="B55">
            <v>929050</v>
          </cell>
          <cell r="C55">
            <v>570040</v>
          </cell>
          <cell r="D55" t="str">
            <v>PORTA ESP ANTARES 2300X800X45 + COR</v>
          </cell>
          <cell r="E55">
            <v>2300</v>
          </cell>
          <cell r="F55">
            <v>800</v>
          </cell>
        </row>
        <row r="56">
          <cell r="B56">
            <v>929051</v>
          </cell>
          <cell r="C56">
            <v>570041</v>
          </cell>
          <cell r="D56" t="str">
            <v>PORTA ESP ANTARES 2300X900X45 + COR</v>
          </cell>
          <cell r="E56">
            <v>2300</v>
          </cell>
          <cell r="F56">
            <v>900</v>
          </cell>
        </row>
        <row r="57">
          <cell r="B57">
            <v>929052</v>
          </cell>
          <cell r="C57">
            <v>570042</v>
          </cell>
          <cell r="D57" t="str">
            <v>PORTA ESP ANTARES 2300X1000X45 + COR</v>
          </cell>
          <cell r="E57">
            <v>2300</v>
          </cell>
          <cell r="F57">
            <v>1000</v>
          </cell>
        </row>
        <row r="58">
          <cell r="B58">
            <v>929053</v>
          </cell>
          <cell r="C58">
            <v>570043</v>
          </cell>
          <cell r="D58" t="str">
            <v>PORTA ESP ANTARES 2300X1100X45 + COR</v>
          </cell>
          <cell r="E58">
            <v>2300</v>
          </cell>
          <cell r="F58">
            <v>1100</v>
          </cell>
        </row>
        <row r="59">
          <cell r="B59">
            <v>929054</v>
          </cell>
          <cell r="C59">
            <v>570044</v>
          </cell>
          <cell r="D59" t="str">
            <v>PORTA ESP ANTARES 2300X1200X45 + COR</v>
          </cell>
          <cell r="E59">
            <v>2300</v>
          </cell>
          <cell r="F59">
            <v>1200</v>
          </cell>
        </row>
        <row r="60">
          <cell r="B60">
            <v>929055</v>
          </cell>
          <cell r="C60">
            <v>570045</v>
          </cell>
          <cell r="D60" t="str">
            <v>PORTA ESP ANTARES 2300X1300X45 + COR</v>
          </cell>
          <cell r="E60">
            <v>2300</v>
          </cell>
          <cell r="F60">
            <v>1300</v>
          </cell>
        </row>
        <row r="61">
          <cell r="B61">
            <v>929056</v>
          </cell>
          <cell r="C61">
            <v>570046</v>
          </cell>
          <cell r="D61" t="str">
            <v>PORTA ESP ANTARES 2300X1400X45 + COR</v>
          </cell>
          <cell r="E61">
            <v>2300</v>
          </cell>
          <cell r="F61">
            <v>1400</v>
          </cell>
        </row>
        <row r="62">
          <cell r="B62">
            <v>929057</v>
          </cell>
          <cell r="C62">
            <v>570047</v>
          </cell>
          <cell r="D62" t="str">
            <v>PORTA ESP ANTARES 2300X1500X45 + COR</v>
          </cell>
          <cell r="E62">
            <v>2300</v>
          </cell>
          <cell r="F62">
            <v>1500</v>
          </cell>
        </row>
        <row r="64">
          <cell r="B64">
            <v>929060</v>
          </cell>
          <cell r="C64">
            <v>570048</v>
          </cell>
          <cell r="D64" t="str">
            <v>PORTA ESP ANTARES 2400X800X45 + COR</v>
          </cell>
          <cell r="E64">
            <v>2400</v>
          </cell>
          <cell r="F64">
            <v>800</v>
          </cell>
        </row>
        <row r="65">
          <cell r="B65">
            <v>929061</v>
          </cell>
          <cell r="C65">
            <v>570049</v>
          </cell>
          <cell r="D65" t="str">
            <v>PORTA ESP ANTARES 2400X900X45 + COR</v>
          </cell>
          <cell r="E65">
            <v>2400</v>
          </cell>
          <cell r="F65">
            <v>900</v>
          </cell>
        </row>
        <row r="66">
          <cell r="B66">
            <v>929062</v>
          </cell>
          <cell r="C66">
            <v>570050</v>
          </cell>
          <cell r="D66" t="str">
            <v>PORTA ESP ANTARES 2400X1000X45 + COR</v>
          </cell>
          <cell r="E66">
            <v>2400</v>
          </cell>
          <cell r="F66">
            <v>1000</v>
          </cell>
        </row>
        <row r="67">
          <cell r="B67">
            <v>929063</v>
          </cell>
          <cell r="C67">
            <v>570051</v>
          </cell>
          <cell r="D67" t="str">
            <v>PORTA ESP ANTARES 2400X1100X45 + COR</v>
          </cell>
          <cell r="E67">
            <v>2400</v>
          </cell>
          <cell r="F67">
            <v>1100</v>
          </cell>
        </row>
        <row r="68">
          <cell r="B68">
            <v>929064</v>
          </cell>
          <cell r="C68">
            <v>570052</v>
          </cell>
          <cell r="D68" t="str">
            <v>PORTA ESP ANTARES 2400X1200X45 + COR</v>
          </cell>
          <cell r="E68">
            <v>2400</v>
          </cell>
          <cell r="F68">
            <v>1200</v>
          </cell>
        </row>
        <row r="69">
          <cell r="B69">
            <v>929065</v>
          </cell>
          <cell r="C69">
            <v>570053</v>
          </cell>
          <cell r="D69" t="str">
            <v>PORTA ESP ANTARES 2400X1300X45 + COR</v>
          </cell>
          <cell r="E69">
            <v>2400</v>
          </cell>
          <cell r="F69">
            <v>1300</v>
          </cell>
        </row>
        <row r="70">
          <cell r="B70">
            <v>929066</v>
          </cell>
          <cell r="C70">
            <v>570054</v>
          </cell>
          <cell r="D70" t="str">
            <v>PORTA ESP ANTARES 2400X1400X45 + COR</v>
          </cell>
          <cell r="E70">
            <v>2400</v>
          </cell>
          <cell r="F70">
            <v>1400</v>
          </cell>
        </row>
        <row r="71">
          <cell r="B71">
            <v>929067</v>
          </cell>
          <cell r="C71">
            <v>570055</v>
          </cell>
          <cell r="D71" t="str">
            <v>PORTA ESP ANTARES 2400X1500X45 + COR</v>
          </cell>
          <cell r="E71">
            <v>2400</v>
          </cell>
          <cell r="F71">
            <v>1500</v>
          </cell>
        </row>
        <row r="73">
          <cell r="B73">
            <v>929070</v>
          </cell>
          <cell r="C73">
            <v>570056</v>
          </cell>
          <cell r="D73" t="str">
            <v>PORTA ESP ANTARES 2500X800X45 + COR</v>
          </cell>
          <cell r="E73">
            <v>2500</v>
          </cell>
          <cell r="F73">
            <v>800</v>
          </cell>
        </row>
        <row r="74">
          <cell r="B74">
            <v>929071</v>
          </cell>
          <cell r="C74">
            <v>570057</v>
          </cell>
          <cell r="D74" t="str">
            <v>PORTA ESP ANTARES 2500X900X45 + COR</v>
          </cell>
          <cell r="E74">
            <v>2500</v>
          </cell>
          <cell r="F74">
            <v>900</v>
          </cell>
        </row>
        <row r="75">
          <cell r="B75">
            <v>929072</v>
          </cell>
          <cell r="C75">
            <v>570058</v>
          </cell>
          <cell r="D75" t="str">
            <v>PORTA ESP ANTARES 2500X1000X45 + COR</v>
          </cell>
          <cell r="E75">
            <v>2500</v>
          </cell>
          <cell r="F75">
            <v>1000</v>
          </cell>
        </row>
        <row r="76">
          <cell r="B76">
            <v>929073</v>
          </cell>
          <cell r="C76">
            <v>570059</v>
          </cell>
          <cell r="D76" t="str">
            <v>PORTA ESP ANTARES 2500X1100X45 + COR</v>
          </cell>
          <cell r="E76">
            <v>2500</v>
          </cell>
          <cell r="F76">
            <v>1100</v>
          </cell>
        </row>
        <row r="77">
          <cell r="B77">
            <v>929074</v>
          </cell>
          <cell r="C77">
            <v>570060</v>
          </cell>
          <cell r="D77" t="str">
            <v>PORTA ESP ANTARES 2500X1200X45 + COR</v>
          </cell>
          <cell r="E77">
            <v>2500</v>
          </cell>
          <cell r="F77">
            <v>1200</v>
          </cell>
        </row>
        <row r="78">
          <cell r="B78">
            <v>929075</v>
          </cell>
          <cell r="C78">
            <v>570061</v>
          </cell>
          <cell r="D78" t="str">
            <v>PORTA ESP ANTARES 2500X1300X45 + COR</v>
          </cell>
          <cell r="E78">
            <v>2500</v>
          </cell>
          <cell r="F78">
            <v>1300</v>
          </cell>
        </row>
        <row r="79">
          <cell r="B79">
            <v>929076</v>
          </cell>
          <cell r="C79">
            <v>570062</v>
          </cell>
          <cell r="D79" t="str">
            <v>PORTA ESP ANTARES 2500X1400X45 + COR</v>
          </cell>
          <cell r="E79">
            <v>2500</v>
          </cell>
          <cell r="F79">
            <v>1400</v>
          </cell>
        </row>
        <row r="80">
          <cell r="B80">
            <v>929077</v>
          </cell>
          <cell r="C80">
            <v>570063</v>
          </cell>
          <cell r="D80" t="str">
            <v>PORTA ESP ANTARES 2500X1500X45 + COR</v>
          </cell>
          <cell r="E80">
            <v>2500</v>
          </cell>
          <cell r="F80">
            <v>1500</v>
          </cell>
        </row>
        <row r="82">
          <cell r="B82">
            <v>929080</v>
          </cell>
          <cell r="C82">
            <v>570064</v>
          </cell>
          <cell r="D82" t="str">
            <v>PORTA ESP ANTARES 2600X800X45 + COR</v>
          </cell>
          <cell r="E82">
            <v>2600</v>
          </cell>
          <cell r="F82">
            <v>800</v>
          </cell>
        </row>
        <row r="83">
          <cell r="B83">
            <v>929081</v>
          </cell>
          <cell r="C83">
            <v>570065</v>
          </cell>
          <cell r="D83" t="str">
            <v>PORTA ESP ANTARES 2600X900X45 + COR</v>
          </cell>
          <cell r="E83">
            <v>2600</v>
          </cell>
          <cell r="F83">
            <v>900</v>
          </cell>
        </row>
        <row r="84">
          <cell r="B84">
            <v>929082</v>
          </cell>
          <cell r="C84">
            <v>570066</v>
          </cell>
          <cell r="D84" t="str">
            <v>PORTA ESP ANTARES 2600X1000X45 + COR</v>
          </cell>
          <cell r="E84">
            <v>2600</v>
          </cell>
          <cell r="F84">
            <v>1000</v>
          </cell>
        </row>
        <row r="85">
          <cell r="B85">
            <v>929083</v>
          </cell>
          <cell r="C85">
            <v>570067</v>
          </cell>
          <cell r="D85" t="str">
            <v>PORTA ESP ANTARES 2600X1100X45 + COR</v>
          </cell>
          <cell r="E85">
            <v>2600</v>
          </cell>
          <cell r="F85">
            <v>1100</v>
          </cell>
        </row>
        <row r="86">
          <cell r="B86">
            <v>929084</v>
          </cell>
          <cell r="C86">
            <v>570068</v>
          </cell>
          <cell r="D86" t="str">
            <v>PORTA ESP ANTARES 2600X1200X45 + COR</v>
          </cell>
          <cell r="E86">
            <v>2600</v>
          </cell>
          <cell r="F86">
            <v>1200</v>
          </cell>
        </row>
        <row r="87">
          <cell r="B87">
            <v>929085</v>
          </cell>
          <cell r="C87">
            <v>570069</v>
          </cell>
          <cell r="D87" t="str">
            <v>PORTA ESP ANTARES 2600X1300X45 + COR</v>
          </cell>
          <cell r="E87">
            <v>2600</v>
          </cell>
          <cell r="F87">
            <v>1300</v>
          </cell>
        </row>
        <row r="88">
          <cell r="B88">
            <v>929086</v>
          </cell>
          <cell r="C88">
            <v>570070</v>
          </cell>
          <cell r="D88" t="str">
            <v>PORTA ESP ANTARES 2600X1400X45 + COR</v>
          </cell>
          <cell r="E88">
            <v>2600</v>
          </cell>
          <cell r="F88">
            <v>1400</v>
          </cell>
        </row>
        <row r="89">
          <cell r="B89">
            <v>929087</v>
          </cell>
          <cell r="C89">
            <v>570071</v>
          </cell>
          <cell r="D89" t="str">
            <v>PORTA ESP ANTARES 2600X1500X45 + COR</v>
          </cell>
          <cell r="E89">
            <v>2600</v>
          </cell>
          <cell r="F89">
            <v>1500</v>
          </cell>
        </row>
        <row r="91">
          <cell r="B91">
            <v>929090</v>
          </cell>
          <cell r="C91">
            <v>570072</v>
          </cell>
          <cell r="D91" t="str">
            <v>PORTA ESP ANTARES 2700X800X45 + COR</v>
          </cell>
          <cell r="E91">
            <v>2700</v>
          </cell>
          <cell r="F91">
            <v>800</v>
          </cell>
        </row>
        <row r="92">
          <cell r="B92">
            <v>929091</v>
          </cell>
          <cell r="C92">
            <v>570073</v>
          </cell>
          <cell r="D92" t="str">
            <v>PORTA ESP ANTARES 2700X900X45 + COR</v>
          </cell>
          <cell r="E92">
            <v>2700</v>
          </cell>
          <cell r="F92">
            <v>900</v>
          </cell>
        </row>
        <row r="93">
          <cell r="B93">
            <v>929092</v>
          </cell>
          <cell r="C93">
            <v>570074</v>
          </cell>
          <cell r="D93" t="str">
            <v>PORTA ESP ANTARES 2700X1000X45 + COR</v>
          </cell>
          <cell r="E93">
            <v>2700</v>
          </cell>
          <cell r="F93">
            <v>1000</v>
          </cell>
        </row>
        <row r="94">
          <cell r="B94">
            <v>929093</v>
          </cell>
          <cell r="C94">
            <v>570075</v>
          </cell>
          <cell r="D94" t="str">
            <v>PORTA ESP ANTARES 2700X1100X45 + COR</v>
          </cell>
          <cell r="E94">
            <v>2700</v>
          </cell>
          <cell r="F94">
            <v>1100</v>
          </cell>
        </row>
        <row r="95">
          <cell r="B95">
            <v>929094</v>
          </cell>
          <cell r="C95">
            <v>570076</v>
          </cell>
          <cell r="D95" t="str">
            <v>PORTA ESP ANTARES 2700X1200X45 + COR</v>
          </cell>
          <cell r="E95">
            <v>2700</v>
          </cell>
          <cell r="F95">
            <v>1200</v>
          </cell>
        </row>
        <row r="96">
          <cell r="B96">
            <v>929095</v>
          </cell>
          <cell r="C96">
            <v>570077</v>
          </cell>
          <cell r="D96" t="str">
            <v>PORTA ESP ANTARES 2700X1300X45 + COR</v>
          </cell>
          <cell r="E96">
            <v>2700</v>
          </cell>
          <cell r="F96">
            <v>1300</v>
          </cell>
        </row>
        <row r="97">
          <cell r="B97">
            <v>929096</v>
          </cell>
          <cell r="C97">
            <v>570078</v>
          </cell>
          <cell r="D97" t="str">
            <v>PORTA ESP ANTARES 2700X1400X45 + COR</v>
          </cell>
          <cell r="E97">
            <v>2700</v>
          </cell>
          <cell r="F97">
            <v>1400</v>
          </cell>
        </row>
        <row r="98">
          <cell r="B98">
            <v>929097</v>
          </cell>
          <cell r="C98">
            <v>570079</v>
          </cell>
          <cell r="D98" t="str">
            <v>PORTA ESP ANTARES 2700X1500X45 + COR</v>
          </cell>
          <cell r="E98">
            <v>2700</v>
          </cell>
          <cell r="F98">
            <v>1500</v>
          </cell>
        </row>
        <row r="100">
          <cell r="B100">
            <v>929100</v>
          </cell>
          <cell r="C100">
            <v>570080</v>
          </cell>
          <cell r="D100" t="str">
            <v>PORTA ESP ANTARES PUX 1800X800X45 + COR</v>
          </cell>
          <cell r="E100">
            <v>1800</v>
          </cell>
          <cell r="F100">
            <v>800</v>
          </cell>
        </row>
        <row r="101">
          <cell r="B101">
            <v>929101</v>
          </cell>
          <cell r="C101">
            <v>570081</v>
          </cell>
          <cell r="D101" t="str">
            <v>PORTA ESP ANTARES PUX 1800X900X45 + COR</v>
          </cell>
          <cell r="E101">
            <v>1800</v>
          </cell>
          <cell r="F101">
            <v>900</v>
          </cell>
        </row>
        <row r="102">
          <cell r="B102">
            <v>929102</v>
          </cell>
          <cell r="C102">
            <v>570082</v>
          </cell>
          <cell r="D102" t="str">
            <v>PORTA ESP ANTARES PUX 1800X1000X45 + COR</v>
          </cell>
          <cell r="E102">
            <v>1800</v>
          </cell>
          <cell r="F102">
            <v>1000</v>
          </cell>
        </row>
        <row r="103">
          <cell r="B103">
            <v>929103</v>
          </cell>
          <cell r="C103">
            <v>570083</v>
          </cell>
          <cell r="D103" t="str">
            <v>PORTA ESP ANTARES PUX 1800X1100X45 + COR</v>
          </cell>
          <cell r="E103">
            <v>1800</v>
          </cell>
          <cell r="F103">
            <v>1100</v>
          </cell>
        </row>
        <row r="104">
          <cell r="B104">
            <v>929104</v>
          </cell>
          <cell r="C104">
            <v>570084</v>
          </cell>
          <cell r="D104" t="str">
            <v>PORTA ESP ANTARES PUX 1800X1200X45 + COR</v>
          </cell>
          <cell r="E104">
            <v>1800</v>
          </cell>
          <cell r="F104">
            <v>1200</v>
          </cell>
        </row>
        <row r="105">
          <cell r="B105">
            <v>929105</v>
          </cell>
          <cell r="C105">
            <v>570085</v>
          </cell>
          <cell r="D105" t="str">
            <v>PORTA ESP ANTARES PUX 1800X1300X45 + COR</v>
          </cell>
          <cell r="E105">
            <v>1800</v>
          </cell>
          <cell r="F105">
            <v>1300</v>
          </cell>
        </row>
        <row r="106">
          <cell r="B106">
            <v>929106</v>
          </cell>
          <cell r="C106">
            <v>570086</v>
          </cell>
          <cell r="D106" t="str">
            <v>PORTA ESP ANTARES PUX 1800X1400X45 + COR</v>
          </cell>
          <cell r="E106">
            <v>1800</v>
          </cell>
          <cell r="F106">
            <v>1400</v>
          </cell>
        </row>
        <row r="107">
          <cell r="B107">
            <v>929107</v>
          </cell>
          <cell r="C107">
            <v>570087</v>
          </cell>
          <cell r="D107" t="str">
            <v>PORTA ESP ANTARES PUX 1800X1500X45 + COR</v>
          </cell>
          <cell r="E107">
            <v>1800</v>
          </cell>
          <cell r="F107">
            <v>1500</v>
          </cell>
        </row>
        <row r="109">
          <cell r="B109">
            <v>929110</v>
          </cell>
          <cell r="C109">
            <v>570088</v>
          </cell>
          <cell r="D109" t="str">
            <v>PORTA ESP ANTARES PUX 1900X800X45 + COR</v>
          </cell>
          <cell r="E109">
            <v>1900</v>
          </cell>
          <cell r="F109">
            <v>800</v>
          </cell>
        </row>
        <row r="110">
          <cell r="B110">
            <v>929111</v>
          </cell>
          <cell r="C110">
            <v>570089</v>
          </cell>
          <cell r="D110" t="str">
            <v>PORTA ESP ANTARES PUX 1900X900X45 + COR</v>
          </cell>
          <cell r="E110">
            <v>1900</v>
          </cell>
          <cell r="F110">
            <v>900</v>
          </cell>
        </row>
        <row r="111">
          <cell r="B111">
            <v>929112</v>
          </cell>
          <cell r="C111">
            <v>570090</v>
          </cell>
          <cell r="D111" t="str">
            <v>PORTA ESP ANTARES PUX 1900X1000X45 + COR</v>
          </cell>
          <cell r="E111">
            <v>1900</v>
          </cell>
          <cell r="F111">
            <v>1000</v>
          </cell>
        </row>
        <row r="112">
          <cell r="B112">
            <v>929113</v>
          </cell>
          <cell r="C112">
            <v>570091</v>
          </cell>
          <cell r="D112" t="str">
            <v>PORTA ESP ANTARES PUX 1900X1100X45 + COR</v>
          </cell>
          <cell r="E112">
            <v>1900</v>
          </cell>
          <cell r="F112">
            <v>1100</v>
          </cell>
        </row>
        <row r="113">
          <cell r="B113">
            <v>929114</v>
          </cell>
          <cell r="C113">
            <v>570092</v>
          </cell>
          <cell r="D113" t="str">
            <v>PORTA ESP ANTARES PUX 1900X1200X45 + COR</v>
          </cell>
          <cell r="E113">
            <v>1900</v>
          </cell>
          <cell r="F113">
            <v>1200</v>
          </cell>
        </row>
        <row r="114">
          <cell r="B114">
            <v>929115</v>
          </cell>
          <cell r="C114">
            <v>570093</v>
          </cell>
          <cell r="D114" t="str">
            <v>PORTA ESP ANTARES PUX 1900X1300X45 + COR</v>
          </cell>
          <cell r="E114">
            <v>1900</v>
          </cell>
          <cell r="F114">
            <v>1300</v>
          </cell>
        </row>
        <row r="115">
          <cell r="B115">
            <v>929116</v>
          </cell>
          <cell r="C115">
            <v>570094</v>
          </cell>
          <cell r="D115" t="str">
            <v>PORTA ESP ANTARES PUX 1900X1400X45 + COR</v>
          </cell>
          <cell r="E115">
            <v>1900</v>
          </cell>
          <cell r="F115">
            <v>1400</v>
          </cell>
        </row>
        <row r="116">
          <cell r="B116">
            <v>929117</v>
          </cell>
          <cell r="C116">
            <v>570095</v>
          </cell>
          <cell r="D116" t="str">
            <v>PORTA ESP ANTARES PUX 1900X1500X45 + COR</v>
          </cell>
          <cell r="E116">
            <v>1900</v>
          </cell>
          <cell r="F116">
            <v>1500</v>
          </cell>
        </row>
        <row r="118">
          <cell r="B118">
            <v>929120</v>
          </cell>
          <cell r="C118">
            <v>570096</v>
          </cell>
          <cell r="D118" t="str">
            <v>PORTA ESP ANTARES PUX 2000X800X45 + COR</v>
          </cell>
          <cell r="E118">
            <v>2000</v>
          </cell>
          <cell r="F118">
            <v>800</v>
          </cell>
        </row>
        <row r="119">
          <cell r="B119">
            <v>929121</v>
          </cell>
          <cell r="C119">
            <v>570097</v>
          </cell>
          <cell r="D119" t="str">
            <v>PORTA ESP ANTARES PUX 2000X900X45 + COR</v>
          </cell>
          <cell r="E119">
            <v>2000</v>
          </cell>
          <cell r="F119">
            <v>900</v>
          </cell>
        </row>
        <row r="120">
          <cell r="B120">
            <v>929122</v>
          </cell>
          <cell r="C120">
            <v>570098</v>
          </cell>
          <cell r="D120" t="str">
            <v>PORTA ESP ANTARES PUX 2000X1000X45 + COR</v>
          </cell>
          <cell r="E120">
            <v>2000</v>
          </cell>
          <cell r="F120">
            <v>1000</v>
          </cell>
        </row>
        <row r="121">
          <cell r="B121">
            <v>929123</v>
          </cell>
          <cell r="C121">
            <v>570099</v>
          </cell>
          <cell r="D121" t="str">
            <v>PORTA ESP ANTARES PUX 2000X1100X45 + COR</v>
          </cell>
          <cell r="E121">
            <v>2000</v>
          </cell>
          <cell r="F121">
            <v>1100</v>
          </cell>
        </row>
        <row r="122">
          <cell r="B122">
            <v>929124</v>
          </cell>
          <cell r="C122">
            <v>570100</v>
          </cell>
          <cell r="D122" t="str">
            <v>PORTA ESP ANTARES PUX 2000X1200X45 + COR</v>
          </cell>
          <cell r="E122">
            <v>2000</v>
          </cell>
          <cell r="F122">
            <v>1200</v>
          </cell>
        </row>
        <row r="123">
          <cell r="B123">
            <v>929125</v>
          </cell>
          <cell r="C123">
            <v>570101</v>
          </cell>
          <cell r="D123" t="str">
            <v>PORTA ESP ANTARES PUX 2000X1300X45 + COR</v>
          </cell>
          <cell r="E123">
            <v>2000</v>
          </cell>
          <cell r="F123">
            <v>1300</v>
          </cell>
        </row>
        <row r="124">
          <cell r="B124">
            <v>929126</v>
          </cell>
          <cell r="C124">
            <v>570102</v>
          </cell>
          <cell r="D124" t="str">
            <v>PORTA ESP ANTARES PUX 2000X1400X45 + COR</v>
          </cell>
          <cell r="E124">
            <v>2000</v>
          </cell>
          <cell r="F124">
            <v>1400</v>
          </cell>
        </row>
        <row r="125">
          <cell r="B125">
            <v>929127</v>
          </cell>
          <cell r="C125">
            <v>570103</v>
          </cell>
          <cell r="D125" t="str">
            <v>PORTA ESP ANTARES PUX 2000X1500X45 + COR</v>
          </cell>
          <cell r="E125">
            <v>2000</v>
          </cell>
          <cell r="F125">
            <v>1500</v>
          </cell>
        </row>
        <row r="127">
          <cell r="B127">
            <v>929130</v>
          </cell>
          <cell r="C127">
            <v>570104</v>
          </cell>
          <cell r="D127" t="str">
            <v>PORTA ESP ANTARES PUX 2100X800X45 + COR</v>
          </cell>
          <cell r="E127">
            <v>2100</v>
          </cell>
          <cell r="F127">
            <v>800</v>
          </cell>
        </row>
        <row r="128">
          <cell r="B128">
            <v>929131</v>
          </cell>
          <cell r="C128">
            <v>570105</v>
          </cell>
          <cell r="D128" t="str">
            <v>PORTA ESP ANTARES PUX 2100X900X45 + COR</v>
          </cell>
          <cell r="E128">
            <v>2100</v>
          </cell>
          <cell r="F128">
            <v>900</v>
          </cell>
        </row>
        <row r="129">
          <cell r="B129">
            <v>929132</v>
          </cell>
          <cell r="C129">
            <v>570106</v>
          </cell>
          <cell r="D129" t="str">
            <v>PORTA ESP ANTARES PUX 2100X1000X45 + COR</v>
          </cell>
          <cell r="E129">
            <v>2100</v>
          </cell>
          <cell r="F129">
            <v>1000</v>
          </cell>
        </row>
        <row r="130">
          <cell r="B130">
            <v>929133</v>
          </cell>
          <cell r="C130">
            <v>570107</v>
          </cell>
          <cell r="D130" t="str">
            <v>PORTA ESP ANTARES PUX 2100X1100X45 + COR</v>
          </cell>
          <cell r="E130">
            <v>2100</v>
          </cell>
          <cell r="F130">
            <v>1100</v>
          </cell>
        </row>
        <row r="131">
          <cell r="B131">
            <v>929134</v>
          </cell>
          <cell r="C131">
            <v>570108</v>
          </cell>
          <cell r="D131" t="str">
            <v>PORTA ESP ANTARES PUX 2100X1200X45 + COR</v>
          </cell>
          <cell r="E131">
            <v>2100</v>
          </cell>
          <cell r="F131">
            <v>1200</v>
          </cell>
        </row>
        <row r="132">
          <cell r="B132">
            <v>929135</v>
          </cell>
          <cell r="C132">
            <v>570109</v>
          </cell>
          <cell r="D132" t="str">
            <v>PORTA ESP ANTARES PUX 2100X1300X45 + COR</v>
          </cell>
          <cell r="E132">
            <v>2100</v>
          </cell>
          <cell r="F132">
            <v>1300</v>
          </cell>
        </row>
        <row r="133">
          <cell r="B133">
            <v>929136</v>
          </cell>
          <cell r="C133">
            <v>570110</v>
          </cell>
          <cell r="D133" t="str">
            <v>PORTA ESP ANTARES PUX 2100X1400X45 + COR</v>
          </cell>
          <cell r="E133">
            <v>2100</v>
          </cell>
          <cell r="F133">
            <v>1400</v>
          </cell>
        </row>
        <row r="134">
          <cell r="B134">
            <v>929137</v>
          </cell>
          <cell r="C134">
            <v>570111</v>
          </cell>
          <cell r="D134" t="str">
            <v>PORTA ESP ANTARES PUX 2100X1500X45 + COR</v>
          </cell>
          <cell r="E134">
            <v>2100</v>
          </cell>
          <cell r="F134">
            <v>1500</v>
          </cell>
        </row>
        <row r="136">
          <cell r="B136">
            <v>929140</v>
          </cell>
          <cell r="C136">
            <v>570112</v>
          </cell>
          <cell r="D136" t="str">
            <v>PORTA ESP ANTARES PUX 2200X800X45 + COR</v>
          </cell>
          <cell r="E136">
            <v>2200</v>
          </cell>
          <cell r="F136">
            <v>800</v>
          </cell>
        </row>
        <row r="137">
          <cell r="B137">
            <v>929141</v>
          </cell>
          <cell r="C137">
            <v>570113</v>
          </cell>
          <cell r="D137" t="str">
            <v>PORTA ESP ANTARES PUX 2200X900X45 + COR</v>
          </cell>
          <cell r="E137">
            <v>2200</v>
          </cell>
          <cell r="F137">
            <v>900</v>
          </cell>
        </row>
        <row r="138">
          <cell r="B138">
            <v>929142</v>
          </cell>
          <cell r="C138">
            <v>570114</v>
          </cell>
          <cell r="D138" t="str">
            <v>PORTA ESP ANTARES PUX 2200X1000X45 + COR</v>
          </cell>
          <cell r="E138">
            <v>2200</v>
          </cell>
          <cell r="F138">
            <v>1000</v>
          </cell>
        </row>
        <row r="139">
          <cell r="B139">
            <v>929143</v>
          </cell>
          <cell r="C139">
            <v>570115</v>
          </cell>
          <cell r="D139" t="str">
            <v>PORTA ESP ANTARES PUX 2200X1100X45 + COR</v>
          </cell>
          <cell r="E139">
            <v>2200</v>
          </cell>
          <cell r="F139">
            <v>1100</v>
          </cell>
        </row>
        <row r="140">
          <cell r="B140">
            <v>929144</v>
          </cell>
          <cell r="C140">
            <v>570116</v>
          </cell>
          <cell r="D140" t="str">
            <v>PORTA ESP ANTARES PUX 2200X1200X45 + COR</v>
          </cell>
          <cell r="E140">
            <v>2200</v>
          </cell>
          <cell r="F140">
            <v>1200</v>
          </cell>
        </row>
        <row r="141">
          <cell r="B141">
            <v>929145</v>
          </cell>
          <cell r="C141">
            <v>570117</v>
          </cell>
          <cell r="D141" t="str">
            <v>PORTA ESP ANTARES PUX 2200X1300X45 + COR</v>
          </cell>
          <cell r="E141">
            <v>2200</v>
          </cell>
          <cell r="F141">
            <v>1300</v>
          </cell>
        </row>
        <row r="142">
          <cell r="B142">
            <v>929146</v>
          </cell>
          <cell r="C142">
            <v>570118</v>
          </cell>
          <cell r="D142" t="str">
            <v>PORTA ESP ANTARES PUX 2200X1400X45 + COR</v>
          </cell>
          <cell r="E142">
            <v>2200</v>
          </cell>
          <cell r="F142">
            <v>1400</v>
          </cell>
        </row>
        <row r="143">
          <cell r="B143">
            <v>929147</v>
          </cell>
          <cell r="C143">
            <v>570119</v>
          </cell>
          <cell r="D143" t="str">
            <v>PORTA ESP ANTARES PUX 2200X1500X45 + COR</v>
          </cell>
          <cell r="E143">
            <v>2200</v>
          </cell>
          <cell r="F143">
            <v>1500</v>
          </cell>
        </row>
        <row r="145">
          <cell r="B145">
            <v>929150</v>
          </cell>
          <cell r="C145">
            <v>570120</v>
          </cell>
          <cell r="D145" t="str">
            <v>PORTA ESP ANTARES PUX 2300X800X45 + COR</v>
          </cell>
          <cell r="E145">
            <v>2300</v>
          </cell>
          <cell r="F145">
            <v>800</v>
          </cell>
        </row>
        <row r="146">
          <cell r="B146">
            <v>929151</v>
          </cell>
          <cell r="C146">
            <v>570121</v>
          </cell>
          <cell r="D146" t="str">
            <v>PORTA ESP ANTARES PUX 2300X900X45 + COR</v>
          </cell>
          <cell r="E146">
            <v>2300</v>
          </cell>
          <cell r="F146">
            <v>900</v>
          </cell>
        </row>
        <row r="147">
          <cell r="B147">
            <v>929152</v>
          </cell>
          <cell r="C147">
            <v>570122</v>
          </cell>
          <cell r="D147" t="str">
            <v>PORTA ESP ANTARES PUX 2300X1000X45 + COR</v>
          </cell>
          <cell r="E147">
            <v>2300</v>
          </cell>
          <cell r="F147">
            <v>1000</v>
          </cell>
        </row>
        <row r="148">
          <cell r="B148">
            <v>929153</v>
          </cell>
          <cell r="C148">
            <v>570123</v>
          </cell>
          <cell r="D148" t="str">
            <v>PORTA ESP ANTARES PUX 2300X1100X45 + COR</v>
          </cell>
          <cell r="E148">
            <v>2300</v>
          </cell>
          <cell r="F148">
            <v>1100</v>
          </cell>
        </row>
        <row r="149">
          <cell r="B149">
            <v>929154</v>
          </cell>
          <cell r="C149">
            <v>570124</v>
          </cell>
          <cell r="D149" t="str">
            <v>PORTA ESP ANTARES PUX 2300X1200X45 + COR</v>
          </cell>
          <cell r="E149">
            <v>2300</v>
          </cell>
          <cell r="F149">
            <v>1200</v>
          </cell>
        </row>
        <row r="150">
          <cell r="B150">
            <v>929155</v>
          </cell>
          <cell r="C150">
            <v>570125</v>
          </cell>
          <cell r="D150" t="str">
            <v>PORTA ESP ANTARES PUX 2300X1300X45 + COR</v>
          </cell>
          <cell r="E150">
            <v>2300</v>
          </cell>
          <cell r="F150">
            <v>1300</v>
          </cell>
        </row>
        <row r="151">
          <cell r="B151">
            <v>929156</v>
          </cell>
          <cell r="C151">
            <v>570126</v>
          </cell>
          <cell r="D151" t="str">
            <v>PORTA ESP ANTARES PUX 2300X1400X45 + COR</v>
          </cell>
          <cell r="E151">
            <v>2300</v>
          </cell>
          <cell r="F151">
            <v>1400</v>
          </cell>
        </row>
        <row r="152">
          <cell r="B152">
            <v>929157</v>
          </cell>
          <cell r="C152">
            <v>570127</v>
          </cell>
          <cell r="D152" t="str">
            <v>PORTA ESP ANTARES PUX 2300X1500X45 + COR</v>
          </cell>
          <cell r="E152">
            <v>2300</v>
          </cell>
          <cell r="F152">
            <v>1500</v>
          </cell>
        </row>
        <row r="154">
          <cell r="B154">
            <v>929160</v>
          </cell>
          <cell r="C154">
            <v>570128</v>
          </cell>
          <cell r="D154" t="str">
            <v>PORTA ESP ANTARES PUX 2400X800X45 + COR</v>
          </cell>
          <cell r="E154">
            <v>2400</v>
          </cell>
          <cell r="F154">
            <v>800</v>
          </cell>
        </row>
        <row r="155">
          <cell r="B155">
            <v>929161</v>
          </cell>
          <cell r="C155">
            <v>570129</v>
          </cell>
          <cell r="D155" t="str">
            <v>PORTA ESP ANTARES PUX 2400X900X45 + COR</v>
          </cell>
          <cell r="E155">
            <v>2400</v>
          </cell>
          <cell r="F155">
            <v>900</v>
          </cell>
        </row>
        <row r="156">
          <cell r="B156">
            <v>929162</v>
          </cell>
          <cell r="C156">
            <v>570130</v>
          </cell>
          <cell r="D156" t="str">
            <v>PORTA ESP ANTARES PUX 2400X1000X45 + COR</v>
          </cell>
          <cell r="E156">
            <v>2400</v>
          </cell>
          <cell r="F156">
            <v>1000</v>
          </cell>
        </row>
        <row r="157">
          <cell r="B157">
            <v>929163</v>
          </cell>
          <cell r="C157">
            <v>570131</v>
          </cell>
          <cell r="D157" t="str">
            <v>PORTA ESP ANTARES PUX 2400X1100X45 + COR</v>
          </cell>
          <cell r="E157">
            <v>2400</v>
          </cell>
          <cell r="F157">
            <v>1100</v>
          </cell>
        </row>
        <row r="158">
          <cell r="B158">
            <v>929164</v>
          </cell>
          <cell r="C158">
            <v>570132</v>
          </cell>
          <cell r="D158" t="str">
            <v>PORTA ESP ANTARES PUX 2400X1200X45 + COR</v>
          </cell>
          <cell r="E158">
            <v>2400</v>
          </cell>
          <cell r="F158">
            <v>1200</v>
          </cell>
        </row>
        <row r="159">
          <cell r="B159">
            <v>929165</v>
          </cell>
          <cell r="C159">
            <v>570133</v>
          </cell>
          <cell r="D159" t="str">
            <v>PORTA ESP ANTARES PUX 2400X1300X45 + COR</v>
          </cell>
          <cell r="E159">
            <v>2400</v>
          </cell>
          <cell r="F159">
            <v>1300</v>
          </cell>
        </row>
        <row r="160">
          <cell r="B160">
            <v>929166</v>
          </cell>
          <cell r="C160">
            <v>570134</v>
          </cell>
          <cell r="D160" t="str">
            <v>PORTA ESP ANTARES PUX 2400X1400X45 + COR</v>
          </cell>
          <cell r="E160">
            <v>2400</v>
          </cell>
          <cell r="F160">
            <v>1400</v>
          </cell>
        </row>
        <row r="161">
          <cell r="B161">
            <v>929167</v>
          </cell>
          <cell r="C161">
            <v>570135</v>
          </cell>
          <cell r="D161" t="str">
            <v>PORTA ESP ANTARES PUX 2400X1500X45 + COR</v>
          </cell>
          <cell r="E161">
            <v>2400</v>
          </cell>
          <cell r="F161">
            <v>1500</v>
          </cell>
        </row>
        <row r="163">
          <cell r="B163">
            <v>929170</v>
          </cell>
          <cell r="C163">
            <v>570136</v>
          </cell>
          <cell r="D163" t="str">
            <v>PORTA ESP ANTARES PUX 2500X800X45 + COR</v>
          </cell>
          <cell r="E163">
            <v>2500</v>
          </cell>
          <cell r="F163">
            <v>800</v>
          </cell>
        </row>
        <row r="164">
          <cell r="B164">
            <v>929171</v>
          </cell>
          <cell r="C164">
            <v>570137</v>
          </cell>
          <cell r="D164" t="str">
            <v>PORTA ESP ANTARES PUX 2500X900X45 + COR</v>
          </cell>
          <cell r="E164">
            <v>2500</v>
          </cell>
          <cell r="F164">
            <v>900</v>
          </cell>
        </row>
        <row r="165">
          <cell r="B165">
            <v>929172</v>
          </cell>
          <cell r="C165">
            <v>570138</v>
          </cell>
          <cell r="D165" t="str">
            <v>PORTA ESP ANTARES PUX 2500X1000X45 + COR</v>
          </cell>
          <cell r="E165">
            <v>2500</v>
          </cell>
          <cell r="F165">
            <v>1000</v>
          </cell>
        </row>
        <row r="166">
          <cell r="B166">
            <v>929173</v>
          </cell>
          <cell r="C166">
            <v>570139</v>
          </cell>
          <cell r="D166" t="str">
            <v>PORTA ESP ANTARES PUX 2500X1100X45 + COR</v>
          </cell>
          <cell r="E166">
            <v>2500</v>
          </cell>
          <cell r="F166">
            <v>1100</v>
          </cell>
        </row>
        <row r="167">
          <cell r="B167">
            <v>929174</v>
          </cell>
          <cell r="C167">
            <v>570140</v>
          </cell>
          <cell r="D167" t="str">
            <v>PORTA ESP ANTARES PUX 2500X1200X45 + COR</v>
          </cell>
          <cell r="E167">
            <v>2500</v>
          </cell>
          <cell r="F167">
            <v>1200</v>
          </cell>
        </row>
        <row r="168">
          <cell r="B168">
            <v>929175</v>
          </cell>
          <cell r="C168">
            <v>570141</v>
          </cell>
          <cell r="D168" t="str">
            <v>PORTA ESP ANTARES PUX 2500X1300X45 + COR</v>
          </cell>
          <cell r="E168">
            <v>2500</v>
          </cell>
          <cell r="F168">
            <v>1300</v>
          </cell>
        </row>
        <row r="169">
          <cell r="B169">
            <v>929176</v>
          </cell>
          <cell r="C169">
            <v>570142</v>
          </cell>
          <cell r="D169" t="str">
            <v>PORTA ESP ANTARES PUX 2500X1400X45 + COR</v>
          </cell>
          <cell r="E169">
            <v>2500</v>
          </cell>
          <cell r="F169">
            <v>1400</v>
          </cell>
        </row>
        <row r="170">
          <cell r="B170">
            <v>929177</v>
          </cell>
          <cell r="C170">
            <v>570143</v>
          </cell>
          <cell r="D170" t="str">
            <v>PORTA ESP ANTARES PUX 2500X1500X45 + COR</v>
          </cell>
          <cell r="E170">
            <v>2500</v>
          </cell>
          <cell r="F170">
            <v>1500</v>
          </cell>
        </row>
        <row r="172">
          <cell r="B172">
            <v>929180</v>
          </cell>
          <cell r="C172">
            <v>570144</v>
          </cell>
          <cell r="D172" t="str">
            <v>PORTA ESP ANTARES PUX 2600X800X45 + COR</v>
          </cell>
          <cell r="E172">
            <v>2600</v>
          </cell>
          <cell r="F172">
            <v>800</v>
          </cell>
        </row>
        <row r="173">
          <cell r="B173">
            <v>929181</v>
          </cell>
          <cell r="C173">
            <v>570145</v>
          </cell>
          <cell r="D173" t="str">
            <v>PORTA ESP ANTARES PUX 2600X900X45 + COR</v>
          </cell>
          <cell r="E173">
            <v>2600</v>
          </cell>
          <cell r="F173">
            <v>900</v>
          </cell>
        </row>
        <row r="174">
          <cell r="B174">
            <v>929182</v>
          </cell>
          <cell r="C174">
            <v>570146</v>
          </cell>
          <cell r="D174" t="str">
            <v>PORTA ESP ANTARES PUX 2600X1000X45 + COR</v>
          </cell>
          <cell r="E174">
            <v>2600</v>
          </cell>
          <cell r="F174">
            <v>1000</v>
          </cell>
        </row>
        <row r="175">
          <cell r="B175">
            <v>929183</v>
          </cell>
          <cell r="C175">
            <v>570147</v>
          </cell>
          <cell r="D175" t="str">
            <v>PORTA ESP ANTARES PUX 2600X1100X45 + COR</v>
          </cell>
          <cell r="E175">
            <v>2600</v>
          </cell>
          <cell r="F175">
            <v>1100</v>
          </cell>
        </row>
        <row r="176">
          <cell r="B176">
            <v>929184</v>
          </cell>
          <cell r="C176">
            <v>570148</v>
          </cell>
          <cell r="D176" t="str">
            <v>PORTA ESP ANTARES PUX 2600X1200X45 + COR</v>
          </cell>
          <cell r="E176">
            <v>2600</v>
          </cell>
          <cell r="F176">
            <v>1200</v>
          </cell>
        </row>
        <row r="177">
          <cell r="B177">
            <v>929185</v>
          </cell>
          <cell r="C177">
            <v>570149</v>
          </cell>
          <cell r="D177" t="str">
            <v>PORTA ESP ANTARES PUX 2600X1300X45 + COR</v>
          </cell>
          <cell r="E177">
            <v>2600</v>
          </cell>
          <cell r="F177">
            <v>1300</v>
          </cell>
        </row>
        <row r="178">
          <cell r="B178">
            <v>929186</v>
          </cell>
          <cell r="C178">
            <v>570150</v>
          </cell>
          <cell r="D178" t="str">
            <v>PORTA ESP ANTARES PUX 2600X1400X45 + COR</v>
          </cell>
          <cell r="E178">
            <v>2600</v>
          </cell>
          <cell r="F178">
            <v>1400</v>
          </cell>
        </row>
        <row r="179">
          <cell r="B179">
            <v>929187</v>
          </cell>
          <cell r="C179">
            <v>570151</v>
          </cell>
          <cell r="D179" t="str">
            <v>PORTA ESP ANTARES PUX 2600X1500X45 + COR</v>
          </cell>
          <cell r="E179">
            <v>2600</v>
          </cell>
          <cell r="F179">
            <v>1500</v>
          </cell>
        </row>
        <row r="181">
          <cell r="B181">
            <v>929190</v>
          </cell>
          <cell r="C181">
            <v>570152</v>
          </cell>
          <cell r="D181" t="str">
            <v>PORTA ESP ANTARES PUX 2700X800X45 + COR</v>
          </cell>
          <cell r="E181">
            <v>2700</v>
          </cell>
          <cell r="F181">
            <v>800</v>
          </cell>
        </row>
        <row r="182">
          <cell r="B182">
            <v>929191</v>
          </cell>
          <cell r="C182">
            <v>570153</v>
          </cell>
          <cell r="D182" t="str">
            <v>PORTA ESP ANTARES PUX 2700X900X45 + COR</v>
          </cell>
          <cell r="E182">
            <v>2700</v>
          </cell>
          <cell r="F182">
            <v>900</v>
          </cell>
        </row>
        <row r="183">
          <cell r="B183">
            <v>929192</v>
          </cell>
          <cell r="C183">
            <v>570154</v>
          </cell>
          <cell r="D183" t="str">
            <v>PORTA ESP ANTARES PUX 2700X1000X45 + COR</v>
          </cell>
          <cell r="E183">
            <v>2700</v>
          </cell>
          <cell r="F183">
            <v>1000</v>
          </cell>
        </row>
        <row r="184">
          <cell r="B184">
            <v>929193</v>
          </cell>
          <cell r="C184">
            <v>570155</v>
          </cell>
          <cell r="D184" t="str">
            <v>PORTA ESP ANTARES PUX 2700X1100X45 + COR</v>
          </cell>
          <cell r="E184">
            <v>2700</v>
          </cell>
          <cell r="F184">
            <v>1100</v>
          </cell>
        </row>
        <row r="185">
          <cell r="B185">
            <v>929194</v>
          </cell>
          <cell r="C185">
            <v>570156</v>
          </cell>
          <cell r="D185" t="str">
            <v>PORTA ESP ANTARES PUX 2700X1200X45 + COR</v>
          </cell>
          <cell r="E185">
            <v>2700</v>
          </cell>
          <cell r="F185">
            <v>1200</v>
          </cell>
        </row>
        <row r="186">
          <cell r="B186">
            <v>929195</v>
          </cell>
          <cell r="C186">
            <v>570157</v>
          </cell>
          <cell r="D186" t="str">
            <v>PORTA ESP ANTARES PUX 2700X1300X45 + COR</v>
          </cell>
          <cell r="E186">
            <v>2700</v>
          </cell>
          <cell r="F186">
            <v>1300</v>
          </cell>
        </row>
        <row r="187">
          <cell r="B187">
            <v>929196</v>
          </cell>
          <cell r="C187">
            <v>570158</v>
          </cell>
          <cell r="D187" t="str">
            <v>PORTA ESP ANTARES PUX 2700X1400X45 + COR</v>
          </cell>
          <cell r="E187">
            <v>2700</v>
          </cell>
          <cell r="F187">
            <v>1400</v>
          </cell>
        </row>
        <row r="188">
          <cell r="B188">
            <v>929197</v>
          </cell>
          <cell r="C188">
            <v>570159</v>
          </cell>
          <cell r="D188" t="str">
            <v>PORTA ESP ANTARES PUX 2700X1500X45 + COR</v>
          </cell>
          <cell r="E188">
            <v>2700</v>
          </cell>
          <cell r="F188">
            <v>1500</v>
          </cell>
        </row>
        <row r="190">
          <cell r="B190">
            <v>929200</v>
          </cell>
          <cell r="C190">
            <v>570160</v>
          </cell>
          <cell r="D190" t="str">
            <v>PORTA ESP ANTARES PUX/FECH 1800X800X45 + COR</v>
          </cell>
          <cell r="E190">
            <v>1800</v>
          </cell>
          <cell r="F190">
            <v>800</v>
          </cell>
        </row>
        <row r="191">
          <cell r="B191">
            <v>929201</v>
          </cell>
          <cell r="C191">
            <v>570161</v>
          </cell>
          <cell r="D191" t="str">
            <v>PORTA ESP ANTARES PUX/FECH 1800X900X45 + COR</v>
          </cell>
          <cell r="E191">
            <v>1800</v>
          </cell>
          <cell r="F191">
            <v>900</v>
          </cell>
        </row>
        <row r="192">
          <cell r="B192">
            <v>929202</v>
          </cell>
          <cell r="C192">
            <v>570162</v>
          </cell>
          <cell r="D192" t="str">
            <v>PORTA ESP ANTARES PUX/FECH 1800X1000X45 + COR</v>
          </cell>
          <cell r="E192">
            <v>1800</v>
          </cell>
          <cell r="F192">
            <v>1000</v>
          </cell>
        </row>
        <row r="193">
          <cell r="B193">
            <v>929203</v>
          </cell>
          <cell r="C193">
            <v>570163</v>
          </cell>
          <cell r="D193" t="str">
            <v>PORTA ESP ANTARES PUX/FECH 1800X1100X45 + COR</v>
          </cell>
          <cell r="E193">
            <v>1800</v>
          </cell>
          <cell r="F193">
            <v>1100</v>
          </cell>
        </row>
        <row r="194">
          <cell r="B194">
            <v>929204</v>
          </cell>
          <cell r="C194">
            <v>570164</v>
          </cell>
          <cell r="D194" t="str">
            <v>PORTA ESP ANTARES PUX/FECH 1800X1200X45 + COR</v>
          </cell>
          <cell r="E194">
            <v>1800</v>
          </cell>
          <cell r="F194">
            <v>1200</v>
          </cell>
        </row>
        <row r="195">
          <cell r="B195">
            <v>929205</v>
          </cell>
          <cell r="C195">
            <v>570165</v>
          </cell>
          <cell r="D195" t="str">
            <v>PORTA ESP ANTARES PUX/FECH 1800X1300X45 + COR</v>
          </cell>
          <cell r="E195">
            <v>1800</v>
          </cell>
          <cell r="F195">
            <v>1300</v>
          </cell>
        </row>
        <row r="196">
          <cell r="B196">
            <v>929206</v>
          </cell>
          <cell r="C196">
            <v>570166</v>
          </cell>
          <cell r="D196" t="str">
            <v>PORTA ESP ANTARES PUX/FECH 1800X1400X45 + COR</v>
          </cell>
          <cell r="E196">
            <v>1800</v>
          </cell>
          <cell r="F196">
            <v>1400</v>
          </cell>
        </row>
        <row r="197">
          <cell r="B197">
            <v>929207</v>
          </cell>
          <cell r="C197">
            <v>570167</v>
          </cell>
          <cell r="D197" t="str">
            <v>PORTA ESP ANTARES PUX/FECH 1800X1500X45 + COR</v>
          </cell>
          <cell r="E197">
            <v>1800</v>
          </cell>
          <cell r="F197">
            <v>1500</v>
          </cell>
        </row>
        <row r="199">
          <cell r="B199">
            <v>929210</v>
          </cell>
          <cell r="C199">
            <v>570168</v>
          </cell>
          <cell r="D199" t="str">
            <v>PORTA ESP ANTARES PUX/FECH 1900X800X45 + COR</v>
          </cell>
          <cell r="E199">
            <v>1900</v>
          </cell>
          <cell r="F199">
            <v>800</v>
          </cell>
        </row>
        <row r="200">
          <cell r="B200">
            <v>929211</v>
          </cell>
          <cell r="C200">
            <v>570169</v>
          </cell>
          <cell r="D200" t="str">
            <v>PORTA ESP ANTARES PUX/FECH 1900X900X45 + COR</v>
          </cell>
          <cell r="E200">
            <v>1900</v>
          </cell>
          <cell r="F200">
            <v>900</v>
          </cell>
        </row>
        <row r="201">
          <cell r="B201">
            <v>929212</v>
          </cell>
          <cell r="C201">
            <v>570170</v>
          </cell>
          <cell r="D201" t="str">
            <v>PORTA ESP ANTARES PUX/FECH 1900X1000X45 + COR</v>
          </cell>
          <cell r="E201">
            <v>1900</v>
          </cell>
          <cell r="F201">
            <v>1000</v>
          </cell>
        </row>
        <row r="202">
          <cell r="B202">
            <v>929213</v>
          </cell>
          <cell r="C202">
            <v>570171</v>
          </cell>
          <cell r="D202" t="str">
            <v>PORTA ESP ANTARES PUX/FECH 1900X1100X45 + COR</v>
          </cell>
          <cell r="E202">
            <v>1900</v>
          </cell>
          <cell r="F202">
            <v>1100</v>
          </cell>
        </row>
        <row r="203">
          <cell r="B203">
            <v>929214</v>
          </cell>
          <cell r="C203">
            <v>570172</v>
          </cell>
          <cell r="D203" t="str">
            <v>PORTA ESP ANTARES PUX/FECH 1900X1200X45 + COR</v>
          </cell>
          <cell r="E203">
            <v>1900</v>
          </cell>
          <cell r="F203">
            <v>1200</v>
          </cell>
        </row>
        <row r="204">
          <cell r="B204">
            <v>929215</v>
          </cell>
          <cell r="C204">
            <v>570173</v>
          </cell>
          <cell r="D204" t="str">
            <v>PORTA ESP ANTARES PUX/FECH 1900X1300X45 + COR</v>
          </cell>
          <cell r="E204">
            <v>1900</v>
          </cell>
          <cell r="F204">
            <v>1300</v>
          </cell>
        </row>
        <row r="205">
          <cell r="B205">
            <v>929216</v>
          </cell>
          <cell r="C205">
            <v>570174</v>
          </cell>
          <cell r="D205" t="str">
            <v>PORTA ESP ANTARES PUX/FECH 1900X1400X45 + COR</v>
          </cell>
          <cell r="E205">
            <v>1900</v>
          </cell>
          <cell r="F205">
            <v>1400</v>
          </cell>
        </row>
        <row r="206">
          <cell r="B206">
            <v>929217</v>
          </cell>
          <cell r="C206">
            <v>570175</v>
          </cell>
          <cell r="D206" t="str">
            <v>PORTA ESP ANTARES PUX/FECH 1900X1500X45 + COR</v>
          </cell>
          <cell r="E206">
            <v>1900</v>
          </cell>
          <cell r="F206">
            <v>1500</v>
          </cell>
        </row>
        <row r="208">
          <cell r="B208">
            <v>929220</v>
          </cell>
          <cell r="C208">
            <v>570176</v>
          </cell>
          <cell r="D208" t="str">
            <v>PORTA ESP ANTARES PUX/FECH 2000X800X45 + COR</v>
          </cell>
          <cell r="E208">
            <v>2000</v>
          </cell>
          <cell r="F208">
            <v>800</v>
          </cell>
        </row>
        <row r="209">
          <cell r="B209">
            <v>929221</v>
          </cell>
          <cell r="C209">
            <v>570177</v>
          </cell>
          <cell r="D209" t="str">
            <v>PORTA ESP ANTARES PUX/FECH 2000X900X45 + COR</v>
          </cell>
          <cell r="E209">
            <v>2000</v>
          </cell>
          <cell r="F209">
            <v>900</v>
          </cell>
        </row>
        <row r="210">
          <cell r="B210">
            <v>929222</v>
          </cell>
          <cell r="C210">
            <v>570178</v>
          </cell>
          <cell r="D210" t="str">
            <v>PORTA ESP ANTARES PUX/FECH 2000X1000X45 + COR</v>
          </cell>
          <cell r="E210">
            <v>2000</v>
          </cell>
          <cell r="F210">
            <v>1000</v>
          </cell>
        </row>
        <row r="211">
          <cell r="B211">
            <v>929223</v>
          </cell>
          <cell r="C211">
            <v>570179</v>
          </cell>
          <cell r="D211" t="str">
            <v>PORTA ESP ANTARES PUX/FECH 2000X1100X45 + COR</v>
          </cell>
          <cell r="E211">
            <v>2000</v>
          </cell>
          <cell r="F211">
            <v>1100</v>
          </cell>
        </row>
        <row r="212">
          <cell r="B212">
            <v>929224</v>
          </cell>
          <cell r="C212">
            <v>570180</v>
          </cell>
          <cell r="D212" t="str">
            <v>PORTA ESP ANTARES PUX/FECH 2000X1200X45 + COR</v>
          </cell>
          <cell r="E212">
            <v>2000</v>
          </cell>
          <cell r="F212">
            <v>1200</v>
          </cell>
        </row>
        <row r="213">
          <cell r="B213">
            <v>929225</v>
          </cell>
          <cell r="C213">
            <v>570181</v>
          </cell>
          <cell r="D213" t="str">
            <v>PORTA ESP ANTARES PUX/FECH 2000X1300X45 + COR</v>
          </cell>
          <cell r="E213">
            <v>2000</v>
          </cell>
          <cell r="F213">
            <v>1300</v>
          </cell>
        </row>
        <row r="214">
          <cell r="B214">
            <v>929226</v>
          </cell>
          <cell r="C214">
            <v>570182</v>
          </cell>
          <cell r="D214" t="str">
            <v>PORTA ESP ANTARES PUX/FECH 2000X1400X45 + COR</v>
          </cell>
          <cell r="E214">
            <v>2000</v>
          </cell>
          <cell r="F214">
            <v>1400</v>
          </cell>
        </row>
        <row r="215">
          <cell r="B215">
            <v>929227</v>
          </cell>
          <cell r="C215">
            <v>570183</v>
          </cell>
          <cell r="D215" t="str">
            <v>PORTA ESP ANTARES PUX/FECH 2000X1500X45 + COR</v>
          </cell>
          <cell r="E215">
            <v>2000</v>
          </cell>
          <cell r="F215">
            <v>1500</v>
          </cell>
        </row>
        <row r="217">
          <cell r="B217">
            <v>929230</v>
          </cell>
          <cell r="C217">
            <v>570184</v>
          </cell>
          <cell r="D217" t="str">
            <v>PORTA ESP ANTARES PUX/FECH 2100X800X45 + COR</v>
          </cell>
          <cell r="E217">
            <v>2100</v>
          </cell>
          <cell r="F217">
            <v>800</v>
          </cell>
        </row>
        <row r="218">
          <cell r="B218">
            <v>929231</v>
          </cell>
          <cell r="C218">
            <v>570185</v>
          </cell>
          <cell r="D218" t="str">
            <v>PORTA ESP ANTARES PUX/FECH 2100X900X45 + COR</v>
          </cell>
          <cell r="E218">
            <v>2100</v>
          </cell>
          <cell r="F218">
            <v>900</v>
          </cell>
        </row>
        <row r="219">
          <cell r="B219">
            <v>929232</v>
          </cell>
          <cell r="C219">
            <v>570186</v>
          </cell>
          <cell r="D219" t="str">
            <v>PORTA ESP ANTARES PUX/FECH 2100X1000X45 + COR</v>
          </cell>
          <cell r="E219">
            <v>2100</v>
          </cell>
          <cell r="F219">
            <v>1000</v>
          </cell>
        </row>
        <row r="220">
          <cell r="B220">
            <v>929233</v>
          </cell>
          <cell r="C220">
            <v>570187</v>
          </cell>
          <cell r="D220" t="str">
            <v>PORTA ESP ANTARES PUX/FECH 2100X1100X45 + COR</v>
          </cell>
          <cell r="E220">
            <v>2100</v>
          </cell>
          <cell r="F220">
            <v>1100</v>
          </cell>
        </row>
        <row r="221">
          <cell r="B221">
            <v>929234</v>
          </cell>
          <cell r="C221">
            <v>570188</v>
          </cell>
          <cell r="D221" t="str">
            <v>PORTA ESP ANTARES PUX/FECH 2100X1200X45 + COR</v>
          </cell>
          <cell r="E221">
            <v>2100</v>
          </cell>
          <cell r="F221">
            <v>1200</v>
          </cell>
        </row>
        <row r="222">
          <cell r="B222">
            <v>929235</v>
          </cell>
          <cell r="C222">
            <v>570189</v>
          </cell>
          <cell r="D222" t="str">
            <v>PORTA ESP ANTARES PUX/FECH 2100X1300X45 + COR</v>
          </cell>
          <cell r="E222">
            <v>2100</v>
          </cell>
          <cell r="F222">
            <v>1300</v>
          </cell>
        </row>
        <row r="223">
          <cell r="B223">
            <v>929236</v>
          </cell>
          <cell r="C223">
            <v>570190</v>
          </cell>
          <cell r="D223" t="str">
            <v>PORTA ESP ANTARES PUX/FECH 2100X1400X45 + COR</v>
          </cell>
          <cell r="E223">
            <v>2100</v>
          </cell>
          <cell r="F223">
            <v>1400</v>
          </cell>
        </row>
        <row r="224">
          <cell r="B224">
            <v>929237</v>
          </cell>
          <cell r="C224">
            <v>570191</v>
          </cell>
          <cell r="D224" t="str">
            <v>PORTA ESP ANTARES PUX/FECH 2100X1500X45 + COR</v>
          </cell>
          <cell r="E224">
            <v>2100</v>
          </cell>
          <cell r="F224">
            <v>1500</v>
          </cell>
        </row>
        <row r="226">
          <cell r="B226">
            <v>929240</v>
          </cell>
          <cell r="C226">
            <v>570192</v>
          </cell>
          <cell r="D226" t="str">
            <v>PORTA ESP ANTARES PUX/FECH 2200X800X45 + COR</v>
          </cell>
          <cell r="E226">
            <v>2200</v>
          </cell>
          <cell r="F226">
            <v>800</v>
          </cell>
        </row>
        <row r="227">
          <cell r="B227">
            <v>929241</v>
          </cell>
          <cell r="C227">
            <v>570193</v>
          </cell>
          <cell r="D227" t="str">
            <v>PORTA ESP ANTARES PUX/FECH 2200X900X45 + COR</v>
          </cell>
          <cell r="E227">
            <v>2200</v>
          </cell>
          <cell r="F227">
            <v>900</v>
          </cell>
        </row>
        <row r="228">
          <cell r="B228">
            <v>929242</v>
          </cell>
          <cell r="C228">
            <v>570194</v>
          </cell>
          <cell r="D228" t="str">
            <v>PORTA ESP ANTARES PUX/FECH 2200X1000X45 + COR</v>
          </cell>
          <cell r="E228">
            <v>2200</v>
          </cell>
          <cell r="F228">
            <v>1000</v>
          </cell>
        </row>
        <row r="229">
          <cell r="B229">
            <v>929243</v>
          </cell>
          <cell r="C229">
            <v>570195</v>
          </cell>
          <cell r="D229" t="str">
            <v>PORTA ESP ANTARES PUX/FECH 2200X1100X45 + COR</v>
          </cell>
          <cell r="E229">
            <v>2200</v>
          </cell>
          <cell r="F229">
            <v>1100</v>
          </cell>
        </row>
        <row r="230">
          <cell r="B230">
            <v>929244</v>
          </cell>
          <cell r="C230">
            <v>570196</v>
          </cell>
          <cell r="D230" t="str">
            <v>PORTA ESP ANTARES PUX/FECH 2200X1200X45 + COR</v>
          </cell>
          <cell r="E230">
            <v>2200</v>
          </cell>
          <cell r="F230">
            <v>1200</v>
          </cell>
        </row>
        <row r="231">
          <cell r="B231">
            <v>929245</v>
          </cell>
          <cell r="C231">
            <v>570197</v>
          </cell>
          <cell r="D231" t="str">
            <v>PORTA ESP ANTARES PUX/FECH 2200X1300X45 + COR</v>
          </cell>
          <cell r="E231">
            <v>2200</v>
          </cell>
          <cell r="F231">
            <v>1300</v>
          </cell>
        </row>
        <row r="232">
          <cell r="B232">
            <v>929246</v>
          </cell>
          <cell r="C232">
            <v>570198</v>
          </cell>
          <cell r="D232" t="str">
            <v>PORTA ESP ANTARES PUX/FECH 2200X1400X45 + COR</v>
          </cell>
          <cell r="E232">
            <v>2200</v>
          </cell>
          <cell r="F232">
            <v>1400</v>
          </cell>
        </row>
        <row r="233">
          <cell r="B233">
            <v>929247</v>
          </cell>
          <cell r="C233">
            <v>570199</v>
          </cell>
          <cell r="D233" t="str">
            <v>PORTA ESP ANTARES PUX/FECH 2200X1500X45 + COR</v>
          </cell>
          <cell r="E233">
            <v>2200</v>
          </cell>
          <cell r="F233">
            <v>1500</v>
          </cell>
        </row>
        <row r="235">
          <cell r="B235">
            <v>929250</v>
          </cell>
          <cell r="C235">
            <v>570200</v>
          </cell>
          <cell r="D235" t="str">
            <v>PORTA ESP ANTARES PUX/FECH 2300X800X45 + COR</v>
          </cell>
          <cell r="E235">
            <v>2300</v>
          </cell>
          <cell r="F235">
            <v>800</v>
          </cell>
        </row>
        <row r="236">
          <cell r="B236">
            <v>929251</v>
          </cell>
          <cell r="C236">
            <v>570201</v>
          </cell>
          <cell r="D236" t="str">
            <v>PORTA ESP ANTARES PUX/FECH 2300X900X45 + COR</v>
          </cell>
          <cell r="E236">
            <v>2300</v>
          </cell>
          <cell r="F236">
            <v>900</v>
          </cell>
        </row>
        <row r="237">
          <cell r="B237">
            <v>929252</v>
          </cell>
          <cell r="C237">
            <v>570202</v>
          </cell>
          <cell r="D237" t="str">
            <v>PORTA ESP ANTARES PUX/FECH 2300X1000X45 + COR</v>
          </cell>
          <cell r="E237">
            <v>2300</v>
          </cell>
          <cell r="F237">
            <v>1000</v>
          </cell>
        </row>
        <row r="238">
          <cell r="B238">
            <v>929253</v>
          </cell>
          <cell r="C238">
            <v>570203</v>
          </cell>
          <cell r="D238" t="str">
            <v>PORTA ESP ANTARES PUX/FECH 2300X1100X45 + COR</v>
          </cell>
          <cell r="E238">
            <v>2300</v>
          </cell>
          <cell r="F238">
            <v>1100</v>
          </cell>
        </row>
        <row r="239">
          <cell r="B239">
            <v>929254</v>
          </cell>
          <cell r="C239">
            <v>570204</v>
          </cell>
          <cell r="D239" t="str">
            <v>PORTA ESP ANTARES PUX/FECH 2300X1200X45 + COR</v>
          </cell>
          <cell r="E239">
            <v>2300</v>
          </cell>
          <cell r="F239">
            <v>1200</v>
          </cell>
        </row>
        <row r="240">
          <cell r="B240">
            <v>929255</v>
          </cell>
          <cell r="C240">
            <v>570205</v>
          </cell>
          <cell r="D240" t="str">
            <v>PORTA ESP ANTARES PUX/FECH 2300X1300X45 + COR</v>
          </cell>
          <cell r="E240">
            <v>2300</v>
          </cell>
          <cell r="F240">
            <v>1300</v>
          </cell>
        </row>
        <row r="241">
          <cell r="B241">
            <v>929256</v>
          </cell>
          <cell r="C241">
            <v>570206</v>
          </cell>
          <cell r="D241" t="str">
            <v>PORTA ESP ANTARES PUX/FECH 2300X1400X45 + COR</v>
          </cell>
          <cell r="E241">
            <v>2300</v>
          </cell>
          <cell r="F241">
            <v>1400</v>
          </cell>
        </row>
        <row r="242">
          <cell r="B242">
            <v>929257</v>
          </cell>
          <cell r="C242">
            <v>570207</v>
          </cell>
          <cell r="D242" t="str">
            <v>PORTA ESP ANTARES PUX/FECH 2300X1500X45 + COR</v>
          </cell>
          <cell r="E242">
            <v>2300</v>
          </cell>
          <cell r="F242">
            <v>1500</v>
          </cell>
        </row>
        <row r="244">
          <cell r="B244">
            <v>929260</v>
          </cell>
          <cell r="C244">
            <v>570208</v>
          </cell>
          <cell r="D244" t="str">
            <v>PORTA ESP ANTARES PUX/FECH 2400X800X45 + COR</v>
          </cell>
          <cell r="E244">
            <v>2400</v>
          </cell>
          <cell r="F244">
            <v>800</v>
          </cell>
        </row>
        <row r="245">
          <cell r="B245">
            <v>929261</v>
          </cell>
          <cell r="C245">
            <v>570209</v>
          </cell>
          <cell r="D245" t="str">
            <v>PORTA ESP ANTARES PUX/FECH 2400X900X45 + COR</v>
          </cell>
          <cell r="E245">
            <v>2400</v>
          </cell>
          <cell r="F245">
            <v>900</v>
          </cell>
        </row>
        <row r="246">
          <cell r="B246">
            <v>929262</v>
          </cell>
          <cell r="C246">
            <v>570210</v>
          </cell>
          <cell r="D246" t="str">
            <v>PORTA ESP ANTARES PUX/FECH 2400X1000X45 + COR</v>
          </cell>
          <cell r="E246">
            <v>2400</v>
          </cell>
          <cell r="F246">
            <v>1000</v>
          </cell>
        </row>
        <row r="247">
          <cell r="B247">
            <v>929263</v>
          </cell>
          <cell r="C247">
            <v>570211</v>
          </cell>
          <cell r="D247" t="str">
            <v>PORTA ESP ANTARES PUX/FECH 2400X1100X45 + COR</v>
          </cell>
          <cell r="E247">
            <v>2400</v>
          </cell>
          <cell r="F247">
            <v>1100</v>
          </cell>
        </row>
        <row r="248">
          <cell r="B248">
            <v>929264</v>
          </cell>
          <cell r="C248">
            <v>570212</v>
          </cell>
          <cell r="D248" t="str">
            <v>PORTA ESP ANTARES PUX/FECH 2400X1200X45 + COR</v>
          </cell>
          <cell r="E248">
            <v>2400</v>
          </cell>
          <cell r="F248">
            <v>1200</v>
          </cell>
        </row>
        <row r="249">
          <cell r="B249">
            <v>929265</v>
          </cell>
          <cell r="C249">
            <v>570213</v>
          </cell>
          <cell r="D249" t="str">
            <v>PORTA ESP ANTARES PUX/FECH 2400X1300X45 + COR</v>
          </cell>
          <cell r="E249">
            <v>2400</v>
          </cell>
          <cell r="F249">
            <v>1300</v>
          </cell>
        </row>
        <row r="250">
          <cell r="B250">
            <v>929266</v>
          </cell>
          <cell r="C250">
            <v>570214</v>
          </cell>
          <cell r="D250" t="str">
            <v>PORTA ESP ANTARES PUX/FECH 2400X1400X45 + COR</v>
          </cell>
          <cell r="E250">
            <v>2400</v>
          </cell>
          <cell r="F250">
            <v>1400</v>
          </cell>
        </row>
        <row r="251">
          <cell r="B251">
            <v>929267</v>
          </cell>
          <cell r="C251">
            <v>570215</v>
          </cell>
          <cell r="D251" t="str">
            <v>PORTA ESP ANTARES PUX/FECH 2400X1500X45 + COR</v>
          </cell>
          <cell r="E251">
            <v>2400</v>
          </cell>
          <cell r="F251">
            <v>1500</v>
          </cell>
        </row>
        <row r="253">
          <cell r="B253">
            <v>929270</v>
          </cell>
          <cell r="C253">
            <v>570216</v>
          </cell>
          <cell r="D253" t="str">
            <v>PORTA ESP ANTARES PUX/FECH 2500X800X45 + COR</v>
          </cell>
          <cell r="E253">
            <v>2500</v>
          </cell>
          <cell r="F253">
            <v>800</v>
          </cell>
        </row>
        <row r="254">
          <cell r="B254">
            <v>929271</v>
          </cell>
          <cell r="C254">
            <v>570217</v>
          </cell>
          <cell r="D254" t="str">
            <v>PORTA ESP ANTARES PUX/FECH 2500X900X45 + COR</v>
          </cell>
          <cell r="E254">
            <v>2500</v>
          </cell>
          <cell r="F254">
            <v>900</v>
          </cell>
        </row>
        <row r="255">
          <cell r="B255">
            <v>929272</v>
          </cell>
          <cell r="C255">
            <v>570218</v>
          </cell>
          <cell r="D255" t="str">
            <v>PORTA ESP ANTARES PUX/FECH 2500X1000X45 + COR</v>
          </cell>
          <cell r="E255">
            <v>2500</v>
          </cell>
          <cell r="F255">
            <v>1000</v>
          </cell>
        </row>
        <row r="256">
          <cell r="B256">
            <v>929273</v>
          </cell>
          <cell r="C256">
            <v>570219</v>
          </cell>
          <cell r="D256" t="str">
            <v>PORTA ESP ANTARES PUX/FECH 2500X1100X45 + COR</v>
          </cell>
          <cell r="E256">
            <v>2500</v>
          </cell>
          <cell r="F256">
            <v>1100</v>
          </cell>
        </row>
        <row r="257">
          <cell r="B257">
            <v>929274</v>
          </cell>
          <cell r="C257">
            <v>570220</v>
          </cell>
          <cell r="D257" t="str">
            <v>PORTA ESP ANTARES PUX/FECH 2500X1200X45 + COR</v>
          </cell>
          <cell r="E257">
            <v>2500</v>
          </cell>
          <cell r="F257">
            <v>1200</v>
          </cell>
        </row>
        <row r="258">
          <cell r="B258">
            <v>929275</v>
          </cell>
          <cell r="C258">
            <v>570221</v>
          </cell>
          <cell r="D258" t="str">
            <v>PORTA ESP ANTARES PUX/FECH 2500X1300X45 + COR</v>
          </cell>
          <cell r="E258">
            <v>2500</v>
          </cell>
          <cell r="F258">
            <v>1300</v>
          </cell>
        </row>
        <row r="259">
          <cell r="B259">
            <v>929276</v>
          </cell>
          <cell r="C259">
            <v>570222</v>
          </cell>
          <cell r="D259" t="str">
            <v>PORTA ESP ANTARES PUX/FECH 2500X1400X45 + COR</v>
          </cell>
          <cell r="E259">
            <v>2500</v>
          </cell>
          <cell r="F259">
            <v>1400</v>
          </cell>
        </row>
        <row r="260">
          <cell r="B260">
            <v>929277</v>
          </cell>
          <cell r="C260">
            <v>570223</v>
          </cell>
          <cell r="D260" t="str">
            <v>PORTA ESP ANTARES PUX/FECH 2500X1500X45 + COR</v>
          </cell>
          <cell r="E260">
            <v>2500</v>
          </cell>
          <cell r="F260">
            <v>1500</v>
          </cell>
        </row>
        <row r="262">
          <cell r="B262">
            <v>929280</v>
          </cell>
          <cell r="C262">
            <v>570224</v>
          </cell>
          <cell r="D262" t="str">
            <v>PORTA ESP ANTARES PUX/FECH 2600X800X45 + COR</v>
          </cell>
          <cell r="E262">
            <v>2600</v>
          </cell>
          <cell r="F262">
            <v>800</v>
          </cell>
        </row>
        <row r="263">
          <cell r="B263">
            <v>929281</v>
          </cell>
          <cell r="C263">
            <v>570225</v>
          </cell>
          <cell r="D263" t="str">
            <v>PORTA ESP ANTARES PUX/FECH 2600X900X45 + COR</v>
          </cell>
          <cell r="E263">
            <v>2600</v>
          </cell>
          <cell r="F263">
            <v>900</v>
          </cell>
        </row>
        <row r="264">
          <cell r="B264">
            <v>929282</v>
          </cell>
          <cell r="C264">
            <v>570226</v>
          </cell>
          <cell r="D264" t="str">
            <v>PORTA ESP ANTARES PUX/FECH 2600X1000X45 + COR</v>
          </cell>
          <cell r="E264">
            <v>2600</v>
          </cell>
          <cell r="F264">
            <v>1000</v>
          </cell>
        </row>
        <row r="265">
          <cell r="B265">
            <v>929283</v>
          </cell>
          <cell r="C265">
            <v>570227</v>
          </cell>
          <cell r="D265" t="str">
            <v>PORTA ESP ANTARES PUX/FECH 2600X1100X45 + COR</v>
          </cell>
          <cell r="E265">
            <v>2600</v>
          </cell>
          <cell r="F265">
            <v>1100</v>
          </cell>
        </row>
        <row r="266">
          <cell r="B266">
            <v>929284</v>
          </cell>
          <cell r="C266">
            <v>570228</v>
          </cell>
          <cell r="D266" t="str">
            <v>PORTA ESP ANTARES PUX/FECH 2600X1200X45 + COR</v>
          </cell>
          <cell r="E266">
            <v>2600</v>
          </cell>
          <cell r="F266">
            <v>1200</v>
          </cell>
        </row>
        <row r="267">
          <cell r="B267">
            <v>929285</v>
          </cell>
          <cell r="C267">
            <v>570229</v>
          </cell>
          <cell r="D267" t="str">
            <v>PORTA ESP ANTARES PUX/FECH 2600X1300X45 + COR</v>
          </cell>
          <cell r="E267">
            <v>2600</v>
          </cell>
          <cell r="F267">
            <v>1300</v>
          </cell>
        </row>
        <row r="268">
          <cell r="B268">
            <v>929286</v>
          </cell>
          <cell r="C268">
            <v>570230</v>
          </cell>
          <cell r="D268" t="str">
            <v>PORTA ESP ANTARES PUX/FECH 2600X1400X45 + COR</v>
          </cell>
          <cell r="E268">
            <v>2600</v>
          </cell>
          <cell r="F268">
            <v>1400</v>
          </cell>
        </row>
        <row r="269">
          <cell r="B269">
            <v>929287</v>
          </cell>
          <cell r="C269">
            <v>570231</v>
          </cell>
          <cell r="D269" t="str">
            <v>PORTA ESP ANTARES PUX/FECH 2600X1500X45 + COR</v>
          </cell>
          <cell r="E269">
            <v>2600</v>
          </cell>
          <cell r="F269">
            <v>1500</v>
          </cell>
        </row>
        <row r="271">
          <cell r="B271">
            <v>929290</v>
          </cell>
          <cell r="C271">
            <v>570232</v>
          </cell>
          <cell r="D271" t="str">
            <v>PORTA ESP ANTARES PUX/FECH 2700X800X45 + COR</v>
          </cell>
          <cell r="E271">
            <v>2700</v>
          </cell>
          <cell r="F271">
            <v>800</v>
          </cell>
        </row>
        <row r="272">
          <cell r="B272">
            <v>929291</v>
          </cell>
          <cell r="C272">
            <v>570233</v>
          </cell>
          <cell r="D272" t="str">
            <v>PORTA ESP ANTARES PUX/FECH 2700X900X45 + COR</v>
          </cell>
          <cell r="E272">
            <v>2700</v>
          </cell>
          <cell r="F272">
            <v>900</v>
          </cell>
        </row>
        <row r="273">
          <cell r="B273">
            <v>929292</v>
          </cell>
          <cell r="C273">
            <v>570234</v>
          </cell>
          <cell r="D273" t="str">
            <v>PORTA ESP ANTARES PUX/FECH 2700X1000X45 + COR</v>
          </cell>
          <cell r="E273">
            <v>2700</v>
          </cell>
          <cell r="F273">
            <v>1000</v>
          </cell>
        </row>
        <row r="274">
          <cell r="B274">
            <v>929293</v>
          </cell>
          <cell r="C274">
            <v>570235</v>
          </cell>
          <cell r="D274" t="str">
            <v>PORTA ESP ANTARES PUX/FECH 2700X1100X45 + COR</v>
          </cell>
          <cell r="E274">
            <v>2700</v>
          </cell>
          <cell r="F274">
            <v>1100</v>
          </cell>
        </row>
        <row r="275">
          <cell r="B275">
            <v>929294</v>
          </cell>
          <cell r="C275">
            <v>570236</v>
          </cell>
          <cell r="D275" t="str">
            <v>PORTA ESP ANTARES PUX/FECH 2700X1200X45 + COR</v>
          </cell>
          <cell r="E275">
            <v>2700</v>
          </cell>
          <cell r="F275">
            <v>1200</v>
          </cell>
        </row>
        <row r="276">
          <cell r="B276">
            <v>929295</v>
          </cell>
          <cell r="C276">
            <v>570237</v>
          </cell>
          <cell r="D276" t="str">
            <v>PORTA ESP ANTARES PUX/FECH 2700X1300X45 + COR</v>
          </cell>
          <cell r="E276">
            <v>2700</v>
          </cell>
          <cell r="F276">
            <v>1300</v>
          </cell>
        </row>
        <row r="277">
          <cell r="B277">
            <v>929296</v>
          </cell>
          <cell r="C277">
            <v>570238</v>
          </cell>
          <cell r="D277" t="str">
            <v>PORTA ESP ANTARES PUX/FECH 2700X1400X45 + COR</v>
          </cell>
          <cell r="E277">
            <v>2700</v>
          </cell>
          <cell r="F277">
            <v>1400</v>
          </cell>
        </row>
        <row r="278">
          <cell r="B278">
            <v>929297</v>
          </cell>
          <cell r="C278">
            <v>570239</v>
          </cell>
          <cell r="D278" t="str">
            <v>PORTA ESP ANTARES PUX/FECH 2700X1500X45 + COR</v>
          </cell>
          <cell r="E278">
            <v>2700</v>
          </cell>
          <cell r="F278">
            <v>1500</v>
          </cell>
        </row>
      </sheetData>
      <sheetData sheetId="2" refreshError="1"/>
      <sheetData sheetId="3" refreshError="1">
        <row r="6">
          <cell r="A6">
            <v>598099</v>
          </cell>
          <cell r="B6" t="str">
            <v>-</v>
          </cell>
          <cell r="C6" t="str">
            <v>01</v>
          </cell>
          <cell r="D6" t="str">
            <v>02</v>
          </cell>
          <cell r="E6" t="str">
            <v>03</v>
          </cell>
          <cell r="F6" t="str">
            <v>04</v>
          </cell>
          <cell r="G6" t="str">
            <v>05</v>
          </cell>
          <cell r="H6" t="str">
            <v>06</v>
          </cell>
          <cell r="I6" t="str">
            <v>07</v>
          </cell>
          <cell r="J6" t="str">
            <v>08</v>
          </cell>
          <cell r="K6" t="str">
            <v>09</v>
          </cell>
          <cell r="L6" t="str">
            <v>10</v>
          </cell>
          <cell r="M6" t="str">
            <v>-</v>
          </cell>
          <cell r="N6" t="str">
            <v>PINTURA PL ALUM SUPERIOR ATRIA/ANTARES + COR</v>
          </cell>
          <cell r="O6" t="str">
            <v>-</v>
          </cell>
          <cell r="P6" t="str">
            <v>-</v>
          </cell>
          <cell r="Q6" t="str">
            <v>-</v>
          </cell>
        </row>
        <row r="7">
          <cell r="A7">
            <v>598098</v>
          </cell>
          <cell r="B7" t="str">
            <v>-</v>
          </cell>
          <cell r="C7" t="str">
            <v>01</v>
          </cell>
          <cell r="D7" t="str">
            <v>02</v>
          </cell>
          <cell r="E7" t="str">
            <v>03</v>
          </cell>
          <cell r="F7" t="str">
            <v>04</v>
          </cell>
          <cell r="G7" t="str">
            <v>05</v>
          </cell>
          <cell r="H7" t="str">
            <v>06</v>
          </cell>
          <cell r="I7" t="str">
            <v>07</v>
          </cell>
          <cell r="J7" t="str">
            <v>08</v>
          </cell>
          <cell r="K7" t="str">
            <v>09</v>
          </cell>
          <cell r="L7" t="str">
            <v>10</v>
          </cell>
          <cell r="M7" t="str">
            <v>-</v>
          </cell>
          <cell r="N7" t="str">
            <v>PINTURA PL ALUM INFERIOR ATRIA/ANTARES + COR</v>
          </cell>
          <cell r="O7" t="str">
            <v>-</v>
          </cell>
          <cell r="P7" t="str">
            <v>-</v>
          </cell>
          <cell r="Q7" t="str">
            <v>-</v>
          </cell>
        </row>
        <row r="8">
          <cell r="A8">
            <v>598097</v>
          </cell>
          <cell r="B8" t="str">
            <v>-</v>
          </cell>
          <cell r="C8" t="str">
            <v>01</v>
          </cell>
          <cell r="D8" t="str">
            <v>02</v>
          </cell>
          <cell r="E8" t="str">
            <v>03</v>
          </cell>
          <cell r="F8" t="str">
            <v>04</v>
          </cell>
          <cell r="G8" t="str">
            <v>05</v>
          </cell>
          <cell r="H8" t="str">
            <v>06</v>
          </cell>
          <cell r="I8" t="str">
            <v>07</v>
          </cell>
          <cell r="J8" t="str">
            <v>08</v>
          </cell>
          <cell r="K8" t="str">
            <v>09</v>
          </cell>
          <cell r="L8" t="str">
            <v>10</v>
          </cell>
          <cell r="M8" t="str">
            <v>-</v>
          </cell>
          <cell r="N8" t="str">
            <v>PINTURA PL ALUM LATERAL ATRIA/ANTARES + COR</v>
          </cell>
          <cell r="O8" t="str">
            <v>-</v>
          </cell>
          <cell r="P8" t="str">
            <v>-</v>
          </cell>
          <cell r="Q8" t="str">
            <v>-</v>
          </cell>
        </row>
        <row r="9">
          <cell r="A9">
            <v>598096</v>
          </cell>
          <cell r="B9" t="str">
            <v>-</v>
          </cell>
          <cell r="C9" t="str">
            <v>01</v>
          </cell>
          <cell r="D9" t="str">
            <v>02</v>
          </cell>
          <cell r="E9" t="str">
            <v>03</v>
          </cell>
          <cell r="F9" t="str">
            <v>04</v>
          </cell>
          <cell r="G9" t="str">
            <v>05</v>
          </cell>
          <cell r="H9" t="str">
            <v>06</v>
          </cell>
          <cell r="I9" t="str">
            <v>07</v>
          </cell>
          <cell r="J9" t="str">
            <v>08</v>
          </cell>
          <cell r="K9" t="str">
            <v>09</v>
          </cell>
          <cell r="L9" t="str">
            <v>10</v>
          </cell>
          <cell r="M9" t="str">
            <v>-</v>
          </cell>
          <cell r="N9" t="str">
            <v>PINTURA PUX INDUS + COR</v>
          </cell>
          <cell r="O9" t="str">
            <v>-</v>
          </cell>
          <cell r="P9" t="str">
            <v>-</v>
          </cell>
          <cell r="Q9" t="str">
            <v>-</v>
          </cell>
        </row>
        <row r="11">
          <cell r="A11">
            <v>598100</v>
          </cell>
          <cell r="B11" t="str">
            <v>-</v>
          </cell>
          <cell r="C11" t="str">
            <v>01</v>
          </cell>
          <cell r="D11" t="str">
            <v>02</v>
          </cell>
          <cell r="E11" t="str">
            <v>03</v>
          </cell>
          <cell r="F11" t="str">
            <v>04</v>
          </cell>
          <cell r="G11" t="str">
            <v>05</v>
          </cell>
          <cell r="H11" t="str">
            <v>06</v>
          </cell>
          <cell r="I11" t="str">
            <v>07</v>
          </cell>
          <cell r="J11" t="str">
            <v>08</v>
          </cell>
          <cell r="K11" t="str">
            <v>09</v>
          </cell>
          <cell r="L11" t="str">
            <v>10</v>
          </cell>
          <cell r="M11" t="str">
            <v>-</v>
          </cell>
          <cell r="N11" t="str">
            <v>PINTURA PL ALUM ACABAMENTO ATRIA/ANTARES/ARA + COR</v>
          </cell>
          <cell r="O11" t="str">
            <v>-</v>
          </cell>
          <cell r="P11" t="str">
            <v>-</v>
          </cell>
          <cell r="Q11" t="str">
            <v>-</v>
          </cell>
        </row>
        <row r="12">
          <cell r="A12">
            <v>598103</v>
          </cell>
          <cell r="B12" t="str">
            <v>-</v>
          </cell>
          <cell r="C12" t="str">
            <v>01</v>
          </cell>
          <cell r="D12" t="str">
            <v>02</v>
          </cell>
          <cell r="E12" t="str">
            <v>03</v>
          </cell>
          <cell r="F12" t="str">
            <v>04</v>
          </cell>
          <cell r="G12" t="str">
            <v>05</v>
          </cell>
          <cell r="H12" t="str">
            <v>06</v>
          </cell>
          <cell r="I12" t="str">
            <v>07</v>
          </cell>
          <cell r="J12" t="str">
            <v>08</v>
          </cell>
          <cell r="K12" t="str">
            <v>09</v>
          </cell>
          <cell r="L12" t="str">
            <v>10</v>
          </cell>
          <cell r="M12" t="str">
            <v>-</v>
          </cell>
          <cell r="N12" t="str">
            <v>PINTURA TAMPA ACABAMENTO ATRIA/ANTARES/ARA + COR</v>
          </cell>
          <cell r="O12" t="str">
            <v>-</v>
          </cell>
          <cell r="P12" t="str">
            <v>-</v>
          </cell>
          <cell r="Q12" t="str">
            <v>-</v>
          </cell>
        </row>
        <row r="13">
          <cell r="A13">
            <v>598120</v>
          </cell>
          <cell r="B13" t="str">
            <v>-</v>
          </cell>
          <cell r="C13" t="str">
            <v>01</v>
          </cell>
          <cell r="D13" t="str">
            <v>02</v>
          </cell>
          <cell r="E13" t="str">
            <v>03</v>
          </cell>
          <cell r="F13" t="str">
            <v>04</v>
          </cell>
          <cell r="G13" t="str">
            <v>05</v>
          </cell>
          <cell r="H13" t="str">
            <v>06</v>
          </cell>
          <cell r="I13" t="str">
            <v>07</v>
          </cell>
          <cell r="J13" t="str">
            <v>08</v>
          </cell>
          <cell r="K13" t="str">
            <v>09</v>
          </cell>
          <cell r="L13" t="str">
            <v>10</v>
          </cell>
          <cell r="M13" t="str">
            <v>-</v>
          </cell>
          <cell r="N13" t="str">
            <v>PINTURA PL PAREDE ATRIA/ANTARES/ARA + COR</v>
          </cell>
          <cell r="O13" t="str">
            <v>-</v>
          </cell>
          <cell r="P13" t="str">
            <v>-</v>
          </cell>
          <cell r="Q13" t="str">
            <v>-</v>
          </cell>
        </row>
        <row r="15">
          <cell r="A15" t="str">
            <v>PEÇAS PORTAS DESLIZANTES (595000-595999)</v>
          </cell>
        </row>
        <row r="16">
          <cell r="A16">
            <v>598000</v>
          </cell>
          <cell r="B16">
            <v>3399</v>
          </cell>
          <cell r="C16">
            <v>3301</v>
          </cell>
          <cell r="D16">
            <v>3302</v>
          </cell>
          <cell r="E16">
            <v>3303</v>
          </cell>
          <cell r="F16">
            <v>3304</v>
          </cell>
          <cell r="G16">
            <v>3305</v>
          </cell>
          <cell r="H16">
            <v>3306</v>
          </cell>
          <cell r="I16">
            <v>3307</v>
          </cell>
          <cell r="J16">
            <v>3308</v>
          </cell>
          <cell r="K16">
            <v>3309</v>
          </cell>
          <cell r="L16">
            <v>3310</v>
          </cell>
          <cell r="M16">
            <v>3300</v>
          </cell>
          <cell r="N16" t="str">
            <v>CABECEIRA SUP PTA DESL ATRIA 789X36X45MM + COR</v>
          </cell>
          <cell r="O16">
            <v>789</v>
          </cell>
          <cell r="P16">
            <v>36</v>
          </cell>
          <cell r="Q16">
            <v>45</v>
          </cell>
        </row>
        <row r="17">
          <cell r="A17">
            <v>598001</v>
          </cell>
          <cell r="B17">
            <v>3399</v>
          </cell>
          <cell r="C17">
            <v>3301</v>
          </cell>
          <cell r="D17">
            <v>3302</v>
          </cell>
          <cell r="E17">
            <v>3303</v>
          </cell>
          <cell r="F17">
            <v>3304</v>
          </cell>
          <cell r="G17">
            <v>3305</v>
          </cell>
          <cell r="H17">
            <v>3306</v>
          </cell>
          <cell r="I17">
            <v>3307</v>
          </cell>
          <cell r="J17">
            <v>3308</v>
          </cell>
          <cell r="K17">
            <v>3309</v>
          </cell>
          <cell r="L17">
            <v>3310</v>
          </cell>
          <cell r="M17">
            <v>3300</v>
          </cell>
          <cell r="N17" t="str">
            <v>CABECEIRA SUP PTA DESL ATRIA 889X36X45MM + COR</v>
          </cell>
          <cell r="O17">
            <v>889</v>
          </cell>
          <cell r="P17">
            <v>36</v>
          </cell>
          <cell r="Q17">
            <v>45</v>
          </cell>
        </row>
        <row r="18">
          <cell r="A18">
            <v>598002</v>
          </cell>
          <cell r="B18">
            <v>3399</v>
          </cell>
          <cell r="C18">
            <v>3301</v>
          </cell>
          <cell r="D18">
            <v>3302</v>
          </cell>
          <cell r="E18">
            <v>3303</v>
          </cell>
          <cell r="F18">
            <v>3304</v>
          </cell>
          <cell r="G18">
            <v>3305</v>
          </cell>
          <cell r="H18">
            <v>3306</v>
          </cell>
          <cell r="I18">
            <v>3307</v>
          </cell>
          <cell r="J18">
            <v>3308</v>
          </cell>
          <cell r="K18">
            <v>3309</v>
          </cell>
          <cell r="L18">
            <v>3310</v>
          </cell>
          <cell r="M18">
            <v>3300</v>
          </cell>
          <cell r="N18" t="str">
            <v>CABECEIRA SUP PTA DESL ATRIA 989X36X45MM + COR</v>
          </cell>
          <cell r="O18">
            <v>989</v>
          </cell>
          <cell r="P18">
            <v>36</v>
          </cell>
          <cell r="Q18">
            <v>45</v>
          </cell>
        </row>
        <row r="19">
          <cell r="A19">
            <v>598003</v>
          </cell>
          <cell r="B19">
            <v>3399</v>
          </cell>
          <cell r="C19">
            <v>3301</v>
          </cell>
          <cell r="D19">
            <v>3302</v>
          </cell>
          <cell r="E19">
            <v>3303</v>
          </cell>
          <cell r="F19">
            <v>3304</v>
          </cell>
          <cell r="G19">
            <v>3305</v>
          </cell>
          <cell r="H19">
            <v>3306</v>
          </cell>
          <cell r="I19">
            <v>3307</v>
          </cell>
          <cell r="J19">
            <v>3308</v>
          </cell>
          <cell r="K19">
            <v>3309</v>
          </cell>
          <cell r="L19">
            <v>3310</v>
          </cell>
          <cell r="M19">
            <v>3300</v>
          </cell>
          <cell r="N19" t="str">
            <v>CABECEIRA SUP PTA DESL ATRIA 1089X36X45MM + COR</v>
          </cell>
          <cell r="O19">
            <v>1089</v>
          </cell>
          <cell r="P19">
            <v>36</v>
          </cell>
          <cell r="Q19">
            <v>45</v>
          </cell>
        </row>
        <row r="20">
          <cell r="A20">
            <v>598004</v>
          </cell>
          <cell r="B20">
            <v>3399</v>
          </cell>
          <cell r="C20">
            <v>3301</v>
          </cell>
          <cell r="D20">
            <v>3302</v>
          </cell>
          <cell r="E20">
            <v>3303</v>
          </cell>
          <cell r="F20">
            <v>3304</v>
          </cell>
          <cell r="G20">
            <v>3305</v>
          </cell>
          <cell r="H20">
            <v>3306</v>
          </cell>
          <cell r="I20">
            <v>3307</v>
          </cell>
          <cell r="J20">
            <v>3308</v>
          </cell>
          <cell r="K20">
            <v>3309</v>
          </cell>
          <cell r="L20">
            <v>3310</v>
          </cell>
          <cell r="M20">
            <v>3300</v>
          </cell>
          <cell r="N20" t="str">
            <v>CABECEIRA SUP PTA DESL ATRIA 1189X36X45MM + COR</v>
          </cell>
          <cell r="O20">
            <v>1189</v>
          </cell>
          <cell r="P20">
            <v>36</v>
          </cell>
          <cell r="Q20">
            <v>45</v>
          </cell>
        </row>
        <row r="21">
          <cell r="A21">
            <v>598005</v>
          </cell>
          <cell r="B21">
            <v>3399</v>
          </cell>
          <cell r="C21">
            <v>3301</v>
          </cell>
          <cell r="D21">
            <v>3302</v>
          </cell>
          <cell r="E21">
            <v>3303</v>
          </cell>
          <cell r="F21">
            <v>3304</v>
          </cell>
          <cell r="G21">
            <v>3305</v>
          </cell>
          <cell r="H21">
            <v>3306</v>
          </cell>
          <cell r="I21">
            <v>3307</v>
          </cell>
          <cell r="J21">
            <v>3308</v>
          </cell>
          <cell r="K21">
            <v>3309</v>
          </cell>
          <cell r="L21">
            <v>3310</v>
          </cell>
          <cell r="M21">
            <v>3300</v>
          </cell>
          <cell r="N21" t="str">
            <v>CABECEIRA SUP PTA DESL ATRIA 1289X36X45MM + COR</v>
          </cell>
          <cell r="O21">
            <v>1289</v>
          </cell>
          <cell r="P21">
            <v>36</v>
          </cell>
          <cell r="Q21">
            <v>45</v>
          </cell>
        </row>
        <row r="22">
          <cell r="A22">
            <v>598006</v>
          </cell>
          <cell r="B22">
            <v>3399</v>
          </cell>
          <cell r="C22">
            <v>3301</v>
          </cell>
          <cell r="D22">
            <v>3302</v>
          </cell>
          <cell r="E22">
            <v>3303</v>
          </cell>
          <cell r="F22">
            <v>3304</v>
          </cell>
          <cell r="G22">
            <v>3305</v>
          </cell>
          <cell r="H22">
            <v>3306</v>
          </cell>
          <cell r="I22">
            <v>3307</v>
          </cell>
          <cell r="J22">
            <v>3308</v>
          </cell>
          <cell r="K22">
            <v>3309</v>
          </cell>
          <cell r="L22">
            <v>3310</v>
          </cell>
          <cell r="M22">
            <v>3300</v>
          </cell>
          <cell r="N22" t="str">
            <v>CABECEIRA SUP PTA DESL ATRIA 1389X36X45MM + COR</v>
          </cell>
          <cell r="O22">
            <v>1389</v>
          </cell>
          <cell r="P22">
            <v>36</v>
          </cell>
          <cell r="Q22">
            <v>45</v>
          </cell>
        </row>
        <row r="23">
          <cell r="A23">
            <v>598007</v>
          </cell>
          <cell r="B23">
            <v>3399</v>
          </cell>
          <cell r="C23">
            <v>3301</v>
          </cell>
          <cell r="D23">
            <v>3302</v>
          </cell>
          <cell r="E23">
            <v>3303</v>
          </cell>
          <cell r="F23">
            <v>3304</v>
          </cell>
          <cell r="G23">
            <v>3305</v>
          </cell>
          <cell r="H23">
            <v>3306</v>
          </cell>
          <cell r="I23">
            <v>3307</v>
          </cell>
          <cell r="J23">
            <v>3308</v>
          </cell>
          <cell r="K23">
            <v>3309</v>
          </cell>
          <cell r="L23">
            <v>3310</v>
          </cell>
          <cell r="M23">
            <v>3300</v>
          </cell>
          <cell r="N23" t="str">
            <v>CABECEIRA SUP PTA DESL ATRIA 1489X36X45MM + COR</v>
          </cell>
          <cell r="O23">
            <v>1489</v>
          </cell>
          <cell r="P23">
            <v>36</v>
          </cell>
          <cell r="Q23">
            <v>45</v>
          </cell>
        </row>
        <row r="25">
          <cell r="A25">
            <v>598008</v>
          </cell>
          <cell r="B25">
            <v>3399</v>
          </cell>
          <cell r="C25">
            <v>3301</v>
          </cell>
          <cell r="D25">
            <v>3302</v>
          </cell>
          <cell r="E25">
            <v>3303</v>
          </cell>
          <cell r="F25">
            <v>3304</v>
          </cell>
          <cell r="G25">
            <v>3305</v>
          </cell>
          <cell r="H25">
            <v>3306</v>
          </cell>
          <cell r="I25">
            <v>3307</v>
          </cell>
          <cell r="J25">
            <v>3308</v>
          </cell>
          <cell r="K25">
            <v>3309</v>
          </cell>
          <cell r="L25">
            <v>3310</v>
          </cell>
          <cell r="M25">
            <v>3300</v>
          </cell>
          <cell r="N25" t="str">
            <v>CABECEIRA INF PTA DESL ATRIA 789X36X45MM + COR</v>
          </cell>
          <cell r="O25">
            <v>789</v>
          </cell>
          <cell r="P25">
            <v>36</v>
          </cell>
          <cell r="Q25">
            <v>45</v>
          </cell>
        </row>
        <row r="26">
          <cell r="A26">
            <v>598009</v>
          </cell>
          <cell r="B26">
            <v>3399</v>
          </cell>
          <cell r="C26">
            <v>3301</v>
          </cell>
          <cell r="D26">
            <v>3302</v>
          </cell>
          <cell r="E26">
            <v>3303</v>
          </cell>
          <cell r="F26">
            <v>3304</v>
          </cell>
          <cell r="G26">
            <v>3305</v>
          </cell>
          <cell r="H26">
            <v>3306</v>
          </cell>
          <cell r="I26">
            <v>3307</v>
          </cell>
          <cell r="J26">
            <v>3308</v>
          </cell>
          <cell r="K26">
            <v>3309</v>
          </cell>
          <cell r="L26">
            <v>3310</v>
          </cell>
          <cell r="M26">
            <v>3300</v>
          </cell>
          <cell r="N26" t="str">
            <v>CABECEIRA INF PTA DESL ATRIA 889X36X45MM + COR</v>
          </cell>
          <cell r="O26">
            <v>889</v>
          </cell>
          <cell r="P26">
            <v>36</v>
          </cell>
          <cell r="Q26">
            <v>45</v>
          </cell>
        </row>
        <row r="27">
          <cell r="A27">
            <v>598010</v>
          </cell>
          <cell r="B27">
            <v>3399</v>
          </cell>
          <cell r="C27">
            <v>3301</v>
          </cell>
          <cell r="D27">
            <v>3302</v>
          </cell>
          <cell r="E27">
            <v>3303</v>
          </cell>
          <cell r="F27">
            <v>3304</v>
          </cell>
          <cell r="G27">
            <v>3305</v>
          </cell>
          <cell r="H27">
            <v>3306</v>
          </cell>
          <cell r="I27">
            <v>3307</v>
          </cell>
          <cell r="J27">
            <v>3308</v>
          </cell>
          <cell r="K27">
            <v>3309</v>
          </cell>
          <cell r="L27">
            <v>3310</v>
          </cell>
          <cell r="M27">
            <v>3300</v>
          </cell>
          <cell r="N27" t="str">
            <v>CABECEIRA INF PTA DESL ATRIA 989X36X45MM + COR</v>
          </cell>
          <cell r="O27">
            <v>989</v>
          </cell>
          <cell r="P27">
            <v>36</v>
          </cell>
          <cell r="Q27">
            <v>45</v>
          </cell>
        </row>
        <row r="28">
          <cell r="A28">
            <v>598011</v>
          </cell>
          <cell r="B28">
            <v>3399</v>
          </cell>
          <cell r="C28">
            <v>3301</v>
          </cell>
          <cell r="D28">
            <v>3302</v>
          </cell>
          <cell r="E28">
            <v>3303</v>
          </cell>
          <cell r="F28">
            <v>3304</v>
          </cell>
          <cell r="G28">
            <v>3305</v>
          </cell>
          <cell r="H28">
            <v>3306</v>
          </cell>
          <cell r="I28">
            <v>3307</v>
          </cell>
          <cell r="J28">
            <v>3308</v>
          </cell>
          <cell r="K28">
            <v>3309</v>
          </cell>
          <cell r="L28">
            <v>3310</v>
          </cell>
          <cell r="M28">
            <v>3300</v>
          </cell>
          <cell r="N28" t="str">
            <v>CABECEIRA INF PTA DESL ATRIA 1089X36X45MM + COR</v>
          </cell>
          <cell r="O28">
            <v>1089</v>
          </cell>
          <cell r="P28">
            <v>36</v>
          </cell>
          <cell r="Q28">
            <v>45</v>
          </cell>
        </row>
        <row r="29">
          <cell r="A29">
            <v>598012</v>
          </cell>
          <cell r="B29">
            <v>3399</v>
          </cell>
          <cell r="C29">
            <v>3301</v>
          </cell>
          <cell r="D29">
            <v>3302</v>
          </cell>
          <cell r="E29">
            <v>3303</v>
          </cell>
          <cell r="F29">
            <v>3304</v>
          </cell>
          <cell r="G29">
            <v>3305</v>
          </cell>
          <cell r="H29">
            <v>3306</v>
          </cell>
          <cell r="I29">
            <v>3307</v>
          </cell>
          <cell r="J29">
            <v>3308</v>
          </cell>
          <cell r="K29">
            <v>3309</v>
          </cell>
          <cell r="L29">
            <v>3310</v>
          </cell>
          <cell r="M29">
            <v>3300</v>
          </cell>
          <cell r="N29" t="str">
            <v>CABECEIRA INF PTA DESL ATRIA 1189X36X45MM + COR</v>
          </cell>
          <cell r="O29">
            <v>1189</v>
          </cell>
          <cell r="P29">
            <v>36</v>
          </cell>
          <cell r="Q29">
            <v>45</v>
          </cell>
        </row>
        <row r="30">
          <cell r="A30">
            <v>598013</v>
          </cell>
          <cell r="B30">
            <v>3399</v>
          </cell>
          <cell r="C30">
            <v>3301</v>
          </cell>
          <cell r="D30">
            <v>3302</v>
          </cell>
          <cell r="E30">
            <v>3303</v>
          </cell>
          <cell r="F30">
            <v>3304</v>
          </cell>
          <cell r="G30">
            <v>3305</v>
          </cell>
          <cell r="H30">
            <v>3306</v>
          </cell>
          <cell r="I30">
            <v>3307</v>
          </cell>
          <cell r="J30">
            <v>3308</v>
          </cell>
          <cell r="K30">
            <v>3309</v>
          </cell>
          <cell r="L30">
            <v>3310</v>
          </cell>
          <cell r="M30">
            <v>3300</v>
          </cell>
          <cell r="N30" t="str">
            <v>CABECEIRA INF PTA DESL ATRIA 1289X36X45MM + COR</v>
          </cell>
          <cell r="O30">
            <v>1289</v>
          </cell>
          <cell r="P30">
            <v>36</v>
          </cell>
          <cell r="Q30">
            <v>45</v>
          </cell>
        </row>
        <row r="31">
          <cell r="A31">
            <v>598014</v>
          </cell>
          <cell r="B31">
            <v>3399</v>
          </cell>
          <cell r="C31">
            <v>3301</v>
          </cell>
          <cell r="D31">
            <v>3302</v>
          </cell>
          <cell r="E31">
            <v>3303</v>
          </cell>
          <cell r="F31">
            <v>3304</v>
          </cell>
          <cell r="G31">
            <v>3305</v>
          </cell>
          <cell r="H31">
            <v>3306</v>
          </cell>
          <cell r="I31">
            <v>3307</v>
          </cell>
          <cell r="J31">
            <v>3308</v>
          </cell>
          <cell r="K31">
            <v>3309</v>
          </cell>
          <cell r="L31">
            <v>3310</v>
          </cell>
          <cell r="M31">
            <v>3300</v>
          </cell>
          <cell r="N31" t="str">
            <v>CABECEIRA INF PTA DESL ATRIA 1389X36X45MM + COR</v>
          </cell>
          <cell r="O31">
            <v>1389</v>
          </cell>
          <cell r="P31">
            <v>36</v>
          </cell>
          <cell r="Q31">
            <v>45</v>
          </cell>
        </row>
        <row r="32">
          <cell r="A32">
            <v>598015</v>
          </cell>
          <cell r="B32">
            <v>3399</v>
          </cell>
          <cell r="C32">
            <v>3301</v>
          </cell>
          <cell r="D32">
            <v>3302</v>
          </cell>
          <cell r="E32">
            <v>3303</v>
          </cell>
          <cell r="F32">
            <v>3304</v>
          </cell>
          <cell r="G32">
            <v>3305</v>
          </cell>
          <cell r="H32">
            <v>3306</v>
          </cell>
          <cell r="I32">
            <v>3307</v>
          </cell>
          <cell r="J32">
            <v>3308</v>
          </cell>
          <cell r="K32">
            <v>3309</v>
          </cell>
          <cell r="L32">
            <v>3310</v>
          </cell>
          <cell r="M32">
            <v>3300</v>
          </cell>
          <cell r="N32" t="str">
            <v>CABECEIRA INF PTA DESL ATRIA 1489X36X45MM + COR</v>
          </cell>
          <cell r="O32">
            <v>1489</v>
          </cell>
          <cell r="P32">
            <v>36</v>
          </cell>
          <cell r="Q32">
            <v>45</v>
          </cell>
        </row>
        <row r="34">
          <cell r="A34">
            <v>598016</v>
          </cell>
          <cell r="B34">
            <v>3399</v>
          </cell>
          <cell r="C34">
            <v>3301</v>
          </cell>
          <cell r="D34">
            <v>3302</v>
          </cell>
          <cell r="E34">
            <v>3303</v>
          </cell>
          <cell r="F34">
            <v>3304</v>
          </cell>
          <cell r="G34">
            <v>3305</v>
          </cell>
          <cell r="H34">
            <v>3306</v>
          </cell>
          <cell r="I34">
            <v>3307</v>
          </cell>
          <cell r="J34">
            <v>3308</v>
          </cell>
          <cell r="K34">
            <v>3309</v>
          </cell>
          <cell r="L34">
            <v>3310</v>
          </cell>
          <cell r="M34">
            <v>3300</v>
          </cell>
          <cell r="N34" t="str">
            <v>LATERAL DIR/ESQ PTA DESL ATRIA 1800X36X45MM + COR</v>
          </cell>
          <cell r="O34">
            <v>1800</v>
          </cell>
          <cell r="P34">
            <v>20</v>
          </cell>
          <cell r="Q34">
            <v>45</v>
          </cell>
        </row>
        <row r="35">
          <cell r="A35">
            <v>598017</v>
          </cell>
          <cell r="B35">
            <v>3399</v>
          </cell>
          <cell r="C35">
            <v>3301</v>
          </cell>
          <cell r="D35">
            <v>3302</v>
          </cell>
          <cell r="E35">
            <v>3303</v>
          </cell>
          <cell r="F35">
            <v>3304</v>
          </cell>
          <cell r="G35">
            <v>3305</v>
          </cell>
          <cell r="H35">
            <v>3306</v>
          </cell>
          <cell r="I35">
            <v>3307</v>
          </cell>
          <cell r="J35">
            <v>3308</v>
          </cell>
          <cell r="K35">
            <v>3309</v>
          </cell>
          <cell r="L35">
            <v>3310</v>
          </cell>
          <cell r="M35">
            <v>3300</v>
          </cell>
          <cell r="N35" t="str">
            <v>LATERAL DIR/ESQ PTA DESL ATRIA 1900X36X45MM + COR</v>
          </cell>
          <cell r="O35">
            <v>1900</v>
          </cell>
          <cell r="P35">
            <v>36</v>
          </cell>
          <cell r="Q35">
            <v>45</v>
          </cell>
        </row>
        <row r="36">
          <cell r="A36">
            <v>598018</v>
          </cell>
          <cell r="B36">
            <v>3399</v>
          </cell>
          <cell r="C36">
            <v>3301</v>
          </cell>
          <cell r="D36">
            <v>3302</v>
          </cell>
          <cell r="E36">
            <v>3303</v>
          </cell>
          <cell r="F36">
            <v>3304</v>
          </cell>
          <cell r="G36">
            <v>3305</v>
          </cell>
          <cell r="H36">
            <v>3306</v>
          </cell>
          <cell r="I36">
            <v>3307</v>
          </cell>
          <cell r="J36">
            <v>3308</v>
          </cell>
          <cell r="K36">
            <v>3309</v>
          </cell>
          <cell r="L36">
            <v>3310</v>
          </cell>
          <cell r="M36">
            <v>3300</v>
          </cell>
          <cell r="N36" t="str">
            <v>LATERAL DIR/ESQ PTA DESL ATRIA 2000X36X45MM + COR</v>
          </cell>
          <cell r="O36">
            <v>2000</v>
          </cell>
          <cell r="P36">
            <v>36</v>
          </cell>
          <cell r="Q36">
            <v>45</v>
          </cell>
        </row>
        <row r="37">
          <cell r="A37">
            <v>598019</v>
          </cell>
          <cell r="B37">
            <v>3399</v>
          </cell>
          <cell r="C37">
            <v>3301</v>
          </cell>
          <cell r="D37">
            <v>3302</v>
          </cell>
          <cell r="E37">
            <v>3303</v>
          </cell>
          <cell r="F37">
            <v>3304</v>
          </cell>
          <cell r="G37">
            <v>3305</v>
          </cell>
          <cell r="H37">
            <v>3306</v>
          </cell>
          <cell r="I37">
            <v>3307</v>
          </cell>
          <cell r="J37">
            <v>3308</v>
          </cell>
          <cell r="K37">
            <v>3309</v>
          </cell>
          <cell r="L37">
            <v>3310</v>
          </cell>
          <cell r="M37">
            <v>3300</v>
          </cell>
          <cell r="N37" t="str">
            <v>LATERAL DIR/ESQ PTA DESL ATRIA 2100X36X45MM + COR</v>
          </cell>
          <cell r="O37">
            <v>2100</v>
          </cell>
          <cell r="P37">
            <v>36</v>
          </cell>
          <cell r="Q37">
            <v>45</v>
          </cell>
        </row>
        <row r="38">
          <cell r="A38">
            <v>598020</v>
          </cell>
          <cell r="B38">
            <v>3399</v>
          </cell>
          <cell r="C38">
            <v>3301</v>
          </cell>
          <cell r="D38">
            <v>3302</v>
          </cell>
          <cell r="E38">
            <v>3303</v>
          </cell>
          <cell r="F38">
            <v>3304</v>
          </cell>
          <cell r="G38">
            <v>3305</v>
          </cell>
          <cell r="H38">
            <v>3306</v>
          </cell>
          <cell r="I38">
            <v>3307</v>
          </cell>
          <cell r="J38">
            <v>3308</v>
          </cell>
          <cell r="K38">
            <v>3309</v>
          </cell>
          <cell r="L38">
            <v>3310</v>
          </cell>
          <cell r="M38">
            <v>3300</v>
          </cell>
          <cell r="N38" t="str">
            <v>LATERAL DIR/ESQ PTA DESL ATRIA 2200X36X45MM + COR</v>
          </cell>
          <cell r="O38">
            <v>2200</v>
          </cell>
          <cell r="P38">
            <v>36</v>
          </cell>
          <cell r="Q38">
            <v>45</v>
          </cell>
        </row>
        <row r="39">
          <cell r="A39">
            <v>598021</v>
          </cell>
          <cell r="B39">
            <v>3399</v>
          </cell>
          <cell r="C39">
            <v>3301</v>
          </cell>
          <cell r="D39">
            <v>3302</v>
          </cell>
          <cell r="E39">
            <v>3303</v>
          </cell>
          <cell r="F39">
            <v>3304</v>
          </cell>
          <cell r="G39">
            <v>3305</v>
          </cell>
          <cell r="H39">
            <v>3306</v>
          </cell>
          <cell r="I39">
            <v>3307</v>
          </cell>
          <cell r="J39">
            <v>3308</v>
          </cell>
          <cell r="K39">
            <v>3309</v>
          </cell>
          <cell r="L39">
            <v>3310</v>
          </cell>
          <cell r="M39">
            <v>3300</v>
          </cell>
          <cell r="N39" t="str">
            <v>LATERAL DIR/ESQ PTA DESL ATRIA 2300X36X45MM + COR</v>
          </cell>
          <cell r="O39">
            <v>2300</v>
          </cell>
          <cell r="P39">
            <v>36</v>
          </cell>
          <cell r="Q39">
            <v>45</v>
          </cell>
        </row>
        <row r="40">
          <cell r="A40">
            <v>598022</v>
          </cell>
          <cell r="B40">
            <v>3399</v>
          </cell>
          <cell r="C40">
            <v>3301</v>
          </cell>
          <cell r="D40">
            <v>3302</v>
          </cell>
          <cell r="E40">
            <v>3303</v>
          </cell>
          <cell r="F40">
            <v>3304</v>
          </cell>
          <cell r="G40">
            <v>3305</v>
          </cell>
          <cell r="H40">
            <v>3306</v>
          </cell>
          <cell r="I40">
            <v>3307</v>
          </cell>
          <cell r="J40">
            <v>3308</v>
          </cell>
          <cell r="K40">
            <v>3309</v>
          </cell>
          <cell r="L40">
            <v>3310</v>
          </cell>
          <cell r="M40">
            <v>3300</v>
          </cell>
          <cell r="N40" t="str">
            <v>LATERAL DIR/ESQ PTA DESL ATRIA 2400X36X45MM + COR</v>
          </cell>
          <cell r="O40">
            <v>2400</v>
          </cell>
          <cell r="P40">
            <v>36</v>
          </cell>
          <cell r="Q40">
            <v>45</v>
          </cell>
        </row>
        <row r="41">
          <cell r="A41">
            <v>598023</v>
          </cell>
          <cell r="B41">
            <v>3399</v>
          </cell>
          <cell r="C41">
            <v>3301</v>
          </cell>
          <cell r="D41">
            <v>3302</v>
          </cell>
          <cell r="E41">
            <v>3303</v>
          </cell>
          <cell r="F41">
            <v>3304</v>
          </cell>
          <cell r="G41">
            <v>3305</v>
          </cell>
          <cell r="H41">
            <v>3306</v>
          </cell>
          <cell r="I41">
            <v>3307</v>
          </cell>
          <cell r="J41">
            <v>3308</v>
          </cell>
          <cell r="K41">
            <v>3309</v>
          </cell>
          <cell r="L41">
            <v>3310</v>
          </cell>
          <cell r="M41">
            <v>3300</v>
          </cell>
          <cell r="N41" t="str">
            <v>LATERAL DIR/ESQ PTA DESL ATRIA 2500X36X45MM + COR</v>
          </cell>
          <cell r="O41">
            <v>2500</v>
          </cell>
          <cell r="P41">
            <v>36</v>
          </cell>
          <cell r="Q41">
            <v>45</v>
          </cell>
        </row>
        <row r="42">
          <cell r="A42">
            <v>598024</v>
          </cell>
          <cell r="B42">
            <v>3399</v>
          </cell>
          <cell r="C42">
            <v>3301</v>
          </cell>
          <cell r="D42">
            <v>3302</v>
          </cell>
          <cell r="E42">
            <v>3303</v>
          </cell>
          <cell r="F42">
            <v>3304</v>
          </cell>
          <cell r="G42">
            <v>3305</v>
          </cell>
          <cell r="H42">
            <v>3306</v>
          </cell>
          <cell r="I42">
            <v>3307</v>
          </cell>
          <cell r="J42">
            <v>3308</v>
          </cell>
          <cell r="K42">
            <v>3309</v>
          </cell>
          <cell r="L42">
            <v>3310</v>
          </cell>
          <cell r="M42">
            <v>3300</v>
          </cell>
          <cell r="N42" t="str">
            <v>LATERAL DIR/ESQ PTA DESL ATRIA 2600X36X45MM + COR</v>
          </cell>
          <cell r="O42">
            <v>2600</v>
          </cell>
          <cell r="P42">
            <v>36</v>
          </cell>
          <cell r="Q42">
            <v>45</v>
          </cell>
        </row>
        <row r="43">
          <cell r="A43">
            <v>598025</v>
          </cell>
          <cell r="B43">
            <v>3399</v>
          </cell>
          <cell r="C43">
            <v>3301</v>
          </cell>
          <cell r="D43">
            <v>3302</v>
          </cell>
          <cell r="E43">
            <v>3303</v>
          </cell>
          <cell r="F43">
            <v>3304</v>
          </cell>
          <cell r="G43">
            <v>3305</v>
          </cell>
          <cell r="H43">
            <v>3306</v>
          </cell>
          <cell r="I43">
            <v>3307</v>
          </cell>
          <cell r="J43">
            <v>3308</v>
          </cell>
          <cell r="K43">
            <v>3309</v>
          </cell>
          <cell r="L43">
            <v>3310</v>
          </cell>
          <cell r="M43">
            <v>3300</v>
          </cell>
          <cell r="N43" t="str">
            <v>LATERAL DIR/ESQ PTA DESL ATRIA 2700X36X45MM + COR</v>
          </cell>
          <cell r="O43">
            <v>2700</v>
          </cell>
          <cell r="P43">
            <v>36</v>
          </cell>
          <cell r="Q43">
            <v>45</v>
          </cell>
        </row>
        <row r="45">
          <cell r="A45">
            <v>598026</v>
          </cell>
          <cell r="B45">
            <v>3399</v>
          </cell>
          <cell r="C45">
            <v>3301</v>
          </cell>
          <cell r="D45">
            <v>3302</v>
          </cell>
          <cell r="E45">
            <v>3303</v>
          </cell>
          <cell r="F45">
            <v>3304</v>
          </cell>
          <cell r="G45">
            <v>3305</v>
          </cell>
          <cell r="H45">
            <v>3306</v>
          </cell>
          <cell r="I45">
            <v>3307</v>
          </cell>
          <cell r="J45">
            <v>3308</v>
          </cell>
          <cell r="K45">
            <v>3309</v>
          </cell>
          <cell r="L45">
            <v>3310</v>
          </cell>
          <cell r="M45">
            <v>3300</v>
          </cell>
          <cell r="N45" t="str">
            <v>LATERAL DIR PTA DESL ATRIA PUX 1800X36X45MM + COR</v>
          </cell>
          <cell r="O45">
            <v>1800</v>
          </cell>
          <cell r="P45">
            <v>20</v>
          </cell>
          <cell r="Q45">
            <v>45</v>
          </cell>
        </row>
        <row r="46">
          <cell r="A46">
            <v>598027</v>
          </cell>
          <cell r="B46">
            <v>3399</v>
          </cell>
          <cell r="C46">
            <v>3301</v>
          </cell>
          <cell r="D46">
            <v>3302</v>
          </cell>
          <cell r="E46">
            <v>3303</v>
          </cell>
          <cell r="F46">
            <v>3304</v>
          </cell>
          <cell r="G46">
            <v>3305</v>
          </cell>
          <cell r="H46">
            <v>3306</v>
          </cell>
          <cell r="I46">
            <v>3307</v>
          </cell>
          <cell r="J46">
            <v>3308</v>
          </cell>
          <cell r="K46">
            <v>3309</v>
          </cell>
          <cell r="L46">
            <v>3310</v>
          </cell>
          <cell r="M46">
            <v>3300</v>
          </cell>
          <cell r="N46" t="str">
            <v>LATERAL DIR PTA DESL ATRIA PUX 1900X36X45MM + COR</v>
          </cell>
          <cell r="O46">
            <v>1900</v>
          </cell>
          <cell r="P46">
            <v>36</v>
          </cell>
          <cell r="Q46">
            <v>45</v>
          </cell>
        </row>
        <row r="47">
          <cell r="A47">
            <v>598028</v>
          </cell>
          <cell r="B47">
            <v>3399</v>
          </cell>
          <cell r="C47">
            <v>3301</v>
          </cell>
          <cell r="D47">
            <v>3302</v>
          </cell>
          <cell r="E47">
            <v>3303</v>
          </cell>
          <cell r="F47">
            <v>3304</v>
          </cell>
          <cell r="G47">
            <v>3305</v>
          </cell>
          <cell r="H47">
            <v>3306</v>
          </cell>
          <cell r="I47">
            <v>3307</v>
          </cell>
          <cell r="J47">
            <v>3308</v>
          </cell>
          <cell r="K47">
            <v>3309</v>
          </cell>
          <cell r="L47">
            <v>3310</v>
          </cell>
          <cell r="M47">
            <v>3300</v>
          </cell>
          <cell r="N47" t="str">
            <v>LATERAL DIR PTA DESL ATRIA PUX 2000X36X45MM + COR</v>
          </cell>
          <cell r="O47">
            <v>2000</v>
          </cell>
          <cell r="P47">
            <v>36</v>
          </cell>
          <cell r="Q47">
            <v>45</v>
          </cell>
        </row>
        <row r="48">
          <cell r="A48">
            <v>598029</v>
          </cell>
          <cell r="B48">
            <v>3399</v>
          </cell>
          <cell r="C48">
            <v>3301</v>
          </cell>
          <cell r="D48">
            <v>3302</v>
          </cell>
          <cell r="E48">
            <v>3303</v>
          </cell>
          <cell r="F48">
            <v>3304</v>
          </cell>
          <cell r="G48">
            <v>3305</v>
          </cell>
          <cell r="H48">
            <v>3306</v>
          </cell>
          <cell r="I48">
            <v>3307</v>
          </cell>
          <cell r="J48">
            <v>3308</v>
          </cell>
          <cell r="K48">
            <v>3309</v>
          </cell>
          <cell r="L48">
            <v>3310</v>
          </cell>
          <cell r="M48">
            <v>3300</v>
          </cell>
          <cell r="N48" t="str">
            <v>LATERAL DIR PTA DESL ATRIA PUX 2100X36X45MM + COR</v>
          </cell>
          <cell r="O48">
            <v>2100</v>
          </cell>
          <cell r="P48">
            <v>36</v>
          </cell>
          <cell r="Q48">
            <v>45</v>
          </cell>
        </row>
        <row r="49">
          <cell r="A49">
            <v>598030</v>
          </cell>
          <cell r="B49">
            <v>3399</v>
          </cell>
          <cell r="C49">
            <v>3301</v>
          </cell>
          <cell r="D49">
            <v>3302</v>
          </cell>
          <cell r="E49">
            <v>3303</v>
          </cell>
          <cell r="F49">
            <v>3304</v>
          </cell>
          <cell r="G49">
            <v>3305</v>
          </cell>
          <cell r="H49">
            <v>3306</v>
          </cell>
          <cell r="I49">
            <v>3307</v>
          </cell>
          <cell r="J49">
            <v>3308</v>
          </cell>
          <cell r="K49">
            <v>3309</v>
          </cell>
          <cell r="L49">
            <v>3310</v>
          </cell>
          <cell r="M49">
            <v>3300</v>
          </cell>
          <cell r="N49" t="str">
            <v>LATERAL DIR PTA DESL ATRIA PUX 2200X36X45MM + COR</v>
          </cell>
          <cell r="O49">
            <v>2200</v>
          </cell>
          <cell r="P49">
            <v>36</v>
          </cell>
          <cell r="Q49">
            <v>45</v>
          </cell>
        </row>
        <row r="50">
          <cell r="A50">
            <v>598031</v>
          </cell>
          <cell r="B50">
            <v>3399</v>
          </cell>
          <cell r="C50">
            <v>3301</v>
          </cell>
          <cell r="D50">
            <v>3302</v>
          </cell>
          <cell r="E50">
            <v>3303</v>
          </cell>
          <cell r="F50">
            <v>3304</v>
          </cell>
          <cell r="G50">
            <v>3305</v>
          </cell>
          <cell r="H50">
            <v>3306</v>
          </cell>
          <cell r="I50">
            <v>3307</v>
          </cell>
          <cell r="J50">
            <v>3308</v>
          </cell>
          <cell r="K50">
            <v>3309</v>
          </cell>
          <cell r="L50">
            <v>3310</v>
          </cell>
          <cell r="M50">
            <v>3300</v>
          </cell>
          <cell r="N50" t="str">
            <v>LATERAL DIR PTA DESL ATRIA PUX 2300X36X45MM + COR</v>
          </cell>
          <cell r="O50">
            <v>2300</v>
          </cell>
          <cell r="P50">
            <v>36</v>
          </cell>
          <cell r="Q50">
            <v>45</v>
          </cell>
        </row>
        <row r="51">
          <cell r="A51">
            <v>598032</v>
          </cell>
          <cell r="B51">
            <v>3399</v>
          </cell>
          <cell r="C51">
            <v>3301</v>
          </cell>
          <cell r="D51">
            <v>3302</v>
          </cell>
          <cell r="E51">
            <v>3303</v>
          </cell>
          <cell r="F51">
            <v>3304</v>
          </cell>
          <cell r="G51">
            <v>3305</v>
          </cell>
          <cell r="H51">
            <v>3306</v>
          </cell>
          <cell r="I51">
            <v>3307</v>
          </cell>
          <cell r="J51">
            <v>3308</v>
          </cell>
          <cell r="K51">
            <v>3309</v>
          </cell>
          <cell r="L51">
            <v>3310</v>
          </cell>
          <cell r="M51">
            <v>3300</v>
          </cell>
          <cell r="N51" t="str">
            <v>LATERAL DIR PTA DESL ATRIA PUX 2400X36X45MM + COR</v>
          </cell>
          <cell r="O51">
            <v>2400</v>
          </cell>
          <cell r="P51">
            <v>36</v>
          </cell>
          <cell r="Q51">
            <v>45</v>
          </cell>
        </row>
        <row r="52">
          <cell r="A52">
            <v>598033</v>
          </cell>
          <cell r="B52">
            <v>3399</v>
          </cell>
          <cell r="C52">
            <v>3301</v>
          </cell>
          <cell r="D52">
            <v>3302</v>
          </cell>
          <cell r="E52">
            <v>3303</v>
          </cell>
          <cell r="F52">
            <v>3304</v>
          </cell>
          <cell r="G52">
            <v>3305</v>
          </cell>
          <cell r="H52">
            <v>3306</v>
          </cell>
          <cell r="I52">
            <v>3307</v>
          </cell>
          <cell r="J52">
            <v>3308</v>
          </cell>
          <cell r="K52">
            <v>3309</v>
          </cell>
          <cell r="L52">
            <v>3310</v>
          </cell>
          <cell r="M52">
            <v>3300</v>
          </cell>
          <cell r="N52" t="str">
            <v>LATERAL DIR PTA DESL ATRIA PUX 2500X36X45MM + COR</v>
          </cell>
          <cell r="O52">
            <v>2500</v>
          </cell>
          <cell r="P52">
            <v>36</v>
          </cell>
          <cell r="Q52">
            <v>45</v>
          </cell>
        </row>
        <row r="53">
          <cell r="A53">
            <v>598034</v>
          </cell>
          <cell r="B53">
            <v>3399</v>
          </cell>
          <cell r="C53">
            <v>3301</v>
          </cell>
          <cell r="D53">
            <v>3302</v>
          </cell>
          <cell r="E53">
            <v>3303</v>
          </cell>
          <cell r="F53">
            <v>3304</v>
          </cell>
          <cell r="G53">
            <v>3305</v>
          </cell>
          <cell r="H53">
            <v>3306</v>
          </cell>
          <cell r="I53">
            <v>3307</v>
          </cell>
          <cell r="J53">
            <v>3308</v>
          </cell>
          <cell r="K53">
            <v>3309</v>
          </cell>
          <cell r="L53">
            <v>3310</v>
          </cell>
          <cell r="M53">
            <v>3300</v>
          </cell>
          <cell r="N53" t="str">
            <v>LATERAL DIR PTA DESL ATRIA PUX 2600X36X45MM + COR</v>
          </cell>
          <cell r="O53">
            <v>2600</v>
          </cell>
          <cell r="P53">
            <v>36</v>
          </cell>
          <cell r="Q53">
            <v>45</v>
          </cell>
        </row>
        <row r="54">
          <cell r="A54">
            <v>598035</v>
          </cell>
          <cell r="B54">
            <v>3399</v>
          </cell>
          <cell r="C54">
            <v>3301</v>
          </cell>
          <cell r="D54">
            <v>3302</v>
          </cell>
          <cell r="E54">
            <v>3303</v>
          </cell>
          <cell r="F54">
            <v>3304</v>
          </cell>
          <cell r="G54">
            <v>3305</v>
          </cell>
          <cell r="H54">
            <v>3306</v>
          </cell>
          <cell r="I54">
            <v>3307</v>
          </cell>
          <cell r="J54">
            <v>3308</v>
          </cell>
          <cell r="K54">
            <v>3309</v>
          </cell>
          <cell r="L54">
            <v>3310</v>
          </cell>
          <cell r="M54">
            <v>3300</v>
          </cell>
          <cell r="N54" t="str">
            <v>LATERAL DIR PTA DESL ATRIA PUX 2700X36X45MM + COR</v>
          </cell>
          <cell r="O54">
            <v>2700</v>
          </cell>
          <cell r="P54">
            <v>36</v>
          </cell>
          <cell r="Q54">
            <v>45</v>
          </cell>
        </row>
        <row r="56">
          <cell r="A56">
            <v>598036</v>
          </cell>
          <cell r="B56">
            <v>3399</v>
          </cell>
          <cell r="C56">
            <v>3301</v>
          </cell>
          <cell r="D56">
            <v>3302</v>
          </cell>
          <cell r="E56">
            <v>3303</v>
          </cell>
          <cell r="F56">
            <v>3304</v>
          </cell>
          <cell r="G56">
            <v>3305</v>
          </cell>
          <cell r="H56">
            <v>3306</v>
          </cell>
          <cell r="I56">
            <v>3307</v>
          </cell>
          <cell r="J56">
            <v>3308</v>
          </cell>
          <cell r="K56">
            <v>3309</v>
          </cell>
          <cell r="L56">
            <v>3310</v>
          </cell>
          <cell r="M56">
            <v>3300</v>
          </cell>
          <cell r="N56" t="str">
            <v>LATERAL DIR PTA DESL ATRIA PUX/FECH 1800X36X45MM + COR</v>
          </cell>
          <cell r="O56">
            <v>1800</v>
          </cell>
          <cell r="P56">
            <v>20</v>
          </cell>
          <cell r="Q56">
            <v>45</v>
          </cell>
        </row>
        <row r="57">
          <cell r="A57">
            <v>598037</v>
          </cell>
          <cell r="B57">
            <v>3399</v>
          </cell>
          <cell r="C57">
            <v>3301</v>
          </cell>
          <cell r="D57">
            <v>3302</v>
          </cell>
          <cell r="E57">
            <v>3303</v>
          </cell>
          <cell r="F57">
            <v>3304</v>
          </cell>
          <cell r="G57">
            <v>3305</v>
          </cell>
          <cell r="H57">
            <v>3306</v>
          </cell>
          <cell r="I57">
            <v>3307</v>
          </cell>
          <cell r="J57">
            <v>3308</v>
          </cell>
          <cell r="K57">
            <v>3309</v>
          </cell>
          <cell r="L57">
            <v>3310</v>
          </cell>
          <cell r="M57">
            <v>3300</v>
          </cell>
          <cell r="N57" t="str">
            <v>LATERAL DIR PTA DESL ATRIA PUX/FECH 1900X36X45MM + COR</v>
          </cell>
          <cell r="O57">
            <v>1900</v>
          </cell>
          <cell r="P57">
            <v>36</v>
          </cell>
          <cell r="Q57">
            <v>45</v>
          </cell>
        </row>
        <row r="58">
          <cell r="A58">
            <v>598038</v>
          </cell>
          <cell r="B58">
            <v>3399</v>
          </cell>
          <cell r="C58">
            <v>3301</v>
          </cell>
          <cell r="D58">
            <v>3302</v>
          </cell>
          <cell r="E58">
            <v>3303</v>
          </cell>
          <cell r="F58">
            <v>3304</v>
          </cell>
          <cell r="G58">
            <v>3305</v>
          </cell>
          <cell r="H58">
            <v>3306</v>
          </cell>
          <cell r="I58">
            <v>3307</v>
          </cell>
          <cell r="J58">
            <v>3308</v>
          </cell>
          <cell r="K58">
            <v>3309</v>
          </cell>
          <cell r="L58">
            <v>3310</v>
          </cell>
          <cell r="M58">
            <v>3300</v>
          </cell>
          <cell r="N58" t="str">
            <v>LATERAL DIR PTA DESL ATRIA PUX/FECH 2000X36X45MM + COR</v>
          </cell>
          <cell r="O58">
            <v>2000</v>
          </cell>
          <cell r="P58">
            <v>36</v>
          </cell>
          <cell r="Q58">
            <v>45</v>
          </cell>
        </row>
        <row r="59">
          <cell r="A59">
            <v>598039</v>
          </cell>
          <cell r="B59">
            <v>3399</v>
          </cell>
          <cell r="C59">
            <v>3301</v>
          </cell>
          <cell r="D59">
            <v>3302</v>
          </cell>
          <cell r="E59">
            <v>3303</v>
          </cell>
          <cell r="F59">
            <v>3304</v>
          </cell>
          <cell r="G59">
            <v>3305</v>
          </cell>
          <cell r="H59">
            <v>3306</v>
          </cell>
          <cell r="I59">
            <v>3307</v>
          </cell>
          <cell r="J59">
            <v>3308</v>
          </cell>
          <cell r="K59">
            <v>3309</v>
          </cell>
          <cell r="L59">
            <v>3310</v>
          </cell>
          <cell r="M59">
            <v>3300</v>
          </cell>
          <cell r="N59" t="str">
            <v>LATERAL DIR PTA DESL ATRIA PUX/FECH 2100X36X45MM + COR</v>
          </cell>
          <cell r="O59">
            <v>2100</v>
          </cell>
          <cell r="P59">
            <v>36</v>
          </cell>
          <cell r="Q59">
            <v>45</v>
          </cell>
        </row>
        <row r="60">
          <cell r="A60">
            <v>598040</v>
          </cell>
          <cell r="B60">
            <v>3399</v>
          </cell>
          <cell r="C60">
            <v>3301</v>
          </cell>
          <cell r="D60">
            <v>3302</v>
          </cell>
          <cell r="E60">
            <v>3303</v>
          </cell>
          <cell r="F60">
            <v>3304</v>
          </cell>
          <cell r="G60">
            <v>3305</v>
          </cell>
          <cell r="H60">
            <v>3306</v>
          </cell>
          <cell r="I60">
            <v>3307</v>
          </cell>
          <cell r="J60">
            <v>3308</v>
          </cell>
          <cell r="K60">
            <v>3309</v>
          </cell>
          <cell r="L60">
            <v>3310</v>
          </cell>
          <cell r="M60">
            <v>3300</v>
          </cell>
          <cell r="N60" t="str">
            <v>LATERAL DIR PTA DESL ATRIA PUX/FECH 2200X36X45MM + COR</v>
          </cell>
          <cell r="O60">
            <v>2200</v>
          </cell>
          <cell r="P60">
            <v>36</v>
          </cell>
          <cell r="Q60">
            <v>45</v>
          </cell>
        </row>
        <row r="61">
          <cell r="A61">
            <v>598041</v>
          </cell>
          <cell r="B61">
            <v>3399</v>
          </cell>
          <cell r="C61">
            <v>3301</v>
          </cell>
          <cell r="D61">
            <v>3302</v>
          </cell>
          <cell r="E61">
            <v>3303</v>
          </cell>
          <cell r="F61">
            <v>3304</v>
          </cell>
          <cell r="G61">
            <v>3305</v>
          </cell>
          <cell r="H61">
            <v>3306</v>
          </cell>
          <cell r="I61">
            <v>3307</v>
          </cell>
          <cell r="J61">
            <v>3308</v>
          </cell>
          <cell r="K61">
            <v>3309</v>
          </cell>
          <cell r="L61">
            <v>3310</v>
          </cell>
          <cell r="M61">
            <v>3300</v>
          </cell>
          <cell r="N61" t="str">
            <v>LATERAL DIR PTA DESL ATRIA PUX/FECH 2300X36X45MM + COR</v>
          </cell>
          <cell r="O61">
            <v>2300</v>
          </cell>
          <cell r="P61">
            <v>36</v>
          </cell>
          <cell r="Q61">
            <v>45</v>
          </cell>
        </row>
        <row r="62">
          <cell r="A62">
            <v>598042</v>
          </cell>
          <cell r="B62">
            <v>3399</v>
          </cell>
          <cell r="C62">
            <v>3301</v>
          </cell>
          <cell r="D62">
            <v>3302</v>
          </cell>
          <cell r="E62">
            <v>3303</v>
          </cell>
          <cell r="F62">
            <v>3304</v>
          </cell>
          <cell r="G62">
            <v>3305</v>
          </cell>
          <cell r="H62">
            <v>3306</v>
          </cell>
          <cell r="I62">
            <v>3307</v>
          </cell>
          <cell r="J62">
            <v>3308</v>
          </cell>
          <cell r="K62">
            <v>3309</v>
          </cell>
          <cell r="L62">
            <v>3310</v>
          </cell>
          <cell r="M62">
            <v>3300</v>
          </cell>
          <cell r="N62" t="str">
            <v>LATERAL DIR PTA DESL ATRIA PUX/FECH 2400X36X45MM + COR</v>
          </cell>
          <cell r="O62">
            <v>2400</v>
          </cell>
          <cell r="P62">
            <v>36</v>
          </cell>
          <cell r="Q62">
            <v>45</v>
          </cell>
        </row>
        <row r="63">
          <cell r="A63">
            <v>598043</v>
          </cell>
          <cell r="B63">
            <v>3399</v>
          </cell>
          <cell r="C63">
            <v>3301</v>
          </cell>
          <cell r="D63">
            <v>3302</v>
          </cell>
          <cell r="E63">
            <v>3303</v>
          </cell>
          <cell r="F63">
            <v>3304</v>
          </cell>
          <cell r="G63">
            <v>3305</v>
          </cell>
          <cell r="H63">
            <v>3306</v>
          </cell>
          <cell r="I63">
            <v>3307</v>
          </cell>
          <cell r="J63">
            <v>3308</v>
          </cell>
          <cell r="K63">
            <v>3309</v>
          </cell>
          <cell r="L63">
            <v>3310</v>
          </cell>
          <cell r="M63">
            <v>3300</v>
          </cell>
          <cell r="N63" t="str">
            <v>LATERAL DIR PTA DESL ATRIA PUX/FECH 2500X36X45MM + COR</v>
          </cell>
          <cell r="O63">
            <v>2500</v>
          </cell>
          <cell r="P63">
            <v>36</v>
          </cell>
          <cell r="Q63">
            <v>45</v>
          </cell>
        </row>
        <row r="64">
          <cell r="A64">
            <v>598044</v>
          </cell>
          <cell r="B64">
            <v>3399</v>
          </cell>
          <cell r="C64">
            <v>3301</v>
          </cell>
          <cell r="D64">
            <v>3302</v>
          </cell>
          <cell r="E64">
            <v>3303</v>
          </cell>
          <cell r="F64">
            <v>3304</v>
          </cell>
          <cell r="G64">
            <v>3305</v>
          </cell>
          <cell r="H64">
            <v>3306</v>
          </cell>
          <cell r="I64">
            <v>3307</v>
          </cell>
          <cell r="J64">
            <v>3308</v>
          </cell>
          <cell r="K64">
            <v>3309</v>
          </cell>
          <cell r="L64">
            <v>3310</v>
          </cell>
          <cell r="M64">
            <v>3300</v>
          </cell>
          <cell r="N64" t="str">
            <v>LATERAL DIR PTA DESL ATRIA PUX/FECH 2600X36X45MM + COR</v>
          </cell>
          <cell r="O64">
            <v>2600</v>
          </cell>
          <cell r="P64">
            <v>36</v>
          </cell>
          <cell r="Q64">
            <v>45</v>
          </cell>
        </row>
        <row r="65">
          <cell r="A65">
            <v>598045</v>
          </cell>
          <cell r="B65">
            <v>3399</v>
          </cell>
          <cell r="C65">
            <v>3301</v>
          </cell>
          <cell r="D65">
            <v>3302</v>
          </cell>
          <cell r="E65">
            <v>3303</v>
          </cell>
          <cell r="F65">
            <v>3304</v>
          </cell>
          <cell r="G65">
            <v>3305</v>
          </cell>
          <cell r="H65">
            <v>3306</v>
          </cell>
          <cell r="I65">
            <v>3307</v>
          </cell>
          <cell r="J65">
            <v>3308</v>
          </cell>
          <cell r="K65">
            <v>3309</v>
          </cell>
          <cell r="L65">
            <v>3310</v>
          </cell>
          <cell r="M65">
            <v>3300</v>
          </cell>
          <cell r="N65" t="str">
            <v>LATERAL DIR PTA DESL ATRIA PUX/FECH 2700X36X45MM + COR</v>
          </cell>
          <cell r="O65">
            <v>2700</v>
          </cell>
          <cell r="P65">
            <v>36</v>
          </cell>
          <cell r="Q65">
            <v>45</v>
          </cell>
        </row>
        <row r="67">
          <cell r="A67">
            <v>598046</v>
          </cell>
          <cell r="B67">
            <v>3399</v>
          </cell>
          <cell r="C67">
            <v>3301</v>
          </cell>
          <cell r="D67">
            <v>3302</v>
          </cell>
          <cell r="E67">
            <v>3303</v>
          </cell>
          <cell r="F67">
            <v>3304</v>
          </cell>
          <cell r="G67">
            <v>3305</v>
          </cell>
          <cell r="H67">
            <v>3306</v>
          </cell>
          <cell r="I67">
            <v>3307</v>
          </cell>
          <cell r="J67">
            <v>3308</v>
          </cell>
          <cell r="K67">
            <v>3309</v>
          </cell>
          <cell r="L67">
            <v>3310</v>
          </cell>
          <cell r="M67">
            <v>3300</v>
          </cell>
          <cell r="N67" t="str">
            <v>CABECEIRA SUP PTA DESL ANTARES 789X36X45MM + COR</v>
          </cell>
          <cell r="O67">
            <v>789</v>
          </cell>
          <cell r="P67">
            <v>36</v>
          </cell>
          <cell r="Q67">
            <v>45</v>
          </cell>
        </row>
        <row r="68">
          <cell r="A68">
            <v>598047</v>
          </cell>
          <cell r="B68">
            <v>3399</v>
          </cell>
          <cell r="C68">
            <v>3301</v>
          </cell>
          <cell r="D68">
            <v>3302</v>
          </cell>
          <cell r="E68">
            <v>3303</v>
          </cell>
          <cell r="F68">
            <v>3304</v>
          </cell>
          <cell r="G68">
            <v>3305</v>
          </cell>
          <cell r="H68">
            <v>3306</v>
          </cell>
          <cell r="I68">
            <v>3307</v>
          </cell>
          <cell r="J68">
            <v>3308</v>
          </cell>
          <cell r="K68">
            <v>3309</v>
          </cell>
          <cell r="L68">
            <v>3310</v>
          </cell>
          <cell r="M68">
            <v>3300</v>
          </cell>
          <cell r="N68" t="str">
            <v>CABECEIRA SUP PTA DESL ANTARES 889X36X45MM + COR</v>
          </cell>
          <cell r="O68">
            <v>889</v>
          </cell>
          <cell r="P68">
            <v>36</v>
          </cell>
          <cell r="Q68">
            <v>45</v>
          </cell>
        </row>
        <row r="69">
          <cell r="A69">
            <v>598048</v>
          </cell>
          <cell r="B69">
            <v>3399</v>
          </cell>
          <cell r="C69">
            <v>3301</v>
          </cell>
          <cell r="D69">
            <v>3302</v>
          </cell>
          <cell r="E69">
            <v>3303</v>
          </cell>
          <cell r="F69">
            <v>3304</v>
          </cell>
          <cell r="G69">
            <v>3305</v>
          </cell>
          <cell r="H69">
            <v>3306</v>
          </cell>
          <cell r="I69">
            <v>3307</v>
          </cell>
          <cell r="J69">
            <v>3308</v>
          </cell>
          <cell r="K69">
            <v>3309</v>
          </cell>
          <cell r="L69">
            <v>3310</v>
          </cell>
          <cell r="M69">
            <v>3300</v>
          </cell>
          <cell r="N69" t="str">
            <v>CABECEIRA SUP PTA DESL ANTARES 989X36X45MM + COR</v>
          </cell>
          <cell r="O69">
            <v>989</v>
          </cell>
          <cell r="P69">
            <v>36</v>
          </cell>
          <cell r="Q69">
            <v>45</v>
          </cell>
        </row>
        <row r="70">
          <cell r="A70">
            <v>598049</v>
          </cell>
          <cell r="B70">
            <v>3399</v>
          </cell>
          <cell r="C70">
            <v>3301</v>
          </cell>
          <cell r="D70">
            <v>3302</v>
          </cell>
          <cell r="E70">
            <v>3303</v>
          </cell>
          <cell r="F70">
            <v>3304</v>
          </cell>
          <cell r="G70">
            <v>3305</v>
          </cell>
          <cell r="H70">
            <v>3306</v>
          </cell>
          <cell r="I70">
            <v>3307</v>
          </cell>
          <cell r="J70">
            <v>3308</v>
          </cell>
          <cell r="K70">
            <v>3309</v>
          </cell>
          <cell r="L70">
            <v>3310</v>
          </cell>
          <cell r="M70">
            <v>3300</v>
          </cell>
          <cell r="N70" t="str">
            <v>CABECEIRA SUP PTA DESL ANTARES 1089X36X45MM + COR</v>
          </cell>
          <cell r="O70">
            <v>1089</v>
          </cell>
          <cell r="P70">
            <v>36</v>
          </cell>
          <cell r="Q70">
            <v>45</v>
          </cell>
        </row>
        <row r="71">
          <cell r="A71">
            <v>598050</v>
          </cell>
          <cell r="B71">
            <v>3399</v>
          </cell>
          <cell r="C71">
            <v>3301</v>
          </cell>
          <cell r="D71">
            <v>3302</v>
          </cell>
          <cell r="E71">
            <v>3303</v>
          </cell>
          <cell r="F71">
            <v>3304</v>
          </cell>
          <cell r="G71">
            <v>3305</v>
          </cell>
          <cell r="H71">
            <v>3306</v>
          </cell>
          <cell r="I71">
            <v>3307</v>
          </cell>
          <cell r="J71">
            <v>3308</v>
          </cell>
          <cell r="K71">
            <v>3309</v>
          </cell>
          <cell r="L71">
            <v>3310</v>
          </cell>
          <cell r="M71">
            <v>3300</v>
          </cell>
          <cell r="N71" t="str">
            <v>CABECEIRA SUP PTA DESL ANTARES 1189X36X45MM + COR</v>
          </cell>
          <cell r="O71">
            <v>1189</v>
          </cell>
          <cell r="P71">
            <v>36</v>
          </cell>
          <cell r="Q71">
            <v>45</v>
          </cell>
        </row>
        <row r="72">
          <cell r="A72">
            <v>598051</v>
          </cell>
          <cell r="B72">
            <v>3399</v>
          </cell>
          <cell r="C72">
            <v>3301</v>
          </cell>
          <cell r="D72">
            <v>3302</v>
          </cell>
          <cell r="E72">
            <v>3303</v>
          </cell>
          <cell r="F72">
            <v>3304</v>
          </cell>
          <cell r="G72">
            <v>3305</v>
          </cell>
          <cell r="H72">
            <v>3306</v>
          </cell>
          <cell r="I72">
            <v>3307</v>
          </cell>
          <cell r="J72">
            <v>3308</v>
          </cell>
          <cell r="K72">
            <v>3309</v>
          </cell>
          <cell r="L72">
            <v>3310</v>
          </cell>
          <cell r="M72">
            <v>3300</v>
          </cell>
          <cell r="N72" t="str">
            <v>CABECEIRA SUP PTA DESL ANTARES 1289X36X45MM + COR</v>
          </cell>
          <cell r="O72">
            <v>1289</v>
          </cell>
          <cell r="P72">
            <v>36</v>
          </cell>
          <cell r="Q72">
            <v>45</v>
          </cell>
        </row>
        <row r="73">
          <cell r="A73">
            <v>598052</v>
          </cell>
          <cell r="B73">
            <v>3399</v>
          </cell>
          <cell r="C73">
            <v>3301</v>
          </cell>
          <cell r="D73">
            <v>3302</v>
          </cell>
          <cell r="E73">
            <v>3303</v>
          </cell>
          <cell r="F73">
            <v>3304</v>
          </cell>
          <cell r="G73">
            <v>3305</v>
          </cell>
          <cell r="H73">
            <v>3306</v>
          </cell>
          <cell r="I73">
            <v>3307</v>
          </cell>
          <cell r="J73">
            <v>3308</v>
          </cell>
          <cell r="K73">
            <v>3309</v>
          </cell>
          <cell r="L73">
            <v>3310</v>
          </cell>
          <cell r="M73">
            <v>3300</v>
          </cell>
          <cell r="N73" t="str">
            <v>CABECEIRA SUP PTA DESL ANTARES 1389X36X45MM + COR</v>
          </cell>
          <cell r="O73">
            <v>1389</v>
          </cell>
          <cell r="P73">
            <v>36</v>
          </cell>
          <cell r="Q73">
            <v>45</v>
          </cell>
        </row>
        <row r="74">
          <cell r="A74">
            <v>598053</v>
          </cell>
          <cell r="B74">
            <v>3399</v>
          </cell>
          <cell r="C74">
            <v>3301</v>
          </cell>
          <cell r="D74">
            <v>3302</v>
          </cell>
          <cell r="E74">
            <v>3303</v>
          </cell>
          <cell r="F74">
            <v>3304</v>
          </cell>
          <cell r="G74">
            <v>3305</v>
          </cell>
          <cell r="H74">
            <v>3306</v>
          </cell>
          <cell r="I74">
            <v>3307</v>
          </cell>
          <cell r="J74">
            <v>3308</v>
          </cell>
          <cell r="K74">
            <v>3309</v>
          </cell>
          <cell r="L74">
            <v>3310</v>
          </cell>
          <cell r="M74">
            <v>3300</v>
          </cell>
          <cell r="N74" t="str">
            <v>CABECEIRA SUP PTA DESL ANTARES 1489X36X45MM + COR</v>
          </cell>
          <cell r="O74">
            <v>1489</v>
          </cell>
          <cell r="P74">
            <v>36</v>
          </cell>
          <cell r="Q74">
            <v>45</v>
          </cell>
        </row>
        <row r="76">
          <cell r="A76">
            <v>598054</v>
          </cell>
          <cell r="B76">
            <v>3399</v>
          </cell>
          <cell r="C76">
            <v>3301</v>
          </cell>
          <cell r="D76">
            <v>3302</v>
          </cell>
          <cell r="E76">
            <v>3303</v>
          </cell>
          <cell r="F76">
            <v>3304</v>
          </cell>
          <cell r="G76">
            <v>3305</v>
          </cell>
          <cell r="H76">
            <v>3306</v>
          </cell>
          <cell r="I76">
            <v>3307</v>
          </cell>
          <cell r="J76">
            <v>3308</v>
          </cell>
          <cell r="K76">
            <v>3309</v>
          </cell>
          <cell r="L76">
            <v>3310</v>
          </cell>
          <cell r="M76">
            <v>3300</v>
          </cell>
          <cell r="N76" t="str">
            <v>CABECEIRA INF PTA DESL ANTARES 789X36X45MM + COR</v>
          </cell>
          <cell r="O76">
            <v>789</v>
          </cell>
          <cell r="P76">
            <v>36</v>
          </cell>
          <cell r="Q76">
            <v>45</v>
          </cell>
        </row>
        <row r="77">
          <cell r="A77">
            <v>598055</v>
          </cell>
          <cell r="B77">
            <v>3399</v>
          </cell>
          <cell r="C77">
            <v>3301</v>
          </cell>
          <cell r="D77">
            <v>3302</v>
          </cell>
          <cell r="E77">
            <v>3303</v>
          </cell>
          <cell r="F77">
            <v>3304</v>
          </cell>
          <cell r="G77">
            <v>3305</v>
          </cell>
          <cell r="H77">
            <v>3306</v>
          </cell>
          <cell r="I77">
            <v>3307</v>
          </cell>
          <cell r="J77">
            <v>3308</v>
          </cell>
          <cell r="K77">
            <v>3309</v>
          </cell>
          <cell r="L77">
            <v>3310</v>
          </cell>
          <cell r="M77">
            <v>3300</v>
          </cell>
          <cell r="N77" t="str">
            <v>CABECEIRA INF PTA DESL ANTARES 889X36X45MM + COR</v>
          </cell>
          <cell r="O77">
            <v>889</v>
          </cell>
          <cell r="P77">
            <v>36</v>
          </cell>
          <cell r="Q77">
            <v>45</v>
          </cell>
        </row>
        <row r="78">
          <cell r="A78">
            <v>598056</v>
          </cell>
          <cell r="B78">
            <v>3399</v>
          </cell>
          <cell r="C78">
            <v>3301</v>
          </cell>
          <cell r="D78">
            <v>3302</v>
          </cell>
          <cell r="E78">
            <v>3303</v>
          </cell>
          <cell r="F78">
            <v>3304</v>
          </cell>
          <cell r="G78">
            <v>3305</v>
          </cell>
          <cell r="H78">
            <v>3306</v>
          </cell>
          <cell r="I78">
            <v>3307</v>
          </cell>
          <cell r="J78">
            <v>3308</v>
          </cell>
          <cell r="K78">
            <v>3309</v>
          </cell>
          <cell r="L78">
            <v>3310</v>
          </cell>
          <cell r="M78">
            <v>3300</v>
          </cell>
          <cell r="N78" t="str">
            <v>CABECEIRA INF PTA DESL ANTARES 989X36X45MM + COR</v>
          </cell>
          <cell r="O78">
            <v>989</v>
          </cell>
          <cell r="P78">
            <v>36</v>
          </cell>
          <cell r="Q78">
            <v>45</v>
          </cell>
        </row>
        <row r="79">
          <cell r="A79">
            <v>598057</v>
          </cell>
          <cell r="B79">
            <v>3399</v>
          </cell>
          <cell r="C79">
            <v>3301</v>
          </cell>
          <cell r="D79">
            <v>3302</v>
          </cell>
          <cell r="E79">
            <v>3303</v>
          </cell>
          <cell r="F79">
            <v>3304</v>
          </cell>
          <cell r="G79">
            <v>3305</v>
          </cell>
          <cell r="H79">
            <v>3306</v>
          </cell>
          <cell r="I79">
            <v>3307</v>
          </cell>
          <cell r="J79">
            <v>3308</v>
          </cell>
          <cell r="K79">
            <v>3309</v>
          </cell>
          <cell r="L79">
            <v>3310</v>
          </cell>
          <cell r="M79">
            <v>3300</v>
          </cell>
          <cell r="N79" t="str">
            <v>CABECEIRA INF PTA DESL ANTARES 1089X36X45MM + COR</v>
          </cell>
          <cell r="O79">
            <v>1089</v>
          </cell>
          <cell r="P79">
            <v>36</v>
          </cell>
          <cell r="Q79">
            <v>45</v>
          </cell>
        </row>
        <row r="80">
          <cell r="A80">
            <v>598058</v>
          </cell>
          <cell r="B80">
            <v>3399</v>
          </cell>
          <cell r="C80">
            <v>3301</v>
          </cell>
          <cell r="D80">
            <v>3302</v>
          </cell>
          <cell r="E80">
            <v>3303</v>
          </cell>
          <cell r="F80">
            <v>3304</v>
          </cell>
          <cell r="G80">
            <v>3305</v>
          </cell>
          <cell r="H80">
            <v>3306</v>
          </cell>
          <cell r="I80">
            <v>3307</v>
          </cell>
          <cell r="J80">
            <v>3308</v>
          </cell>
          <cell r="K80">
            <v>3309</v>
          </cell>
          <cell r="L80">
            <v>3310</v>
          </cell>
          <cell r="M80">
            <v>3300</v>
          </cell>
          <cell r="N80" t="str">
            <v>CABECEIRA INF PTA DESL ANTARES 1189X36X45MM + COR</v>
          </cell>
          <cell r="O80">
            <v>1189</v>
          </cell>
          <cell r="P80">
            <v>36</v>
          </cell>
          <cell r="Q80">
            <v>45</v>
          </cell>
        </row>
        <row r="81">
          <cell r="A81">
            <v>598059</v>
          </cell>
          <cell r="B81">
            <v>3399</v>
          </cell>
          <cell r="C81">
            <v>3301</v>
          </cell>
          <cell r="D81">
            <v>3302</v>
          </cell>
          <cell r="E81">
            <v>3303</v>
          </cell>
          <cell r="F81">
            <v>3304</v>
          </cell>
          <cell r="G81">
            <v>3305</v>
          </cell>
          <cell r="H81">
            <v>3306</v>
          </cell>
          <cell r="I81">
            <v>3307</v>
          </cell>
          <cell r="J81">
            <v>3308</v>
          </cell>
          <cell r="K81">
            <v>3309</v>
          </cell>
          <cell r="L81">
            <v>3310</v>
          </cell>
          <cell r="M81">
            <v>3300</v>
          </cell>
          <cell r="N81" t="str">
            <v>CABECEIRA INF PTA DESL ANTARES 1289X36X45MM + COR</v>
          </cell>
          <cell r="O81">
            <v>1289</v>
          </cell>
          <cell r="P81">
            <v>36</v>
          </cell>
          <cell r="Q81">
            <v>45</v>
          </cell>
        </row>
        <row r="82">
          <cell r="A82">
            <v>598060</v>
          </cell>
          <cell r="B82">
            <v>3399</v>
          </cell>
          <cell r="C82">
            <v>3301</v>
          </cell>
          <cell r="D82">
            <v>3302</v>
          </cell>
          <cell r="E82">
            <v>3303</v>
          </cell>
          <cell r="F82">
            <v>3304</v>
          </cell>
          <cell r="G82">
            <v>3305</v>
          </cell>
          <cell r="H82">
            <v>3306</v>
          </cell>
          <cell r="I82">
            <v>3307</v>
          </cell>
          <cell r="J82">
            <v>3308</v>
          </cell>
          <cell r="K82">
            <v>3309</v>
          </cell>
          <cell r="L82">
            <v>3310</v>
          </cell>
          <cell r="M82">
            <v>3300</v>
          </cell>
          <cell r="N82" t="str">
            <v>CABECEIRA INF PTA DESL ANTARES 1389X36X45MM + COR</v>
          </cell>
          <cell r="O82">
            <v>1389</v>
          </cell>
          <cell r="P82">
            <v>36</v>
          </cell>
          <cell r="Q82">
            <v>45</v>
          </cell>
        </row>
        <row r="83">
          <cell r="A83">
            <v>598061</v>
          </cell>
          <cell r="B83">
            <v>3399</v>
          </cell>
          <cell r="C83">
            <v>3301</v>
          </cell>
          <cell r="D83">
            <v>3302</v>
          </cell>
          <cell r="E83">
            <v>3303</v>
          </cell>
          <cell r="F83">
            <v>3304</v>
          </cell>
          <cell r="G83">
            <v>3305</v>
          </cell>
          <cell r="H83">
            <v>3306</v>
          </cell>
          <cell r="I83">
            <v>3307</v>
          </cell>
          <cell r="J83">
            <v>3308</v>
          </cell>
          <cell r="K83">
            <v>3309</v>
          </cell>
          <cell r="L83">
            <v>3310</v>
          </cell>
          <cell r="M83">
            <v>3300</v>
          </cell>
          <cell r="N83" t="str">
            <v>CABECEIRA INF PTA DESL ANTARES 1489X36X45MM + COR</v>
          </cell>
          <cell r="O83">
            <v>1489</v>
          </cell>
          <cell r="P83">
            <v>36</v>
          </cell>
          <cell r="Q83">
            <v>45</v>
          </cell>
        </row>
        <row r="85">
          <cell r="A85">
            <v>598062</v>
          </cell>
          <cell r="B85">
            <v>3399</v>
          </cell>
          <cell r="C85">
            <v>3301</v>
          </cell>
          <cell r="D85">
            <v>3302</v>
          </cell>
          <cell r="E85">
            <v>3303</v>
          </cell>
          <cell r="F85">
            <v>3304</v>
          </cell>
          <cell r="G85">
            <v>3305</v>
          </cell>
          <cell r="H85">
            <v>3306</v>
          </cell>
          <cell r="I85">
            <v>3307</v>
          </cell>
          <cell r="J85">
            <v>3308</v>
          </cell>
          <cell r="K85">
            <v>3309</v>
          </cell>
          <cell r="L85">
            <v>3310</v>
          </cell>
          <cell r="M85">
            <v>3300</v>
          </cell>
          <cell r="N85" t="str">
            <v>LATERAL DIR/ESQ PTA DESL ANTARES 1800X36X45MM + COR</v>
          </cell>
          <cell r="O85">
            <v>1800</v>
          </cell>
          <cell r="P85">
            <v>20</v>
          </cell>
          <cell r="Q85">
            <v>45</v>
          </cell>
        </row>
        <row r="86">
          <cell r="A86">
            <v>598063</v>
          </cell>
          <cell r="B86">
            <v>3399</v>
          </cell>
          <cell r="C86">
            <v>3301</v>
          </cell>
          <cell r="D86">
            <v>3302</v>
          </cell>
          <cell r="E86">
            <v>3303</v>
          </cell>
          <cell r="F86">
            <v>3304</v>
          </cell>
          <cell r="G86">
            <v>3305</v>
          </cell>
          <cell r="H86">
            <v>3306</v>
          </cell>
          <cell r="I86">
            <v>3307</v>
          </cell>
          <cell r="J86">
            <v>3308</v>
          </cell>
          <cell r="K86">
            <v>3309</v>
          </cell>
          <cell r="L86">
            <v>3310</v>
          </cell>
          <cell r="M86">
            <v>3300</v>
          </cell>
          <cell r="N86" t="str">
            <v>LATERAL DIR/ESQ PTA DESL ANTARES 1900X36X45MM + COR</v>
          </cell>
          <cell r="O86">
            <v>1900</v>
          </cell>
          <cell r="P86">
            <v>36</v>
          </cell>
          <cell r="Q86">
            <v>45</v>
          </cell>
        </row>
        <row r="87">
          <cell r="A87">
            <v>598064</v>
          </cell>
          <cell r="B87">
            <v>3399</v>
          </cell>
          <cell r="C87">
            <v>3301</v>
          </cell>
          <cell r="D87">
            <v>3302</v>
          </cell>
          <cell r="E87">
            <v>3303</v>
          </cell>
          <cell r="F87">
            <v>3304</v>
          </cell>
          <cell r="G87">
            <v>3305</v>
          </cell>
          <cell r="H87">
            <v>3306</v>
          </cell>
          <cell r="I87">
            <v>3307</v>
          </cell>
          <cell r="J87">
            <v>3308</v>
          </cell>
          <cell r="K87">
            <v>3309</v>
          </cell>
          <cell r="L87">
            <v>3310</v>
          </cell>
          <cell r="M87">
            <v>3300</v>
          </cell>
          <cell r="N87" t="str">
            <v>LATERAL DIR/ESQ PTA DESL ANTARES 2000X36X45MM + COR</v>
          </cell>
          <cell r="O87">
            <v>2000</v>
          </cell>
          <cell r="P87">
            <v>36</v>
          </cell>
          <cell r="Q87">
            <v>45</v>
          </cell>
        </row>
        <row r="88">
          <cell r="A88">
            <v>598065</v>
          </cell>
          <cell r="B88">
            <v>3399</v>
          </cell>
          <cell r="C88">
            <v>3301</v>
          </cell>
          <cell r="D88">
            <v>3302</v>
          </cell>
          <cell r="E88">
            <v>3303</v>
          </cell>
          <cell r="F88">
            <v>3304</v>
          </cell>
          <cell r="G88">
            <v>3305</v>
          </cell>
          <cell r="H88">
            <v>3306</v>
          </cell>
          <cell r="I88">
            <v>3307</v>
          </cell>
          <cell r="J88">
            <v>3308</v>
          </cell>
          <cell r="K88">
            <v>3309</v>
          </cell>
          <cell r="L88">
            <v>3310</v>
          </cell>
          <cell r="M88">
            <v>3300</v>
          </cell>
          <cell r="N88" t="str">
            <v>LATERAL DIR/ESQ PTA DESL ANTARES 2100X36X45MM + COR</v>
          </cell>
          <cell r="O88">
            <v>2100</v>
          </cell>
          <cell r="P88">
            <v>36</v>
          </cell>
          <cell r="Q88">
            <v>45</v>
          </cell>
        </row>
        <row r="89">
          <cell r="A89">
            <v>598066</v>
          </cell>
          <cell r="B89">
            <v>3399</v>
          </cell>
          <cell r="C89">
            <v>3301</v>
          </cell>
          <cell r="D89">
            <v>3302</v>
          </cell>
          <cell r="E89">
            <v>3303</v>
          </cell>
          <cell r="F89">
            <v>3304</v>
          </cell>
          <cell r="G89">
            <v>3305</v>
          </cell>
          <cell r="H89">
            <v>3306</v>
          </cell>
          <cell r="I89">
            <v>3307</v>
          </cell>
          <cell r="J89">
            <v>3308</v>
          </cell>
          <cell r="K89">
            <v>3309</v>
          </cell>
          <cell r="L89">
            <v>3310</v>
          </cell>
          <cell r="M89">
            <v>3300</v>
          </cell>
          <cell r="N89" t="str">
            <v>LATERAL DIR/ESQ PTA DESL ANTARES 2200X36X45MM + COR</v>
          </cell>
          <cell r="O89">
            <v>2200</v>
          </cell>
          <cell r="P89">
            <v>36</v>
          </cell>
          <cell r="Q89">
            <v>45</v>
          </cell>
        </row>
        <row r="90">
          <cell r="A90">
            <v>598067</v>
          </cell>
          <cell r="B90">
            <v>3399</v>
          </cell>
          <cell r="C90">
            <v>3301</v>
          </cell>
          <cell r="D90">
            <v>3302</v>
          </cell>
          <cell r="E90">
            <v>3303</v>
          </cell>
          <cell r="F90">
            <v>3304</v>
          </cell>
          <cell r="G90">
            <v>3305</v>
          </cell>
          <cell r="H90">
            <v>3306</v>
          </cell>
          <cell r="I90">
            <v>3307</v>
          </cell>
          <cell r="J90">
            <v>3308</v>
          </cell>
          <cell r="K90">
            <v>3309</v>
          </cell>
          <cell r="L90">
            <v>3310</v>
          </cell>
          <cell r="M90">
            <v>3300</v>
          </cell>
          <cell r="N90" t="str">
            <v>LATERAL DIR/ESQ PTA DESL ANTARES 2300X36X45MM + COR</v>
          </cell>
          <cell r="O90">
            <v>2300</v>
          </cell>
          <cell r="P90">
            <v>36</v>
          </cell>
          <cell r="Q90">
            <v>45</v>
          </cell>
        </row>
        <row r="91">
          <cell r="A91">
            <v>598068</v>
          </cell>
          <cell r="B91">
            <v>3399</v>
          </cell>
          <cell r="C91">
            <v>3301</v>
          </cell>
          <cell r="D91">
            <v>3302</v>
          </cell>
          <cell r="E91">
            <v>3303</v>
          </cell>
          <cell r="F91">
            <v>3304</v>
          </cell>
          <cell r="G91">
            <v>3305</v>
          </cell>
          <cell r="H91">
            <v>3306</v>
          </cell>
          <cell r="I91">
            <v>3307</v>
          </cell>
          <cell r="J91">
            <v>3308</v>
          </cell>
          <cell r="K91">
            <v>3309</v>
          </cell>
          <cell r="L91">
            <v>3310</v>
          </cell>
          <cell r="M91">
            <v>3300</v>
          </cell>
          <cell r="N91" t="str">
            <v>LATERAL DIR/ESQ PTA DESL ANTARES 2400X36X45MM + COR</v>
          </cell>
          <cell r="O91">
            <v>2400</v>
          </cell>
          <cell r="P91">
            <v>36</v>
          </cell>
          <cell r="Q91">
            <v>45</v>
          </cell>
        </row>
        <row r="92">
          <cell r="A92">
            <v>598069</v>
          </cell>
          <cell r="B92">
            <v>3399</v>
          </cell>
          <cell r="C92">
            <v>3301</v>
          </cell>
          <cell r="D92">
            <v>3302</v>
          </cell>
          <cell r="E92">
            <v>3303</v>
          </cell>
          <cell r="F92">
            <v>3304</v>
          </cell>
          <cell r="G92">
            <v>3305</v>
          </cell>
          <cell r="H92">
            <v>3306</v>
          </cell>
          <cell r="I92">
            <v>3307</v>
          </cell>
          <cell r="J92">
            <v>3308</v>
          </cell>
          <cell r="K92">
            <v>3309</v>
          </cell>
          <cell r="L92">
            <v>3310</v>
          </cell>
          <cell r="M92">
            <v>3300</v>
          </cell>
          <cell r="N92" t="str">
            <v>LATERAL DIR/ESQ PTA DESL ANTARES 2500X36X45MM + COR</v>
          </cell>
          <cell r="O92">
            <v>2500</v>
          </cell>
          <cell r="P92">
            <v>36</v>
          </cell>
          <cell r="Q92">
            <v>45</v>
          </cell>
        </row>
        <row r="93">
          <cell r="A93">
            <v>598070</v>
          </cell>
          <cell r="B93">
            <v>3399</v>
          </cell>
          <cell r="C93">
            <v>3301</v>
          </cell>
          <cell r="D93">
            <v>3302</v>
          </cell>
          <cell r="E93">
            <v>3303</v>
          </cell>
          <cell r="F93">
            <v>3304</v>
          </cell>
          <cell r="G93">
            <v>3305</v>
          </cell>
          <cell r="H93">
            <v>3306</v>
          </cell>
          <cell r="I93">
            <v>3307</v>
          </cell>
          <cell r="J93">
            <v>3308</v>
          </cell>
          <cell r="K93">
            <v>3309</v>
          </cell>
          <cell r="L93">
            <v>3310</v>
          </cell>
          <cell r="M93">
            <v>3300</v>
          </cell>
          <cell r="N93" t="str">
            <v>LATERAL DIR/ESQ PTA DESL ANTARES 2600X36X45MM + COR</v>
          </cell>
          <cell r="O93">
            <v>2600</v>
          </cell>
          <cell r="P93">
            <v>36</v>
          </cell>
          <cell r="Q93">
            <v>45</v>
          </cell>
        </row>
        <row r="94">
          <cell r="A94">
            <v>598071</v>
          </cell>
          <cell r="B94">
            <v>3399</v>
          </cell>
          <cell r="C94">
            <v>3301</v>
          </cell>
          <cell r="D94">
            <v>3302</v>
          </cell>
          <cell r="E94">
            <v>3303</v>
          </cell>
          <cell r="F94">
            <v>3304</v>
          </cell>
          <cell r="G94">
            <v>3305</v>
          </cell>
          <cell r="H94">
            <v>3306</v>
          </cell>
          <cell r="I94">
            <v>3307</v>
          </cell>
          <cell r="J94">
            <v>3308</v>
          </cell>
          <cell r="K94">
            <v>3309</v>
          </cell>
          <cell r="L94">
            <v>3310</v>
          </cell>
          <cell r="M94">
            <v>3300</v>
          </cell>
          <cell r="N94" t="str">
            <v>LATERAL DIR/ESQ PTA DESL ANTARES 2700X36X45MM + COR</v>
          </cell>
          <cell r="O94">
            <v>2700</v>
          </cell>
          <cell r="P94">
            <v>36</v>
          </cell>
          <cell r="Q94">
            <v>45</v>
          </cell>
        </row>
        <row r="96">
          <cell r="A96">
            <v>598072</v>
          </cell>
          <cell r="B96">
            <v>3399</v>
          </cell>
          <cell r="C96">
            <v>3301</v>
          </cell>
          <cell r="D96">
            <v>3302</v>
          </cell>
          <cell r="E96">
            <v>3303</v>
          </cell>
          <cell r="F96">
            <v>3304</v>
          </cell>
          <cell r="G96">
            <v>3305</v>
          </cell>
          <cell r="H96">
            <v>3306</v>
          </cell>
          <cell r="I96">
            <v>3307</v>
          </cell>
          <cell r="J96">
            <v>3308</v>
          </cell>
          <cell r="K96">
            <v>3309</v>
          </cell>
          <cell r="L96">
            <v>3310</v>
          </cell>
          <cell r="M96">
            <v>3300</v>
          </cell>
          <cell r="N96" t="str">
            <v>LATERAL DIR PTA DESL ANTARES PUX 1800X36X45MM + COR</v>
          </cell>
          <cell r="O96">
            <v>1800</v>
          </cell>
          <cell r="P96">
            <v>20</v>
          </cell>
          <cell r="Q96">
            <v>45</v>
          </cell>
        </row>
        <row r="97">
          <cell r="A97">
            <v>598073</v>
          </cell>
          <cell r="B97">
            <v>3399</v>
          </cell>
          <cell r="C97">
            <v>3301</v>
          </cell>
          <cell r="D97">
            <v>3302</v>
          </cell>
          <cell r="E97">
            <v>3303</v>
          </cell>
          <cell r="F97">
            <v>3304</v>
          </cell>
          <cell r="G97">
            <v>3305</v>
          </cell>
          <cell r="H97">
            <v>3306</v>
          </cell>
          <cell r="I97">
            <v>3307</v>
          </cell>
          <cell r="J97">
            <v>3308</v>
          </cell>
          <cell r="K97">
            <v>3309</v>
          </cell>
          <cell r="L97">
            <v>3310</v>
          </cell>
          <cell r="M97">
            <v>3300</v>
          </cell>
          <cell r="N97" t="str">
            <v>LATERAL DIR PTA DESL ANTARES PUX 1900X36X45MM + COR</v>
          </cell>
          <cell r="O97">
            <v>1900</v>
          </cell>
          <cell r="P97">
            <v>36</v>
          </cell>
          <cell r="Q97">
            <v>45</v>
          </cell>
        </row>
        <row r="98">
          <cell r="A98">
            <v>598074</v>
          </cell>
          <cell r="B98">
            <v>3399</v>
          </cell>
          <cell r="C98">
            <v>3301</v>
          </cell>
          <cell r="D98">
            <v>3302</v>
          </cell>
          <cell r="E98">
            <v>3303</v>
          </cell>
          <cell r="F98">
            <v>3304</v>
          </cell>
          <cell r="G98">
            <v>3305</v>
          </cell>
          <cell r="H98">
            <v>3306</v>
          </cell>
          <cell r="I98">
            <v>3307</v>
          </cell>
          <cell r="J98">
            <v>3308</v>
          </cell>
          <cell r="K98">
            <v>3309</v>
          </cell>
          <cell r="L98">
            <v>3310</v>
          </cell>
          <cell r="M98">
            <v>3300</v>
          </cell>
          <cell r="N98" t="str">
            <v>LATERAL DIR PTA DESL ANTARES PUX 2000X36X45MM + COR</v>
          </cell>
          <cell r="O98">
            <v>2000</v>
          </cell>
          <cell r="P98">
            <v>36</v>
          </cell>
          <cell r="Q98">
            <v>45</v>
          </cell>
        </row>
        <row r="99">
          <cell r="A99">
            <v>598075</v>
          </cell>
          <cell r="B99">
            <v>3399</v>
          </cell>
          <cell r="C99">
            <v>3301</v>
          </cell>
          <cell r="D99">
            <v>3302</v>
          </cell>
          <cell r="E99">
            <v>3303</v>
          </cell>
          <cell r="F99">
            <v>3304</v>
          </cell>
          <cell r="G99">
            <v>3305</v>
          </cell>
          <cell r="H99">
            <v>3306</v>
          </cell>
          <cell r="I99">
            <v>3307</v>
          </cell>
          <cell r="J99">
            <v>3308</v>
          </cell>
          <cell r="K99">
            <v>3309</v>
          </cell>
          <cell r="L99">
            <v>3310</v>
          </cell>
          <cell r="M99">
            <v>3300</v>
          </cell>
          <cell r="N99" t="str">
            <v>LATERAL DIR PTA DESL ANTARES PUX 2100X36X45MM + COR</v>
          </cell>
          <cell r="O99">
            <v>2100</v>
          </cell>
          <cell r="P99">
            <v>36</v>
          </cell>
          <cell r="Q99">
            <v>45</v>
          </cell>
        </row>
        <row r="100">
          <cell r="A100">
            <v>598076</v>
          </cell>
          <cell r="B100">
            <v>3399</v>
          </cell>
          <cell r="C100">
            <v>3301</v>
          </cell>
          <cell r="D100">
            <v>3302</v>
          </cell>
          <cell r="E100">
            <v>3303</v>
          </cell>
          <cell r="F100">
            <v>3304</v>
          </cell>
          <cell r="G100">
            <v>3305</v>
          </cell>
          <cell r="H100">
            <v>3306</v>
          </cell>
          <cell r="I100">
            <v>3307</v>
          </cell>
          <cell r="J100">
            <v>3308</v>
          </cell>
          <cell r="K100">
            <v>3309</v>
          </cell>
          <cell r="L100">
            <v>3310</v>
          </cell>
          <cell r="M100">
            <v>3300</v>
          </cell>
          <cell r="N100" t="str">
            <v>LATERAL DIR PTA DESL ANTARES PUX 2200X36X45MM + COR</v>
          </cell>
          <cell r="O100">
            <v>2200</v>
          </cell>
          <cell r="P100">
            <v>36</v>
          </cell>
          <cell r="Q100">
            <v>45</v>
          </cell>
        </row>
        <row r="101">
          <cell r="A101">
            <v>598077</v>
          </cell>
          <cell r="B101">
            <v>3399</v>
          </cell>
          <cell r="C101">
            <v>3301</v>
          </cell>
          <cell r="D101">
            <v>3302</v>
          </cell>
          <cell r="E101">
            <v>3303</v>
          </cell>
          <cell r="F101">
            <v>3304</v>
          </cell>
          <cell r="G101">
            <v>3305</v>
          </cell>
          <cell r="H101">
            <v>3306</v>
          </cell>
          <cell r="I101">
            <v>3307</v>
          </cell>
          <cell r="J101">
            <v>3308</v>
          </cell>
          <cell r="K101">
            <v>3309</v>
          </cell>
          <cell r="L101">
            <v>3310</v>
          </cell>
          <cell r="M101">
            <v>3300</v>
          </cell>
          <cell r="N101" t="str">
            <v>LATERAL DIR PTA DESL ANTARES PUX 2300X36X45MM + COR</v>
          </cell>
          <cell r="O101">
            <v>2300</v>
          </cell>
          <cell r="P101">
            <v>36</v>
          </cell>
          <cell r="Q101">
            <v>45</v>
          </cell>
        </row>
        <row r="102">
          <cell r="A102">
            <v>598078</v>
          </cell>
          <cell r="B102">
            <v>3399</v>
          </cell>
          <cell r="C102">
            <v>3301</v>
          </cell>
          <cell r="D102">
            <v>3302</v>
          </cell>
          <cell r="E102">
            <v>3303</v>
          </cell>
          <cell r="F102">
            <v>3304</v>
          </cell>
          <cell r="G102">
            <v>3305</v>
          </cell>
          <cell r="H102">
            <v>3306</v>
          </cell>
          <cell r="I102">
            <v>3307</v>
          </cell>
          <cell r="J102">
            <v>3308</v>
          </cell>
          <cell r="K102">
            <v>3309</v>
          </cell>
          <cell r="L102">
            <v>3310</v>
          </cell>
          <cell r="M102">
            <v>3300</v>
          </cell>
          <cell r="N102" t="str">
            <v>LATERAL DIR PTA DESL ANTARES PUX 2400X36X45MM + COR</v>
          </cell>
          <cell r="O102">
            <v>2400</v>
          </cell>
          <cell r="P102">
            <v>36</v>
          </cell>
          <cell r="Q102">
            <v>45</v>
          </cell>
        </row>
        <row r="103">
          <cell r="A103">
            <v>598079</v>
          </cell>
          <cell r="B103">
            <v>3399</v>
          </cell>
          <cell r="C103">
            <v>3301</v>
          </cell>
          <cell r="D103">
            <v>3302</v>
          </cell>
          <cell r="E103">
            <v>3303</v>
          </cell>
          <cell r="F103">
            <v>3304</v>
          </cell>
          <cell r="G103">
            <v>3305</v>
          </cell>
          <cell r="H103">
            <v>3306</v>
          </cell>
          <cell r="I103">
            <v>3307</v>
          </cell>
          <cell r="J103">
            <v>3308</v>
          </cell>
          <cell r="K103">
            <v>3309</v>
          </cell>
          <cell r="L103">
            <v>3310</v>
          </cell>
          <cell r="M103">
            <v>3300</v>
          </cell>
          <cell r="N103" t="str">
            <v>LATERAL DIR PTA DESL ANTARES PUX 2500X36X45MM + COR</v>
          </cell>
          <cell r="O103">
            <v>2500</v>
          </cell>
          <cell r="P103">
            <v>36</v>
          </cell>
          <cell r="Q103">
            <v>45</v>
          </cell>
        </row>
        <row r="104">
          <cell r="A104">
            <v>598080</v>
          </cell>
          <cell r="B104">
            <v>3399</v>
          </cell>
          <cell r="C104">
            <v>3301</v>
          </cell>
          <cell r="D104">
            <v>3302</v>
          </cell>
          <cell r="E104">
            <v>3303</v>
          </cell>
          <cell r="F104">
            <v>3304</v>
          </cell>
          <cell r="G104">
            <v>3305</v>
          </cell>
          <cell r="H104">
            <v>3306</v>
          </cell>
          <cell r="I104">
            <v>3307</v>
          </cell>
          <cell r="J104">
            <v>3308</v>
          </cell>
          <cell r="K104">
            <v>3309</v>
          </cell>
          <cell r="L104">
            <v>3310</v>
          </cell>
          <cell r="M104">
            <v>3300</v>
          </cell>
          <cell r="N104" t="str">
            <v>LATERAL DIR PTA DESL ANTARES PUX 2600X36X45MM + COR</v>
          </cell>
          <cell r="O104">
            <v>2600</v>
          </cell>
          <cell r="P104">
            <v>36</v>
          </cell>
          <cell r="Q104">
            <v>45</v>
          </cell>
        </row>
        <row r="105">
          <cell r="A105">
            <v>598081</v>
          </cell>
          <cell r="B105">
            <v>3399</v>
          </cell>
          <cell r="C105">
            <v>3301</v>
          </cell>
          <cell r="D105">
            <v>3302</v>
          </cell>
          <cell r="E105">
            <v>3303</v>
          </cell>
          <cell r="F105">
            <v>3304</v>
          </cell>
          <cell r="G105">
            <v>3305</v>
          </cell>
          <cell r="H105">
            <v>3306</v>
          </cell>
          <cell r="I105">
            <v>3307</v>
          </cell>
          <cell r="J105">
            <v>3308</v>
          </cell>
          <cell r="K105">
            <v>3309</v>
          </cell>
          <cell r="L105">
            <v>3310</v>
          </cell>
          <cell r="M105">
            <v>3300</v>
          </cell>
          <cell r="N105" t="str">
            <v>LATERAL DIR PTA DESL ANTARES PUX 2700X36X45MM + COR</v>
          </cell>
          <cell r="O105">
            <v>2700</v>
          </cell>
          <cell r="P105">
            <v>36</v>
          </cell>
          <cell r="Q105">
            <v>45</v>
          </cell>
        </row>
        <row r="107">
          <cell r="A107">
            <v>598082</v>
          </cell>
          <cell r="B107">
            <v>3399</v>
          </cell>
          <cell r="C107">
            <v>3301</v>
          </cell>
          <cell r="D107">
            <v>3302</v>
          </cell>
          <cell r="E107">
            <v>3303</v>
          </cell>
          <cell r="F107">
            <v>3304</v>
          </cell>
          <cell r="G107">
            <v>3305</v>
          </cell>
          <cell r="H107">
            <v>3306</v>
          </cell>
          <cell r="I107">
            <v>3307</v>
          </cell>
          <cell r="J107">
            <v>3308</v>
          </cell>
          <cell r="K107">
            <v>3309</v>
          </cell>
          <cell r="L107">
            <v>3310</v>
          </cell>
          <cell r="M107">
            <v>3300</v>
          </cell>
          <cell r="N107" t="str">
            <v>LATERAL DIR PTA DESL ANTARES PUX/FECH 1800X36X45MM + COR</v>
          </cell>
          <cell r="O107">
            <v>1800</v>
          </cell>
          <cell r="P107">
            <v>20</v>
          </cell>
          <cell r="Q107">
            <v>45</v>
          </cell>
        </row>
        <row r="108">
          <cell r="A108">
            <v>598083</v>
          </cell>
          <cell r="B108">
            <v>3399</v>
          </cell>
          <cell r="C108">
            <v>3301</v>
          </cell>
          <cell r="D108">
            <v>3302</v>
          </cell>
          <cell r="E108">
            <v>3303</v>
          </cell>
          <cell r="F108">
            <v>3304</v>
          </cell>
          <cell r="G108">
            <v>3305</v>
          </cell>
          <cell r="H108">
            <v>3306</v>
          </cell>
          <cell r="I108">
            <v>3307</v>
          </cell>
          <cell r="J108">
            <v>3308</v>
          </cell>
          <cell r="K108">
            <v>3309</v>
          </cell>
          <cell r="L108">
            <v>3310</v>
          </cell>
          <cell r="M108">
            <v>3300</v>
          </cell>
          <cell r="N108" t="str">
            <v>LATERAL DIR PTA DESL ANTARES PUX/FECH 1900X36X45MM + COR</v>
          </cell>
          <cell r="O108">
            <v>1900</v>
          </cell>
          <cell r="P108">
            <v>36</v>
          </cell>
          <cell r="Q108">
            <v>45</v>
          </cell>
        </row>
        <row r="109">
          <cell r="A109">
            <v>598084</v>
          </cell>
          <cell r="B109">
            <v>3399</v>
          </cell>
          <cell r="C109">
            <v>3301</v>
          </cell>
          <cell r="D109">
            <v>3302</v>
          </cell>
          <cell r="E109">
            <v>3303</v>
          </cell>
          <cell r="F109">
            <v>3304</v>
          </cell>
          <cell r="G109">
            <v>3305</v>
          </cell>
          <cell r="H109">
            <v>3306</v>
          </cell>
          <cell r="I109">
            <v>3307</v>
          </cell>
          <cell r="J109">
            <v>3308</v>
          </cell>
          <cell r="K109">
            <v>3309</v>
          </cell>
          <cell r="L109">
            <v>3310</v>
          </cell>
          <cell r="M109">
            <v>3300</v>
          </cell>
          <cell r="N109" t="str">
            <v>LATERAL DIR PTA DESL ANTARES PUX/FECH 2000X36X45MM + COR</v>
          </cell>
          <cell r="O109">
            <v>2000</v>
          </cell>
          <cell r="P109">
            <v>36</v>
          </cell>
          <cell r="Q109">
            <v>45</v>
          </cell>
        </row>
        <row r="110">
          <cell r="A110">
            <v>598085</v>
          </cell>
          <cell r="B110">
            <v>3399</v>
          </cell>
          <cell r="C110">
            <v>3301</v>
          </cell>
          <cell r="D110">
            <v>3302</v>
          </cell>
          <cell r="E110">
            <v>3303</v>
          </cell>
          <cell r="F110">
            <v>3304</v>
          </cell>
          <cell r="G110">
            <v>3305</v>
          </cell>
          <cell r="H110">
            <v>3306</v>
          </cell>
          <cell r="I110">
            <v>3307</v>
          </cell>
          <cell r="J110">
            <v>3308</v>
          </cell>
          <cell r="K110">
            <v>3309</v>
          </cell>
          <cell r="L110">
            <v>3310</v>
          </cell>
          <cell r="M110">
            <v>3300</v>
          </cell>
          <cell r="N110" t="str">
            <v>LATERAL DIR PTA DESL ANTARES PUX/FECH 2100X36X45MM + COR</v>
          </cell>
          <cell r="O110">
            <v>2100</v>
          </cell>
          <cell r="P110">
            <v>36</v>
          </cell>
          <cell r="Q110">
            <v>45</v>
          </cell>
        </row>
        <row r="111">
          <cell r="A111">
            <v>598086</v>
          </cell>
          <cell r="B111">
            <v>3399</v>
          </cell>
          <cell r="C111">
            <v>3301</v>
          </cell>
          <cell r="D111">
            <v>3302</v>
          </cell>
          <cell r="E111">
            <v>3303</v>
          </cell>
          <cell r="F111">
            <v>3304</v>
          </cell>
          <cell r="G111">
            <v>3305</v>
          </cell>
          <cell r="H111">
            <v>3306</v>
          </cell>
          <cell r="I111">
            <v>3307</v>
          </cell>
          <cell r="J111">
            <v>3308</v>
          </cell>
          <cell r="K111">
            <v>3309</v>
          </cell>
          <cell r="L111">
            <v>3310</v>
          </cell>
          <cell r="M111">
            <v>3300</v>
          </cell>
          <cell r="N111" t="str">
            <v>LATERAL DIR PTA DESL ANTARES PUX/FECH 2200X36X45MM + COR</v>
          </cell>
          <cell r="O111">
            <v>2200</v>
          </cell>
          <cell r="P111">
            <v>36</v>
          </cell>
          <cell r="Q111">
            <v>45</v>
          </cell>
        </row>
        <row r="112">
          <cell r="A112">
            <v>598087</v>
          </cell>
          <cell r="B112">
            <v>3399</v>
          </cell>
          <cell r="C112">
            <v>3301</v>
          </cell>
          <cell r="D112">
            <v>3302</v>
          </cell>
          <cell r="E112">
            <v>3303</v>
          </cell>
          <cell r="F112">
            <v>3304</v>
          </cell>
          <cell r="G112">
            <v>3305</v>
          </cell>
          <cell r="H112">
            <v>3306</v>
          </cell>
          <cell r="I112">
            <v>3307</v>
          </cell>
          <cell r="J112">
            <v>3308</v>
          </cell>
          <cell r="K112">
            <v>3309</v>
          </cell>
          <cell r="L112">
            <v>3310</v>
          </cell>
          <cell r="M112">
            <v>3300</v>
          </cell>
          <cell r="N112" t="str">
            <v>LATERAL DIR PTA DESL ANTARES PUX/FECH 2300X36X45MM + COR</v>
          </cell>
          <cell r="O112">
            <v>2300</v>
          </cell>
          <cell r="P112">
            <v>36</v>
          </cell>
          <cell r="Q112">
            <v>45</v>
          </cell>
        </row>
        <row r="113">
          <cell r="A113">
            <v>598088</v>
          </cell>
          <cell r="B113">
            <v>3399</v>
          </cell>
          <cell r="C113">
            <v>3301</v>
          </cell>
          <cell r="D113">
            <v>3302</v>
          </cell>
          <cell r="E113">
            <v>3303</v>
          </cell>
          <cell r="F113">
            <v>3304</v>
          </cell>
          <cell r="G113">
            <v>3305</v>
          </cell>
          <cell r="H113">
            <v>3306</v>
          </cell>
          <cell r="I113">
            <v>3307</v>
          </cell>
          <cell r="J113">
            <v>3308</v>
          </cell>
          <cell r="K113">
            <v>3309</v>
          </cell>
          <cell r="L113">
            <v>3310</v>
          </cell>
          <cell r="M113">
            <v>3300</v>
          </cell>
          <cell r="N113" t="str">
            <v>LATERAL DIR PTA DESL ANTARES PUX/FECH 2400X36X45MM + COR</v>
          </cell>
          <cell r="O113">
            <v>2400</v>
          </cell>
          <cell r="P113">
            <v>36</v>
          </cell>
          <cell r="Q113">
            <v>45</v>
          </cell>
        </row>
        <row r="114">
          <cell r="A114">
            <v>598089</v>
          </cell>
          <cell r="B114">
            <v>3399</v>
          </cell>
          <cell r="C114">
            <v>3301</v>
          </cell>
          <cell r="D114">
            <v>3302</v>
          </cell>
          <cell r="E114">
            <v>3303</v>
          </cell>
          <cell r="F114">
            <v>3304</v>
          </cell>
          <cell r="G114">
            <v>3305</v>
          </cell>
          <cell r="H114">
            <v>3306</v>
          </cell>
          <cell r="I114">
            <v>3307</v>
          </cell>
          <cell r="J114">
            <v>3308</v>
          </cell>
          <cell r="K114">
            <v>3309</v>
          </cell>
          <cell r="L114">
            <v>3310</v>
          </cell>
          <cell r="M114">
            <v>3300</v>
          </cell>
          <cell r="N114" t="str">
            <v>LATERAL DIR PTA DESL ANTARES PUX/FECH 2500X36X45MM + COR</v>
          </cell>
          <cell r="O114">
            <v>2500</v>
          </cell>
          <cell r="P114">
            <v>36</v>
          </cell>
          <cell r="Q114">
            <v>45</v>
          </cell>
        </row>
        <row r="115">
          <cell r="A115">
            <v>598090</v>
          </cell>
          <cell r="B115">
            <v>3399</v>
          </cell>
          <cell r="C115">
            <v>3301</v>
          </cell>
          <cell r="D115">
            <v>3302</v>
          </cell>
          <cell r="E115">
            <v>3303</v>
          </cell>
          <cell r="F115">
            <v>3304</v>
          </cell>
          <cell r="G115">
            <v>3305</v>
          </cell>
          <cell r="H115">
            <v>3306</v>
          </cell>
          <cell r="I115">
            <v>3307</v>
          </cell>
          <cell r="J115">
            <v>3308</v>
          </cell>
          <cell r="K115">
            <v>3309</v>
          </cell>
          <cell r="L115">
            <v>3310</v>
          </cell>
          <cell r="M115">
            <v>3300</v>
          </cell>
          <cell r="N115" t="str">
            <v>LATERAL DIR PTA DESL ANTARES PUX/FECH 2600X36X45MM + COR</v>
          </cell>
          <cell r="O115">
            <v>2600</v>
          </cell>
          <cell r="P115">
            <v>36</v>
          </cell>
          <cell r="Q115">
            <v>45</v>
          </cell>
        </row>
        <row r="116">
          <cell r="A116">
            <v>598091</v>
          </cell>
          <cell r="B116">
            <v>3399</v>
          </cell>
          <cell r="C116">
            <v>3301</v>
          </cell>
          <cell r="D116">
            <v>3302</v>
          </cell>
          <cell r="E116">
            <v>3303</v>
          </cell>
          <cell r="F116">
            <v>3304</v>
          </cell>
          <cell r="G116">
            <v>3305</v>
          </cell>
          <cell r="H116">
            <v>3306</v>
          </cell>
          <cell r="I116">
            <v>3307</v>
          </cell>
          <cell r="J116">
            <v>3308</v>
          </cell>
          <cell r="K116">
            <v>3309</v>
          </cell>
          <cell r="L116">
            <v>3310</v>
          </cell>
          <cell r="M116">
            <v>3300</v>
          </cell>
          <cell r="N116" t="str">
            <v>LATERAL DIR PTA DESL ANTARES PUX/FECH 2700X36X45MM + COR</v>
          </cell>
          <cell r="O116">
            <v>2700</v>
          </cell>
          <cell r="P116">
            <v>36</v>
          </cell>
          <cell r="Q116">
            <v>45</v>
          </cell>
        </row>
        <row r="118">
          <cell r="A118">
            <v>598093</v>
          </cell>
          <cell r="B118" t="str">
            <v>-</v>
          </cell>
          <cell r="C118">
            <v>3301</v>
          </cell>
          <cell r="D118">
            <v>3302</v>
          </cell>
          <cell r="E118">
            <v>3303</v>
          </cell>
          <cell r="F118">
            <v>3304</v>
          </cell>
          <cell r="G118">
            <v>3305</v>
          </cell>
          <cell r="H118">
            <v>3306</v>
          </cell>
          <cell r="I118">
            <v>3307</v>
          </cell>
          <cell r="J118">
            <v>3308</v>
          </cell>
          <cell r="K118">
            <v>3309</v>
          </cell>
          <cell r="L118">
            <v>3310</v>
          </cell>
          <cell r="M118">
            <v>3300</v>
          </cell>
          <cell r="N118" t="str">
            <v>PUXADOR INDUS ANTARES C/CILINDRO + COR</v>
          </cell>
          <cell r="O118">
            <v>168</v>
          </cell>
          <cell r="P118">
            <v>86</v>
          </cell>
          <cell r="Q118">
            <v>45</v>
          </cell>
        </row>
        <row r="119">
          <cell r="A119">
            <v>598094</v>
          </cell>
          <cell r="B119" t="str">
            <v>-</v>
          </cell>
          <cell r="C119">
            <v>3301</v>
          </cell>
          <cell r="D119">
            <v>3302</v>
          </cell>
          <cell r="E119">
            <v>3303</v>
          </cell>
          <cell r="F119">
            <v>3304</v>
          </cell>
          <cell r="G119">
            <v>3305</v>
          </cell>
          <cell r="H119">
            <v>3306</v>
          </cell>
          <cell r="I119">
            <v>3307</v>
          </cell>
          <cell r="J119">
            <v>3308</v>
          </cell>
          <cell r="K119">
            <v>3309</v>
          </cell>
          <cell r="L119">
            <v>3310</v>
          </cell>
          <cell r="M119">
            <v>3300</v>
          </cell>
          <cell r="N119" t="str">
            <v>PUXADOR INDUS ANTARES S/CILINDRO + COR</v>
          </cell>
          <cell r="O119">
            <v>168</v>
          </cell>
          <cell r="P119">
            <v>86</v>
          </cell>
          <cell r="Q119">
            <v>45</v>
          </cell>
        </row>
        <row r="120">
          <cell r="A120">
            <v>598095</v>
          </cell>
          <cell r="B120" t="str">
            <v>-</v>
          </cell>
          <cell r="C120">
            <v>3301</v>
          </cell>
          <cell r="D120">
            <v>3302</v>
          </cell>
          <cell r="E120">
            <v>3303</v>
          </cell>
          <cell r="F120">
            <v>3304</v>
          </cell>
          <cell r="G120">
            <v>3305</v>
          </cell>
          <cell r="H120">
            <v>3306</v>
          </cell>
          <cell r="I120">
            <v>3307</v>
          </cell>
          <cell r="J120">
            <v>3308</v>
          </cell>
          <cell r="K120">
            <v>3309</v>
          </cell>
          <cell r="L120">
            <v>3310</v>
          </cell>
          <cell r="M120">
            <v>3300</v>
          </cell>
          <cell r="N120" t="str">
            <v>PUXADOR INDUS ATRIA C/CILINDRO + COR</v>
          </cell>
          <cell r="O120">
            <v>168</v>
          </cell>
          <cell r="P120">
            <v>86</v>
          </cell>
          <cell r="Q120">
            <v>45</v>
          </cell>
        </row>
        <row r="121">
          <cell r="A121">
            <v>598096</v>
          </cell>
          <cell r="B121" t="str">
            <v>-</v>
          </cell>
          <cell r="C121">
            <v>3301</v>
          </cell>
          <cell r="D121">
            <v>3302</v>
          </cell>
          <cell r="E121">
            <v>3303</v>
          </cell>
          <cell r="F121">
            <v>3304</v>
          </cell>
          <cell r="G121">
            <v>3305</v>
          </cell>
          <cell r="H121">
            <v>3306</v>
          </cell>
          <cell r="I121">
            <v>3307</v>
          </cell>
          <cell r="J121">
            <v>3308</v>
          </cell>
          <cell r="K121">
            <v>3309</v>
          </cell>
          <cell r="L121">
            <v>3310</v>
          </cell>
          <cell r="M121">
            <v>3300</v>
          </cell>
          <cell r="N121" t="str">
            <v>PUXADOR INDUS ATRIA S/CILINDRO + COR</v>
          </cell>
          <cell r="O121">
            <v>168</v>
          </cell>
          <cell r="P121">
            <v>86</v>
          </cell>
          <cell r="Q121">
            <v>45</v>
          </cell>
        </row>
        <row r="123">
          <cell r="A123">
            <v>598100</v>
          </cell>
          <cell r="B123">
            <v>3399</v>
          </cell>
          <cell r="C123">
            <v>3301</v>
          </cell>
          <cell r="D123">
            <v>3302</v>
          </cell>
          <cell r="E123">
            <v>3303</v>
          </cell>
          <cell r="F123">
            <v>3304</v>
          </cell>
          <cell r="G123">
            <v>3305</v>
          </cell>
          <cell r="H123">
            <v>3306</v>
          </cell>
          <cell r="I123">
            <v>3307</v>
          </cell>
          <cell r="J123">
            <v>3308</v>
          </cell>
          <cell r="K123">
            <v>3309</v>
          </cell>
          <cell r="L123">
            <v>3310</v>
          </cell>
          <cell r="M123">
            <v>3300</v>
          </cell>
          <cell r="N123" t="str">
            <v>PERFIL ACABAMENTO ATRIA/ANTARES/ARA 2,0M + COR</v>
          </cell>
          <cell r="O123">
            <v>2000</v>
          </cell>
          <cell r="P123">
            <v>53</v>
          </cell>
          <cell r="Q123">
            <v>8.5</v>
          </cell>
        </row>
        <row r="124">
          <cell r="A124">
            <v>598101</v>
          </cell>
          <cell r="B124">
            <v>3399</v>
          </cell>
          <cell r="C124">
            <v>3301</v>
          </cell>
          <cell r="D124">
            <v>3302</v>
          </cell>
          <cell r="E124">
            <v>3303</v>
          </cell>
          <cell r="F124">
            <v>3304</v>
          </cell>
          <cell r="G124">
            <v>3305</v>
          </cell>
          <cell r="H124">
            <v>3306</v>
          </cell>
          <cell r="I124">
            <v>3307</v>
          </cell>
          <cell r="J124">
            <v>3308</v>
          </cell>
          <cell r="K124">
            <v>3309</v>
          </cell>
          <cell r="L124">
            <v>3310</v>
          </cell>
          <cell r="M124">
            <v>3300</v>
          </cell>
          <cell r="N124" t="str">
            <v>PERFIL ACABAMENTO ATRIA/ANTARES/ARA 3,0M + COR</v>
          </cell>
          <cell r="O124">
            <v>3000</v>
          </cell>
          <cell r="P124">
            <v>53</v>
          </cell>
          <cell r="Q124">
            <v>8.5</v>
          </cell>
        </row>
        <row r="125">
          <cell r="A125">
            <v>598102</v>
          </cell>
          <cell r="B125">
            <v>3399</v>
          </cell>
          <cell r="C125">
            <v>3301</v>
          </cell>
          <cell r="D125">
            <v>3302</v>
          </cell>
          <cell r="E125">
            <v>3303</v>
          </cell>
          <cell r="F125">
            <v>3304</v>
          </cell>
          <cell r="G125">
            <v>3305</v>
          </cell>
          <cell r="H125">
            <v>3306</v>
          </cell>
          <cell r="I125">
            <v>3307</v>
          </cell>
          <cell r="J125">
            <v>3308</v>
          </cell>
          <cell r="K125">
            <v>3309</v>
          </cell>
          <cell r="L125">
            <v>3310</v>
          </cell>
          <cell r="M125">
            <v>3300</v>
          </cell>
          <cell r="N125" t="str">
            <v>PERFIL ACABAMENTO ATRIA/ANTARES/ARA 4,0M + COR</v>
          </cell>
          <cell r="O125">
            <v>4000</v>
          </cell>
          <cell r="P125">
            <v>53</v>
          </cell>
          <cell r="Q125">
            <v>8.5</v>
          </cell>
        </row>
        <row r="127">
          <cell r="A127">
            <v>598103</v>
          </cell>
          <cell r="B127" t="str">
            <v>-</v>
          </cell>
          <cell r="C127">
            <v>3301</v>
          </cell>
          <cell r="D127">
            <v>3302</v>
          </cell>
          <cell r="E127">
            <v>3303</v>
          </cell>
          <cell r="F127">
            <v>3304</v>
          </cell>
          <cell r="G127">
            <v>3305</v>
          </cell>
          <cell r="H127">
            <v>3306</v>
          </cell>
          <cell r="I127">
            <v>3307</v>
          </cell>
          <cell r="J127">
            <v>3308</v>
          </cell>
          <cell r="K127">
            <v>3309</v>
          </cell>
          <cell r="L127">
            <v>3310</v>
          </cell>
          <cell r="M127">
            <v>3300</v>
          </cell>
          <cell r="N127" t="str">
            <v>TAMPA DIR ACABAMENTO ATRIA/ANTARES/ARA + COR</v>
          </cell>
          <cell r="O127">
            <v>63</v>
          </cell>
          <cell r="P127">
            <v>66</v>
          </cell>
          <cell r="Q127">
            <v>2</v>
          </cell>
        </row>
        <row r="128">
          <cell r="A128">
            <v>598104</v>
          </cell>
          <cell r="B128" t="str">
            <v>-</v>
          </cell>
          <cell r="C128">
            <v>3301</v>
          </cell>
          <cell r="D128">
            <v>3302</v>
          </cell>
          <cell r="E128">
            <v>3303</v>
          </cell>
          <cell r="F128">
            <v>3304</v>
          </cell>
          <cell r="G128">
            <v>3305</v>
          </cell>
          <cell r="H128">
            <v>3306</v>
          </cell>
          <cell r="I128">
            <v>3307</v>
          </cell>
          <cell r="J128">
            <v>3308</v>
          </cell>
          <cell r="K128">
            <v>3309</v>
          </cell>
          <cell r="L128">
            <v>3310</v>
          </cell>
          <cell r="M128">
            <v>3300</v>
          </cell>
          <cell r="N128" t="str">
            <v>TAMPA ESQ ACABAMENTO ATRIA/ANTARES/ARA + COR</v>
          </cell>
          <cell r="O128">
            <v>63</v>
          </cell>
          <cell r="P128">
            <v>66</v>
          </cell>
          <cell r="Q128">
            <v>2</v>
          </cell>
        </row>
        <row r="130">
          <cell r="A130">
            <v>598110</v>
          </cell>
          <cell r="B130">
            <v>3399</v>
          </cell>
          <cell r="C130" t="str">
            <v>-</v>
          </cell>
          <cell r="D130" t="str">
            <v>-</v>
          </cell>
          <cell r="E130" t="str">
            <v>-</v>
          </cell>
          <cell r="F130" t="str">
            <v>-</v>
          </cell>
          <cell r="G130" t="str">
            <v>-</v>
          </cell>
          <cell r="H130" t="str">
            <v>-</v>
          </cell>
          <cell r="I130" t="str">
            <v>-</v>
          </cell>
          <cell r="J130" t="str">
            <v>-</v>
          </cell>
          <cell r="K130" t="str">
            <v>-</v>
          </cell>
          <cell r="L130" t="str">
            <v>-</v>
          </cell>
          <cell r="M130" t="str">
            <v>-</v>
          </cell>
          <cell r="N130" t="str">
            <v>PERFIL AMOSTRA TRILHO 120X33X33MM  + COR</v>
          </cell>
          <cell r="O130">
            <v>120</v>
          </cell>
          <cell r="P130">
            <v>33</v>
          </cell>
          <cell r="Q130">
            <v>33</v>
          </cell>
        </row>
        <row r="131">
          <cell r="A131">
            <v>598111</v>
          </cell>
          <cell r="B131">
            <v>3399</v>
          </cell>
          <cell r="C131" t="str">
            <v>-</v>
          </cell>
          <cell r="D131" t="str">
            <v>-</v>
          </cell>
          <cell r="E131" t="str">
            <v>-</v>
          </cell>
          <cell r="F131" t="str">
            <v>-</v>
          </cell>
          <cell r="G131" t="str">
            <v>-</v>
          </cell>
          <cell r="H131" t="str">
            <v>-</v>
          </cell>
          <cell r="I131" t="str">
            <v>-</v>
          </cell>
          <cell r="J131" t="str">
            <v>-</v>
          </cell>
          <cell r="K131" t="str">
            <v>-</v>
          </cell>
          <cell r="L131" t="str">
            <v>-</v>
          </cell>
          <cell r="M131" t="str">
            <v>-</v>
          </cell>
          <cell r="N131" t="str">
            <v>PERFIL AMOSTRA CONSOLE 1 VIA 120X58,5X51MM  + COR</v>
          </cell>
          <cell r="O131">
            <v>120</v>
          </cell>
          <cell r="P131">
            <v>58</v>
          </cell>
          <cell r="Q131">
            <v>51</v>
          </cell>
        </row>
        <row r="132">
          <cell r="A132">
            <v>598112</v>
          </cell>
          <cell r="B132">
            <v>3399</v>
          </cell>
          <cell r="C132" t="str">
            <v>-</v>
          </cell>
          <cell r="D132" t="str">
            <v>-</v>
          </cell>
          <cell r="E132" t="str">
            <v>-</v>
          </cell>
          <cell r="F132" t="str">
            <v>-</v>
          </cell>
          <cell r="G132" t="str">
            <v>-</v>
          </cell>
          <cell r="H132" t="str">
            <v>-</v>
          </cell>
          <cell r="I132" t="str">
            <v>-</v>
          </cell>
          <cell r="J132" t="str">
            <v>-</v>
          </cell>
          <cell r="K132" t="str">
            <v>-</v>
          </cell>
          <cell r="L132" t="str">
            <v>-</v>
          </cell>
          <cell r="M132" t="str">
            <v>-</v>
          </cell>
          <cell r="N132" t="str">
            <v>PERFIL AMOSTRA CONSOLE 2 VIAS 120X110X51MM  + COR</v>
          </cell>
          <cell r="O132">
            <v>120</v>
          </cell>
          <cell r="P132">
            <v>110</v>
          </cell>
          <cell r="Q132">
            <v>51</v>
          </cell>
        </row>
        <row r="133">
          <cell r="A133">
            <v>598113</v>
          </cell>
          <cell r="B133">
            <v>3399</v>
          </cell>
          <cell r="C133" t="str">
            <v>-</v>
          </cell>
          <cell r="D133" t="str">
            <v>-</v>
          </cell>
          <cell r="E133" t="str">
            <v>-</v>
          </cell>
          <cell r="F133" t="str">
            <v>-</v>
          </cell>
          <cell r="G133" t="str">
            <v>-</v>
          </cell>
          <cell r="H133" t="str">
            <v>-</v>
          </cell>
          <cell r="I133" t="str">
            <v>-</v>
          </cell>
          <cell r="J133" t="str">
            <v>-</v>
          </cell>
          <cell r="K133" t="str">
            <v>-</v>
          </cell>
          <cell r="L133" t="str">
            <v>-</v>
          </cell>
          <cell r="M133" t="str">
            <v>-</v>
          </cell>
          <cell r="N133" t="str">
            <v>PERFIL AMOSTRA CONSOLE 3 VIAS 120X168X51MM  + COR</v>
          </cell>
          <cell r="O133">
            <v>120</v>
          </cell>
          <cell r="P133">
            <v>168</v>
          </cell>
          <cell r="Q133">
            <v>51</v>
          </cell>
        </row>
        <row r="134">
          <cell r="A134">
            <v>598114</v>
          </cell>
          <cell r="B134">
            <v>3399</v>
          </cell>
          <cell r="C134" t="str">
            <v>-</v>
          </cell>
          <cell r="D134" t="str">
            <v>-</v>
          </cell>
          <cell r="E134" t="str">
            <v>-</v>
          </cell>
          <cell r="F134" t="str">
            <v>-</v>
          </cell>
          <cell r="G134" t="str">
            <v>-</v>
          </cell>
          <cell r="H134" t="str">
            <v>-</v>
          </cell>
          <cell r="I134" t="str">
            <v>-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 t="str">
            <v>PERFIL AMOSTRA DRYWALL 120X33X48MM  + COR</v>
          </cell>
          <cell r="O134">
            <v>120</v>
          </cell>
          <cell r="P134">
            <v>33</v>
          </cell>
          <cell r="Q134">
            <v>48</v>
          </cell>
        </row>
        <row r="135">
          <cell r="A135">
            <v>598115</v>
          </cell>
          <cell r="B135">
            <v>3399</v>
          </cell>
          <cell r="C135" t="str">
            <v>-</v>
          </cell>
          <cell r="D135" t="str">
            <v>-</v>
          </cell>
          <cell r="E135" t="str">
            <v>-</v>
          </cell>
          <cell r="F135" t="str">
            <v>-</v>
          </cell>
          <cell r="G135" t="str">
            <v>-</v>
          </cell>
          <cell r="H135" t="str">
            <v>-</v>
          </cell>
          <cell r="I135" t="str">
            <v>-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 t="str">
            <v>PERFIL AMOSTRA PL PAREDE 120X50X62MM  + COR</v>
          </cell>
          <cell r="O135">
            <v>120</v>
          </cell>
          <cell r="P135">
            <v>50</v>
          </cell>
          <cell r="Q135">
            <v>62</v>
          </cell>
        </row>
        <row r="136">
          <cell r="A136">
            <v>598116</v>
          </cell>
          <cell r="B136">
            <v>3399</v>
          </cell>
          <cell r="C136" t="str">
            <v>-</v>
          </cell>
          <cell r="D136" t="str">
            <v>-</v>
          </cell>
          <cell r="E136" t="str">
            <v>-</v>
          </cell>
          <cell r="F136" t="str">
            <v>-</v>
          </cell>
          <cell r="G136" t="str">
            <v>-</v>
          </cell>
          <cell r="H136" t="str">
            <v>-</v>
          </cell>
          <cell r="I136" t="str">
            <v>-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-</v>
          </cell>
          <cell r="N136" t="str">
            <v>PERFIL AMOSTRA PL ACABAMENTO 120X50X62MM  + COR</v>
          </cell>
          <cell r="O136">
            <v>120</v>
          </cell>
          <cell r="P136">
            <v>8</v>
          </cell>
          <cell r="Q136">
            <v>58</v>
          </cell>
        </row>
        <row r="137">
          <cell r="A137">
            <v>598117</v>
          </cell>
          <cell r="B137">
            <v>3399</v>
          </cell>
          <cell r="C137" t="str">
            <v>-</v>
          </cell>
          <cell r="D137" t="str">
            <v>-</v>
          </cell>
          <cell r="E137" t="str">
            <v>-</v>
          </cell>
          <cell r="F137" t="str">
            <v>-</v>
          </cell>
          <cell r="G137" t="str">
            <v>-</v>
          </cell>
          <cell r="H137" t="str">
            <v>-</v>
          </cell>
          <cell r="I137" t="str">
            <v>-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-</v>
          </cell>
          <cell r="N137" t="str">
            <v>CABECEIRA PTA DESL SUP ATRIA 134X36X45MM + COR</v>
          </cell>
          <cell r="O137">
            <v>134</v>
          </cell>
          <cell r="P137">
            <v>36</v>
          </cell>
          <cell r="Q137">
            <v>45</v>
          </cell>
        </row>
        <row r="138">
          <cell r="A138">
            <v>598118</v>
          </cell>
          <cell r="B138">
            <v>3399</v>
          </cell>
          <cell r="C138" t="str">
            <v>-</v>
          </cell>
          <cell r="D138" t="str">
            <v>-</v>
          </cell>
          <cell r="E138" t="str">
            <v>-</v>
          </cell>
          <cell r="F138" t="str">
            <v>-</v>
          </cell>
          <cell r="G138" t="str">
            <v>-</v>
          </cell>
          <cell r="H138" t="str">
            <v>-</v>
          </cell>
          <cell r="I138" t="str">
            <v>-</v>
          </cell>
          <cell r="J138" t="str">
            <v>-</v>
          </cell>
          <cell r="K138" t="str">
            <v>-</v>
          </cell>
          <cell r="L138" t="str">
            <v>-</v>
          </cell>
          <cell r="M138" t="str">
            <v>-</v>
          </cell>
          <cell r="N138" t="str">
            <v>LATERAL DIR/ESQ PTA DESL ATRIA 180X36X45MM + COR</v>
          </cell>
          <cell r="O138">
            <v>180</v>
          </cell>
          <cell r="P138">
            <v>20</v>
          </cell>
          <cell r="Q138">
            <v>45</v>
          </cell>
        </row>
        <row r="140">
          <cell r="A140">
            <v>598120</v>
          </cell>
          <cell r="B140">
            <v>3399</v>
          </cell>
          <cell r="C140">
            <v>3301</v>
          </cell>
          <cell r="D140">
            <v>3302</v>
          </cell>
          <cell r="E140">
            <v>3303</v>
          </cell>
          <cell r="F140">
            <v>3304</v>
          </cell>
          <cell r="G140">
            <v>3305</v>
          </cell>
          <cell r="H140">
            <v>3306</v>
          </cell>
          <cell r="I140">
            <v>3307</v>
          </cell>
          <cell r="J140">
            <v>3308</v>
          </cell>
          <cell r="K140">
            <v>3309</v>
          </cell>
          <cell r="L140">
            <v>3310</v>
          </cell>
          <cell r="M140">
            <v>3300</v>
          </cell>
          <cell r="N140" t="str">
            <v>PERFIL PAREDE ATRIA/ANTARES/ARA 2,0M + COR</v>
          </cell>
          <cell r="O140">
            <v>2000</v>
          </cell>
          <cell r="P140">
            <v>50</v>
          </cell>
          <cell r="Q140">
            <v>62</v>
          </cell>
        </row>
        <row r="141">
          <cell r="A141">
            <v>598121</v>
          </cell>
          <cell r="B141">
            <v>3399</v>
          </cell>
          <cell r="C141">
            <v>3301</v>
          </cell>
          <cell r="D141">
            <v>3302</v>
          </cell>
          <cell r="E141">
            <v>3303</v>
          </cell>
          <cell r="F141">
            <v>3304</v>
          </cell>
          <cell r="G141">
            <v>3305</v>
          </cell>
          <cell r="H141">
            <v>3306</v>
          </cell>
          <cell r="I141">
            <v>3307</v>
          </cell>
          <cell r="J141">
            <v>3308</v>
          </cell>
          <cell r="K141">
            <v>3309</v>
          </cell>
          <cell r="L141">
            <v>3310</v>
          </cell>
          <cell r="M141">
            <v>3300</v>
          </cell>
          <cell r="N141" t="str">
            <v>PERFIL PAREDE ATRIA/ANTARES/ARA 3,0M + COR</v>
          </cell>
          <cell r="O141">
            <v>3000</v>
          </cell>
          <cell r="P141">
            <v>50</v>
          </cell>
          <cell r="Q141">
            <v>62</v>
          </cell>
        </row>
        <row r="142">
          <cell r="A142">
            <v>598122</v>
          </cell>
          <cell r="B142">
            <v>3399</v>
          </cell>
          <cell r="C142">
            <v>3301</v>
          </cell>
          <cell r="D142">
            <v>3302</v>
          </cell>
          <cell r="E142">
            <v>3303</v>
          </cell>
          <cell r="F142">
            <v>3304</v>
          </cell>
          <cell r="G142">
            <v>3305</v>
          </cell>
          <cell r="H142">
            <v>3306</v>
          </cell>
          <cell r="I142">
            <v>3307</v>
          </cell>
          <cell r="J142">
            <v>3308</v>
          </cell>
          <cell r="K142">
            <v>3309</v>
          </cell>
          <cell r="L142">
            <v>3310</v>
          </cell>
          <cell r="M142">
            <v>3300</v>
          </cell>
          <cell r="N142" t="str">
            <v>PERFIL PAREDE ATRIA/ANTARES/ARA 4,0M + COR</v>
          </cell>
          <cell r="O142">
            <v>4000</v>
          </cell>
          <cell r="P142">
            <v>50</v>
          </cell>
          <cell r="Q142">
            <v>62</v>
          </cell>
        </row>
      </sheetData>
      <sheetData sheetId="4" refreshError="1"/>
      <sheetData sheetId="5" refreshError="1">
        <row r="5">
          <cell r="A5" t="str">
            <v>BP S/RECORTE</v>
          </cell>
        </row>
        <row r="6">
          <cell r="A6" t="str">
            <v>PAINEL BP 1744X776X18 + COR</v>
          </cell>
          <cell r="B6">
            <v>1800</v>
          </cell>
          <cell r="C6">
            <v>800</v>
          </cell>
          <cell r="D6">
            <v>1744</v>
          </cell>
          <cell r="E6">
            <v>776</v>
          </cell>
          <cell r="F6">
            <v>773900</v>
          </cell>
          <cell r="G6">
            <v>307</v>
          </cell>
          <cell r="H6">
            <v>302</v>
          </cell>
          <cell r="I6">
            <v>308</v>
          </cell>
          <cell r="J6">
            <v>309</v>
          </cell>
          <cell r="K6">
            <v>316</v>
          </cell>
          <cell r="L6">
            <v>318</v>
          </cell>
          <cell r="M6" t="str">
            <v>-</v>
          </cell>
          <cell r="N6" t="str">
            <v>-</v>
          </cell>
          <cell r="O6" t="str">
            <v>-</v>
          </cell>
          <cell r="P6">
            <v>724</v>
          </cell>
          <cell r="Q6">
            <v>911</v>
          </cell>
          <cell r="R6">
            <v>480</v>
          </cell>
          <cell r="S6">
            <v>501</v>
          </cell>
          <cell r="T6">
            <v>450</v>
          </cell>
          <cell r="U6">
            <v>304</v>
          </cell>
          <cell r="V6">
            <v>421</v>
          </cell>
          <cell r="W6">
            <v>422</v>
          </cell>
          <cell r="X6" t="str">
            <v>-</v>
          </cell>
          <cell r="Y6">
            <v>495</v>
          </cell>
          <cell r="Z6">
            <v>502</v>
          </cell>
          <cell r="AA6">
            <v>305</v>
          </cell>
          <cell r="AB6">
            <v>306</v>
          </cell>
          <cell r="AC6">
            <v>730</v>
          </cell>
          <cell r="AD6" t="str">
            <v>-</v>
          </cell>
          <cell r="AE6">
            <v>748</v>
          </cell>
          <cell r="AF6" t="str">
            <v>-</v>
          </cell>
          <cell r="AG6" t="str">
            <v>-</v>
          </cell>
          <cell r="AH6" t="str">
            <v>-</v>
          </cell>
          <cell r="AI6">
            <v>722</v>
          </cell>
        </row>
        <row r="7">
          <cell r="A7" t="str">
            <v>PAINEL BP 1744X876X18 + COR</v>
          </cell>
          <cell r="B7">
            <v>1800</v>
          </cell>
          <cell r="C7">
            <v>900</v>
          </cell>
          <cell r="D7">
            <v>1744</v>
          </cell>
          <cell r="E7">
            <v>876</v>
          </cell>
          <cell r="F7">
            <v>773901</v>
          </cell>
          <cell r="G7">
            <v>307</v>
          </cell>
          <cell r="H7">
            <v>302</v>
          </cell>
          <cell r="I7">
            <v>308</v>
          </cell>
          <cell r="J7">
            <v>309</v>
          </cell>
          <cell r="K7">
            <v>316</v>
          </cell>
          <cell r="L7">
            <v>318</v>
          </cell>
          <cell r="M7" t="str">
            <v>-</v>
          </cell>
          <cell r="N7" t="str">
            <v>-</v>
          </cell>
          <cell r="O7" t="str">
            <v>-</v>
          </cell>
          <cell r="P7">
            <v>724</v>
          </cell>
          <cell r="Q7">
            <v>911</v>
          </cell>
          <cell r="R7">
            <v>480</v>
          </cell>
          <cell r="S7">
            <v>501</v>
          </cell>
          <cell r="T7">
            <v>450</v>
          </cell>
          <cell r="U7">
            <v>304</v>
          </cell>
          <cell r="V7">
            <v>421</v>
          </cell>
          <cell r="W7">
            <v>422</v>
          </cell>
          <cell r="X7" t="str">
            <v>-</v>
          </cell>
          <cell r="Y7">
            <v>495</v>
          </cell>
          <cell r="Z7">
            <v>502</v>
          </cell>
          <cell r="AA7">
            <v>305</v>
          </cell>
          <cell r="AB7">
            <v>306</v>
          </cell>
          <cell r="AC7">
            <v>730</v>
          </cell>
          <cell r="AD7" t="str">
            <v>-</v>
          </cell>
          <cell r="AE7">
            <v>748</v>
          </cell>
          <cell r="AF7" t="str">
            <v>-</v>
          </cell>
          <cell r="AG7" t="str">
            <v>-</v>
          </cell>
          <cell r="AH7" t="str">
            <v>-</v>
          </cell>
          <cell r="AI7">
            <v>722</v>
          </cell>
        </row>
        <row r="8">
          <cell r="A8" t="str">
            <v>PAINEL BP 1744X976X18 + COR</v>
          </cell>
          <cell r="B8">
            <v>1800</v>
          </cell>
          <cell r="C8">
            <v>1000</v>
          </cell>
          <cell r="D8">
            <v>1744</v>
          </cell>
          <cell r="E8">
            <v>976</v>
          </cell>
          <cell r="F8">
            <v>773902</v>
          </cell>
          <cell r="G8">
            <v>307</v>
          </cell>
          <cell r="H8">
            <v>302</v>
          </cell>
          <cell r="I8">
            <v>308</v>
          </cell>
          <cell r="J8">
            <v>309</v>
          </cell>
          <cell r="K8">
            <v>316</v>
          </cell>
          <cell r="L8">
            <v>318</v>
          </cell>
          <cell r="M8" t="str">
            <v>-</v>
          </cell>
          <cell r="N8" t="str">
            <v>-</v>
          </cell>
          <cell r="O8" t="str">
            <v>-</v>
          </cell>
          <cell r="P8">
            <v>724</v>
          </cell>
          <cell r="Q8">
            <v>911</v>
          </cell>
          <cell r="R8">
            <v>480</v>
          </cell>
          <cell r="S8">
            <v>501</v>
          </cell>
          <cell r="T8">
            <v>450</v>
          </cell>
          <cell r="U8">
            <v>304</v>
          </cell>
          <cell r="V8">
            <v>421</v>
          </cell>
          <cell r="W8">
            <v>422</v>
          </cell>
          <cell r="X8" t="str">
            <v>-</v>
          </cell>
          <cell r="Y8">
            <v>495</v>
          </cell>
          <cell r="Z8">
            <v>502</v>
          </cell>
          <cell r="AA8">
            <v>305</v>
          </cell>
          <cell r="AB8">
            <v>306</v>
          </cell>
          <cell r="AC8">
            <v>730</v>
          </cell>
          <cell r="AD8" t="str">
            <v>-</v>
          </cell>
          <cell r="AE8">
            <v>748</v>
          </cell>
          <cell r="AF8" t="str">
            <v>-</v>
          </cell>
          <cell r="AG8" t="str">
            <v>-</v>
          </cell>
          <cell r="AH8" t="str">
            <v>-</v>
          </cell>
          <cell r="AI8">
            <v>722</v>
          </cell>
        </row>
        <row r="9">
          <cell r="A9" t="str">
            <v>PAINEL BP 1744X1076X18 + COR</v>
          </cell>
          <cell r="B9">
            <v>1800</v>
          </cell>
          <cell r="C9">
            <v>1100</v>
          </cell>
          <cell r="D9">
            <v>1744</v>
          </cell>
          <cell r="E9">
            <v>1076</v>
          </cell>
          <cell r="F9">
            <v>773903</v>
          </cell>
          <cell r="G9">
            <v>307</v>
          </cell>
          <cell r="H9">
            <v>302</v>
          </cell>
          <cell r="I9">
            <v>308</v>
          </cell>
          <cell r="J9">
            <v>309</v>
          </cell>
          <cell r="K9">
            <v>316</v>
          </cell>
          <cell r="L9">
            <v>318</v>
          </cell>
          <cell r="M9" t="str">
            <v>-</v>
          </cell>
          <cell r="N9" t="str">
            <v>-</v>
          </cell>
          <cell r="O9" t="str">
            <v>-</v>
          </cell>
          <cell r="P9">
            <v>724</v>
          </cell>
          <cell r="Q9">
            <v>911</v>
          </cell>
          <cell r="R9">
            <v>480</v>
          </cell>
          <cell r="S9">
            <v>501</v>
          </cell>
          <cell r="T9">
            <v>450</v>
          </cell>
          <cell r="U9">
            <v>304</v>
          </cell>
          <cell r="V9">
            <v>421</v>
          </cell>
          <cell r="W9">
            <v>422</v>
          </cell>
          <cell r="X9" t="str">
            <v>-</v>
          </cell>
          <cell r="Y9">
            <v>495</v>
          </cell>
          <cell r="Z9">
            <v>502</v>
          </cell>
          <cell r="AA9">
            <v>305</v>
          </cell>
          <cell r="AB9">
            <v>306</v>
          </cell>
          <cell r="AC9">
            <v>730</v>
          </cell>
          <cell r="AD9" t="str">
            <v>-</v>
          </cell>
          <cell r="AE9">
            <v>748</v>
          </cell>
          <cell r="AF9" t="str">
            <v>-</v>
          </cell>
          <cell r="AG9" t="str">
            <v>-</v>
          </cell>
          <cell r="AH9" t="str">
            <v>-</v>
          </cell>
          <cell r="AI9">
            <v>722</v>
          </cell>
        </row>
        <row r="10">
          <cell r="A10" t="str">
            <v>PAINEL BP 1744X1176X18 + COR</v>
          </cell>
          <cell r="B10">
            <v>1800</v>
          </cell>
          <cell r="C10">
            <v>1200</v>
          </cell>
          <cell r="D10">
            <v>1744</v>
          </cell>
          <cell r="E10">
            <v>1176</v>
          </cell>
          <cell r="F10">
            <v>773904</v>
          </cell>
          <cell r="G10">
            <v>307</v>
          </cell>
          <cell r="H10">
            <v>302</v>
          </cell>
          <cell r="I10">
            <v>308</v>
          </cell>
          <cell r="J10">
            <v>309</v>
          </cell>
          <cell r="K10">
            <v>316</v>
          </cell>
          <cell r="L10">
            <v>318</v>
          </cell>
          <cell r="M10" t="str">
            <v>-</v>
          </cell>
          <cell r="N10" t="str">
            <v>-</v>
          </cell>
          <cell r="O10" t="str">
            <v>-</v>
          </cell>
          <cell r="P10">
            <v>724</v>
          </cell>
          <cell r="Q10">
            <v>911</v>
          </cell>
          <cell r="R10">
            <v>480</v>
          </cell>
          <cell r="S10">
            <v>501</v>
          </cell>
          <cell r="T10">
            <v>450</v>
          </cell>
          <cell r="U10">
            <v>304</v>
          </cell>
          <cell r="V10">
            <v>421</v>
          </cell>
          <cell r="W10">
            <v>422</v>
          </cell>
          <cell r="X10" t="str">
            <v>-</v>
          </cell>
          <cell r="Y10">
            <v>495</v>
          </cell>
          <cell r="Z10">
            <v>502</v>
          </cell>
          <cell r="AA10">
            <v>305</v>
          </cell>
          <cell r="AB10">
            <v>306</v>
          </cell>
          <cell r="AC10">
            <v>730</v>
          </cell>
          <cell r="AD10" t="str">
            <v>-</v>
          </cell>
          <cell r="AE10">
            <v>748</v>
          </cell>
          <cell r="AF10" t="str">
            <v>-</v>
          </cell>
          <cell r="AG10" t="str">
            <v>-</v>
          </cell>
          <cell r="AH10" t="str">
            <v>-</v>
          </cell>
          <cell r="AI10">
            <v>722</v>
          </cell>
        </row>
        <row r="11">
          <cell r="A11" t="str">
            <v>PAINEL BP 1744X1276X18 + COR</v>
          </cell>
          <cell r="B11">
            <v>1800</v>
          </cell>
          <cell r="C11">
            <v>1300</v>
          </cell>
          <cell r="D11">
            <v>1744</v>
          </cell>
          <cell r="E11">
            <v>1276</v>
          </cell>
          <cell r="F11">
            <v>773905</v>
          </cell>
          <cell r="G11">
            <v>307</v>
          </cell>
          <cell r="H11">
            <v>302</v>
          </cell>
          <cell r="I11">
            <v>308</v>
          </cell>
          <cell r="J11">
            <v>309</v>
          </cell>
          <cell r="K11">
            <v>316</v>
          </cell>
          <cell r="L11">
            <v>318</v>
          </cell>
          <cell r="M11" t="str">
            <v>-</v>
          </cell>
          <cell r="N11" t="str">
            <v>-</v>
          </cell>
          <cell r="O11" t="str">
            <v>-</v>
          </cell>
          <cell r="P11">
            <v>724</v>
          </cell>
          <cell r="Q11">
            <v>911</v>
          </cell>
          <cell r="R11">
            <v>480</v>
          </cell>
          <cell r="S11">
            <v>501</v>
          </cell>
          <cell r="T11">
            <v>450</v>
          </cell>
          <cell r="U11">
            <v>304</v>
          </cell>
          <cell r="V11">
            <v>421</v>
          </cell>
          <cell r="W11">
            <v>422</v>
          </cell>
          <cell r="X11" t="str">
            <v>-</v>
          </cell>
          <cell r="Y11">
            <v>495</v>
          </cell>
          <cell r="Z11">
            <v>502</v>
          </cell>
          <cell r="AA11">
            <v>305</v>
          </cell>
          <cell r="AB11">
            <v>306</v>
          </cell>
          <cell r="AC11">
            <v>730</v>
          </cell>
          <cell r="AD11" t="str">
            <v>-</v>
          </cell>
          <cell r="AE11">
            <v>748</v>
          </cell>
          <cell r="AF11" t="str">
            <v>-</v>
          </cell>
          <cell r="AG11" t="str">
            <v>-</v>
          </cell>
          <cell r="AH11" t="str">
            <v>-</v>
          </cell>
          <cell r="AI11">
            <v>722</v>
          </cell>
        </row>
        <row r="12">
          <cell r="A12" t="str">
            <v>PAINEL BP 1744X1376X18 + COR</v>
          </cell>
          <cell r="B12">
            <v>1800</v>
          </cell>
          <cell r="C12">
            <v>1400</v>
          </cell>
          <cell r="D12">
            <v>1744</v>
          </cell>
          <cell r="E12">
            <v>1376</v>
          </cell>
          <cell r="F12">
            <v>773906</v>
          </cell>
          <cell r="G12">
            <v>307</v>
          </cell>
          <cell r="H12">
            <v>302</v>
          </cell>
          <cell r="I12">
            <v>308</v>
          </cell>
          <cell r="J12">
            <v>309</v>
          </cell>
          <cell r="K12">
            <v>316</v>
          </cell>
          <cell r="L12">
            <v>318</v>
          </cell>
          <cell r="M12" t="str">
            <v>-</v>
          </cell>
          <cell r="N12" t="str">
            <v>-</v>
          </cell>
          <cell r="O12" t="str">
            <v>-</v>
          </cell>
          <cell r="P12">
            <v>724</v>
          </cell>
          <cell r="Q12">
            <v>911</v>
          </cell>
          <cell r="R12">
            <v>480</v>
          </cell>
          <cell r="S12">
            <v>501</v>
          </cell>
          <cell r="T12">
            <v>450</v>
          </cell>
          <cell r="U12">
            <v>304</v>
          </cell>
          <cell r="V12">
            <v>421</v>
          </cell>
          <cell r="W12">
            <v>422</v>
          </cell>
          <cell r="X12" t="str">
            <v>-</v>
          </cell>
          <cell r="Y12">
            <v>495</v>
          </cell>
          <cell r="Z12">
            <v>502</v>
          </cell>
          <cell r="AA12">
            <v>305</v>
          </cell>
          <cell r="AB12">
            <v>306</v>
          </cell>
          <cell r="AC12">
            <v>730</v>
          </cell>
          <cell r="AD12" t="str">
            <v>-</v>
          </cell>
          <cell r="AE12">
            <v>748</v>
          </cell>
          <cell r="AF12" t="str">
            <v>-</v>
          </cell>
          <cell r="AG12" t="str">
            <v>-</v>
          </cell>
          <cell r="AH12" t="str">
            <v>-</v>
          </cell>
          <cell r="AI12">
            <v>722</v>
          </cell>
        </row>
        <row r="13">
          <cell r="A13" t="str">
            <v>PAINEL BP 1744X1476X18 + COR</v>
          </cell>
          <cell r="B13">
            <v>1800</v>
          </cell>
          <cell r="C13">
            <v>1500</v>
          </cell>
          <cell r="D13">
            <v>1744</v>
          </cell>
          <cell r="E13">
            <v>1476</v>
          </cell>
          <cell r="F13">
            <v>773907</v>
          </cell>
          <cell r="G13">
            <v>307</v>
          </cell>
          <cell r="H13">
            <v>302</v>
          </cell>
          <cell r="I13">
            <v>308</v>
          </cell>
          <cell r="J13">
            <v>309</v>
          </cell>
          <cell r="K13">
            <v>316</v>
          </cell>
          <cell r="L13">
            <v>318</v>
          </cell>
          <cell r="M13" t="str">
            <v>-</v>
          </cell>
          <cell r="N13" t="str">
            <v>-</v>
          </cell>
          <cell r="O13" t="str">
            <v>-</v>
          </cell>
          <cell r="P13">
            <v>724</v>
          </cell>
          <cell r="Q13">
            <v>911</v>
          </cell>
          <cell r="R13">
            <v>480</v>
          </cell>
          <cell r="S13">
            <v>501</v>
          </cell>
          <cell r="T13">
            <v>450</v>
          </cell>
          <cell r="U13">
            <v>304</v>
          </cell>
          <cell r="V13">
            <v>421</v>
          </cell>
          <cell r="W13">
            <v>422</v>
          </cell>
          <cell r="X13" t="str">
            <v>-</v>
          </cell>
          <cell r="Y13">
            <v>495</v>
          </cell>
          <cell r="Z13">
            <v>502</v>
          </cell>
          <cell r="AA13">
            <v>305</v>
          </cell>
          <cell r="AB13">
            <v>306</v>
          </cell>
          <cell r="AC13">
            <v>730</v>
          </cell>
          <cell r="AD13" t="str">
            <v>-</v>
          </cell>
          <cell r="AE13">
            <v>748</v>
          </cell>
          <cell r="AF13" t="str">
            <v>-</v>
          </cell>
          <cell r="AG13" t="str">
            <v>-</v>
          </cell>
          <cell r="AH13" t="str">
            <v>-</v>
          </cell>
          <cell r="AI13">
            <v>722</v>
          </cell>
        </row>
        <row r="14">
          <cell r="A14" t="str">
            <v>PAINEL BP 1844X776X18 + COR</v>
          </cell>
          <cell r="B14">
            <v>1900</v>
          </cell>
          <cell r="C14">
            <v>800</v>
          </cell>
          <cell r="D14">
            <v>1844</v>
          </cell>
          <cell r="E14">
            <v>776</v>
          </cell>
          <cell r="F14">
            <v>773908</v>
          </cell>
          <cell r="G14">
            <v>307</v>
          </cell>
          <cell r="H14">
            <v>302</v>
          </cell>
          <cell r="I14">
            <v>308</v>
          </cell>
          <cell r="J14">
            <v>309</v>
          </cell>
          <cell r="K14">
            <v>316</v>
          </cell>
          <cell r="L14">
            <v>318</v>
          </cell>
          <cell r="M14" t="str">
            <v>-</v>
          </cell>
          <cell r="N14" t="str">
            <v>-</v>
          </cell>
          <cell r="O14" t="str">
            <v>-</v>
          </cell>
          <cell r="P14">
            <v>724</v>
          </cell>
          <cell r="Q14">
            <v>911</v>
          </cell>
          <cell r="R14">
            <v>480</v>
          </cell>
          <cell r="S14">
            <v>501</v>
          </cell>
          <cell r="T14">
            <v>450</v>
          </cell>
          <cell r="U14">
            <v>304</v>
          </cell>
          <cell r="V14">
            <v>421</v>
          </cell>
          <cell r="W14">
            <v>422</v>
          </cell>
          <cell r="X14" t="str">
            <v>-</v>
          </cell>
          <cell r="Y14">
            <v>495</v>
          </cell>
          <cell r="Z14">
            <v>502</v>
          </cell>
          <cell r="AA14">
            <v>305</v>
          </cell>
          <cell r="AB14">
            <v>306</v>
          </cell>
          <cell r="AC14">
            <v>730</v>
          </cell>
          <cell r="AD14" t="str">
            <v>-</v>
          </cell>
          <cell r="AE14">
            <v>748</v>
          </cell>
          <cell r="AF14" t="str">
            <v>-</v>
          </cell>
          <cell r="AG14" t="str">
            <v>-</v>
          </cell>
          <cell r="AH14" t="str">
            <v>-</v>
          </cell>
          <cell r="AI14">
            <v>722</v>
          </cell>
        </row>
        <row r="15">
          <cell r="A15" t="str">
            <v>PAINEL BP 1844X876X18 + COR</v>
          </cell>
          <cell r="B15">
            <v>1900</v>
          </cell>
          <cell r="C15">
            <v>900</v>
          </cell>
          <cell r="D15">
            <v>1844</v>
          </cell>
          <cell r="E15">
            <v>876</v>
          </cell>
          <cell r="F15">
            <v>773909</v>
          </cell>
          <cell r="G15">
            <v>307</v>
          </cell>
          <cell r="H15">
            <v>302</v>
          </cell>
          <cell r="I15">
            <v>308</v>
          </cell>
          <cell r="J15">
            <v>309</v>
          </cell>
          <cell r="K15">
            <v>316</v>
          </cell>
          <cell r="L15">
            <v>318</v>
          </cell>
          <cell r="M15" t="str">
            <v>-</v>
          </cell>
          <cell r="N15" t="str">
            <v>-</v>
          </cell>
          <cell r="O15" t="str">
            <v>-</v>
          </cell>
          <cell r="P15">
            <v>724</v>
          </cell>
          <cell r="Q15">
            <v>911</v>
          </cell>
          <cell r="R15">
            <v>480</v>
          </cell>
          <cell r="S15">
            <v>501</v>
          </cell>
          <cell r="T15">
            <v>450</v>
          </cell>
          <cell r="U15">
            <v>304</v>
          </cell>
          <cell r="V15">
            <v>421</v>
          </cell>
          <cell r="W15">
            <v>422</v>
          </cell>
          <cell r="X15" t="str">
            <v>-</v>
          </cell>
          <cell r="Y15">
            <v>495</v>
          </cell>
          <cell r="Z15">
            <v>502</v>
          </cell>
          <cell r="AA15">
            <v>305</v>
          </cell>
          <cell r="AB15">
            <v>306</v>
          </cell>
          <cell r="AC15">
            <v>730</v>
          </cell>
          <cell r="AD15" t="str">
            <v>-</v>
          </cell>
          <cell r="AE15">
            <v>748</v>
          </cell>
          <cell r="AF15" t="str">
            <v>-</v>
          </cell>
          <cell r="AG15" t="str">
            <v>-</v>
          </cell>
          <cell r="AH15" t="str">
            <v>-</v>
          </cell>
          <cell r="AI15">
            <v>722</v>
          </cell>
        </row>
        <row r="16">
          <cell r="A16" t="str">
            <v>PAINEL BP 1844X976X18 + COR</v>
          </cell>
          <cell r="B16">
            <v>1900</v>
          </cell>
          <cell r="C16">
            <v>1000</v>
          </cell>
          <cell r="D16">
            <v>1844</v>
          </cell>
          <cell r="E16">
            <v>976</v>
          </cell>
          <cell r="F16">
            <v>773910</v>
          </cell>
          <cell r="G16">
            <v>307</v>
          </cell>
          <cell r="H16">
            <v>302</v>
          </cell>
          <cell r="I16">
            <v>308</v>
          </cell>
          <cell r="J16">
            <v>309</v>
          </cell>
          <cell r="K16">
            <v>316</v>
          </cell>
          <cell r="L16">
            <v>318</v>
          </cell>
          <cell r="M16" t="str">
            <v>-</v>
          </cell>
          <cell r="N16" t="str">
            <v>-</v>
          </cell>
          <cell r="O16" t="str">
            <v>-</v>
          </cell>
          <cell r="P16">
            <v>724</v>
          </cell>
          <cell r="Q16">
            <v>911</v>
          </cell>
          <cell r="R16">
            <v>480</v>
          </cell>
          <cell r="S16">
            <v>501</v>
          </cell>
          <cell r="T16">
            <v>450</v>
          </cell>
          <cell r="U16">
            <v>304</v>
          </cell>
          <cell r="V16">
            <v>421</v>
          </cell>
          <cell r="W16">
            <v>422</v>
          </cell>
          <cell r="X16" t="str">
            <v>-</v>
          </cell>
          <cell r="Y16">
            <v>495</v>
          </cell>
          <cell r="Z16">
            <v>502</v>
          </cell>
          <cell r="AA16">
            <v>305</v>
          </cell>
          <cell r="AB16">
            <v>306</v>
          </cell>
          <cell r="AC16">
            <v>730</v>
          </cell>
          <cell r="AD16" t="str">
            <v>-</v>
          </cell>
          <cell r="AE16">
            <v>748</v>
          </cell>
          <cell r="AF16" t="str">
            <v>-</v>
          </cell>
          <cell r="AG16" t="str">
            <v>-</v>
          </cell>
          <cell r="AH16" t="str">
            <v>-</v>
          </cell>
          <cell r="AI16">
            <v>722</v>
          </cell>
        </row>
        <row r="17">
          <cell r="A17" t="str">
            <v>PAINEL BP 1844X1076X18 + COR</v>
          </cell>
          <cell r="B17">
            <v>1900</v>
          </cell>
          <cell r="C17">
            <v>1100</v>
          </cell>
          <cell r="D17">
            <v>1844</v>
          </cell>
          <cell r="E17">
            <v>1076</v>
          </cell>
          <cell r="F17">
            <v>773911</v>
          </cell>
          <cell r="G17">
            <v>307</v>
          </cell>
          <cell r="H17">
            <v>302</v>
          </cell>
          <cell r="I17">
            <v>308</v>
          </cell>
          <cell r="J17">
            <v>309</v>
          </cell>
          <cell r="K17">
            <v>316</v>
          </cell>
          <cell r="L17">
            <v>318</v>
          </cell>
          <cell r="M17" t="str">
            <v>-</v>
          </cell>
          <cell r="N17" t="str">
            <v>-</v>
          </cell>
          <cell r="O17" t="str">
            <v>-</v>
          </cell>
          <cell r="P17">
            <v>724</v>
          </cell>
          <cell r="Q17">
            <v>911</v>
          </cell>
          <cell r="R17">
            <v>480</v>
          </cell>
          <cell r="S17">
            <v>501</v>
          </cell>
          <cell r="T17">
            <v>450</v>
          </cell>
          <cell r="U17">
            <v>304</v>
          </cell>
          <cell r="V17">
            <v>421</v>
          </cell>
          <cell r="W17">
            <v>422</v>
          </cell>
          <cell r="X17" t="str">
            <v>-</v>
          </cell>
          <cell r="Y17">
            <v>495</v>
          </cell>
          <cell r="Z17">
            <v>502</v>
          </cell>
          <cell r="AA17">
            <v>305</v>
          </cell>
          <cell r="AB17">
            <v>306</v>
          </cell>
          <cell r="AC17">
            <v>730</v>
          </cell>
          <cell r="AD17" t="str">
            <v>-</v>
          </cell>
          <cell r="AE17">
            <v>748</v>
          </cell>
          <cell r="AF17" t="str">
            <v>-</v>
          </cell>
          <cell r="AG17" t="str">
            <v>-</v>
          </cell>
          <cell r="AH17" t="str">
            <v>-</v>
          </cell>
          <cell r="AI17">
            <v>722</v>
          </cell>
        </row>
        <row r="18">
          <cell r="A18" t="str">
            <v>PAINEL BP 1844X1176X18 + COR</v>
          </cell>
          <cell r="B18">
            <v>1900</v>
          </cell>
          <cell r="C18">
            <v>1200</v>
          </cell>
          <cell r="D18">
            <v>1844</v>
          </cell>
          <cell r="E18">
            <v>1176</v>
          </cell>
          <cell r="F18">
            <v>773912</v>
          </cell>
          <cell r="G18">
            <v>307</v>
          </cell>
          <cell r="H18">
            <v>302</v>
          </cell>
          <cell r="I18">
            <v>308</v>
          </cell>
          <cell r="J18">
            <v>309</v>
          </cell>
          <cell r="K18">
            <v>316</v>
          </cell>
          <cell r="L18">
            <v>318</v>
          </cell>
          <cell r="M18" t="str">
            <v>-</v>
          </cell>
          <cell r="N18" t="str">
            <v>-</v>
          </cell>
          <cell r="O18" t="str">
            <v>-</v>
          </cell>
          <cell r="P18">
            <v>724</v>
          </cell>
          <cell r="Q18">
            <v>911</v>
          </cell>
          <cell r="R18">
            <v>480</v>
          </cell>
          <cell r="S18">
            <v>501</v>
          </cell>
          <cell r="T18">
            <v>450</v>
          </cell>
          <cell r="U18">
            <v>304</v>
          </cell>
          <cell r="V18">
            <v>421</v>
          </cell>
          <cell r="W18">
            <v>422</v>
          </cell>
          <cell r="X18" t="str">
            <v>-</v>
          </cell>
          <cell r="Y18">
            <v>495</v>
          </cell>
          <cell r="Z18">
            <v>502</v>
          </cell>
          <cell r="AA18">
            <v>305</v>
          </cell>
          <cell r="AB18">
            <v>306</v>
          </cell>
          <cell r="AC18">
            <v>730</v>
          </cell>
          <cell r="AD18" t="str">
            <v>-</v>
          </cell>
          <cell r="AE18">
            <v>748</v>
          </cell>
          <cell r="AF18" t="str">
            <v>-</v>
          </cell>
          <cell r="AG18" t="str">
            <v>-</v>
          </cell>
          <cell r="AH18" t="str">
            <v>-</v>
          </cell>
          <cell r="AI18">
            <v>722</v>
          </cell>
        </row>
        <row r="19">
          <cell r="A19" t="str">
            <v>PAINEL BP 1844X1276X18 + COR</v>
          </cell>
          <cell r="B19">
            <v>1900</v>
          </cell>
          <cell r="C19">
            <v>1300</v>
          </cell>
          <cell r="D19">
            <v>1844</v>
          </cell>
          <cell r="E19">
            <v>1276</v>
          </cell>
          <cell r="F19">
            <v>773913</v>
          </cell>
          <cell r="G19">
            <v>307</v>
          </cell>
          <cell r="H19">
            <v>302</v>
          </cell>
          <cell r="I19">
            <v>308</v>
          </cell>
          <cell r="J19">
            <v>309</v>
          </cell>
          <cell r="K19">
            <v>316</v>
          </cell>
          <cell r="L19">
            <v>318</v>
          </cell>
          <cell r="M19" t="str">
            <v>-</v>
          </cell>
          <cell r="N19" t="str">
            <v>-</v>
          </cell>
          <cell r="O19" t="str">
            <v>-</v>
          </cell>
          <cell r="P19">
            <v>724</v>
          </cell>
          <cell r="Q19">
            <v>911</v>
          </cell>
          <cell r="R19">
            <v>480</v>
          </cell>
          <cell r="S19">
            <v>501</v>
          </cell>
          <cell r="T19">
            <v>450</v>
          </cell>
          <cell r="U19">
            <v>304</v>
          </cell>
          <cell r="V19">
            <v>421</v>
          </cell>
          <cell r="W19">
            <v>422</v>
          </cell>
          <cell r="X19" t="str">
            <v>-</v>
          </cell>
          <cell r="Y19">
            <v>495</v>
          </cell>
          <cell r="Z19">
            <v>502</v>
          </cell>
          <cell r="AA19">
            <v>305</v>
          </cell>
          <cell r="AB19">
            <v>306</v>
          </cell>
          <cell r="AC19">
            <v>730</v>
          </cell>
          <cell r="AD19" t="str">
            <v>-</v>
          </cell>
          <cell r="AE19">
            <v>748</v>
          </cell>
          <cell r="AF19" t="str">
            <v>-</v>
          </cell>
          <cell r="AG19" t="str">
            <v>-</v>
          </cell>
          <cell r="AH19" t="str">
            <v>-</v>
          </cell>
          <cell r="AI19">
            <v>722</v>
          </cell>
        </row>
        <row r="20">
          <cell r="A20" t="str">
            <v>PAINEL BP 1844X1376X18 + COR</v>
          </cell>
          <cell r="B20">
            <v>1900</v>
          </cell>
          <cell r="C20">
            <v>1400</v>
          </cell>
          <cell r="D20">
            <v>1844</v>
          </cell>
          <cell r="E20">
            <v>1376</v>
          </cell>
          <cell r="F20">
            <v>773914</v>
          </cell>
          <cell r="G20">
            <v>307</v>
          </cell>
          <cell r="H20">
            <v>302</v>
          </cell>
          <cell r="I20">
            <v>308</v>
          </cell>
          <cell r="J20">
            <v>309</v>
          </cell>
          <cell r="K20">
            <v>316</v>
          </cell>
          <cell r="L20">
            <v>318</v>
          </cell>
          <cell r="M20" t="str">
            <v>-</v>
          </cell>
          <cell r="N20" t="str">
            <v>-</v>
          </cell>
          <cell r="O20" t="str">
            <v>-</v>
          </cell>
          <cell r="P20">
            <v>724</v>
          </cell>
          <cell r="Q20">
            <v>911</v>
          </cell>
          <cell r="R20">
            <v>480</v>
          </cell>
          <cell r="S20">
            <v>501</v>
          </cell>
          <cell r="T20">
            <v>450</v>
          </cell>
          <cell r="U20">
            <v>304</v>
          </cell>
          <cell r="V20">
            <v>421</v>
          </cell>
          <cell r="W20">
            <v>422</v>
          </cell>
          <cell r="X20" t="str">
            <v>-</v>
          </cell>
          <cell r="Y20">
            <v>495</v>
          </cell>
          <cell r="Z20">
            <v>502</v>
          </cell>
          <cell r="AA20">
            <v>305</v>
          </cell>
          <cell r="AB20">
            <v>306</v>
          </cell>
          <cell r="AC20">
            <v>730</v>
          </cell>
          <cell r="AD20" t="str">
            <v>-</v>
          </cell>
          <cell r="AE20">
            <v>748</v>
          </cell>
          <cell r="AF20" t="str">
            <v>-</v>
          </cell>
          <cell r="AG20" t="str">
            <v>-</v>
          </cell>
          <cell r="AH20" t="str">
            <v>-</v>
          </cell>
          <cell r="AI20">
            <v>722</v>
          </cell>
        </row>
        <row r="21">
          <cell r="A21" t="str">
            <v>PAINEL BP 1844X1476X18 + COR</v>
          </cell>
          <cell r="B21">
            <v>1900</v>
          </cell>
          <cell r="C21">
            <v>1500</v>
          </cell>
          <cell r="D21">
            <v>1844</v>
          </cell>
          <cell r="E21">
            <v>1476</v>
          </cell>
          <cell r="F21">
            <v>773915</v>
          </cell>
          <cell r="G21">
            <v>307</v>
          </cell>
          <cell r="H21">
            <v>302</v>
          </cell>
          <cell r="I21">
            <v>308</v>
          </cell>
          <cell r="J21">
            <v>309</v>
          </cell>
          <cell r="K21">
            <v>316</v>
          </cell>
          <cell r="L21">
            <v>318</v>
          </cell>
          <cell r="M21" t="str">
            <v>-</v>
          </cell>
          <cell r="N21" t="str">
            <v>-</v>
          </cell>
          <cell r="O21" t="str">
            <v>-</v>
          </cell>
          <cell r="P21">
            <v>724</v>
          </cell>
          <cell r="Q21">
            <v>911</v>
          </cell>
          <cell r="R21">
            <v>480</v>
          </cell>
          <cell r="S21">
            <v>501</v>
          </cell>
          <cell r="T21">
            <v>450</v>
          </cell>
          <cell r="U21">
            <v>304</v>
          </cell>
          <cell r="V21">
            <v>421</v>
          </cell>
          <cell r="W21">
            <v>422</v>
          </cell>
          <cell r="X21" t="str">
            <v>-</v>
          </cell>
          <cell r="Y21">
            <v>495</v>
          </cell>
          <cell r="Z21">
            <v>502</v>
          </cell>
          <cell r="AA21">
            <v>305</v>
          </cell>
          <cell r="AB21">
            <v>306</v>
          </cell>
          <cell r="AC21">
            <v>730</v>
          </cell>
          <cell r="AD21" t="str">
            <v>-</v>
          </cell>
          <cell r="AE21">
            <v>748</v>
          </cell>
          <cell r="AF21" t="str">
            <v>-</v>
          </cell>
          <cell r="AG21" t="str">
            <v>-</v>
          </cell>
          <cell r="AH21" t="str">
            <v>-</v>
          </cell>
          <cell r="AI21">
            <v>722</v>
          </cell>
        </row>
        <row r="22">
          <cell r="A22" t="str">
            <v>PAINEL BP 1944X776X18 + COR</v>
          </cell>
          <cell r="B22">
            <v>2000</v>
          </cell>
          <cell r="C22">
            <v>800</v>
          </cell>
          <cell r="D22">
            <v>1944</v>
          </cell>
          <cell r="E22">
            <v>776</v>
          </cell>
          <cell r="F22">
            <v>773916</v>
          </cell>
          <cell r="G22">
            <v>307</v>
          </cell>
          <cell r="H22">
            <v>302</v>
          </cell>
          <cell r="I22">
            <v>308</v>
          </cell>
          <cell r="J22">
            <v>309</v>
          </cell>
          <cell r="K22">
            <v>316</v>
          </cell>
          <cell r="L22">
            <v>318</v>
          </cell>
          <cell r="M22" t="str">
            <v>-</v>
          </cell>
          <cell r="N22" t="str">
            <v>-</v>
          </cell>
          <cell r="O22" t="str">
            <v>-</v>
          </cell>
          <cell r="P22">
            <v>724</v>
          </cell>
          <cell r="Q22">
            <v>911</v>
          </cell>
          <cell r="R22">
            <v>480</v>
          </cell>
          <cell r="S22">
            <v>501</v>
          </cell>
          <cell r="T22">
            <v>450</v>
          </cell>
          <cell r="U22">
            <v>304</v>
          </cell>
          <cell r="V22">
            <v>421</v>
          </cell>
          <cell r="W22">
            <v>422</v>
          </cell>
          <cell r="X22" t="str">
            <v>-</v>
          </cell>
          <cell r="Y22">
            <v>495</v>
          </cell>
          <cell r="Z22">
            <v>502</v>
          </cell>
          <cell r="AA22">
            <v>305</v>
          </cell>
          <cell r="AB22">
            <v>306</v>
          </cell>
          <cell r="AC22">
            <v>730</v>
          </cell>
          <cell r="AD22" t="str">
            <v>-</v>
          </cell>
          <cell r="AE22">
            <v>748</v>
          </cell>
          <cell r="AF22" t="str">
            <v>-</v>
          </cell>
          <cell r="AG22" t="str">
            <v>-</v>
          </cell>
          <cell r="AH22" t="str">
            <v>-</v>
          </cell>
          <cell r="AI22">
            <v>722</v>
          </cell>
        </row>
        <row r="23">
          <cell r="A23" t="str">
            <v>PAINEL BP 1944X876X18 + COR</v>
          </cell>
          <cell r="B23">
            <v>2000</v>
          </cell>
          <cell r="C23">
            <v>900</v>
          </cell>
          <cell r="D23">
            <v>1944</v>
          </cell>
          <cell r="E23">
            <v>876</v>
          </cell>
          <cell r="F23">
            <v>773917</v>
          </cell>
          <cell r="G23">
            <v>307</v>
          </cell>
          <cell r="H23">
            <v>302</v>
          </cell>
          <cell r="I23">
            <v>308</v>
          </cell>
          <cell r="J23">
            <v>309</v>
          </cell>
          <cell r="K23">
            <v>316</v>
          </cell>
          <cell r="L23">
            <v>318</v>
          </cell>
          <cell r="M23" t="str">
            <v>-</v>
          </cell>
          <cell r="N23" t="str">
            <v>-</v>
          </cell>
          <cell r="O23" t="str">
            <v>-</v>
          </cell>
          <cell r="P23">
            <v>724</v>
          </cell>
          <cell r="Q23">
            <v>911</v>
          </cell>
          <cell r="R23">
            <v>480</v>
          </cell>
          <cell r="S23">
            <v>501</v>
          </cell>
          <cell r="T23">
            <v>450</v>
          </cell>
          <cell r="U23">
            <v>304</v>
          </cell>
          <cell r="V23">
            <v>421</v>
          </cell>
          <cell r="W23">
            <v>422</v>
          </cell>
          <cell r="X23" t="str">
            <v>-</v>
          </cell>
          <cell r="Y23">
            <v>495</v>
          </cell>
          <cell r="Z23">
            <v>502</v>
          </cell>
          <cell r="AA23">
            <v>305</v>
          </cell>
          <cell r="AB23">
            <v>306</v>
          </cell>
          <cell r="AC23">
            <v>730</v>
          </cell>
          <cell r="AD23" t="str">
            <v>-</v>
          </cell>
          <cell r="AE23">
            <v>748</v>
          </cell>
          <cell r="AF23" t="str">
            <v>-</v>
          </cell>
          <cell r="AG23" t="str">
            <v>-</v>
          </cell>
          <cell r="AH23" t="str">
            <v>-</v>
          </cell>
          <cell r="AI23">
            <v>722</v>
          </cell>
        </row>
        <row r="24">
          <cell r="A24" t="str">
            <v>PAINEL BP 1944X976X18 + COR</v>
          </cell>
          <cell r="B24">
            <v>2000</v>
          </cell>
          <cell r="C24">
            <v>1000</v>
          </cell>
          <cell r="D24">
            <v>1944</v>
          </cell>
          <cell r="E24">
            <v>976</v>
          </cell>
          <cell r="F24">
            <v>773918</v>
          </cell>
          <cell r="G24">
            <v>307</v>
          </cell>
          <cell r="H24">
            <v>302</v>
          </cell>
          <cell r="I24">
            <v>308</v>
          </cell>
          <cell r="J24">
            <v>309</v>
          </cell>
          <cell r="K24">
            <v>316</v>
          </cell>
          <cell r="L24">
            <v>318</v>
          </cell>
          <cell r="M24" t="str">
            <v>-</v>
          </cell>
          <cell r="N24" t="str">
            <v>-</v>
          </cell>
          <cell r="O24" t="str">
            <v>-</v>
          </cell>
          <cell r="P24">
            <v>724</v>
          </cell>
          <cell r="Q24">
            <v>911</v>
          </cell>
          <cell r="R24">
            <v>480</v>
          </cell>
          <cell r="S24">
            <v>501</v>
          </cell>
          <cell r="T24">
            <v>450</v>
          </cell>
          <cell r="U24">
            <v>304</v>
          </cell>
          <cell r="V24">
            <v>421</v>
          </cell>
          <cell r="W24">
            <v>422</v>
          </cell>
          <cell r="X24" t="str">
            <v>-</v>
          </cell>
          <cell r="Y24">
            <v>495</v>
          </cell>
          <cell r="Z24">
            <v>502</v>
          </cell>
          <cell r="AA24">
            <v>305</v>
          </cell>
          <cell r="AB24">
            <v>306</v>
          </cell>
          <cell r="AC24">
            <v>730</v>
          </cell>
          <cell r="AD24" t="str">
            <v>-</v>
          </cell>
          <cell r="AE24">
            <v>748</v>
          </cell>
          <cell r="AF24" t="str">
            <v>-</v>
          </cell>
          <cell r="AG24" t="str">
            <v>-</v>
          </cell>
          <cell r="AH24" t="str">
            <v>-</v>
          </cell>
          <cell r="AI24">
            <v>722</v>
          </cell>
        </row>
        <row r="25">
          <cell r="A25" t="str">
            <v>PAINEL BP 1944X1076X18 + COR</v>
          </cell>
          <cell r="B25">
            <v>2000</v>
          </cell>
          <cell r="C25">
            <v>1100</v>
          </cell>
          <cell r="D25">
            <v>1944</v>
          </cell>
          <cell r="E25">
            <v>1076</v>
          </cell>
          <cell r="F25">
            <v>773919</v>
          </cell>
          <cell r="G25">
            <v>307</v>
          </cell>
          <cell r="H25">
            <v>302</v>
          </cell>
          <cell r="I25">
            <v>308</v>
          </cell>
          <cell r="J25">
            <v>309</v>
          </cell>
          <cell r="K25">
            <v>316</v>
          </cell>
          <cell r="L25">
            <v>318</v>
          </cell>
          <cell r="M25" t="str">
            <v>-</v>
          </cell>
          <cell r="N25" t="str">
            <v>-</v>
          </cell>
          <cell r="O25" t="str">
            <v>-</v>
          </cell>
          <cell r="P25">
            <v>724</v>
          </cell>
          <cell r="Q25">
            <v>911</v>
          </cell>
          <cell r="R25">
            <v>480</v>
          </cell>
          <cell r="S25">
            <v>501</v>
          </cell>
          <cell r="T25">
            <v>450</v>
          </cell>
          <cell r="U25">
            <v>304</v>
          </cell>
          <cell r="V25">
            <v>421</v>
          </cell>
          <cell r="W25">
            <v>422</v>
          </cell>
          <cell r="X25" t="str">
            <v>-</v>
          </cell>
          <cell r="Y25">
            <v>495</v>
          </cell>
          <cell r="Z25">
            <v>502</v>
          </cell>
          <cell r="AA25">
            <v>305</v>
          </cell>
          <cell r="AB25">
            <v>306</v>
          </cell>
          <cell r="AC25">
            <v>730</v>
          </cell>
          <cell r="AD25" t="str">
            <v>-</v>
          </cell>
          <cell r="AE25">
            <v>748</v>
          </cell>
          <cell r="AF25" t="str">
            <v>-</v>
          </cell>
          <cell r="AG25" t="str">
            <v>-</v>
          </cell>
          <cell r="AH25" t="str">
            <v>-</v>
          </cell>
          <cell r="AI25">
            <v>722</v>
          </cell>
        </row>
        <row r="26">
          <cell r="A26" t="str">
            <v>PAINEL BP 1944X1176X18 + COR</v>
          </cell>
          <cell r="B26">
            <v>2000</v>
          </cell>
          <cell r="C26">
            <v>1200</v>
          </cell>
          <cell r="D26">
            <v>1944</v>
          </cell>
          <cell r="E26">
            <v>1176</v>
          </cell>
          <cell r="F26">
            <v>773920</v>
          </cell>
          <cell r="G26">
            <v>307</v>
          </cell>
          <cell r="H26">
            <v>302</v>
          </cell>
          <cell r="I26">
            <v>308</v>
          </cell>
          <cell r="J26">
            <v>309</v>
          </cell>
          <cell r="K26">
            <v>316</v>
          </cell>
          <cell r="L26">
            <v>318</v>
          </cell>
          <cell r="M26" t="str">
            <v>-</v>
          </cell>
          <cell r="N26" t="str">
            <v>-</v>
          </cell>
          <cell r="O26" t="str">
            <v>-</v>
          </cell>
          <cell r="P26">
            <v>724</v>
          </cell>
          <cell r="Q26">
            <v>911</v>
          </cell>
          <cell r="R26">
            <v>480</v>
          </cell>
          <cell r="S26">
            <v>501</v>
          </cell>
          <cell r="T26">
            <v>450</v>
          </cell>
          <cell r="U26">
            <v>304</v>
          </cell>
          <cell r="V26">
            <v>421</v>
          </cell>
          <cell r="W26">
            <v>422</v>
          </cell>
          <cell r="X26" t="str">
            <v>-</v>
          </cell>
          <cell r="Y26">
            <v>495</v>
          </cell>
          <cell r="Z26">
            <v>502</v>
          </cell>
          <cell r="AA26">
            <v>305</v>
          </cell>
          <cell r="AB26">
            <v>306</v>
          </cell>
          <cell r="AC26">
            <v>730</v>
          </cell>
          <cell r="AD26" t="str">
            <v>-</v>
          </cell>
          <cell r="AE26">
            <v>748</v>
          </cell>
          <cell r="AF26" t="str">
            <v>-</v>
          </cell>
          <cell r="AG26" t="str">
            <v>-</v>
          </cell>
          <cell r="AH26" t="str">
            <v>-</v>
          </cell>
          <cell r="AI26">
            <v>722</v>
          </cell>
        </row>
        <row r="27">
          <cell r="A27" t="str">
            <v>PAINEL BP 1944X1276X18 + COR</v>
          </cell>
          <cell r="B27">
            <v>2000</v>
          </cell>
          <cell r="C27">
            <v>1300</v>
          </cell>
          <cell r="D27">
            <v>1944</v>
          </cell>
          <cell r="E27">
            <v>1276</v>
          </cell>
          <cell r="F27">
            <v>773921</v>
          </cell>
          <cell r="G27">
            <v>307</v>
          </cell>
          <cell r="H27">
            <v>302</v>
          </cell>
          <cell r="I27">
            <v>308</v>
          </cell>
          <cell r="J27">
            <v>309</v>
          </cell>
          <cell r="K27">
            <v>316</v>
          </cell>
          <cell r="L27">
            <v>318</v>
          </cell>
          <cell r="M27" t="str">
            <v>-</v>
          </cell>
          <cell r="N27" t="str">
            <v>-</v>
          </cell>
          <cell r="O27" t="str">
            <v>-</v>
          </cell>
          <cell r="P27">
            <v>724</v>
          </cell>
          <cell r="Q27">
            <v>911</v>
          </cell>
          <cell r="R27">
            <v>480</v>
          </cell>
          <cell r="S27">
            <v>501</v>
          </cell>
          <cell r="T27">
            <v>450</v>
          </cell>
          <cell r="U27">
            <v>304</v>
          </cell>
          <cell r="V27">
            <v>421</v>
          </cell>
          <cell r="W27">
            <v>422</v>
          </cell>
          <cell r="X27" t="str">
            <v>-</v>
          </cell>
          <cell r="Y27">
            <v>495</v>
          </cell>
          <cell r="Z27">
            <v>502</v>
          </cell>
          <cell r="AA27">
            <v>305</v>
          </cell>
          <cell r="AB27">
            <v>306</v>
          </cell>
          <cell r="AC27">
            <v>730</v>
          </cell>
          <cell r="AD27" t="str">
            <v>-</v>
          </cell>
          <cell r="AE27">
            <v>748</v>
          </cell>
          <cell r="AF27" t="str">
            <v>-</v>
          </cell>
          <cell r="AG27" t="str">
            <v>-</v>
          </cell>
          <cell r="AH27" t="str">
            <v>-</v>
          </cell>
          <cell r="AI27">
            <v>722</v>
          </cell>
        </row>
        <row r="28">
          <cell r="A28" t="str">
            <v>PAINEL BP 1944X1376X18 + COR</v>
          </cell>
          <cell r="B28">
            <v>2000</v>
          </cell>
          <cell r="C28">
            <v>1400</v>
          </cell>
          <cell r="D28">
            <v>1944</v>
          </cell>
          <cell r="E28">
            <v>1376</v>
          </cell>
          <cell r="F28">
            <v>773922</v>
          </cell>
          <cell r="G28">
            <v>307</v>
          </cell>
          <cell r="H28">
            <v>302</v>
          </cell>
          <cell r="I28">
            <v>308</v>
          </cell>
          <cell r="J28">
            <v>309</v>
          </cell>
          <cell r="K28">
            <v>316</v>
          </cell>
          <cell r="L28">
            <v>318</v>
          </cell>
          <cell r="M28" t="str">
            <v>-</v>
          </cell>
          <cell r="N28" t="str">
            <v>-</v>
          </cell>
          <cell r="O28" t="str">
            <v>-</v>
          </cell>
          <cell r="P28">
            <v>724</v>
          </cell>
          <cell r="Q28">
            <v>911</v>
          </cell>
          <cell r="R28">
            <v>480</v>
          </cell>
          <cell r="S28">
            <v>501</v>
          </cell>
          <cell r="T28">
            <v>450</v>
          </cell>
          <cell r="U28">
            <v>304</v>
          </cell>
          <cell r="V28">
            <v>421</v>
          </cell>
          <cell r="W28">
            <v>422</v>
          </cell>
          <cell r="X28" t="str">
            <v>-</v>
          </cell>
          <cell r="Y28">
            <v>495</v>
          </cell>
          <cell r="Z28">
            <v>502</v>
          </cell>
          <cell r="AA28">
            <v>305</v>
          </cell>
          <cell r="AB28">
            <v>306</v>
          </cell>
          <cell r="AC28">
            <v>730</v>
          </cell>
          <cell r="AD28" t="str">
            <v>-</v>
          </cell>
          <cell r="AE28">
            <v>748</v>
          </cell>
          <cell r="AF28" t="str">
            <v>-</v>
          </cell>
          <cell r="AG28" t="str">
            <v>-</v>
          </cell>
          <cell r="AH28" t="str">
            <v>-</v>
          </cell>
          <cell r="AI28">
            <v>722</v>
          </cell>
        </row>
        <row r="29">
          <cell r="A29" t="str">
            <v>PAINEL BP 1944X1476X18 + COR</v>
          </cell>
          <cell r="B29">
            <v>2000</v>
          </cell>
          <cell r="C29">
            <v>1500</v>
          </cell>
          <cell r="D29">
            <v>1944</v>
          </cell>
          <cell r="E29">
            <v>1476</v>
          </cell>
          <cell r="F29">
            <v>773923</v>
          </cell>
          <cell r="G29">
            <v>307</v>
          </cell>
          <cell r="H29">
            <v>302</v>
          </cell>
          <cell r="I29">
            <v>308</v>
          </cell>
          <cell r="J29">
            <v>309</v>
          </cell>
          <cell r="K29">
            <v>316</v>
          </cell>
          <cell r="L29">
            <v>318</v>
          </cell>
          <cell r="M29" t="str">
            <v>-</v>
          </cell>
          <cell r="N29" t="str">
            <v>-</v>
          </cell>
          <cell r="O29" t="str">
            <v>-</v>
          </cell>
          <cell r="P29">
            <v>724</v>
          </cell>
          <cell r="Q29">
            <v>911</v>
          </cell>
          <cell r="R29">
            <v>480</v>
          </cell>
          <cell r="S29">
            <v>501</v>
          </cell>
          <cell r="T29">
            <v>450</v>
          </cell>
          <cell r="U29">
            <v>304</v>
          </cell>
          <cell r="V29">
            <v>421</v>
          </cell>
          <cell r="W29">
            <v>422</v>
          </cell>
          <cell r="X29" t="str">
            <v>-</v>
          </cell>
          <cell r="Y29">
            <v>495</v>
          </cell>
          <cell r="Z29">
            <v>502</v>
          </cell>
          <cell r="AA29">
            <v>305</v>
          </cell>
          <cell r="AB29">
            <v>306</v>
          </cell>
          <cell r="AC29">
            <v>730</v>
          </cell>
          <cell r="AD29" t="str">
            <v>-</v>
          </cell>
          <cell r="AE29">
            <v>748</v>
          </cell>
          <cell r="AF29" t="str">
            <v>-</v>
          </cell>
          <cell r="AG29" t="str">
            <v>-</v>
          </cell>
          <cell r="AH29" t="str">
            <v>-</v>
          </cell>
          <cell r="AI29">
            <v>722</v>
          </cell>
        </row>
        <row r="30">
          <cell r="A30" t="str">
            <v>PAINEL BP 2044X776X18 + COR</v>
          </cell>
          <cell r="B30">
            <v>2100</v>
          </cell>
          <cell r="C30">
            <v>800</v>
          </cell>
          <cell r="D30">
            <v>2044</v>
          </cell>
          <cell r="E30">
            <v>776</v>
          </cell>
          <cell r="F30">
            <v>773924</v>
          </cell>
          <cell r="G30">
            <v>307</v>
          </cell>
          <cell r="H30">
            <v>302</v>
          </cell>
          <cell r="I30">
            <v>308</v>
          </cell>
          <cell r="J30">
            <v>309</v>
          </cell>
          <cell r="K30">
            <v>316</v>
          </cell>
          <cell r="L30">
            <v>318</v>
          </cell>
          <cell r="M30" t="str">
            <v>-</v>
          </cell>
          <cell r="N30" t="str">
            <v>-</v>
          </cell>
          <cell r="O30" t="str">
            <v>-</v>
          </cell>
          <cell r="P30">
            <v>724</v>
          </cell>
          <cell r="Q30">
            <v>911</v>
          </cell>
          <cell r="R30">
            <v>480</v>
          </cell>
          <cell r="S30">
            <v>501</v>
          </cell>
          <cell r="T30">
            <v>450</v>
          </cell>
          <cell r="U30">
            <v>304</v>
          </cell>
          <cell r="V30">
            <v>421</v>
          </cell>
          <cell r="W30">
            <v>422</v>
          </cell>
          <cell r="X30" t="str">
            <v>-</v>
          </cell>
          <cell r="Y30">
            <v>495</v>
          </cell>
          <cell r="Z30">
            <v>502</v>
          </cell>
          <cell r="AA30">
            <v>305</v>
          </cell>
          <cell r="AB30">
            <v>306</v>
          </cell>
          <cell r="AC30">
            <v>730</v>
          </cell>
          <cell r="AD30" t="str">
            <v>-</v>
          </cell>
          <cell r="AE30">
            <v>748</v>
          </cell>
          <cell r="AF30" t="str">
            <v>-</v>
          </cell>
          <cell r="AG30" t="str">
            <v>-</v>
          </cell>
          <cell r="AH30" t="str">
            <v>-</v>
          </cell>
          <cell r="AI30">
            <v>722</v>
          </cell>
        </row>
        <row r="31">
          <cell r="A31" t="str">
            <v>PAINEL BP 2044X876X18 + COR</v>
          </cell>
          <cell r="B31">
            <v>2100</v>
          </cell>
          <cell r="C31">
            <v>900</v>
          </cell>
          <cell r="D31">
            <v>2044</v>
          </cell>
          <cell r="E31">
            <v>876</v>
          </cell>
          <cell r="F31">
            <v>773925</v>
          </cell>
          <cell r="G31">
            <v>307</v>
          </cell>
          <cell r="H31">
            <v>302</v>
          </cell>
          <cell r="I31">
            <v>308</v>
          </cell>
          <cell r="J31">
            <v>309</v>
          </cell>
          <cell r="K31">
            <v>316</v>
          </cell>
          <cell r="L31">
            <v>318</v>
          </cell>
          <cell r="M31" t="str">
            <v>-</v>
          </cell>
          <cell r="N31" t="str">
            <v>-</v>
          </cell>
          <cell r="O31" t="str">
            <v>-</v>
          </cell>
          <cell r="P31">
            <v>724</v>
          </cell>
          <cell r="Q31">
            <v>911</v>
          </cell>
          <cell r="R31">
            <v>480</v>
          </cell>
          <cell r="S31">
            <v>501</v>
          </cell>
          <cell r="T31">
            <v>450</v>
          </cell>
          <cell r="U31">
            <v>304</v>
          </cell>
          <cell r="V31">
            <v>421</v>
          </cell>
          <cell r="W31">
            <v>422</v>
          </cell>
          <cell r="X31" t="str">
            <v>-</v>
          </cell>
          <cell r="Y31">
            <v>495</v>
          </cell>
          <cell r="Z31">
            <v>502</v>
          </cell>
          <cell r="AA31">
            <v>305</v>
          </cell>
          <cell r="AB31">
            <v>306</v>
          </cell>
          <cell r="AC31">
            <v>730</v>
          </cell>
          <cell r="AD31" t="str">
            <v>-</v>
          </cell>
          <cell r="AE31">
            <v>748</v>
          </cell>
          <cell r="AF31" t="str">
            <v>-</v>
          </cell>
          <cell r="AG31" t="str">
            <v>-</v>
          </cell>
          <cell r="AH31" t="str">
            <v>-</v>
          </cell>
          <cell r="AI31">
            <v>722</v>
          </cell>
        </row>
        <row r="32">
          <cell r="A32" t="str">
            <v>PAINEL BP 2044X976X18 + COR</v>
          </cell>
          <cell r="B32">
            <v>2100</v>
          </cell>
          <cell r="C32">
            <v>1000</v>
          </cell>
          <cell r="D32">
            <v>2044</v>
          </cell>
          <cell r="E32">
            <v>976</v>
          </cell>
          <cell r="F32">
            <v>773926</v>
          </cell>
          <cell r="G32">
            <v>307</v>
          </cell>
          <cell r="H32">
            <v>302</v>
          </cell>
          <cell r="I32">
            <v>308</v>
          </cell>
          <cell r="J32">
            <v>309</v>
          </cell>
          <cell r="K32">
            <v>316</v>
          </cell>
          <cell r="L32">
            <v>318</v>
          </cell>
          <cell r="M32" t="str">
            <v>-</v>
          </cell>
          <cell r="N32" t="str">
            <v>-</v>
          </cell>
          <cell r="O32" t="str">
            <v>-</v>
          </cell>
          <cell r="P32">
            <v>724</v>
          </cell>
          <cell r="Q32">
            <v>911</v>
          </cell>
          <cell r="R32">
            <v>480</v>
          </cell>
          <cell r="S32">
            <v>501</v>
          </cell>
          <cell r="T32">
            <v>450</v>
          </cell>
          <cell r="U32">
            <v>304</v>
          </cell>
          <cell r="V32">
            <v>421</v>
          </cell>
          <cell r="W32">
            <v>422</v>
          </cell>
          <cell r="X32" t="str">
            <v>-</v>
          </cell>
          <cell r="Y32">
            <v>495</v>
          </cell>
          <cell r="Z32">
            <v>502</v>
          </cell>
          <cell r="AA32">
            <v>305</v>
          </cell>
          <cell r="AB32">
            <v>306</v>
          </cell>
          <cell r="AC32">
            <v>730</v>
          </cell>
          <cell r="AD32" t="str">
            <v>-</v>
          </cell>
          <cell r="AE32">
            <v>748</v>
          </cell>
          <cell r="AF32" t="str">
            <v>-</v>
          </cell>
          <cell r="AG32" t="str">
            <v>-</v>
          </cell>
          <cell r="AH32" t="str">
            <v>-</v>
          </cell>
          <cell r="AI32">
            <v>722</v>
          </cell>
        </row>
        <row r="33">
          <cell r="A33" t="str">
            <v>PAINEL BP 2044X1076X18 + COR</v>
          </cell>
          <cell r="B33">
            <v>2100</v>
          </cell>
          <cell r="C33">
            <v>1100</v>
          </cell>
          <cell r="D33">
            <v>2044</v>
          </cell>
          <cell r="E33">
            <v>1076</v>
          </cell>
          <cell r="F33">
            <v>773927</v>
          </cell>
          <cell r="G33">
            <v>307</v>
          </cell>
          <cell r="H33">
            <v>302</v>
          </cell>
          <cell r="I33">
            <v>308</v>
          </cell>
          <cell r="J33">
            <v>309</v>
          </cell>
          <cell r="K33">
            <v>316</v>
          </cell>
          <cell r="L33">
            <v>318</v>
          </cell>
          <cell r="M33" t="str">
            <v>-</v>
          </cell>
          <cell r="N33" t="str">
            <v>-</v>
          </cell>
          <cell r="O33" t="str">
            <v>-</v>
          </cell>
          <cell r="P33">
            <v>724</v>
          </cell>
          <cell r="Q33">
            <v>911</v>
          </cell>
          <cell r="R33">
            <v>480</v>
          </cell>
          <cell r="S33">
            <v>501</v>
          </cell>
          <cell r="T33">
            <v>450</v>
          </cell>
          <cell r="U33">
            <v>304</v>
          </cell>
          <cell r="V33">
            <v>421</v>
          </cell>
          <cell r="W33">
            <v>422</v>
          </cell>
          <cell r="X33" t="str">
            <v>-</v>
          </cell>
          <cell r="Y33">
            <v>495</v>
          </cell>
          <cell r="Z33">
            <v>502</v>
          </cell>
          <cell r="AA33">
            <v>305</v>
          </cell>
          <cell r="AB33">
            <v>306</v>
          </cell>
          <cell r="AC33">
            <v>730</v>
          </cell>
          <cell r="AD33" t="str">
            <v>-</v>
          </cell>
          <cell r="AE33">
            <v>748</v>
          </cell>
          <cell r="AF33" t="str">
            <v>-</v>
          </cell>
          <cell r="AG33" t="str">
            <v>-</v>
          </cell>
          <cell r="AH33" t="str">
            <v>-</v>
          </cell>
          <cell r="AI33">
            <v>722</v>
          </cell>
        </row>
        <row r="34">
          <cell r="A34" t="str">
            <v>PAINEL BP 2044X1176X18 + COR</v>
          </cell>
          <cell r="B34">
            <v>2100</v>
          </cell>
          <cell r="C34">
            <v>1200</v>
          </cell>
          <cell r="D34">
            <v>2044</v>
          </cell>
          <cell r="E34">
            <v>1176</v>
          </cell>
          <cell r="F34">
            <v>773928</v>
          </cell>
          <cell r="G34">
            <v>307</v>
          </cell>
          <cell r="H34">
            <v>302</v>
          </cell>
          <cell r="I34">
            <v>308</v>
          </cell>
          <cell r="J34">
            <v>309</v>
          </cell>
          <cell r="K34">
            <v>316</v>
          </cell>
          <cell r="L34">
            <v>318</v>
          </cell>
          <cell r="M34" t="str">
            <v>-</v>
          </cell>
          <cell r="N34" t="str">
            <v>-</v>
          </cell>
          <cell r="O34" t="str">
            <v>-</v>
          </cell>
          <cell r="P34">
            <v>724</v>
          </cell>
          <cell r="Q34">
            <v>911</v>
          </cell>
          <cell r="R34">
            <v>480</v>
          </cell>
          <cell r="S34">
            <v>501</v>
          </cell>
          <cell r="T34">
            <v>450</v>
          </cell>
          <cell r="U34">
            <v>304</v>
          </cell>
          <cell r="V34">
            <v>421</v>
          </cell>
          <cell r="W34">
            <v>422</v>
          </cell>
          <cell r="X34" t="str">
            <v>-</v>
          </cell>
          <cell r="Y34">
            <v>495</v>
          </cell>
          <cell r="Z34">
            <v>502</v>
          </cell>
          <cell r="AA34">
            <v>305</v>
          </cell>
          <cell r="AB34">
            <v>306</v>
          </cell>
          <cell r="AC34">
            <v>730</v>
          </cell>
          <cell r="AD34" t="str">
            <v>-</v>
          </cell>
          <cell r="AE34">
            <v>748</v>
          </cell>
          <cell r="AF34" t="str">
            <v>-</v>
          </cell>
          <cell r="AG34" t="str">
            <v>-</v>
          </cell>
          <cell r="AH34" t="str">
            <v>-</v>
          </cell>
          <cell r="AI34">
            <v>722</v>
          </cell>
        </row>
        <row r="35">
          <cell r="A35" t="str">
            <v>PAINEL BP 2044X1276X18 + COR</v>
          </cell>
          <cell r="B35">
            <v>2100</v>
          </cell>
          <cell r="C35">
            <v>1300</v>
          </cell>
          <cell r="D35">
            <v>2044</v>
          </cell>
          <cell r="E35">
            <v>1276</v>
          </cell>
          <cell r="F35">
            <v>773929</v>
          </cell>
          <cell r="G35">
            <v>307</v>
          </cell>
          <cell r="H35">
            <v>302</v>
          </cell>
          <cell r="I35">
            <v>308</v>
          </cell>
          <cell r="J35">
            <v>309</v>
          </cell>
          <cell r="K35">
            <v>316</v>
          </cell>
          <cell r="L35">
            <v>318</v>
          </cell>
          <cell r="M35" t="str">
            <v>-</v>
          </cell>
          <cell r="N35" t="str">
            <v>-</v>
          </cell>
          <cell r="O35" t="str">
            <v>-</v>
          </cell>
          <cell r="P35">
            <v>724</v>
          </cell>
          <cell r="Q35">
            <v>911</v>
          </cell>
          <cell r="R35">
            <v>480</v>
          </cell>
          <cell r="S35">
            <v>501</v>
          </cell>
          <cell r="T35">
            <v>450</v>
          </cell>
          <cell r="U35">
            <v>304</v>
          </cell>
          <cell r="V35">
            <v>421</v>
          </cell>
          <cell r="W35">
            <v>422</v>
          </cell>
          <cell r="X35" t="str">
            <v>-</v>
          </cell>
          <cell r="Y35">
            <v>495</v>
          </cell>
          <cell r="Z35">
            <v>502</v>
          </cell>
          <cell r="AA35">
            <v>305</v>
          </cell>
          <cell r="AB35">
            <v>306</v>
          </cell>
          <cell r="AC35">
            <v>730</v>
          </cell>
          <cell r="AD35" t="str">
            <v>-</v>
          </cell>
          <cell r="AE35">
            <v>748</v>
          </cell>
          <cell r="AF35" t="str">
            <v>-</v>
          </cell>
          <cell r="AG35" t="str">
            <v>-</v>
          </cell>
          <cell r="AH35" t="str">
            <v>-</v>
          </cell>
          <cell r="AI35">
            <v>722</v>
          </cell>
        </row>
        <row r="36">
          <cell r="A36" t="str">
            <v>PAINEL BP 2044X1376X18 + COR</v>
          </cell>
          <cell r="B36">
            <v>2100</v>
          </cell>
          <cell r="C36">
            <v>1400</v>
          </cell>
          <cell r="D36">
            <v>2044</v>
          </cell>
          <cell r="E36">
            <v>1376</v>
          </cell>
          <cell r="F36">
            <v>773930</v>
          </cell>
          <cell r="G36">
            <v>307</v>
          </cell>
          <cell r="H36">
            <v>302</v>
          </cell>
          <cell r="I36">
            <v>308</v>
          </cell>
          <cell r="J36">
            <v>309</v>
          </cell>
          <cell r="K36">
            <v>316</v>
          </cell>
          <cell r="L36">
            <v>318</v>
          </cell>
          <cell r="M36" t="str">
            <v>-</v>
          </cell>
          <cell r="N36" t="str">
            <v>-</v>
          </cell>
          <cell r="O36" t="str">
            <v>-</v>
          </cell>
          <cell r="P36">
            <v>724</v>
          </cell>
          <cell r="Q36">
            <v>911</v>
          </cell>
          <cell r="R36">
            <v>480</v>
          </cell>
          <cell r="S36">
            <v>501</v>
          </cell>
          <cell r="T36">
            <v>450</v>
          </cell>
          <cell r="U36">
            <v>304</v>
          </cell>
          <cell r="V36">
            <v>421</v>
          </cell>
          <cell r="W36">
            <v>422</v>
          </cell>
          <cell r="X36" t="str">
            <v>-</v>
          </cell>
          <cell r="Y36">
            <v>495</v>
          </cell>
          <cell r="Z36">
            <v>502</v>
          </cell>
          <cell r="AA36">
            <v>305</v>
          </cell>
          <cell r="AB36">
            <v>306</v>
          </cell>
          <cell r="AC36">
            <v>730</v>
          </cell>
          <cell r="AD36" t="str">
            <v>-</v>
          </cell>
          <cell r="AE36">
            <v>748</v>
          </cell>
          <cell r="AF36" t="str">
            <v>-</v>
          </cell>
          <cell r="AG36" t="str">
            <v>-</v>
          </cell>
          <cell r="AH36" t="str">
            <v>-</v>
          </cell>
          <cell r="AI36">
            <v>722</v>
          </cell>
        </row>
        <row r="37">
          <cell r="A37" t="str">
            <v>PAINEL BP 2044X1476X18 + COR</v>
          </cell>
          <cell r="B37">
            <v>2100</v>
          </cell>
          <cell r="C37">
            <v>1500</v>
          </cell>
          <cell r="D37">
            <v>2044</v>
          </cell>
          <cell r="E37">
            <v>1476</v>
          </cell>
          <cell r="F37">
            <v>773931</v>
          </cell>
          <cell r="G37">
            <v>307</v>
          </cell>
          <cell r="H37">
            <v>302</v>
          </cell>
          <cell r="I37">
            <v>308</v>
          </cell>
          <cell r="J37">
            <v>309</v>
          </cell>
          <cell r="K37">
            <v>316</v>
          </cell>
          <cell r="L37">
            <v>318</v>
          </cell>
          <cell r="M37" t="str">
            <v>-</v>
          </cell>
          <cell r="N37" t="str">
            <v>-</v>
          </cell>
          <cell r="O37" t="str">
            <v>-</v>
          </cell>
          <cell r="P37">
            <v>724</v>
          </cell>
          <cell r="Q37">
            <v>911</v>
          </cell>
          <cell r="R37">
            <v>480</v>
          </cell>
          <cell r="S37">
            <v>501</v>
          </cell>
          <cell r="T37">
            <v>450</v>
          </cell>
          <cell r="U37">
            <v>304</v>
          </cell>
          <cell r="V37">
            <v>421</v>
          </cell>
          <cell r="W37">
            <v>422</v>
          </cell>
          <cell r="X37" t="str">
            <v>-</v>
          </cell>
          <cell r="Y37">
            <v>495</v>
          </cell>
          <cell r="Z37">
            <v>502</v>
          </cell>
          <cell r="AA37">
            <v>305</v>
          </cell>
          <cell r="AB37">
            <v>306</v>
          </cell>
          <cell r="AC37">
            <v>730</v>
          </cell>
          <cell r="AD37" t="str">
            <v>-</v>
          </cell>
          <cell r="AE37">
            <v>748</v>
          </cell>
          <cell r="AF37" t="str">
            <v>-</v>
          </cell>
          <cell r="AG37" t="str">
            <v>-</v>
          </cell>
          <cell r="AH37" t="str">
            <v>-</v>
          </cell>
          <cell r="AI37">
            <v>722</v>
          </cell>
        </row>
        <row r="38">
          <cell r="A38" t="str">
            <v>PAINEL BP 2144X776X18 + COR</v>
          </cell>
          <cell r="B38">
            <v>2200</v>
          </cell>
          <cell r="C38">
            <v>800</v>
          </cell>
          <cell r="D38">
            <v>2144</v>
          </cell>
          <cell r="E38">
            <v>776</v>
          </cell>
          <cell r="F38">
            <v>773932</v>
          </cell>
          <cell r="G38">
            <v>307</v>
          </cell>
          <cell r="H38">
            <v>302</v>
          </cell>
          <cell r="I38">
            <v>308</v>
          </cell>
          <cell r="J38">
            <v>309</v>
          </cell>
          <cell r="K38">
            <v>316</v>
          </cell>
          <cell r="L38">
            <v>318</v>
          </cell>
          <cell r="M38" t="str">
            <v>-</v>
          </cell>
          <cell r="N38" t="str">
            <v>-</v>
          </cell>
          <cell r="O38" t="str">
            <v>-</v>
          </cell>
          <cell r="P38">
            <v>724</v>
          </cell>
          <cell r="Q38">
            <v>911</v>
          </cell>
          <cell r="R38">
            <v>480</v>
          </cell>
          <cell r="S38">
            <v>501</v>
          </cell>
          <cell r="T38">
            <v>450</v>
          </cell>
          <cell r="U38">
            <v>304</v>
          </cell>
          <cell r="V38">
            <v>421</v>
          </cell>
          <cell r="W38">
            <v>422</v>
          </cell>
          <cell r="X38" t="str">
            <v>-</v>
          </cell>
          <cell r="Y38">
            <v>495</v>
          </cell>
          <cell r="Z38">
            <v>502</v>
          </cell>
          <cell r="AA38">
            <v>305</v>
          </cell>
          <cell r="AB38">
            <v>306</v>
          </cell>
          <cell r="AC38">
            <v>730</v>
          </cell>
          <cell r="AD38" t="str">
            <v>-</v>
          </cell>
          <cell r="AE38">
            <v>748</v>
          </cell>
          <cell r="AF38" t="str">
            <v>-</v>
          </cell>
          <cell r="AG38" t="str">
            <v>-</v>
          </cell>
          <cell r="AH38" t="str">
            <v>-</v>
          </cell>
          <cell r="AI38">
            <v>722</v>
          </cell>
        </row>
        <row r="39">
          <cell r="A39" t="str">
            <v>PAINEL BP 2144X876X18 + COR</v>
          </cell>
          <cell r="B39">
            <v>2200</v>
          </cell>
          <cell r="C39">
            <v>900</v>
          </cell>
          <cell r="D39">
            <v>2144</v>
          </cell>
          <cell r="E39">
            <v>876</v>
          </cell>
          <cell r="F39">
            <v>773933</v>
          </cell>
          <cell r="G39">
            <v>307</v>
          </cell>
          <cell r="H39">
            <v>302</v>
          </cell>
          <cell r="I39">
            <v>308</v>
          </cell>
          <cell r="J39">
            <v>309</v>
          </cell>
          <cell r="K39">
            <v>316</v>
          </cell>
          <cell r="L39">
            <v>318</v>
          </cell>
          <cell r="M39" t="str">
            <v>-</v>
          </cell>
          <cell r="N39" t="str">
            <v>-</v>
          </cell>
          <cell r="O39" t="str">
            <v>-</v>
          </cell>
          <cell r="P39">
            <v>724</v>
          </cell>
          <cell r="Q39">
            <v>911</v>
          </cell>
          <cell r="R39">
            <v>480</v>
          </cell>
          <cell r="S39">
            <v>501</v>
          </cell>
          <cell r="T39">
            <v>450</v>
          </cell>
          <cell r="U39">
            <v>304</v>
          </cell>
          <cell r="V39">
            <v>421</v>
          </cell>
          <cell r="W39">
            <v>422</v>
          </cell>
          <cell r="X39" t="str">
            <v>-</v>
          </cell>
          <cell r="Y39">
            <v>495</v>
          </cell>
          <cell r="Z39">
            <v>502</v>
          </cell>
          <cell r="AA39">
            <v>305</v>
          </cell>
          <cell r="AB39">
            <v>306</v>
          </cell>
          <cell r="AC39">
            <v>730</v>
          </cell>
          <cell r="AD39" t="str">
            <v>-</v>
          </cell>
          <cell r="AE39">
            <v>748</v>
          </cell>
          <cell r="AF39" t="str">
            <v>-</v>
          </cell>
          <cell r="AG39" t="str">
            <v>-</v>
          </cell>
          <cell r="AH39" t="str">
            <v>-</v>
          </cell>
          <cell r="AI39">
            <v>722</v>
          </cell>
        </row>
        <row r="40">
          <cell r="A40" t="str">
            <v>PAINEL BP 2144X976X18 + COR</v>
          </cell>
          <cell r="B40">
            <v>2200</v>
          </cell>
          <cell r="C40">
            <v>1000</v>
          </cell>
          <cell r="D40">
            <v>2144</v>
          </cell>
          <cell r="E40">
            <v>976</v>
          </cell>
          <cell r="F40">
            <v>773934</v>
          </cell>
          <cell r="G40">
            <v>307</v>
          </cell>
          <cell r="H40">
            <v>302</v>
          </cell>
          <cell r="I40">
            <v>308</v>
          </cell>
          <cell r="J40">
            <v>309</v>
          </cell>
          <cell r="K40">
            <v>316</v>
          </cell>
          <cell r="L40">
            <v>318</v>
          </cell>
          <cell r="M40" t="str">
            <v>-</v>
          </cell>
          <cell r="N40" t="str">
            <v>-</v>
          </cell>
          <cell r="O40" t="str">
            <v>-</v>
          </cell>
          <cell r="P40">
            <v>724</v>
          </cell>
          <cell r="Q40">
            <v>911</v>
          </cell>
          <cell r="R40">
            <v>480</v>
          </cell>
          <cell r="S40">
            <v>501</v>
          </cell>
          <cell r="T40">
            <v>450</v>
          </cell>
          <cell r="U40">
            <v>304</v>
          </cell>
          <cell r="V40">
            <v>421</v>
          </cell>
          <cell r="W40">
            <v>422</v>
          </cell>
          <cell r="X40" t="str">
            <v>-</v>
          </cell>
          <cell r="Y40">
            <v>495</v>
          </cell>
          <cell r="Z40">
            <v>502</v>
          </cell>
          <cell r="AA40">
            <v>305</v>
          </cell>
          <cell r="AB40">
            <v>306</v>
          </cell>
          <cell r="AC40">
            <v>730</v>
          </cell>
          <cell r="AD40" t="str">
            <v>-</v>
          </cell>
          <cell r="AE40">
            <v>748</v>
          </cell>
          <cell r="AF40" t="str">
            <v>-</v>
          </cell>
          <cell r="AG40" t="str">
            <v>-</v>
          </cell>
          <cell r="AH40" t="str">
            <v>-</v>
          </cell>
          <cell r="AI40">
            <v>722</v>
          </cell>
        </row>
        <row r="41">
          <cell r="A41" t="str">
            <v>PAINEL BP 2144X1076X18 + COR</v>
          </cell>
          <cell r="B41">
            <v>2200</v>
          </cell>
          <cell r="C41">
            <v>1100</v>
          </cell>
          <cell r="D41">
            <v>2144</v>
          </cell>
          <cell r="E41">
            <v>1076</v>
          </cell>
          <cell r="F41">
            <v>773935</v>
          </cell>
          <cell r="G41">
            <v>307</v>
          </cell>
          <cell r="H41">
            <v>302</v>
          </cell>
          <cell r="I41">
            <v>308</v>
          </cell>
          <cell r="J41">
            <v>309</v>
          </cell>
          <cell r="K41">
            <v>316</v>
          </cell>
          <cell r="L41">
            <v>318</v>
          </cell>
          <cell r="M41" t="str">
            <v>-</v>
          </cell>
          <cell r="N41" t="str">
            <v>-</v>
          </cell>
          <cell r="O41" t="str">
            <v>-</v>
          </cell>
          <cell r="P41">
            <v>724</v>
          </cell>
          <cell r="Q41">
            <v>911</v>
          </cell>
          <cell r="R41">
            <v>480</v>
          </cell>
          <cell r="S41">
            <v>501</v>
          </cell>
          <cell r="T41">
            <v>450</v>
          </cell>
          <cell r="U41">
            <v>304</v>
          </cell>
          <cell r="V41">
            <v>421</v>
          </cell>
          <cell r="W41">
            <v>422</v>
          </cell>
          <cell r="X41" t="str">
            <v>-</v>
          </cell>
          <cell r="Y41">
            <v>495</v>
          </cell>
          <cell r="Z41">
            <v>502</v>
          </cell>
          <cell r="AA41">
            <v>305</v>
          </cell>
          <cell r="AB41">
            <v>306</v>
          </cell>
          <cell r="AC41">
            <v>730</v>
          </cell>
          <cell r="AD41" t="str">
            <v>-</v>
          </cell>
          <cell r="AE41">
            <v>748</v>
          </cell>
          <cell r="AF41" t="str">
            <v>-</v>
          </cell>
          <cell r="AG41" t="str">
            <v>-</v>
          </cell>
          <cell r="AH41" t="str">
            <v>-</v>
          </cell>
          <cell r="AI41">
            <v>722</v>
          </cell>
        </row>
        <row r="42">
          <cell r="A42" t="str">
            <v>PAINEL BP 2144X1176X18 + COR</v>
          </cell>
          <cell r="B42">
            <v>2200</v>
          </cell>
          <cell r="C42">
            <v>1200</v>
          </cell>
          <cell r="D42">
            <v>2144</v>
          </cell>
          <cell r="E42">
            <v>1176</v>
          </cell>
          <cell r="F42">
            <v>773936</v>
          </cell>
          <cell r="G42">
            <v>307</v>
          </cell>
          <cell r="H42">
            <v>302</v>
          </cell>
          <cell r="I42">
            <v>308</v>
          </cell>
          <cell r="J42">
            <v>309</v>
          </cell>
          <cell r="K42">
            <v>316</v>
          </cell>
          <cell r="L42">
            <v>318</v>
          </cell>
          <cell r="M42" t="str">
            <v>-</v>
          </cell>
          <cell r="N42" t="str">
            <v>-</v>
          </cell>
          <cell r="O42" t="str">
            <v>-</v>
          </cell>
          <cell r="P42">
            <v>724</v>
          </cell>
          <cell r="Q42">
            <v>911</v>
          </cell>
          <cell r="R42">
            <v>480</v>
          </cell>
          <cell r="S42">
            <v>501</v>
          </cell>
          <cell r="T42">
            <v>450</v>
          </cell>
          <cell r="U42">
            <v>304</v>
          </cell>
          <cell r="V42">
            <v>421</v>
          </cell>
          <cell r="W42">
            <v>422</v>
          </cell>
          <cell r="X42" t="str">
            <v>-</v>
          </cell>
          <cell r="Y42">
            <v>495</v>
          </cell>
          <cell r="Z42">
            <v>502</v>
          </cell>
          <cell r="AA42">
            <v>305</v>
          </cell>
          <cell r="AB42">
            <v>306</v>
          </cell>
          <cell r="AC42">
            <v>730</v>
          </cell>
          <cell r="AD42" t="str">
            <v>-</v>
          </cell>
          <cell r="AE42">
            <v>748</v>
          </cell>
          <cell r="AF42" t="str">
            <v>-</v>
          </cell>
          <cell r="AG42" t="str">
            <v>-</v>
          </cell>
          <cell r="AH42" t="str">
            <v>-</v>
          </cell>
          <cell r="AI42">
            <v>722</v>
          </cell>
        </row>
        <row r="43">
          <cell r="A43" t="str">
            <v>PAINEL BP 2144X1276X18 + COR</v>
          </cell>
          <cell r="B43">
            <v>2200</v>
          </cell>
          <cell r="C43">
            <v>1300</v>
          </cell>
          <cell r="D43">
            <v>2144</v>
          </cell>
          <cell r="E43">
            <v>1276</v>
          </cell>
          <cell r="F43">
            <v>773937</v>
          </cell>
          <cell r="G43">
            <v>307</v>
          </cell>
          <cell r="H43">
            <v>302</v>
          </cell>
          <cell r="I43">
            <v>308</v>
          </cell>
          <cell r="J43">
            <v>309</v>
          </cell>
          <cell r="K43">
            <v>316</v>
          </cell>
          <cell r="L43">
            <v>318</v>
          </cell>
          <cell r="M43" t="str">
            <v>-</v>
          </cell>
          <cell r="N43" t="str">
            <v>-</v>
          </cell>
          <cell r="O43" t="str">
            <v>-</v>
          </cell>
          <cell r="P43">
            <v>724</v>
          </cell>
          <cell r="Q43">
            <v>911</v>
          </cell>
          <cell r="R43">
            <v>480</v>
          </cell>
          <cell r="S43">
            <v>501</v>
          </cell>
          <cell r="T43">
            <v>450</v>
          </cell>
          <cell r="U43">
            <v>304</v>
          </cell>
          <cell r="V43">
            <v>421</v>
          </cell>
          <cell r="W43">
            <v>422</v>
          </cell>
          <cell r="X43" t="str">
            <v>-</v>
          </cell>
          <cell r="Y43">
            <v>495</v>
          </cell>
          <cell r="Z43">
            <v>502</v>
          </cell>
          <cell r="AA43">
            <v>305</v>
          </cell>
          <cell r="AB43">
            <v>306</v>
          </cell>
          <cell r="AC43">
            <v>730</v>
          </cell>
          <cell r="AD43" t="str">
            <v>-</v>
          </cell>
          <cell r="AE43">
            <v>748</v>
          </cell>
          <cell r="AF43" t="str">
            <v>-</v>
          </cell>
          <cell r="AG43" t="str">
            <v>-</v>
          </cell>
          <cell r="AH43" t="str">
            <v>-</v>
          </cell>
          <cell r="AI43">
            <v>722</v>
          </cell>
        </row>
        <row r="44">
          <cell r="A44" t="str">
            <v>PAINEL BP 2144X1376X18 + COR</v>
          </cell>
          <cell r="B44">
            <v>2200</v>
          </cell>
          <cell r="C44">
            <v>1400</v>
          </cell>
          <cell r="D44">
            <v>2144</v>
          </cell>
          <cell r="E44">
            <v>1376</v>
          </cell>
          <cell r="F44">
            <v>773938</v>
          </cell>
          <cell r="G44">
            <v>307</v>
          </cell>
          <cell r="H44">
            <v>302</v>
          </cell>
          <cell r="I44">
            <v>308</v>
          </cell>
          <cell r="J44">
            <v>309</v>
          </cell>
          <cell r="K44">
            <v>316</v>
          </cell>
          <cell r="L44">
            <v>318</v>
          </cell>
          <cell r="M44" t="str">
            <v>-</v>
          </cell>
          <cell r="N44" t="str">
            <v>-</v>
          </cell>
          <cell r="O44" t="str">
            <v>-</v>
          </cell>
          <cell r="P44">
            <v>724</v>
          </cell>
          <cell r="Q44">
            <v>911</v>
          </cell>
          <cell r="R44">
            <v>480</v>
          </cell>
          <cell r="S44">
            <v>501</v>
          </cell>
          <cell r="T44">
            <v>450</v>
          </cell>
          <cell r="U44">
            <v>304</v>
          </cell>
          <cell r="V44">
            <v>421</v>
          </cell>
          <cell r="W44">
            <v>422</v>
          </cell>
          <cell r="X44" t="str">
            <v>-</v>
          </cell>
          <cell r="Y44">
            <v>495</v>
          </cell>
          <cell r="Z44">
            <v>502</v>
          </cell>
          <cell r="AA44">
            <v>305</v>
          </cell>
          <cell r="AB44">
            <v>306</v>
          </cell>
          <cell r="AC44">
            <v>730</v>
          </cell>
          <cell r="AD44" t="str">
            <v>-</v>
          </cell>
          <cell r="AE44">
            <v>748</v>
          </cell>
          <cell r="AF44" t="str">
            <v>-</v>
          </cell>
          <cell r="AG44" t="str">
            <v>-</v>
          </cell>
          <cell r="AH44" t="str">
            <v>-</v>
          </cell>
          <cell r="AI44">
            <v>722</v>
          </cell>
        </row>
        <row r="45">
          <cell r="A45" t="str">
            <v>PAINEL BP 2144X1476X18 + COR</v>
          </cell>
          <cell r="B45">
            <v>2200</v>
          </cell>
          <cell r="C45">
            <v>1500</v>
          </cell>
          <cell r="D45">
            <v>2144</v>
          </cell>
          <cell r="E45">
            <v>1476</v>
          </cell>
          <cell r="F45">
            <v>773939</v>
          </cell>
          <cell r="G45">
            <v>307</v>
          </cell>
          <cell r="H45">
            <v>302</v>
          </cell>
          <cell r="I45">
            <v>308</v>
          </cell>
          <cell r="J45">
            <v>309</v>
          </cell>
          <cell r="K45">
            <v>316</v>
          </cell>
          <cell r="L45">
            <v>318</v>
          </cell>
          <cell r="M45" t="str">
            <v>-</v>
          </cell>
          <cell r="N45" t="str">
            <v>-</v>
          </cell>
          <cell r="O45" t="str">
            <v>-</v>
          </cell>
          <cell r="P45">
            <v>724</v>
          </cell>
          <cell r="Q45">
            <v>911</v>
          </cell>
          <cell r="R45">
            <v>480</v>
          </cell>
          <cell r="S45">
            <v>501</v>
          </cell>
          <cell r="T45">
            <v>450</v>
          </cell>
          <cell r="U45">
            <v>304</v>
          </cell>
          <cell r="V45">
            <v>421</v>
          </cell>
          <cell r="W45">
            <v>422</v>
          </cell>
          <cell r="X45" t="str">
            <v>-</v>
          </cell>
          <cell r="Y45">
            <v>495</v>
          </cell>
          <cell r="Z45">
            <v>502</v>
          </cell>
          <cell r="AA45">
            <v>305</v>
          </cell>
          <cell r="AB45">
            <v>306</v>
          </cell>
          <cell r="AC45">
            <v>730</v>
          </cell>
          <cell r="AD45" t="str">
            <v>-</v>
          </cell>
          <cell r="AE45">
            <v>748</v>
          </cell>
          <cell r="AF45" t="str">
            <v>-</v>
          </cell>
          <cell r="AG45" t="str">
            <v>-</v>
          </cell>
          <cell r="AH45" t="str">
            <v>-</v>
          </cell>
          <cell r="AI45">
            <v>722</v>
          </cell>
        </row>
        <row r="46">
          <cell r="A46" t="str">
            <v>PAINEL BP 2244X776X18 + COR</v>
          </cell>
          <cell r="B46">
            <v>2300</v>
          </cell>
          <cell r="C46">
            <v>800</v>
          </cell>
          <cell r="D46">
            <v>2244</v>
          </cell>
          <cell r="E46">
            <v>776</v>
          </cell>
          <cell r="F46">
            <v>773940</v>
          </cell>
          <cell r="G46">
            <v>307</v>
          </cell>
          <cell r="H46">
            <v>302</v>
          </cell>
          <cell r="I46">
            <v>308</v>
          </cell>
          <cell r="J46">
            <v>309</v>
          </cell>
          <cell r="K46">
            <v>316</v>
          </cell>
          <cell r="L46">
            <v>318</v>
          </cell>
          <cell r="M46" t="str">
            <v>-</v>
          </cell>
          <cell r="N46" t="str">
            <v>-</v>
          </cell>
          <cell r="O46" t="str">
            <v>-</v>
          </cell>
          <cell r="P46">
            <v>724</v>
          </cell>
          <cell r="Q46">
            <v>911</v>
          </cell>
          <cell r="R46">
            <v>480</v>
          </cell>
          <cell r="S46">
            <v>501</v>
          </cell>
          <cell r="T46">
            <v>450</v>
          </cell>
          <cell r="U46">
            <v>304</v>
          </cell>
          <cell r="V46">
            <v>421</v>
          </cell>
          <cell r="W46">
            <v>422</v>
          </cell>
          <cell r="X46" t="str">
            <v>-</v>
          </cell>
          <cell r="Y46">
            <v>495</v>
          </cell>
          <cell r="Z46">
            <v>502</v>
          </cell>
          <cell r="AA46">
            <v>305</v>
          </cell>
          <cell r="AB46">
            <v>306</v>
          </cell>
          <cell r="AC46">
            <v>730</v>
          </cell>
          <cell r="AD46" t="str">
            <v>-</v>
          </cell>
          <cell r="AE46">
            <v>748</v>
          </cell>
          <cell r="AF46" t="str">
            <v>-</v>
          </cell>
          <cell r="AG46" t="str">
            <v>-</v>
          </cell>
          <cell r="AH46" t="str">
            <v>-</v>
          </cell>
          <cell r="AI46">
            <v>722</v>
          </cell>
        </row>
        <row r="47">
          <cell r="A47" t="str">
            <v>PAINEL BP 2244X876X18 + COR</v>
          </cell>
          <cell r="B47">
            <v>2300</v>
          </cell>
          <cell r="C47">
            <v>900</v>
          </cell>
          <cell r="D47">
            <v>2244</v>
          </cell>
          <cell r="E47">
            <v>876</v>
          </cell>
          <cell r="F47">
            <v>773941</v>
          </cell>
          <cell r="G47">
            <v>307</v>
          </cell>
          <cell r="H47">
            <v>302</v>
          </cell>
          <cell r="I47">
            <v>308</v>
          </cell>
          <cell r="J47">
            <v>309</v>
          </cell>
          <cell r="K47">
            <v>316</v>
          </cell>
          <cell r="L47">
            <v>318</v>
          </cell>
          <cell r="M47" t="str">
            <v>-</v>
          </cell>
          <cell r="N47" t="str">
            <v>-</v>
          </cell>
          <cell r="O47" t="str">
            <v>-</v>
          </cell>
          <cell r="P47">
            <v>724</v>
          </cell>
          <cell r="Q47">
            <v>911</v>
          </cell>
          <cell r="R47">
            <v>480</v>
          </cell>
          <cell r="S47">
            <v>501</v>
          </cell>
          <cell r="T47">
            <v>450</v>
          </cell>
          <cell r="U47">
            <v>304</v>
          </cell>
          <cell r="V47">
            <v>421</v>
          </cell>
          <cell r="W47">
            <v>422</v>
          </cell>
          <cell r="X47" t="str">
            <v>-</v>
          </cell>
          <cell r="Y47">
            <v>495</v>
          </cell>
          <cell r="Z47">
            <v>502</v>
          </cell>
          <cell r="AA47">
            <v>305</v>
          </cell>
          <cell r="AB47">
            <v>306</v>
          </cell>
          <cell r="AC47">
            <v>730</v>
          </cell>
          <cell r="AD47" t="str">
            <v>-</v>
          </cell>
          <cell r="AE47">
            <v>748</v>
          </cell>
          <cell r="AF47" t="str">
            <v>-</v>
          </cell>
          <cell r="AG47" t="str">
            <v>-</v>
          </cell>
          <cell r="AH47" t="str">
            <v>-</v>
          </cell>
          <cell r="AI47">
            <v>722</v>
          </cell>
        </row>
        <row r="48">
          <cell r="A48" t="str">
            <v>PAINEL BP 2244X976X18 + COR</v>
          </cell>
          <cell r="B48">
            <v>2300</v>
          </cell>
          <cell r="C48">
            <v>1000</v>
          </cell>
          <cell r="D48">
            <v>2244</v>
          </cell>
          <cell r="E48">
            <v>976</v>
          </cell>
          <cell r="F48">
            <v>773942</v>
          </cell>
          <cell r="G48">
            <v>307</v>
          </cell>
          <cell r="H48">
            <v>302</v>
          </cell>
          <cell r="I48">
            <v>308</v>
          </cell>
          <cell r="J48">
            <v>309</v>
          </cell>
          <cell r="K48">
            <v>316</v>
          </cell>
          <cell r="L48">
            <v>318</v>
          </cell>
          <cell r="M48" t="str">
            <v>-</v>
          </cell>
          <cell r="N48" t="str">
            <v>-</v>
          </cell>
          <cell r="O48" t="str">
            <v>-</v>
          </cell>
          <cell r="P48">
            <v>724</v>
          </cell>
          <cell r="Q48">
            <v>911</v>
          </cell>
          <cell r="R48">
            <v>480</v>
          </cell>
          <cell r="S48">
            <v>501</v>
          </cell>
          <cell r="T48">
            <v>450</v>
          </cell>
          <cell r="U48">
            <v>304</v>
          </cell>
          <cell r="V48">
            <v>421</v>
          </cell>
          <cell r="W48">
            <v>422</v>
          </cell>
          <cell r="X48" t="str">
            <v>-</v>
          </cell>
          <cell r="Y48">
            <v>495</v>
          </cell>
          <cell r="Z48">
            <v>502</v>
          </cell>
          <cell r="AA48">
            <v>305</v>
          </cell>
          <cell r="AB48">
            <v>306</v>
          </cell>
          <cell r="AC48">
            <v>730</v>
          </cell>
          <cell r="AD48" t="str">
            <v>-</v>
          </cell>
          <cell r="AE48">
            <v>748</v>
          </cell>
          <cell r="AF48" t="str">
            <v>-</v>
          </cell>
          <cell r="AG48" t="str">
            <v>-</v>
          </cell>
          <cell r="AH48" t="str">
            <v>-</v>
          </cell>
          <cell r="AI48">
            <v>722</v>
          </cell>
        </row>
        <row r="49">
          <cell r="A49" t="str">
            <v>PAINEL BP 2244X1076X18 + COR</v>
          </cell>
          <cell r="B49">
            <v>2300</v>
          </cell>
          <cell r="C49">
            <v>1100</v>
          </cell>
          <cell r="D49">
            <v>2244</v>
          </cell>
          <cell r="E49">
            <v>1076</v>
          </cell>
          <cell r="F49">
            <v>773943</v>
          </cell>
          <cell r="G49">
            <v>307</v>
          </cell>
          <cell r="H49">
            <v>302</v>
          </cell>
          <cell r="I49">
            <v>308</v>
          </cell>
          <cell r="J49">
            <v>309</v>
          </cell>
          <cell r="K49">
            <v>316</v>
          </cell>
          <cell r="L49">
            <v>318</v>
          </cell>
          <cell r="M49" t="str">
            <v>-</v>
          </cell>
          <cell r="N49" t="str">
            <v>-</v>
          </cell>
          <cell r="O49" t="str">
            <v>-</v>
          </cell>
          <cell r="P49">
            <v>724</v>
          </cell>
          <cell r="Q49">
            <v>911</v>
          </cell>
          <cell r="R49">
            <v>480</v>
          </cell>
          <cell r="S49">
            <v>501</v>
          </cell>
          <cell r="T49">
            <v>450</v>
          </cell>
          <cell r="U49">
            <v>304</v>
          </cell>
          <cell r="V49">
            <v>421</v>
          </cell>
          <cell r="W49">
            <v>422</v>
          </cell>
          <cell r="X49" t="str">
            <v>-</v>
          </cell>
          <cell r="Y49">
            <v>495</v>
          </cell>
          <cell r="Z49">
            <v>502</v>
          </cell>
          <cell r="AA49">
            <v>305</v>
          </cell>
          <cell r="AB49">
            <v>306</v>
          </cell>
          <cell r="AC49">
            <v>730</v>
          </cell>
          <cell r="AD49" t="str">
            <v>-</v>
          </cell>
          <cell r="AE49">
            <v>748</v>
          </cell>
          <cell r="AF49" t="str">
            <v>-</v>
          </cell>
          <cell r="AG49" t="str">
            <v>-</v>
          </cell>
          <cell r="AH49" t="str">
            <v>-</v>
          </cell>
          <cell r="AI49">
            <v>722</v>
          </cell>
        </row>
        <row r="50">
          <cell r="A50" t="str">
            <v>PAINEL BP 2244X1176X18 + COR</v>
          </cell>
          <cell r="B50">
            <v>2300</v>
          </cell>
          <cell r="C50">
            <v>1200</v>
          </cell>
          <cell r="D50">
            <v>2244</v>
          </cell>
          <cell r="E50">
            <v>1176</v>
          </cell>
          <cell r="F50">
            <v>773944</v>
          </cell>
          <cell r="G50">
            <v>307</v>
          </cell>
          <cell r="H50">
            <v>302</v>
          </cell>
          <cell r="I50">
            <v>308</v>
          </cell>
          <cell r="J50">
            <v>309</v>
          </cell>
          <cell r="K50">
            <v>316</v>
          </cell>
          <cell r="L50">
            <v>318</v>
          </cell>
          <cell r="M50" t="str">
            <v>-</v>
          </cell>
          <cell r="N50" t="str">
            <v>-</v>
          </cell>
          <cell r="O50" t="str">
            <v>-</v>
          </cell>
          <cell r="P50">
            <v>724</v>
          </cell>
          <cell r="Q50">
            <v>911</v>
          </cell>
          <cell r="R50">
            <v>480</v>
          </cell>
          <cell r="S50">
            <v>501</v>
          </cell>
          <cell r="T50">
            <v>450</v>
          </cell>
          <cell r="U50">
            <v>304</v>
          </cell>
          <cell r="V50">
            <v>421</v>
          </cell>
          <cell r="W50">
            <v>422</v>
          </cell>
          <cell r="X50" t="str">
            <v>-</v>
          </cell>
          <cell r="Y50">
            <v>495</v>
          </cell>
          <cell r="Z50">
            <v>502</v>
          </cell>
          <cell r="AA50">
            <v>305</v>
          </cell>
          <cell r="AB50">
            <v>306</v>
          </cell>
          <cell r="AC50">
            <v>730</v>
          </cell>
          <cell r="AD50" t="str">
            <v>-</v>
          </cell>
          <cell r="AE50">
            <v>748</v>
          </cell>
          <cell r="AF50" t="str">
            <v>-</v>
          </cell>
          <cell r="AG50" t="str">
            <v>-</v>
          </cell>
          <cell r="AH50" t="str">
            <v>-</v>
          </cell>
          <cell r="AI50">
            <v>722</v>
          </cell>
        </row>
        <row r="51">
          <cell r="A51" t="str">
            <v>PAINEL BP 2244X1276X18 + COR</v>
          </cell>
          <cell r="B51">
            <v>2300</v>
          </cell>
          <cell r="C51">
            <v>1300</v>
          </cell>
          <cell r="D51">
            <v>2244</v>
          </cell>
          <cell r="E51">
            <v>1276</v>
          </cell>
          <cell r="F51">
            <v>773945</v>
          </cell>
          <cell r="G51">
            <v>307</v>
          </cell>
          <cell r="H51">
            <v>302</v>
          </cell>
          <cell r="I51">
            <v>308</v>
          </cell>
          <cell r="J51">
            <v>309</v>
          </cell>
          <cell r="K51">
            <v>316</v>
          </cell>
          <cell r="L51">
            <v>318</v>
          </cell>
          <cell r="M51" t="str">
            <v>-</v>
          </cell>
          <cell r="N51" t="str">
            <v>-</v>
          </cell>
          <cell r="O51" t="str">
            <v>-</v>
          </cell>
          <cell r="P51">
            <v>724</v>
          </cell>
          <cell r="Q51">
            <v>911</v>
          </cell>
          <cell r="R51">
            <v>480</v>
          </cell>
          <cell r="S51">
            <v>501</v>
          </cell>
          <cell r="T51">
            <v>450</v>
          </cell>
          <cell r="U51">
            <v>304</v>
          </cell>
          <cell r="V51">
            <v>421</v>
          </cell>
          <cell r="W51">
            <v>422</v>
          </cell>
          <cell r="X51" t="str">
            <v>-</v>
          </cell>
          <cell r="Y51">
            <v>495</v>
          </cell>
          <cell r="Z51">
            <v>502</v>
          </cell>
          <cell r="AA51">
            <v>305</v>
          </cell>
          <cell r="AB51">
            <v>306</v>
          </cell>
          <cell r="AC51">
            <v>730</v>
          </cell>
          <cell r="AD51" t="str">
            <v>-</v>
          </cell>
          <cell r="AE51">
            <v>748</v>
          </cell>
          <cell r="AF51" t="str">
            <v>-</v>
          </cell>
          <cell r="AG51" t="str">
            <v>-</v>
          </cell>
          <cell r="AH51" t="str">
            <v>-</v>
          </cell>
          <cell r="AI51">
            <v>722</v>
          </cell>
        </row>
        <row r="52">
          <cell r="A52" t="str">
            <v>PAINEL BP 2244X1376X18 + COR</v>
          </cell>
          <cell r="B52">
            <v>2300</v>
          </cell>
          <cell r="C52">
            <v>1400</v>
          </cell>
          <cell r="D52">
            <v>2244</v>
          </cell>
          <cell r="E52">
            <v>1376</v>
          </cell>
          <cell r="F52">
            <v>773946</v>
          </cell>
          <cell r="G52">
            <v>307</v>
          </cell>
          <cell r="H52">
            <v>302</v>
          </cell>
          <cell r="I52">
            <v>308</v>
          </cell>
          <cell r="J52">
            <v>309</v>
          </cell>
          <cell r="K52">
            <v>316</v>
          </cell>
          <cell r="L52">
            <v>318</v>
          </cell>
          <cell r="M52" t="str">
            <v>-</v>
          </cell>
          <cell r="N52" t="str">
            <v>-</v>
          </cell>
          <cell r="O52" t="str">
            <v>-</v>
          </cell>
          <cell r="P52">
            <v>724</v>
          </cell>
          <cell r="Q52">
            <v>911</v>
          </cell>
          <cell r="R52">
            <v>480</v>
          </cell>
          <cell r="S52">
            <v>501</v>
          </cell>
          <cell r="T52">
            <v>450</v>
          </cell>
          <cell r="U52">
            <v>304</v>
          </cell>
          <cell r="V52">
            <v>421</v>
          </cell>
          <cell r="W52">
            <v>422</v>
          </cell>
          <cell r="X52" t="str">
            <v>-</v>
          </cell>
          <cell r="Y52">
            <v>495</v>
          </cell>
          <cell r="Z52">
            <v>502</v>
          </cell>
          <cell r="AA52">
            <v>305</v>
          </cell>
          <cell r="AB52">
            <v>306</v>
          </cell>
          <cell r="AC52">
            <v>730</v>
          </cell>
          <cell r="AD52" t="str">
            <v>-</v>
          </cell>
          <cell r="AE52">
            <v>748</v>
          </cell>
          <cell r="AF52" t="str">
            <v>-</v>
          </cell>
          <cell r="AG52" t="str">
            <v>-</v>
          </cell>
          <cell r="AH52" t="str">
            <v>-</v>
          </cell>
          <cell r="AI52">
            <v>722</v>
          </cell>
        </row>
        <row r="53">
          <cell r="A53" t="str">
            <v>PAINEL BP 2244X1476X18 + COR</v>
          </cell>
          <cell r="B53">
            <v>2300</v>
          </cell>
          <cell r="C53">
            <v>1500</v>
          </cell>
          <cell r="D53">
            <v>2244</v>
          </cell>
          <cell r="E53">
            <v>1476</v>
          </cell>
          <cell r="F53">
            <v>773947</v>
          </cell>
          <cell r="G53">
            <v>307</v>
          </cell>
          <cell r="H53">
            <v>302</v>
          </cell>
          <cell r="I53">
            <v>308</v>
          </cell>
          <cell r="J53">
            <v>309</v>
          </cell>
          <cell r="K53">
            <v>316</v>
          </cell>
          <cell r="L53">
            <v>318</v>
          </cell>
          <cell r="M53" t="str">
            <v>-</v>
          </cell>
          <cell r="N53" t="str">
            <v>-</v>
          </cell>
          <cell r="O53" t="str">
            <v>-</v>
          </cell>
          <cell r="P53">
            <v>724</v>
          </cell>
          <cell r="Q53">
            <v>911</v>
          </cell>
          <cell r="R53">
            <v>480</v>
          </cell>
          <cell r="S53">
            <v>501</v>
          </cell>
          <cell r="T53">
            <v>450</v>
          </cell>
          <cell r="U53">
            <v>304</v>
          </cell>
          <cell r="V53">
            <v>421</v>
          </cell>
          <cell r="W53">
            <v>422</v>
          </cell>
          <cell r="X53" t="str">
            <v>-</v>
          </cell>
          <cell r="Y53">
            <v>495</v>
          </cell>
          <cell r="Z53">
            <v>502</v>
          </cell>
          <cell r="AA53">
            <v>305</v>
          </cell>
          <cell r="AB53">
            <v>306</v>
          </cell>
          <cell r="AC53">
            <v>730</v>
          </cell>
          <cell r="AD53" t="str">
            <v>-</v>
          </cell>
          <cell r="AE53">
            <v>748</v>
          </cell>
          <cell r="AF53" t="str">
            <v>-</v>
          </cell>
          <cell r="AG53" t="str">
            <v>-</v>
          </cell>
          <cell r="AH53" t="str">
            <v>-</v>
          </cell>
          <cell r="AI53">
            <v>722</v>
          </cell>
        </row>
        <row r="54">
          <cell r="A54" t="str">
            <v>PAINEL BP 2344X776X18 + COR</v>
          </cell>
          <cell r="B54">
            <v>2400</v>
          </cell>
          <cell r="C54">
            <v>800</v>
          </cell>
          <cell r="D54">
            <v>2344</v>
          </cell>
          <cell r="E54">
            <v>776</v>
          </cell>
          <cell r="F54">
            <v>773948</v>
          </cell>
          <cell r="G54">
            <v>307</v>
          </cell>
          <cell r="H54">
            <v>302</v>
          </cell>
          <cell r="I54">
            <v>308</v>
          </cell>
          <cell r="J54">
            <v>309</v>
          </cell>
          <cell r="K54">
            <v>316</v>
          </cell>
          <cell r="L54">
            <v>318</v>
          </cell>
          <cell r="M54" t="str">
            <v>-</v>
          </cell>
          <cell r="N54" t="str">
            <v>-</v>
          </cell>
          <cell r="O54" t="str">
            <v>-</v>
          </cell>
          <cell r="P54">
            <v>724</v>
          </cell>
          <cell r="Q54">
            <v>911</v>
          </cell>
          <cell r="R54">
            <v>480</v>
          </cell>
          <cell r="S54">
            <v>501</v>
          </cell>
          <cell r="T54">
            <v>450</v>
          </cell>
          <cell r="U54">
            <v>304</v>
          </cell>
          <cell r="V54">
            <v>421</v>
          </cell>
          <cell r="W54">
            <v>422</v>
          </cell>
          <cell r="X54" t="str">
            <v>-</v>
          </cell>
          <cell r="Y54">
            <v>495</v>
          </cell>
          <cell r="Z54">
            <v>502</v>
          </cell>
          <cell r="AA54">
            <v>305</v>
          </cell>
          <cell r="AB54">
            <v>306</v>
          </cell>
          <cell r="AC54">
            <v>730</v>
          </cell>
          <cell r="AD54" t="str">
            <v>-</v>
          </cell>
          <cell r="AE54">
            <v>748</v>
          </cell>
          <cell r="AF54" t="str">
            <v>-</v>
          </cell>
          <cell r="AG54" t="str">
            <v>-</v>
          </cell>
          <cell r="AH54" t="str">
            <v>-</v>
          </cell>
          <cell r="AI54">
            <v>722</v>
          </cell>
        </row>
        <row r="55">
          <cell r="A55" t="str">
            <v>PAINEL BP 2344X876X18 + COR</v>
          </cell>
          <cell r="B55">
            <v>2400</v>
          </cell>
          <cell r="C55">
            <v>900</v>
          </cell>
          <cell r="D55">
            <v>2344</v>
          </cell>
          <cell r="E55">
            <v>876</v>
          </cell>
          <cell r="F55">
            <v>773949</v>
          </cell>
          <cell r="G55">
            <v>307</v>
          </cell>
          <cell r="H55">
            <v>302</v>
          </cell>
          <cell r="I55">
            <v>308</v>
          </cell>
          <cell r="J55">
            <v>309</v>
          </cell>
          <cell r="K55">
            <v>316</v>
          </cell>
          <cell r="L55">
            <v>318</v>
          </cell>
          <cell r="M55" t="str">
            <v>-</v>
          </cell>
          <cell r="N55" t="str">
            <v>-</v>
          </cell>
          <cell r="O55" t="str">
            <v>-</v>
          </cell>
          <cell r="P55">
            <v>724</v>
          </cell>
          <cell r="Q55">
            <v>911</v>
          </cell>
          <cell r="R55">
            <v>480</v>
          </cell>
          <cell r="S55">
            <v>501</v>
          </cell>
          <cell r="T55">
            <v>450</v>
          </cell>
          <cell r="U55">
            <v>304</v>
          </cell>
          <cell r="V55">
            <v>421</v>
          </cell>
          <cell r="W55">
            <v>422</v>
          </cell>
          <cell r="X55" t="str">
            <v>-</v>
          </cell>
          <cell r="Y55">
            <v>495</v>
          </cell>
          <cell r="Z55">
            <v>502</v>
          </cell>
          <cell r="AA55">
            <v>305</v>
          </cell>
          <cell r="AB55">
            <v>306</v>
          </cell>
          <cell r="AC55">
            <v>730</v>
          </cell>
          <cell r="AD55" t="str">
            <v>-</v>
          </cell>
          <cell r="AE55">
            <v>748</v>
          </cell>
          <cell r="AF55" t="str">
            <v>-</v>
          </cell>
          <cell r="AG55" t="str">
            <v>-</v>
          </cell>
          <cell r="AH55" t="str">
            <v>-</v>
          </cell>
          <cell r="AI55">
            <v>722</v>
          </cell>
        </row>
        <row r="56">
          <cell r="A56" t="str">
            <v>PAINEL BP 2344X976X18 + COR</v>
          </cell>
          <cell r="B56">
            <v>2400</v>
          </cell>
          <cell r="C56">
            <v>1000</v>
          </cell>
          <cell r="D56">
            <v>2344</v>
          </cell>
          <cell r="E56">
            <v>976</v>
          </cell>
          <cell r="F56">
            <v>773950</v>
          </cell>
          <cell r="G56">
            <v>307</v>
          </cell>
          <cell r="H56">
            <v>302</v>
          </cell>
          <cell r="I56">
            <v>308</v>
          </cell>
          <cell r="J56">
            <v>309</v>
          </cell>
          <cell r="K56">
            <v>316</v>
          </cell>
          <cell r="L56">
            <v>318</v>
          </cell>
          <cell r="M56" t="str">
            <v>-</v>
          </cell>
          <cell r="N56" t="str">
            <v>-</v>
          </cell>
          <cell r="O56" t="str">
            <v>-</v>
          </cell>
          <cell r="P56">
            <v>724</v>
          </cell>
          <cell r="Q56">
            <v>911</v>
          </cell>
          <cell r="R56">
            <v>480</v>
          </cell>
          <cell r="S56">
            <v>501</v>
          </cell>
          <cell r="T56">
            <v>450</v>
          </cell>
          <cell r="U56">
            <v>304</v>
          </cell>
          <cell r="V56">
            <v>421</v>
          </cell>
          <cell r="W56">
            <v>422</v>
          </cell>
          <cell r="X56" t="str">
            <v>-</v>
          </cell>
          <cell r="Y56">
            <v>495</v>
          </cell>
          <cell r="Z56">
            <v>502</v>
          </cell>
          <cell r="AA56">
            <v>305</v>
          </cell>
          <cell r="AB56">
            <v>306</v>
          </cell>
          <cell r="AC56">
            <v>730</v>
          </cell>
          <cell r="AD56" t="str">
            <v>-</v>
          </cell>
          <cell r="AE56">
            <v>748</v>
          </cell>
          <cell r="AF56" t="str">
            <v>-</v>
          </cell>
          <cell r="AG56" t="str">
            <v>-</v>
          </cell>
          <cell r="AH56" t="str">
            <v>-</v>
          </cell>
          <cell r="AI56">
            <v>722</v>
          </cell>
        </row>
        <row r="57">
          <cell r="A57" t="str">
            <v>PAINEL BP 2344X1076X18 + COR</v>
          </cell>
          <cell r="B57">
            <v>2400</v>
          </cell>
          <cell r="C57">
            <v>1100</v>
          </cell>
          <cell r="D57">
            <v>2344</v>
          </cell>
          <cell r="E57">
            <v>1076</v>
          </cell>
          <cell r="F57">
            <v>773951</v>
          </cell>
          <cell r="G57">
            <v>307</v>
          </cell>
          <cell r="H57">
            <v>302</v>
          </cell>
          <cell r="I57">
            <v>308</v>
          </cell>
          <cell r="J57">
            <v>309</v>
          </cell>
          <cell r="K57">
            <v>316</v>
          </cell>
          <cell r="L57">
            <v>318</v>
          </cell>
          <cell r="M57" t="str">
            <v>-</v>
          </cell>
          <cell r="N57" t="str">
            <v>-</v>
          </cell>
          <cell r="O57" t="str">
            <v>-</v>
          </cell>
          <cell r="P57">
            <v>724</v>
          </cell>
          <cell r="Q57">
            <v>911</v>
          </cell>
          <cell r="R57">
            <v>480</v>
          </cell>
          <cell r="S57">
            <v>501</v>
          </cell>
          <cell r="T57">
            <v>450</v>
          </cell>
          <cell r="U57">
            <v>304</v>
          </cell>
          <cell r="V57">
            <v>421</v>
          </cell>
          <cell r="W57">
            <v>422</v>
          </cell>
          <cell r="X57" t="str">
            <v>-</v>
          </cell>
          <cell r="Y57">
            <v>495</v>
          </cell>
          <cell r="Z57">
            <v>502</v>
          </cell>
          <cell r="AA57">
            <v>305</v>
          </cell>
          <cell r="AB57">
            <v>306</v>
          </cell>
          <cell r="AC57">
            <v>730</v>
          </cell>
          <cell r="AD57" t="str">
            <v>-</v>
          </cell>
          <cell r="AE57">
            <v>748</v>
          </cell>
          <cell r="AF57" t="str">
            <v>-</v>
          </cell>
          <cell r="AG57" t="str">
            <v>-</v>
          </cell>
          <cell r="AH57" t="str">
            <v>-</v>
          </cell>
          <cell r="AI57">
            <v>722</v>
          </cell>
        </row>
        <row r="58">
          <cell r="A58" t="str">
            <v>PAINEL BP 2344X1176X18 + COR</v>
          </cell>
          <cell r="B58">
            <v>2400</v>
          </cell>
          <cell r="C58">
            <v>1200</v>
          </cell>
          <cell r="D58">
            <v>2344</v>
          </cell>
          <cell r="E58">
            <v>1176</v>
          </cell>
          <cell r="F58">
            <v>773952</v>
          </cell>
          <cell r="G58">
            <v>307</v>
          </cell>
          <cell r="H58">
            <v>302</v>
          </cell>
          <cell r="I58">
            <v>308</v>
          </cell>
          <cell r="J58">
            <v>309</v>
          </cell>
          <cell r="K58">
            <v>316</v>
          </cell>
          <cell r="L58">
            <v>318</v>
          </cell>
          <cell r="M58" t="str">
            <v>-</v>
          </cell>
          <cell r="N58" t="str">
            <v>-</v>
          </cell>
          <cell r="O58" t="str">
            <v>-</v>
          </cell>
          <cell r="P58">
            <v>724</v>
          </cell>
          <cell r="Q58">
            <v>911</v>
          </cell>
          <cell r="R58">
            <v>480</v>
          </cell>
          <cell r="S58">
            <v>501</v>
          </cell>
          <cell r="T58">
            <v>450</v>
          </cell>
          <cell r="U58">
            <v>304</v>
          </cell>
          <cell r="V58">
            <v>421</v>
          </cell>
          <cell r="W58">
            <v>422</v>
          </cell>
          <cell r="X58" t="str">
            <v>-</v>
          </cell>
          <cell r="Y58">
            <v>495</v>
          </cell>
          <cell r="Z58">
            <v>502</v>
          </cell>
          <cell r="AA58">
            <v>305</v>
          </cell>
          <cell r="AB58">
            <v>306</v>
          </cell>
          <cell r="AC58">
            <v>730</v>
          </cell>
          <cell r="AD58" t="str">
            <v>-</v>
          </cell>
          <cell r="AE58">
            <v>748</v>
          </cell>
          <cell r="AF58" t="str">
            <v>-</v>
          </cell>
          <cell r="AG58" t="str">
            <v>-</v>
          </cell>
          <cell r="AH58" t="str">
            <v>-</v>
          </cell>
          <cell r="AI58">
            <v>722</v>
          </cell>
        </row>
        <row r="59">
          <cell r="A59" t="str">
            <v>PAINEL BP 2344X1276X18 + COR</v>
          </cell>
          <cell r="B59">
            <v>2400</v>
          </cell>
          <cell r="C59">
            <v>1300</v>
          </cell>
          <cell r="D59">
            <v>2344</v>
          </cell>
          <cell r="E59">
            <v>1276</v>
          </cell>
          <cell r="F59">
            <v>773953</v>
          </cell>
          <cell r="G59">
            <v>307</v>
          </cell>
          <cell r="H59">
            <v>302</v>
          </cell>
          <cell r="I59">
            <v>308</v>
          </cell>
          <cell r="J59">
            <v>309</v>
          </cell>
          <cell r="K59">
            <v>316</v>
          </cell>
          <cell r="L59">
            <v>318</v>
          </cell>
          <cell r="M59" t="str">
            <v>-</v>
          </cell>
          <cell r="N59" t="str">
            <v>-</v>
          </cell>
          <cell r="O59" t="str">
            <v>-</v>
          </cell>
          <cell r="P59">
            <v>724</v>
          </cell>
          <cell r="Q59">
            <v>911</v>
          </cell>
          <cell r="R59">
            <v>480</v>
          </cell>
          <cell r="S59">
            <v>501</v>
          </cell>
          <cell r="T59">
            <v>450</v>
          </cell>
          <cell r="U59">
            <v>304</v>
          </cell>
          <cell r="V59">
            <v>421</v>
          </cell>
          <cell r="W59">
            <v>422</v>
          </cell>
          <cell r="X59" t="str">
            <v>-</v>
          </cell>
          <cell r="Y59">
            <v>495</v>
          </cell>
          <cell r="Z59">
            <v>502</v>
          </cell>
          <cell r="AA59">
            <v>305</v>
          </cell>
          <cell r="AB59">
            <v>306</v>
          </cell>
          <cell r="AC59">
            <v>730</v>
          </cell>
          <cell r="AD59" t="str">
            <v>-</v>
          </cell>
          <cell r="AE59">
            <v>748</v>
          </cell>
          <cell r="AF59" t="str">
            <v>-</v>
          </cell>
          <cell r="AG59" t="str">
            <v>-</v>
          </cell>
          <cell r="AH59" t="str">
            <v>-</v>
          </cell>
          <cell r="AI59">
            <v>722</v>
          </cell>
        </row>
        <row r="60">
          <cell r="A60" t="str">
            <v>PAINEL BP 2344X1376X18 + COR</v>
          </cell>
          <cell r="B60">
            <v>2400</v>
          </cell>
          <cell r="C60">
            <v>1400</v>
          </cell>
          <cell r="D60">
            <v>2344</v>
          </cell>
          <cell r="E60">
            <v>1376</v>
          </cell>
          <cell r="F60">
            <v>773954</v>
          </cell>
          <cell r="G60">
            <v>307</v>
          </cell>
          <cell r="H60">
            <v>302</v>
          </cell>
          <cell r="I60">
            <v>308</v>
          </cell>
          <cell r="J60">
            <v>309</v>
          </cell>
          <cell r="K60">
            <v>316</v>
          </cell>
          <cell r="L60">
            <v>318</v>
          </cell>
          <cell r="M60" t="str">
            <v>-</v>
          </cell>
          <cell r="N60" t="str">
            <v>-</v>
          </cell>
          <cell r="O60" t="str">
            <v>-</v>
          </cell>
          <cell r="P60">
            <v>724</v>
          </cell>
          <cell r="Q60">
            <v>911</v>
          </cell>
          <cell r="R60">
            <v>480</v>
          </cell>
          <cell r="S60">
            <v>501</v>
          </cell>
          <cell r="T60">
            <v>450</v>
          </cell>
          <cell r="U60">
            <v>304</v>
          </cell>
          <cell r="V60">
            <v>421</v>
          </cell>
          <cell r="W60">
            <v>422</v>
          </cell>
          <cell r="X60" t="str">
            <v>-</v>
          </cell>
          <cell r="Y60">
            <v>495</v>
          </cell>
          <cell r="Z60">
            <v>502</v>
          </cell>
          <cell r="AA60">
            <v>305</v>
          </cell>
          <cell r="AB60">
            <v>306</v>
          </cell>
          <cell r="AC60">
            <v>730</v>
          </cell>
          <cell r="AD60" t="str">
            <v>-</v>
          </cell>
          <cell r="AE60">
            <v>748</v>
          </cell>
          <cell r="AF60" t="str">
            <v>-</v>
          </cell>
          <cell r="AG60" t="str">
            <v>-</v>
          </cell>
          <cell r="AH60" t="str">
            <v>-</v>
          </cell>
          <cell r="AI60">
            <v>722</v>
          </cell>
        </row>
        <row r="61">
          <cell r="A61" t="str">
            <v>PAINEL BP 2344X1476X18 + COR</v>
          </cell>
          <cell r="B61">
            <v>2400</v>
          </cell>
          <cell r="C61">
            <v>1500</v>
          </cell>
          <cell r="D61">
            <v>2344</v>
          </cell>
          <cell r="E61">
            <v>1476</v>
          </cell>
          <cell r="F61">
            <v>773955</v>
          </cell>
          <cell r="G61">
            <v>307</v>
          </cell>
          <cell r="H61">
            <v>302</v>
          </cell>
          <cell r="I61">
            <v>308</v>
          </cell>
          <cell r="J61">
            <v>309</v>
          </cell>
          <cell r="K61">
            <v>316</v>
          </cell>
          <cell r="L61">
            <v>318</v>
          </cell>
          <cell r="M61" t="str">
            <v>-</v>
          </cell>
          <cell r="N61" t="str">
            <v>-</v>
          </cell>
          <cell r="O61" t="str">
            <v>-</v>
          </cell>
          <cell r="P61">
            <v>724</v>
          </cell>
          <cell r="Q61">
            <v>911</v>
          </cell>
          <cell r="R61">
            <v>480</v>
          </cell>
          <cell r="S61">
            <v>501</v>
          </cell>
          <cell r="T61">
            <v>450</v>
          </cell>
          <cell r="U61">
            <v>304</v>
          </cell>
          <cell r="V61">
            <v>421</v>
          </cell>
          <cell r="W61">
            <v>422</v>
          </cell>
          <cell r="X61" t="str">
            <v>-</v>
          </cell>
          <cell r="Y61">
            <v>495</v>
          </cell>
          <cell r="Z61">
            <v>502</v>
          </cell>
          <cell r="AA61">
            <v>305</v>
          </cell>
          <cell r="AB61">
            <v>306</v>
          </cell>
          <cell r="AC61">
            <v>730</v>
          </cell>
          <cell r="AD61" t="str">
            <v>-</v>
          </cell>
          <cell r="AE61">
            <v>748</v>
          </cell>
          <cell r="AF61" t="str">
            <v>-</v>
          </cell>
          <cell r="AG61" t="str">
            <v>-</v>
          </cell>
          <cell r="AH61" t="str">
            <v>-</v>
          </cell>
          <cell r="AI61">
            <v>722</v>
          </cell>
        </row>
        <row r="62">
          <cell r="A62" t="str">
            <v>PAINEL BP 2444X776X18 + COR</v>
          </cell>
          <cell r="B62">
            <v>2500</v>
          </cell>
          <cell r="C62">
            <v>800</v>
          </cell>
          <cell r="D62">
            <v>2444</v>
          </cell>
          <cell r="E62">
            <v>776</v>
          </cell>
          <cell r="F62">
            <v>773956</v>
          </cell>
          <cell r="G62">
            <v>307</v>
          </cell>
          <cell r="H62">
            <v>302</v>
          </cell>
          <cell r="I62">
            <v>308</v>
          </cell>
          <cell r="J62">
            <v>309</v>
          </cell>
          <cell r="K62">
            <v>316</v>
          </cell>
          <cell r="L62">
            <v>318</v>
          </cell>
          <cell r="M62" t="str">
            <v>-</v>
          </cell>
          <cell r="N62" t="str">
            <v>-</v>
          </cell>
          <cell r="O62" t="str">
            <v>-</v>
          </cell>
          <cell r="P62">
            <v>724</v>
          </cell>
          <cell r="Q62">
            <v>911</v>
          </cell>
          <cell r="R62">
            <v>480</v>
          </cell>
          <cell r="S62">
            <v>501</v>
          </cell>
          <cell r="T62">
            <v>450</v>
          </cell>
          <cell r="U62">
            <v>304</v>
          </cell>
          <cell r="V62">
            <v>421</v>
          </cell>
          <cell r="W62">
            <v>422</v>
          </cell>
          <cell r="X62" t="str">
            <v>-</v>
          </cell>
          <cell r="Y62">
            <v>495</v>
          </cell>
          <cell r="Z62">
            <v>502</v>
          </cell>
          <cell r="AA62">
            <v>305</v>
          </cell>
          <cell r="AB62">
            <v>306</v>
          </cell>
          <cell r="AC62">
            <v>730</v>
          </cell>
          <cell r="AD62" t="str">
            <v>-</v>
          </cell>
          <cell r="AE62">
            <v>748</v>
          </cell>
          <cell r="AF62" t="str">
            <v>-</v>
          </cell>
          <cell r="AG62" t="str">
            <v>-</v>
          </cell>
          <cell r="AH62" t="str">
            <v>-</v>
          </cell>
          <cell r="AI62">
            <v>722</v>
          </cell>
        </row>
        <row r="63">
          <cell r="A63" t="str">
            <v>PAINEL BP 2444X876X18 + COR</v>
          </cell>
          <cell r="B63">
            <v>2500</v>
          </cell>
          <cell r="C63">
            <v>900</v>
          </cell>
          <cell r="D63">
            <v>2444</v>
          </cell>
          <cell r="E63">
            <v>876</v>
          </cell>
          <cell r="F63">
            <v>773957</v>
          </cell>
          <cell r="G63">
            <v>307</v>
          </cell>
          <cell r="H63">
            <v>302</v>
          </cell>
          <cell r="I63">
            <v>308</v>
          </cell>
          <cell r="J63">
            <v>309</v>
          </cell>
          <cell r="K63">
            <v>316</v>
          </cell>
          <cell r="L63">
            <v>318</v>
          </cell>
          <cell r="M63" t="str">
            <v>-</v>
          </cell>
          <cell r="N63" t="str">
            <v>-</v>
          </cell>
          <cell r="O63" t="str">
            <v>-</v>
          </cell>
          <cell r="P63">
            <v>724</v>
          </cell>
          <cell r="Q63">
            <v>911</v>
          </cell>
          <cell r="R63">
            <v>480</v>
          </cell>
          <cell r="S63">
            <v>501</v>
          </cell>
          <cell r="T63">
            <v>450</v>
          </cell>
          <cell r="U63">
            <v>304</v>
          </cell>
          <cell r="V63">
            <v>421</v>
          </cell>
          <cell r="W63">
            <v>422</v>
          </cell>
          <cell r="X63" t="str">
            <v>-</v>
          </cell>
          <cell r="Y63">
            <v>495</v>
          </cell>
          <cell r="Z63">
            <v>502</v>
          </cell>
          <cell r="AA63">
            <v>305</v>
          </cell>
          <cell r="AB63">
            <v>306</v>
          </cell>
          <cell r="AC63">
            <v>730</v>
          </cell>
          <cell r="AD63" t="str">
            <v>-</v>
          </cell>
          <cell r="AE63">
            <v>748</v>
          </cell>
          <cell r="AF63" t="str">
            <v>-</v>
          </cell>
          <cell r="AG63" t="str">
            <v>-</v>
          </cell>
          <cell r="AH63" t="str">
            <v>-</v>
          </cell>
          <cell r="AI63">
            <v>722</v>
          </cell>
        </row>
        <row r="64">
          <cell r="A64" t="str">
            <v>PAINEL BP 2444X976X18 + COR</v>
          </cell>
          <cell r="B64">
            <v>2500</v>
          </cell>
          <cell r="C64">
            <v>1000</v>
          </cell>
          <cell r="D64">
            <v>2444</v>
          </cell>
          <cell r="E64">
            <v>976</v>
          </cell>
          <cell r="F64">
            <v>773958</v>
          </cell>
          <cell r="G64">
            <v>307</v>
          </cell>
          <cell r="H64">
            <v>302</v>
          </cell>
          <cell r="I64">
            <v>308</v>
          </cell>
          <cell r="J64">
            <v>309</v>
          </cell>
          <cell r="K64">
            <v>316</v>
          </cell>
          <cell r="L64">
            <v>318</v>
          </cell>
          <cell r="M64" t="str">
            <v>-</v>
          </cell>
          <cell r="N64" t="str">
            <v>-</v>
          </cell>
          <cell r="O64" t="str">
            <v>-</v>
          </cell>
          <cell r="P64">
            <v>724</v>
          </cell>
          <cell r="Q64">
            <v>911</v>
          </cell>
          <cell r="R64">
            <v>480</v>
          </cell>
          <cell r="S64">
            <v>501</v>
          </cell>
          <cell r="T64">
            <v>450</v>
          </cell>
          <cell r="U64">
            <v>304</v>
          </cell>
          <cell r="V64">
            <v>421</v>
          </cell>
          <cell r="W64">
            <v>422</v>
          </cell>
          <cell r="X64" t="str">
            <v>-</v>
          </cell>
          <cell r="Y64">
            <v>495</v>
          </cell>
          <cell r="Z64">
            <v>502</v>
          </cell>
          <cell r="AA64">
            <v>305</v>
          </cell>
          <cell r="AB64">
            <v>306</v>
          </cell>
          <cell r="AC64">
            <v>730</v>
          </cell>
          <cell r="AD64" t="str">
            <v>-</v>
          </cell>
          <cell r="AE64">
            <v>748</v>
          </cell>
          <cell r="AF64" t="str">
            <v>-</v>
          </cell>
          <cell r="AG64" t="str">
            <v>-</v>
          </cell>
          <cell r="AH64" t="str">
            <v>-</v>
          </cell>
          <cell r="AI64">
            <v>722</v>
          </cell>
        </row>
        <row r="65">
          <cell r="A65" t="str">
            <v>PAINEL BP 2444X1076X18 + COR</v>
          </cell>
          <cell r="B65">
            <v>2500</v>
          </cell>
          <cell r="C65">
            <v>1100</v>
          </cell>
          <cell r="D65">
            <v>2444</v>
          </cell>
          <cell r="E65">
            <v>1076</v>
          </cell>
          <cell r="F65">
            <v>773959</v>
          </cell>
          <cell r="G65">
            <v>307</v>
          </cell>
          <cell r="H65">
            <v>302</v>
          </cell>
          <cell r="I65">
            <v>308</v>
          </cell>
          <cell r="J65">
            <v>309</v>
          </cell>
          <cell r="K65">
            <v>316</v>
          </cell>
          <cell r="L65">
            <v>318</v>
          </cell>
          <cell r="M65" t="str">
            <v>-</v>
          </cell>
          <cell r="N65" t="str">
            <v>-</v>
          </cell>
          <cell r="O65" t="str">
            <v>-</v>
          </cell>
          <cell r="P65">
            <v>724</v>
          </cell>
          <cell r="Q65">
            <v>911</v>
          </cell>
          <cell r="R65">
            <v>480</v>
          </cell>
          <cell r="S65">
            <v>501</v>
          </cell>
          <cell r="T65">
            <v>450</v>
          </cell>
          <cell r="U65">
            <v>304</v>
          </cell>
          <cell r="V65">
            <v>421</v>
          </cell>
          <cell r="W65">
            <v>422</v>
          </cell>
          <cell r="X65" t="str">
            <v>-</v>
          </cell>
          <cell r="Y65">
            <v>495</v>
          </cell>
          <cell r="Z65">
            <v>502</v>
          </cell>
          <cell r="AA65">
            <v>305</v>
          </cell>
          <cell r="AB65">
            <v>306</v>
          </cell>
          <cell r="AC65">
            <v>730</v>
          </cell>
          <cell r="AD65" t="str">
            <v>-</v>
          </cell>
          <cell r="AE65">
            <v>748</v>
          </cell>
          <cell r="AF65" t="str">
            <v>-</v>
          </cell>
          <cell r="AG65" t="str">
            <v>-</v>
          </cell>
          <cell r="AH65" t="str">
            <v>-</v>
          </cell>
          <cell r="AI65">
            <v>722</v>
          </cell>
        </row>
        <row r="66">
          <cell r="A66" t="str">
            <v>PAINEL BP 2444X1176X18 + COR</v>
          </cell>
          <cell r="B66">
            <v>2500</v>
          </cell>
          <cell r="C66">
            <v>1200</v>
          </cell>
          <cell r="D66">
            <v>2444</v>
          </cell>
          <cell r="E66">
            <v>1176</v>
          </cell>
          <cell r="F66">
            <v>773960</v>
          </cell>
          <cell r="G66">
            <v>307</v>
          </cell>
          <cell r="H66">
            <v>302</v>
          </cell>
          <cell r="I66">
            <v>308</v>
          </cell>
          <cell r="J66">
            <v>309</v>
          </cell>
          <cell r="K66">
            <v>316</v>
          </cell>
          <cell r="L66">
            <v>318</v>
          </cell>
          <cell r="M66" t="str">
            <v>-</v>
          </cell>
          <cell r="N66" t="str">
            <v>-</v>
          </cell>
          <cell r="O66" t="str">
            <v>-</v>
          </cell>
          <cell r="P66">
            <v>724</v>
          </cell>
          <cell r="Q66">
            <v>911</v>
          </cell>
          <cell r="R66">
            <v>480</v>
          </cell>
          <cell r="S66">
            <v>501</v>
          </cell>
          <cell r="T66">
            <v>450</v>
          </cell>
          <cell r="U66">
            <v>304</v>
          </cell>
          <cell r="V66">
            <v>421</v>
          </cell>
          <cell r="W66">
            <v>422</v>
          </cell>
          <cell r="X66" t="str">
            <v>-</v>
          </cell>
          <cell r="Y66">
            <v>495</v>
          </cell>
          <cell r="Z66">
            <v>502</v>
          </cell>
          <cell r="AA66">
            <v>305</v>
          </cell>
          <cell r="AB66">
            <v>306</v>
          </cell>
          <cell r="AC66">
            <v>730</v>
          </cell>
          <cell r="AD66" t="str">
            <v>-</v>
          </cell>
          <cell r="AE66">
            <v>748</v>
          </cell>
          <cell r="AF66" t="str">
            <v>-</v>
          </cell>
          <cell r="AG66" t="str">
            <v>-</v>
          </cell>
          <cell r="AH66" t="str">
            <v>-</v>
          </cell>
          <cell r="AI66">
            <v>722</v>
          </cell>
        </row>
        <row r="67">
          <cell r="A67" t="str">
            <v>PAINEL BP 2444X1276X18 + COR</v>
          </cell>
          <cell r="B67">
            <v>2500</v>
          </cell>
          <cell r="C67">
            <v>1300</v>
          </cell>
          <cell r="D67">
            <v>2444</v>
          </cell>
          <cell r="E67">
            <v>1276</v>
          </cell>
          <cell r="F67">
            <v>773961</v>
          </cell>
          <cell r="G67">
            <v>307</v>
          </cell>
          <cell r="H67">
            <v>302</v>
          </cell>
          <cell r="I67">
            <v>308</v>
          </cell>
          <cell r="J67">
            <v>309</v>
          </cell>
          <cell r="K67">
            <v>316</v>
          </cell>
          <cell r="L67">
            <v>318</v>
          </cell>
          <cell r="M67" t="str">
            <v>-</v>
          </cell>
          <cell r="N67" t="str">
            <v>-</v>
          </cell>
          <cell r="O67" t="str">
            <v>-</v>
          </cell>
          <cell r="P67">
            <v>724</v>
          </cell>
          <cell r="Q67">
            <v>911</v>
          </cell>
          <cell r="R67">
            <v>480</v>
          </cell>
          <cell r="S67">
            <v>501</v>
          </cell>
          <cell r="T67">
            <v>450</v>
          </cell>
          <cell r="U67">
            <v>304</v>
          </cell>
          <cell r="V67">
            <v>421</v>
          </cell>
          <cell r="W67">
            <v>422</v>
          </cell>
          <cell r="X67" t="str">
            <v>-</v>
          </cell>
          <cell r="Y67">
            <v>495</v>
          </cell>
          <cell r="Z67">
            <v>502</v>
          </cell>
          <cell r="AA67">
            <v>305</v>
          </cell>
          <cell r="AB67">
            <v>306</v>
          </cell>
          <cell r="AC67">
            <v>730</v>
          </cell>
          <cell r="AD67" t="str">
            <v>-</v>
          </cell>
          <cell r="AE67">
            <v>748</v>
          </cell>
          <cell r="AF67" t="str">
            <v>-</v>
          </cell>
          <cell r="AG67" t="str">
            <v>-</v>
          </cell>
          <cell r="AH67" t="str">
            <v>-</v>
          </cell>
          <cell r="AI67">
            <v>722</v>
          </cell>
        </row>
        <row r="68">
          <cell r="A68" t="str">
            <v>PAINEL BP 2444X1376X18 + COR</v>
          </cell>
          <cell r="B68">
            <v>2500</v>
          </cell>
          <cell r="C68">
            <v>1400</v>
          </cell>
          <cell r="D68">
            <v>2444</v>
          </cell>
          <cell r="E68">
            <v>1376</v>
          </cell>
          <cell r="F68">
            <v>773962</v>
          </cell>
          <cell r="G68">
            <v>307</v>
          </cell>
          <cell r="H68">
            <v>302</v>
          </cell>
          <cell r="I68">
            <v>308</v>
          </cell>
          <cell r="J68">
            <v>309</v>
          </cell>
          <cell r="K68">
            <v>316</v>
          </cell>
          <cell r="L68">
            <v>318</v>
          </cell>
          <cell r="M68" t="str">
            <v>-</v>
          </cell>
          <cell r="N68" t="str">
            <v>-</v>
          </cell>
          <cell r="O68" t="str">
            <v>-</v>
          </cell>
          <cell r="P68">
            <v>724</v>
          </cell>
          <cell r="Q68">
            <v>911</v>
          </cell>
          <cell r="R68">
            <v>480</v>
          </cell>
          <cell r="S68">
            <v>501</v>
          </cell>
          <cell r="T68">
            <v>450</v>
          </cell>
          <cell r="U68">
            <v>304</v>
          </cell>
          <cell r="V68">
            <v>421</v>
          </cell>
          <cell r="W68">
            <v>422</v>
          </cell>
          <cell r="X68" t="str">
            <v>-</v>
          </cell>
          <cell r="Y68">
            <v>495</v>
          </cell>
          <cell r="Z68">
            <v>502</v>
          </cell>
          <cell r="AA68">
            <v>305</v>
          </cell>
          <cell r="AB68">
            <v>306</v>
          </cell>
          <cell r="AC68">
            <v>730</v>
          </cell>
          <cell r="AD68" t="str">
            <v>-</v>
          </cell>
          <cell r="AE68">
            <v>748</v>
          </cell>
          <cell r="AF68" t="str">
            <v>-</v>
          </cell>
          <cell r="AG68" t="str">
            <v>-</v>
          </cell>
          <cell r="AH68" t="str">
            <v>-</v>
          </cell>
          <cell r="AI68">
            <v>722</v>
          </cell>
        </row>
        <row r="69">
          <cell r="A69" t="str">
            <v>PAINEL BP 2444X1476X18 + COR</v>
          </cell>
          <cell r="B69">
            <v>2500</v>
          </cell>
          <cell r="C69">
            <v>1500</v>
          </cell>
          <cell r="D69">
            <v>2444</v>
          </cell>
          <cell r="E69">
            <v>1476</v>
          </cell>
          <cell r="F69">
            <v>773963</v>
          </cell>
          <cell r="G69">
            <v>307</v>
          </cell>
          <cell r="H69">
            <v>302</v>
          </cell>
          <cell r="I69">
            <v>308</v>
          </cell>
          <cell r="J69">
            <v>309</v>
          </cell>
          <cell r="K69">
            <v>316</v>
          </cell>
          <cell r="L69">
            <v>318</v>
          </cell>
          <cell r="M69" t="str">
            <v>-</v>
          </cell>
          <cell r="N69" t="str">
            <v>-</v>
          </cell>
          <cell r="O69" t="str">
            <v>-</v>
          </cell>
          <cell r="P69">
            <v>724</v>
          </cell>
          <cell r="Q69">
            <v>911</v>
          </cell>
          <cell r="R69">
            <v>480</v>
          </cell>
          <cell r="S69">
            <v>501</v>
          </cell>
          <cell r="T69">
            <v>450</v>
          </cell>
          <cell r="U69">
            <v>304</v>
          </cell>
          <cell r="V69">
            <v>421</v>
          </cell>
          <cell r="W69">
            <v>422</v>
          </cell>
          <cell r="X69" t="str">
            <v>-</v>
          </cell>
          <cell r="Y69">
            <v>495</v>
          </cell>
          <cell r="Z69">
            <v>502</v>
          </cell>
          <cell r="AA69">
            <v>305</v>
          </cell>
          <cell r="AB69">
            <v>306</v>
          </cell>
          <cell r="AC69">
            <v>730</v>
          </cell>
          <cell r="AD69" t="str">
            <v>-</v>
          </cell>
          <cell r="AE69">
            <v>748</v>
          </cell>
          <cell r="AF69" t="str">
            <v>-</v>
          </cell>
          <cell r="AG69" t="str">
            <v>-</v>
          </cell>
          <cell r="AH69" t="str">
            <v>-</v>
          </cell>
          <cell r="AI69">
            <v>722</v>
          </cell>
        </row>
        <row r="70">
          <cell r="A70" t="str">
            <v>PAINEL BP 2544X776X18 + COR</v>
          </cell>
          <cell r="B70">
            <v>2600</v>
          </cell>
          <cell r="C70">
            <v>800</v>
          </cell>
          <cell r="D70">
            <v>2544</v>
          </cell>
          <cell r="E70">
            <v>776</v>
          </cell>
          <cell r="F70">
            <v>773964</v>
          </cell>
          <cell r="G70">
            <v>307</v>
          </cell>
          <cell r="H70">
            <v>302</v>
          </cell>
          <cell r="I70">
            <v>308</v>
          </cell>
          <cell r="J70">
            <v>309</v>
          </cell>
          <cell r="K70">
            <v>316</v>
          </cell>
          <cell r="L70">
            <v>318</v>
          </cell>
          <cell r="M70" t="str">
            <v>-</v>
          </cell>
          <cell r="N70" t="str">
            <v>-</v>
          </cell>
          <cell r="O70" t="str">
            <v>-</v>
          </cell>
          <cell r="P70">
            <v>724</v>
          </cell>
          <cell r="Q70">
            <v>911</v>
          </cell>
          <cell r="R70">
            <v>480</v>
          </cell>
          <cell r="S70">
            <v>501</v>
          </cell>
          <cell r="T70">
            <v>450</v>
          </cell>
          <cell r="U70">
            <v>304</v>
          </cell>
          <cell r="V70">
            <v>421</v>
          </cell>
          <cell r="W70">
            <v>422</v>
          </cell>
          <cell r="X70" t="str">
            <v>-</v>
          </cell>
          <cell r="Y70">
            <v>495</v>
          </cell>
          <cell r="Z70">
            <v>502</v>
          </cell>
          <cell r="AA70">
            <v>305</v>
          </cell>
          <cell r="AB70">
            <v>306</v>
          </cell>
          <cell r="AC70">
            <v>730</v>
          </cell>
          <cell r="AD70" t="str">
            <v>-</v>
          </cell>
          <cell r="AE70">
            <v>748</v>
          </cell>
          <cell r="AF70" t="str">
            <v>-</v>
          </cell>
          <cell r="AG70" t="str">
            <v>-</v>
          </cell>
          <cell r="AH70" t="str">
            <v>-</v>
          </cell>
          <cell r="AI70">
            <v>722</v>
          </cell>
        </row>
        <row r="71">
          <cell r="A71" t="str">
            <v>PAINEL BP 2544X876X18 + COR</v>
          </cell>
          <cell r="B71">
            <v>2600</v>
          </cell>
          <cell r="C71">
            <v>900</v>
          </cell>
          <cell r="D71">
            <v>2544</v>
          </cell>
          <cell r="E71">
            <v>876</v>
          </cell>
          <cell r="F71">
            <v>773965</v>
          </cell>
          <cell r="G71">
            <v>307</v>
          </cell>
          <cell r="H71">
            <v>302</v>
          </cell>
          <cell r="I71">
            <v>308</v>
          </cell>
          <cell r="J71">
            <v>309</v>
          </cell>
          <cell r="K71">
            <v>316</v>
          </cell>
          <cell r="L71">
            <v>318</v>
          </cell>
          <cell r="M71" t="str">
            <v>-</v>
          </cell>
          <cell r="N71" t="str">
            <v>-</v>
          </cell>
          <cell r="O71" t="str">
            <v>-</v>
          </cell>
          <cell r="P71">
            <v>724</v>
          </cell>
          <cell r="Q71">
            <v>911</v>
          </cell>
          <cell r="R71">
            <v>480</v>
          </cell>
          <cell r="S71">
            <v>501</v>
          </cell>
          <cell r="T71">
            <v>450</v>
          </cell>
          <cell r="U71">
            <v>304</v>
          </cell>
          <cell r="V71">
            <v>421</v>
          </cell>
          <cell r="W71">
            <v>422</v>
          </cell>
          <cell r="X71" t="str">
            <v>-</v>
          </cell>
          <cell r="Y71">
            <v>495</v>
          </cell>
          <cell r="Z71">
            <v>502</v>
          </cell>
          <cell r="AA71">
            <v>305</v>
          </cell>
          <cell r="AB71">
            <v>306</v>
          </cell>
          <cell r="AC71">
            <v>730</v>
          </cell>
          <cell r="AD71" t="str">
            <v>-</v>
          </cell>
          <cell r="AE71">
            <v>748</v>
          </cell>
          <cell r="AF71" t="str">
            <v>-</v>
          </cell>
          <cell r="AG71" t="str">
            <v>-</v>
          </cell>
          <cell r="AH71" t="str">
            <v>-</v>
          </cell>
          <cell r="AI71">
            <v>722</v>
          </cell>
        </row>
        <row r="72">
          <cell r="A72" t="str">
            <v>PAINEL BP 2544X976X18 + COR</v>
          </cell>
          <cell r="B72">
            <v>2600</v>
          </cell>
          <cell r="C72">
            <v>1000</v>
          </cell>
          <cell r="D72">
            <v>2544</v>
          </cell>
          <cell r="E72">
            <v>976</v>
          </cell>
          <cell r="F72">
            <v>773966</v>
          </cell>
          <cell r="G72">
            <v>307</v>
          </cell>
          <cell r="H72">
            <v>302</v>
          </cell>
          <cell r="I72">
            <v>308</v>
          </cell>
          <cell r="J72">
            <v>309</v>
          </cell>
          <cell r="K72">
            <v>316</v>
          </cell>
          <cell r="L72">
            <v>318</v>
          </cell>
          <cell r="M72" t="str">
            <v>-</v>
          </cell>
          <cell r="N72" t="str">
            <v>-</v>
          </cell>
          <cell r="O72" t="str">
            <v>-</v>
          </cell>
          <cell r="P72">
            <v>724</v>
          </cell>
          <cell r="Q72">
            <v>911</v>
          </cell>
          <cell r="R72">
            <v>480</v>
          </cell>
          <cell r="S72">
            <v>501</v>
          </cell>
          <cell r="T72">
            <v>450</v>
          </cell>
          <cell r="U72">
            <v>304</v>
          </cell>
          <cell r="V72">
            <v>421</v>
          </cell>
          <cell r="W72">
            <v>422</v>
          </cell>
          <cell r="X72" t="str">
            <v>-</v>
          </cell>
          <cell r="Y72">
            <v>495</v>
          </cell>
          <cell r="Z72">
            <v>502</v>
          </cell>
          <cell r="AA72">
            <v>305</v>
          </cell>
          <cell r="AB72">
            <v>306</v>
          </cell>
          <cell r="AC72">
            <v>730</v>
          </cell>
          <cell r="AD72" t="str">
            <v>-</v>
          </cell>
          <cell r="AE72">
            <v>748</v>
          </cell>
          <cell r="AF72" t="str">
            <v>-</v>
          </cell>
          <cell r="AG72" t="str">
            <v>-</v>
          </cell>
          <cell r="AH72" t="str">
            <v>-</v>
          </cell>
          <cell r="AI72">
            <v>722</v>
          </cell>
        </row>
        <row r="73">
          <cell r="A73" t="str">
            <v>PAINEL BP 2544X1076X18 + COR</v>
          </cell>
          <cell r="B73">
            <v>2600</v>
          </cell>
          <cell r="C73">
            <v>1100</v>
          </cell>
          <cell r="D73">
            <v>2544</v>
          </cell>
          <cell r="E73">
            <v>1076</v>
          </cell>
          <cell r="F73">
            <v>773967</v>
          </cell>
          <cell r="G73">
            <v>307</v>
          </cell>
          <cell r="H73">
            <v>302</v>
          </cell>
          <cell r="I73">
            <v>308</v>
          </cell>
          <cell r="J73">
            <v>309</v>
          </cell>
          <cell r="K73">
            <v>316</v>
          </cell>
          <cell r="L73">
            <v>318</v>
          </cell>
          <cell r="M73" t="str">
            <v>-</v>
          </cell>
          <cell r="N73" t="str">
            <v>-</v>
          </cell>
          <cell r="O73" t="str">
            <v>-</v>
          </cell>
          <cell r="P73">
            <v>724</v>
          </cell>
          <cell r="Q73">
            <v>911</v>
          </cell>
          <cell r="R73">
            <v>480</v>
          </cell>
          <cell r="S73">
            <v>501</v>
          </cell>
          <cell r="T73">
            <v>450</v>
          </cell>
          <cell r="U73">
            <v>304</v>
          </cell>
          <cell r="V73">
            <v>421</v>
          </cell>
          <cell r="W73">
            <v>422</v>
          </cell>
          <cell r="X73" t="str">
            <v>-</v>
          </cell>
          <cell r="Y73">
            <v>495</v>
          </cell>
          <cell r="Z73">
            <v>502</v>
          </cell>
          <cell r="AA73">
            <v>305</v>
          </cell>
          <cell r="AB73">
            <v>306</v>
          </cell>
          <cell r="AC73">
            <v>730</v>
          </cell>
          <cell r="AD73" t="str">
            <v>-</v>
          </cell>
          <cell r="AE73">
            <v>748</v>
          </cell>
          <cell r="AF73" t="str">
            <v>-</v>
          </cell>
          <cell r="AG73" t="str">
            <v>-</v>
          </cell>
          <cell r="AH73" t="str">
            <v>-</v>
          </cell>
          <cell r="AI73">
            <v>722</v>
          </cell>
        </row>
        <row r="74">
          <cell r="A74" t="str">
            <v>PAINEL BP 2544X1176X18 + COR</v>
          </cell>
          <cell r="B74">
            <v>2600</v>
          </cell>
          <cell r="C74">
            <v>1200</v>
          </cell>
          <cell r="D74">
            <v>2544</v>
          </cell>
          <cell r="E74">
            <v>1176</v>
          </cell>
          <cell r="F74">
            <v>773968</v>
          </cell>
          <cell r="G74">
            <v>307</v>
          </cell>
          <cell r="H74">
            <v>302</v>
          </cell>
          <cell r="I74">
            <v>308</v>
          </cell>
          <cell r="J74">
            <v>309</v>
          </cell>
          <cell r="K74">
            <v>316</v>
          </cell>
          <cell r="L74">
            <v>318</v>
          </cell>
          <cell r="M74" t="str">
            <v>-</v>
          </cell>
          <cell r="N74" t="str">
            <v>-</v>
          </cell>
          <cell r="O74" t="str">
            <v>-</v>
          </cell>
          <cell r="P74">
            <v>724</v>
          </cell>
          <cell r="Q74">
            <v>911</v>
          </cell>
          <cell r="R74">
            <v>480</v>
          </cell>
          <cell r="S74">
            <v>501</v>
          </cell>
          <cell r="T74">
            <v>450</v>
          </cell>
          <cell r="U74">
            <v>304</v>
          </cell>
          <cell r="V74">
            <v>421</v>
          </cell>
          <cell r="W74">
            <v>422</v>
          </cell>
          <cell r="X74" t="str">
            <v>-</v>
          </cell>
          <cell r="Y74">
            <v>495</v>
          </cell>
          <cell r="Z74">
            <v>502</v>
          </cell>
          <cell r="AA74">
            <v>305</v>
          </cell>
          <cell r="AB74">
            <v>306</v>
          </cell>
          <cell r="AC74">
            <v>730</v>
          </cell>
          <cell r="AD74" t="str">
            <v>-</v>
          </cell>
          <cell r="AE74">
            <v>748</v>
          </cell>
          <cell r="AF74" t="str">
            <v>-</v>
          </cell>
          <cell r="AG74" t="str">
            <v>-</v>
          </cell>
          <cell r="AH74" t="str">
            <v>-</v>
          </cell>
          <cell r="AI74">
            <v>722</v>
          </cell>
        </row>
        <row r="75">
          <cell r="A75" t="str">
            <v>PAINEL BP 2544X1276X18 + COR</v>
          </cell>
          <cell r="B75">
            <v>2600</v>
          </cell>
          <cell r="C75">
            <v>1300</v>
          </cell>
          <cell r="D75">
            <v>2544</v>
          </cell>
          <cell r="E75">
            <v>1276</v>
          </cell>
          <cell r="F75">
            <v>773969</v>
          </cell>
          <cell r="G75">
            <v>307</v>
          </cell>
          <cell r="H75">
            <v>302</v>
          </cell>
          <cell r="I75">
            <v>308</v>
          </cell>
          <cell r="J75">
            <v>309</v>
          </cell>
          <cell r="K75">
            <v>316</v>
          </cell>
          <cell r="L75">
            <v>318</v>
          </cell>
          <cell r="M75" t="str">
            <v>-</v>
          </cell>
          <cell r="N75" t="str">
            <v>-</v>
          </cell>
          <cell r="O75" t="str">
            <v>-</v>
          </cell>
          <cell r="P75">
            <v>724</v>
          </cell>
          <cell r="Q75">
            <v>911</v>
          </cell>
          <cell r="R75">
            <v>480</v>
          </cell>
          <cell r="S75">
            <v>501</v>
          </cell>
          <cell r="T75">
            <v>450</v>
          </cell>
          <cell r="U75">
            <v>304</v>
          </cell>
          <cell r="V75">
            <v>421</v>
          </cell>
          <cell r="W75">
            <v>422</v>
          </cell>
          <cell r="X75" t="str">
            <v>-</v>
          </cell>
          <cell r="Y75">
            <v>495</v>
          </cell>
          <cell r="Z75">
            <v>502</v>
          </cell>
          <cell r="AA75">
            <v>305</v>
          </cell>
          <cell r="AB75">
            <v>306</v>
          </cell>
          <cell r="AC75">
            <v>730</v>
          </cell>
          <cell r="AD75" t="str">
            <v>-</v>
          </cell>
          <cell r="AE75">
            <v>748</v>
          </cell>
          <cell r="AF75" t="str">
            <v>-</v>
          </cell>
          <cell r="AG75" t="str">
            <v>-</v>
          </cell>
          <cell r="AH75" t="str">
            <v>-</v>
          </cell>
          <cell r="AI75">
            <v>722</v>
          </cell>
        </row>
        <row r="76">
          <cell r="A76" t="str">
            <v>PAINEL BP 2544X1376X18 + COR</v>
          </cell>
          <cell r="B76">
            <v>2600</v>
          </cell>
          <cell r="C76">
            <v>1400</v>
          </cell>
          <cell r="D76">
            <v>2544</v>
          </cell>
          <cell r="E76">
            <v>1376</v>
          </cell>
          <cell r="F76">
            <v>773970</v>
          </cell>
          <cell r="G76">
            <v>307</v>
          </cell>
          <cell r="H76">
            <v>302</v>
          </cell>
          <cell r="I76">
            <v>308</v>
          </cell>
          <cell r="J76">
            <v>309</v>
          </cell>
          <cell r="K76">
            <v>316</v>
          </cell>
          <cell r="L76">
            <v>318</v>
          </cell>
          <cell r="M76" t="str">
            <v>-</v>
          </cell>
          <cell r="N76" t="str">
            <v>-</v>
          </cell>
          <cell r="O76" t="str">
            <v>-</v>
          </cell>
          <cell r="P76">
            <v>724</v>
          </cell>
          <cell r="Q76">
            <v>911</v>
          </cell>
          <cell r="R76">
            <v>480</v>
          </cell>
          <cell r="S76">
            <v>501</v>
          </cell>
          <cell r="T76">
            <v>450</v>
          </cell>
          <cell r="U76">
            <v>304</v>
          </cell>
          <cell r="V76">
            <v>421</v>
          </cell>
          <cell r="W76">
            <v>422</v>
          </cell>
          <cell r="X76" t="str">
            <v>-</v>
          </cell>
          <cell r="Y76">
            <v>495</v>
          </cell>
          <cell r="Z76">
            <v>502</v>
          </cell>
          <cell r="AA76">
            <v>305</v>
          </cell>
          <cell r="AB76">
            <v>306</v>
          </cell>
          <cell r="AC76">
            <v>730</v>
          </cell>
          <cell r="AD76" t="str">
            <v>-</v>
          </cell>
          <cell r="AE76">
            <v>748</v>
          </cell>
          <cell r="AF76" t="str">
            <v>-</v>
          </cell>
          <cell r="AG76" t="str">
            <v>-</v>
          </cell>
          <cell r="AH76" t="str">
            <v>-</v>
          </cell>
          <cell r="AI76">
            <v>722</v>
          </cell>
        </row>
        <row r="77">
          <cell r="A77" t="str">
            <v>PAINEL BP 2544X1476X18 + COR</v>
          </cell>
          <cell r="B77">
            <v>2600</v>
          </cell>
          <cell r="C77">
            <v>1500</v>
          </cell>
          <cell r="D77">
            <v>2544</v>
          </cell>
          <cell r="E77">
            <v>1476</v>
          </cell>
          <cell r="F77">
            <v>773971</v>
          </cell>
          <cell r="G77">
            <v>307</v>
          </cell>
          <cell r="H77">
            <v>302</v>
          </cell>
          <cell r="I77">
            <v>308</v>
          </cell>
          <cell r="J77">
            <v>309</v>
          </cell>
          <cell r="K77">
            <v>316</v>
          </cell>
          <cell r="L77">
            <v>318</v>
          </cell>
          <cell r="M77" t="str">
            <v>-</v>
          </cell>
          <cell r="N77" t="str">
            <v>-</v>
          </cell>
          <cell r="O77" t="str">
            <v>-</v>
          </cell>
          <cell r="P77">
            <v>724</v>
          </cell>
          <cell r="Q77">
            <v>911</v>
          </cell>
          <cell r="R77">
            <v>480</v>
          </cell>
          <cell r="S77">
            <v>501</v>
          </cell>
          <cell r="T77">
            <v>450</v>
          </cell>
          <cell r="U77">
            <v>304</v>
          </cell>
          <cell r="V77">
            <v>421</v>
          </cell>
          <cell r="W77">
            <v>422</v>
          </cell>
          <cell r="X77" t="str">
            <v>-</v>
          </cell>
          <cell r="Y77">
            <v>495</v>
          </cell>
          <cell r="Z77">
            <v>502</v>
          </cell>
          <cell r="AA77">
            <v>305</v>
          </cell>
          <cell r="AB77">
            <v>306</v>
          </cell>
          <cell r="AC77">
            <v>730</v>
          </cell>
          <cell r="AD77" t="str">
            <v>-</v>
          </cell>
          <cell r="AE77">
            <v>748</v>
          </cell>
          <cell r="AF77" t="str">
            <v>-</v>
          </cell>
          <cell r="AG77" t="str">
            <v>-</v>
          </cell>
          <cell r="AH77" t="str">
            <v>-</v>
          </cell>
          <cell r="AI77">
            <v>722</v>
          </cell>
        </row>
        <row r="78">
          <cell r="A78" t="str">
            <v>PAINEL BP 2644X776X18 + COR</v>
          </cell>
          <cell r="B78">
            <v>2700</v>
          </cell>
          <cell r="C78">
            <v>800</v>
          </cell>
          <cell r="D78">
            <v>2644</v>
          </cell>
          <cell r="E78">
            <v>776</v>
          </cell>
          <cell r="F78">
            <v>773972</v>
          </cell>
          <cell r="G78">
            <v>307</v>
          </cell>
          <cell r="H78">
            <v>302</v>
          </cell>
          <cell r="I78">
            <v>308</v>
          </cell>
          <cell r="J78">
            <v>309</v>
          </cell>
          <cell r="K78">
            <v>316</v>
          </cell>
          <cell r="L78">
            <v>318</v>
          </cell>
          <cell r="M78" t="str">
            <v>-</v>
          </cell>
          <cell r="N78" t="str">
            <v>-</v>
          </cell>
          <cell r="O78" t="str">
            <v>-</v>
          </cell>
          <cell r="P78">
            <v>724</v>
          </cell>
          <cell r="Q78">
            <v>911</v>
          </cell>
          <cell r="R78">
            <v>480</v>
          </cell>
          <cell r="S78">
            <v>501</v>
          </cell>
          <cell r="T78">
            <v>450</v>
          </cell>
          <cell r="U78">
            <v>304</v>
          </cell>
          <cell r="V78">
            <v>421</v>
          </cell>
          <cell r="W78">
            <v>422</v>
          </cell>
          <cell r="X78" t="str">
            <v>-</v>
          </cell>
          <cell r="Y78">
            <v>495</v>
          </cell>
          <cell r="Z78">
            <v>502</v>
          </cell>
          <cell r="AA78">
            <v>305</v>
          </cell>
          <cell r="AB78">
            <v>306</v>
          </cell>
          <cell r="AC78">
            <v>730</v>
          </cell>
          <cell r="AD78" t="str">
            <v>-</v>
          </cell>
          <cell r="AE78">
            <v>748</v>
          </cell>
          <cell r="AF78" t="str">
            <v>-</v>
          </cell>
          <cell r="AG78" t="str">
            <v>-</v>
          </cell>
          <cell r="AH78" t="str">
            <v>-</v>
          </cell>
          <cell r="AI78">
            <v>722</v>
          </cell>
        </row>
        <row r="79">
          <cell r="A79" t="str">
            <v>PAINEL BP 2644X876X18 + COR</v>
          </cell>
          <cell r="B79">
            <v>2700</v>
          </cell>
          <cell r="C79">
            <v>900</v>
          </cell>
          <cell r="D79">
            <v>2644</v>
          </cell>
          <cell r="E79">
            <v>876</v>
          </cell>
          <cell r="F79">
            <v>773973</v>
          </cell>
          <cell r="G79">
            <v>307</v>
          </cell>
          <cell r="H79">
            <v>302</v>
          </cell>
          <cell r="I79">
            <v>308</v>
          </cell>
          <cell r="J79">
            <v>309</v>
          </cell>
          <cell r="K79">
            <v>316</v>
          </cell>
          <cell r="L79">
            <v>318</v>
          </cell>
          <cell r="M79" t="str">
            <v>-</v>
          </cell>
          <cell r="N79" t="str">
            <v>-</v>
          </cell>
          <cell r="O79" t="str">
            <v>-</v>
          </cell>
          <cell r="P79">
            <v>724</v>
          </cell>
          <cell r="Q79">
            <v>911</v>
          </cell>
          <cell r="R79">
            <v>480</v>
          </cell>
          <cell r="S79">
            <v>501</v>
          </cell>
          <cell r="T79">
            <v>450</v>
          </cell>
          <cell r="U79">
            <v>304</v>
          </cell>
          <cell r="V79">
            <v>421</v>
          </cell>
          <cell r="W79">
            <v>422</v>
          </cell>
          <cell r="X79" t="str">
            <v>-</v>
          </cell>
          <cell r="Y79">
            <v>495</v>
          </cell>
          <cell r="Z79">
            <v>502</v>
          </cell>
          <cell r="AA79">
            <v>305</v>
          </cell>
          <cell r="AB79">
            <v>306</v>
          </cell>
          <cell r="AC79">
            <v>730</v>
          </cell>
          <cell r="AD79" t="str">
            <v>-</v>
          </cell>
          <cell r="AE79">
            <v>748</v>
          </cell>
          <cell r="AF79" t="str">
            <v>-</v>
          </cell>
          <cell r="AG79" t="str">
            <v>-</v>
          </cell>
          <cell r="AH79" t="str">
            <v>-</v>
          </cell>
          <cell r="AI79">
            <v>722</v>
          </cell>
        </row>
        <row r="80">
          <cell r="A80" t="str">
            <v>PAINEL BP 2644X976X18 + COR</v>
          </cell>
          <cell r="B80">
            <v>2700</v>
          </cell>
          <cell r="C80">
            <v>1000</v>
          </cell>
          <cell r="D80">
            <v>2644</v>
          </cell>
          <cell r="E80">
            <v>976</v>
          </cell>
          <cell r="F80">
            <v>773974</v>
          </cell>
          <cell r="G80">
            <v>307</v>
          </cell>
          <cell r="H80">
            <v>302</v>
          </cell>
          <cell r="I80">
            <v>308</v>
          </cell>
          <cell r="J80">
            <v>309</v>
          </cell>
          <cell r="K80">
            <v>316</v>
          </cell>
          <cell r="L80">
            <v>318</v>
          </cell>
          <cell r="M80" t="str">
            <v>-</v>
          </cell>
          <cell r="N80" t="str">
            <v>-</v>
          </cell>
          <cell r="O80" t="str">
            <v>-</v>
          </cell>
          <cell r="P80">
            <v>724</v>
          </cell>
          <cell r="Q80">
            <v>911</v>
          </cell>
          <cell r="R80">
            <v>480</v>
          </cell>
          <cell r="S80">
            <v>501</v>
          </cell>
          <cell r="T80">
            <v>450</v>
          </cell>
          <cell r="U80">
            <v>304</v>
          </cell>
          <cell r="V80">
            <v>421</v>
          </cell>
          <cell r="W80">
            <v>422</v>
          </cell>
          <cell r="X80" t="str">
            <v>-</v>
          </cell>
          <cell r="Y80">
            <v>495</v>
          </cell>
          <cell r="Z80">
            <v>502</v>
          </cell>
          <cell r="AA80">
            <v>305</v>
          </cell>
          <cell r="AB80">
            <v>306</v>
          </cell>
          <cell r="AC80">
            <v>730</v>
          </cell>
          <cell r="AD80" t="str">
            <v>-</v>
          </cell>
          <cell r="AE80">
            <v>748</v>
          </cell>
          <cell r="AF80" t="str">
            <v>-</v>
          </cell>
          <cell r="AG80" t="str">
            <v>-</v>
          </cell>
          <cell r="AH80" t="str">
            <v>-</v>
          </cell>
          <cell r="AI80">
            <v>722</v>
          </cell>
        </row>
        <row r="81">
          <cell r="A81" t="str">
            <v>PAINEL BP 2644X1076X18 + COR</v>
          </cell>
          <cell r="B81">
            <v>2700</v>
          </cell>
          <cell r="C81">
            <v>1100</v>
          </cell>
          <cell r="D81">
            <v>2644</v>
          </cell>
          <cell r="E81">
            <v>1076</v>
          </cell>
          <cell r="F81">
            <v>773975</v>
          </cell>
          <cell r="G81">
            <v>307</v>
          </cell>
          <cell r="H81">
            <v>302</v>
          </cell>
          <cell r="I81">
            <v>308</v>
          </cell>
          <cell r="J81">
            <v>309</v>
          </cell>
          <cell r="K81">
            <v>316</v>
          </cell>
          <cell r="L81">
            <v>318</v>
          </cell>
          <cell r="M81" t="str">
            <v>-</v>
          </cell>
          <cell r="N81" t="str">
            <v>-</v>
          </cell>
          <cell r="O81" t="str">
            <v>-</v>
          </cell>
          <cell r="P81">
            <v>724</v>
          </cell>
          <cell r="Q81">
            <v>911</v>
          </cell>
          <cell r="R81">
            <v>480</v>
          </cell>
          <cell r="S81">
            <v>501</v>
          </cell>
          <cell r="T81">
            <v>450</v>
          </cell>
          <cell r="U81">
            <v>304</v>
          </cell>
          <cell r="V81">
            <v>421</v>
          </cell>
          <cell r="W81">
            <v>422</v>
          </cell>
          <cell r="X81" t="str">
            <v>-</v>
          </cell>
          <cell r="Y81">
            <v>495</v>
          </cell>
          <cell r="Z81">
            <v>502</v>
          </cell>
          <cell r="AA81">
            <v>305</v>
          </cell>
          <cell r="AB81">
            <v>306</v>
          </cell>
          <cell r="AC81">
            <v>730</v>
          </cell>
          <cell r="AD81" t="str">
            <v>-</v>
          </cell>
          <cell r="AE81">
            <v>748</v>
          </cell>
          <cell r="AF81" t="str">
            <v>-</v>
          </cell>
          <cell r="AG81" t="str">
            <v>-</v>
          </cell>
          <cell r="AH81" t="str">
            <v>-</v>
          </cell>
          <cell r="AI81">
            <v>722</v>
          </cell>
        </row>
        <row r="82">
          <cell r="A82" t="str">
            <v>PAINEL BP 2644X1176X18 + COR</v>
          </cell>
          <cell r="B82">
            <v>2700</v>
          </cell>
          <cell r="C82">
            <v>1200</v>
          </cell>
          <cell r="D82">
            <v>2644</v>
          </cell>
          <cell r="E82">
            <v>1176</v>
          </cell>
          <cell r="F82">
            <v>773976</v>
          </cell>
          <cell r="G82">
            <v>307</v>
          </cell>
          <cell r="H82">
            <v>302</v>
          </cell>
          <cell r="I82">
            <v>308</v>
          </cell>
          <cell r="J82">
            <v>309</v>
          </cell>
          <cell r="K82">
            <v>316</v>
          </cell>
          <cell r="L82">
            <v>318</v>
          </cell>
          <cell r="M82" t="str">
            <v>-</v>
          </cell>
          <cell r="N82" t="str">
            <v>-</v>
          </cell>
          <cell r="O82" t="str">
            <v>-</v>
          </cell>
          <cell r="P82">
            <v>724</v>
          </cell>
          <cell r="Q82">
            <v>911</v>
          </cell>
          <cell r="R82">
            <v>480</v>
          </cell>
          <cell r="S82">
            <v>501</v>
          </cell>
          <cell r="T82">
            <v>450</v>
          </cell>
          <cell r="U82">
            <v>304</v>
          </cell>
          <cell r="V82">
            <v>421</v>
          </cell>
          <cell r="W82">
            <v>422</v>
          </cell>
          <cell r="X82" t="str">
            <v>-</v>
          </cell>
          <cell r="Y82">
            <v>495</v>
          </cell>
          <cell r="Z82">
            <v>502</v>
          </cell>
          <cell r="AA82">
            <v>305</v>
          </cell>
          <cell r="AB82">
            <v>306</v>
          </cell>
          <cell r="AC82">
            <v>730</v>
          </cell>
          <cell r="AD82" t="str">
            <v>-</v>
          </cell>
          <cell r="AE82">
            <v>748</v>
          </cell>
          <cell r="AF82" t="str">
            <v>-</v>
          </cell>
          <cell r="AG82" t="str">
            <v>-</v>
          </cell>
          <cell r="AH82" t="str">
            <v>-</v>
          </cell>
          <cell r="AI82">
            <v>722</v>
          </cell>
        </row>
        <row r="83">
          <cell r="A83" t="str">
            <v>PAINEL BP 2644X1276X18 + COR</v>
          </cell>
          <cell r="B83">
            <v>2700</v>
          </cell>
          <cell r="C83">
            <v>1300</v>
          </cell>
          <cell r="D83">
            <v>2644</v>
          </cell>
          <cell r="E83">
            <v>1276</v>
          </cell>
          <cell r="F83">
            <v>773977</v>
          </cell>
          <cell r="G83">
            <v>307</v>
          </cell>
          <cell r="H83">
            <v>302</v>
          </cell>
          <cell r="I83">
            <v>308</v>
          </cell>
          <cell r="J83">
            <v>309</v>
          </cell>
          <cell r="K83">
            <v>316</v>
          </cell>
          <cell r="L83">
            <v>318</v>
          </cell>
          <cell r="M83" t="str">
            <v>-</v>
          </cell>
          <cell r="N83" t="str">
            <v>-</v>
          </cell>
          <cell r="O83" t="str">
            <v>-</v>
          </cell>
          <cell r="P83">
            <v>724</v>
          </cell>
          <cell r="Q83">
            <v>911</v>
          </cell>
          <cell r="R83">
            <v>480</v>
          </cell>
          <cell r="S83">
            <v>501</v>
          </cell>
          <cell r="T83">
            <v>450</v>
          </cell>
          <cell r="U83">
            <v>304</v>
          </cell>
          <cell r="V83">
            <v>421</v>
          </cell>
          <cell r="W83">
            <v>422</v>
          </cell>
          <cell r="X83" t="str">
            <v>-</v>
          </cell>
          <cell r="Y83">
            <v>495</v>
          </cell>
          <cell r="Z83">
            <v>502</v>
          </cell>
          <cell r="AA83">
            <v>305</v>
          </cell>
          <cell r="AB83">
            <v>306</v>
          </cell>
          <cell r="AC83">
            <v>730</v>
          </cell>
          <cell r="AD83" t="str">
            <v>-</v>
          </cell>
          <cell r="AE83">
            <v>748</v>
          </cell>
          <cell r="AF83" t="str">
            <v>-</v>
          </cell>
          <cell r="AG83" t="str">
            <v>-</v>
          </cell>
          <cell r="AH83" t="str">
            <v>-</v>
          </cell>
          <cell r="AI83">
            <v>722</v>
          </cell>
        </row>
        <row r="84">
          <cell r="A84" t="str">
            <v>PAINEL BP 2644X1376X18 + COR</v>
          </cell>
          <cell r="B84">
            <v>2700</v>
          </cell>
          <cell r="C84">
            <v>1400</v>
          </cell>
          <cell r="D84">
            <v>2644</v>
          </cell>
          <cell r="E84">
            <v>1376</v>
          </cell>
          <cell r="F84">
            <v>773978</v>
          </cell>
          <cell r="G84">
            <v>307</v>
          </cell>
          <cell r="H84">
            <v>302</v>
          </cell>
          <cell r="I84">
            <v>308</v>
          </cell>
          <cell r="J84">
            <v>309</v>
          </cell>
          <cell r="K84">
            <v>316</v>
          </cell>
          <cell r="L84">
            <v>318</v>
          </cell>
          <cell r="M84" t="str">
            <v>-</v>
          </cell>
          <cell r="N84" t="str">
            <v>-</v>
          </cell>
          <cell r="O84" t="str">
            <v>-</v>
          </cell>
          <cell r="P84">
            <v>724</v>
          </cell>
          <cell r="Q84">
            <v>911</v>
          </cell>
          <cell r="R84">
            <v>480</v>
          </cell>
          <cell r="S84">
            <v>501</v>
          </cell>
          <cell r="T84">
            <v>450</v>
          </cell>
          <cell r="U84">
            <v>304</v>
          </cell>
          <cell r="V84">
            <v>421</v>
          </cell>
          <cell r="W84">
            <v>422</v>
          </cell>
          <cell r="X84" t="str">
            <v>-</v>
          </cell>
          <cell r="Y84">
            <v>495</v>
          </cell>
          <cell r="Z84">
            <v>502</v>
          </cell>
          <cell r="AA84">
            <v>305</v>
          </cell>
          <cell r="AB84">
            <v>306</v>
          </cell>
          <cell r="AC84">
            <v>730</v>
          </cell>
          <cell r="AD84" t="str">
            <v>-</v>
          </cell>
          <cell r="AE84">
            <v>748</v>
          </cell>
          <cell r="AF84" t="str">
            <v>-</v>
          </cell>
          <cell r="AG84" t="str">
            <v>-</v>
          </cell>
          <cell r="AH84" t="str">
            <v>-</v>
          </cell>
          <cell r="AI84">
            <v>722</v>
          </cell>
        </row>
        <row r="85">
          <cell r="A85" t="str">
            <v>PAINEL BP 2644X1476X18 + COR</v>
          </cell>
          <cell r="B85">
            <v>2700</v>
          </cell>
          <cell r="C85">
            <v>1500</v>
          </cell>
          <cell r="D85">
            <v>2644</v>
          </cell>
          <cell r="E85">
            <v>1476</v>
          </cell>
          <cell r="F85">
            <v>773979</v>
          </cell>
          <cell r="G85">
            <v>307</v>
          </cell>
          <cell r="H85">
            <v>302</v>
          </cell>
          <cell r="I85">
            <v>308</v>
          </cell>
          <cell r="J85">
            <v>309</v>
          </cell>
          <cell r="K85">
            <v>316</v>
          </cell>
          <cell r="L85">
            <v>318</v>
          </cell>
          <cell r="M85" t="str">
            <v>-</v>
          </cell>
          <cell r="N85" t="str">
            <v>-</v>
          </cell>
          <cell r="O85" t="str">
            <v>-</v>
          </cell>
          <cell r="P85">
            <v>724</v>
          </cell>
          <cell r="Q85">
            <v>911</v>
          </cell>
          <cell r="R85">
            <v>480</v>
          </cell>
          <cell r="S85">
            <v>501</v>
          </cell>
          <cell r="T85">
            <v>450</v>
          </cell>
          <cell r="U85">
            <v>304</v>
          </cell>
          <cell r="V85">
            <v>421</v>
          </cell>
          <cell r="W85">
            <v>422</v>
          </cell>
          <cell r="X85" t="str">
            <v>-</v>
          </cell>
          <cell r="Y85">
            <v>495</v>
          </cell>
          <cell r="Z85">
            <v>502</v>
          </cell>
          <cell r="AA85">
            <v>305</v>
          </cell>
          <cell r="AB85">
            <v>306</v>
          </cell>
          <cell r="AC85">
            <v>730</v>
          </cell>
          <cell r="AD85" t="str">
            <v>-</v>
          </cell>
          <cell r="AE85">
            <v>748</v>
          </cell>
          <cell r="AF85" t="str">
            <v>-</v>
          </cell>
          <cell r="AG85" t="str">
            <v>-</v>
          </cell>
          <cell r="AH85" t="str">
            <v>-</v>
          </cell>
          <cell r="AI85">
            <v>722</v>
          </cell>
        </row>
        <row r="86">
          <cell r="A86" t="str">
            <v>BP C/RECORTE</v>
          </cell>
        </row>
        <row r="87">
          <cell r="A87" t="str">
            <v>PAINEL BP PUX 1744X776X18 + COR</v>
          </cell>
          <cell r="B87">
            <v>1800</v>
          </cell>
          <cell r="C87">
            <v>800</v>
          </cell>
          <cell r="D87">
            <v>1744</v>
          </cell>
          <cell r="E87">
            <v>776</v>
          </cell>
          <cell r="F87">
            <v>777500</v>
          </cell>
          <cell r="G87">
            <v>307</v>
          </cell>
          <cell r="H87">
            <v>302</v>
          </cell>
          <cell r="I87">
            <v>308</v>
          </cell>
          <cell r="J87">
            <v>309</v>
          </cell>
          <cell r="K87">
            <v>316</v>
          </cell>
          <cell r="L87">
            <v>318</v>
          </cell>
          <cell r="M87" t="str">
            <v>-</v>
          </cell>
          <cell r="N87" t="str">
            <v>-</v>
          </cell>
          <cell r="O87" t="str">
            <v>-</v>
          </cell>
          <cell r="P87">
            <v>724</v>
          </cell>
          <cell r="Q87">
            <v>911</v>
          </cell>
          <cell r="R87">
            <v>480</v>
          </cell>
          <cell r="S87">
            <v>501</v>
          </cell>
          <cell r="T87">
            <v>450</v>
          </cell>
          <cell r="U87">
            <v>304</v>
          </cell>
          <cell r="V87">
            <v>421</v>
          </cell>
          <cell r="W87">
            <v>422</v>
          </cell>
          <cell r="X87" t="str">
            <v>-</v>
          </cell>
          <cell r="Y87">
            <v>495</v>
          </cell>
          <cell r="Z87">
            <v>502</v>
          </cell>
          <cell r="AA87">
            <v>305</v>
          </cell>
          <cell r="AB87">
            <v>306</v>
          </cell>
          <cell r="AC87">
            <v>730</v>
          </cell>
          <cell r="AD87" t="str">
            <v>-</v>
          </cell>
          <cell r="AE87">
            <v>748</v>
          </cell>
          <cell r="AF87" t="str">
            <v>-</v>
          </cell>
          <cell r="AG87" t="str">
            <v>-</v>
          </cell>
          <cell r="AH87" t="str">
            <v>-</v>
          </cell>
          <cell r="AI87">
            <v>722</v>
          </cell>
        </row>
        <row r="88">
          <cell r="A88" t="str">
            <v>PAINEL BP PUX 1744X876X18 + COR</v>
          </cell>
          <cell r="B88">
            <v>1800</v>
          </cell>
          <cell r="C88">
            <v>900</v>
          </cell>
          <cell r="D88">
            <v>1744</v>
          </cell>
          <cell r="E88">
            <v>876</v>
          </cell>
          <cell r="F88">
            <v>777501</v>
          </cell>
          <cell r="G88">
            <v>307</v>
          </cell>
          <cell r="H88">
            <v>302</v>
          </cell>
          <cell r="I88">
            <v>308</v>
          </cell>
          <cell r="J88">
            <v>309</v>
          </cell>
          <cell r="K88">
            <v>316</v>
          </cell>
          <cell r="L88">
            <v>318</v>
          </cell>
          <cell r="M88" t="str">
            <v>-</v>
          </cell>
          <cell r="N88" t="str">
            <v>-</v>
          </cell>
          <cell r="O88" t="str">
            <v>-</v>
          </cell>
          <cell r="P88">
            <v>724</v>
          </cell>
          <cell r="Q88">
            <v>911</v>
          </cell>
          <cell r="R88">
            <v>480</v>
          </cell>
          <cell r="S88">
            <v>501</v>
          </cell>
          <cell r="T88">
            <v>450</v>
          </cell>
          <cell r="U88">
            <v>304</v>
          </cell>
          <cell r="V88">
            <v>421</v>
          </cell>
          <cell r="W88">
            <v>422</v>
          </cell>
          <cell r="X88" t="str">
            <v>-</v>
          </cell>
          <cell r="Y88">
            <v>495</v>
          </cell>
          <cell r="Z88">
            <v>502</v>
          </cell>
          <cell r="AA88">
            <v>305</v>
          </cell>
          <cell r="AB88">
            <v>306</v>
          </cell>
          <cell r="AC88">
            <v>730</v>
          </cell>
          <cell r="AD88" t="str">
            <v>-</v>
          </cell>
          <cell r="AE88">
            <v>748</v>
          </cell>
          <cell r="AF88" t="str">
            <v>-</v>
          </cell>
          <cell r="AG88" t="str">
            <v>-</v>
          </cell>
          <cell r="AH88" t="str">
            <v>-</v>
          </cell>
          <cell r="AI88">
            <v>722</v>
          </cell>
        </row>
        <row r="89">
          <cell r="A89" t="str">
            <v>PAINEL BP PUX 1744X976X18 + COR</v>
          </cell>
          <cell r="B89">
            <v>1800</v>
          </cell>
          <cell r="C89">
            <v>1000</v>
          </cell>
          <cell r="D89">
            <v>1744</v>
          </cell>
          <cell r="E89">
            <v>976</v>
          </cell>
          <cell r="F89">
            <v>777502</v>
          </cell>
          <cell r="G89">
            <v>307</v>
          </cell>
          <cell r="H89">
            <v>302</v>
          </cell>
          <cell r="I89">
            <v>308</v>
          </cell>
          <cell r="J89">
            <v>309</v>
          </cell>
          <cell r="K89">
            <v>316</v>
          </cell>
          <cell r="L89">
            <v>318</v>
          </cell>
          <cell r="M89" t="str">
            <v>-</v>
          </cell>
          <cell r="N89" t="str">
            <v>-</v>
          </cell>
          <cell r="O89" t="str">
            <v>-</v>
          </cell>
          <cell r="P89">
            <v>724</v>
          </cell>
          <cell r="Q89">
            <v>911</v>
          </cell>
          <cell r="R89">
            <v>480</v>
          </cell>
          <cell r="S89">
            <v>501</v>
          </cell>
          <cell r="T89">
            <v>450</v>
          </cell>
          <cell r="U89">
            <v>304</v>
          </cell>
          <cell r="V89">
            <v>421</v>
          </cell>
          <cell r="W89">
            <v>422</v>
          </cell>
          <cell r="X89" t="str">
            <v>-</v>
          </cell>
          <cell r="Y89">
            <v>495</v>
          </cell>
          <cell r="Z89">
            <v>502</v>
          </cell>
          <cell r="AA89">
            <v>305</v>
          </cell>
          <cell r="AB89">
            <v>306</v>
          </cell>
          <cell r="AC89">
            <v>730</v>
          </cell>
          <cell r="AD89" t="str">
            <v>-</v>
          </cell>
          <cell r="AE89">
            <v>748</v>
          </cell>
          <cell r="AF89" t="str">
            <v>-</v>
          </cell>
          <cell r="AG89" t="str">
            <v>-</v>
          </cell>
          <cell r="AH89" t="str">
            <v>-</v>
          </cell>
          <cell r="AI89">
            <v>722</v>
          </cell>
        </row>
        <row r="90">
          <cell r="A90" t="str">
            <v>PAINEL BP PUX 1744X1076X18 + COR</v>
          </cell>
          <cell r="B90">
            <v>1800</v>
          </cell>
          <cell r="C90">
            <v>1100</v>
          </cell>
          <cell r="D90">
            <v>1744</v>
          </cell>
          <cell r="E90">
            <v>1076</v>
          </cell>
          <cell r="F90">
            <v>777503</v>
          </cell>
          <cell r="G90">
            <v>307</v>
          </cell>
          <cell r="H90">
            <v>302</v>
          </cell>
          <cell r="I90">
            <v>308</v>
          </cell>
          <cell r="J90">
            <v>309</v>
          </cell>
          <cell r="K90">
            <v>316</v>
          </cell>
          <cell r="L90">
            <v>318</v>
          </cell>
          <cell r="M90" t="str">
            <v>-</v>
          </cell>
          <cell r="N90" t="str">
            <v>-</v>
          </cell>
          <cell r="O90" t="str">
            <v>-</v>
          </cell>
          <cell r="P90">
            <v>724</v>
          </cell>
          <cell r="Q90">
            <v>911</v>
          </cell>
          <cell r="R90">
            <v>480</v>
          </cell>
          <cell r="S90">
            <v>501</v>
          </cell>
          <cell r="T90">
            <v>450</v>
          </cell>
          <cell r="U90">
            <v>304</v>
          </cell>
          <cell r="V90">
            <v>421</v>
          </cell>
          <cell r="W90">
            <v>422</v>
          </cell>
          <cell r="X90" t="str">
            <v>-</v>
          </cell>
          <cell r="Y90">
            <v>495</v>
          </cell>
          <cell r="Z90">
            <v>502</v>
          </cell>
          <cell r="AA90">
            <v>305</v>
          </cell>
          <cell r="AB90">
            <v>306</v>
          </cell>
          <cell r="AC90">
            <v>730</v>
          </cell>
          <cell r="AD90" t="str">
            <v>-</v>
          </cell>
          <cell r="AE90">
            <v>748</v>
          </cell>
          <cell r="AF90" t="str">
            <v>-</v>
          </cell>
          <cell r="AG90" t="str">
            <v>-</v>
          </cell>
          <cell r="AH90" t="str">
            <v>-</v>
          </cell>
          <cell r="AI90">
            <v>722</v>
          </cell>
        </row>
        <row r="91">
          <cell r="A91" t="str">
            <v>PAINEL BP PUX 1744X1176X18 + COR</v>
          </cell>
          <cell r="B91">
            <v>1800</v>
          </cell>
          <cell r="C91">
            <v>1200</v>
          </cell>
          <cell r="D91">
            <v>1744</v>
          </cell>
          <cell r="E91">
            <v>1176</v>
          </cell>
          <cell r="F91">
            <v>777504</v>
          </cell>
          <cell r="G91">
            <v>307</v>
          </cell>
          <cell r="H91">
            <v>302</v>
          </cell>
          <cell r="I91">
            <v>308</v>
          </cell>
          <cell r="J91">
            <v>309</v>
          </cell>
          <cell r="K91">
            <v>316</v>
          </cell>
          <cell r="L91">
            <v>318</v>
          </cell>
          <cell r="M91" t="str">
            <v>-</v>
          </cell>
          <cell r="N91" t="str">
            <v>-</v>
          </cell>
          <cell r="O91" t="str">
            <v>-</v>
          </cell>
          <cell r="P91">
            <v>724</v>
          </cell>
          <cell r="Q91">
            <v>911</v>
          </cell>
          <cell r="R91">
            <v>480</v>
          </cell>
          <cell r="S91">
            <v>501</v>
          </cell>
          <cell r="T91">
            <v>450</v>
          </cell>
          <cell r="U91">
            <v>304</v>
          </cell>
          <cell r="V91">
            <v>421</v>
          </cell>
          <cell r="W91">
            <v>422</v>
          </cell>
          <cell r="X91" t="str">
            <v>-</v>
          </cell>
          <cell r="Y91">
            <v>495</v>
          </cell>
          <cell r="Z91">
            <v>502</v>
          </cell>
          <cell r="AA91">
            <v>305</v>
          </cell>
          <cell r="AB91">
            <v>306</v>
          </cell>
          <cell r="AC91">
            <v>730</v>
          </cell>
          <cell r="AD91" t="str">
            <v>-</v>
          </cell>
          <cell r="AE91">
            <v>748</v>
          </cell>
          <cell r="AF91" t="str">
            <v>-</v>
          </cell>
          <cell r="AG91" t="str">
            <v>-</v>
          </cell>
          <cell r="AH91" t="str">
            <v>-</v>
          </cell>
          <cell r="AI91">
            <v>722</v>
          </cell>
        </row>
        <row r="92">
          <cell r="A92" t="str">
            <v>PAINEL BP PUX 1744X1276X18 + COR</v>
          </cell>
          <cell r="B92">
            <v>1800</v>
          </cell>
          <cell r="C92">
            <v>1300</v>
          </cell>
          <cell r="D92">
            <v>1744</v>
          </cell>
          <cell r="E92">
            <v>1276</v>
          </cell>
          <cell r="F92">
            <v>777505</v>
          </cell>
          <cell r="G92">
            <v>307</v>
          </cell>
          <cell r="H92">
            <v>302</v>
          </cell>
          <cell r="I92">
            <v>308</v>
          </cell>
          <cell r="J92">
            <v>309</v>
          </cell>
          <cell r="K92">
            <v>316</v>
          </cell>
          <cell r="L92">
            <v>318</v>
          </cell>
          <cell r="M92" t="str">
            <v>-</v>
          </cell>
          <cell r="N92" t="str">
            <v>-</v>
          </cell>
          <cell r="O92" t="str">
            <v>-</v>
          </cell>
          <cell r="P92">
            <v>724</v>
          </cell>
          <cell r="Q92">
            <v>911</v>
          </cell>
          <cell r="R92">
            <v>480</v>
          </cell>
          <cell r="S92">
            <v>501</v>
          </cell>
          <cell r="T92">
            <v>450</v>
          </cell>
          <cell r="U92">
            <v>304</v>
          </cell>
          <cell r="V92">
            <v>421</v>
          </cell>
          <cell r="W92">
            <v>422</v>
          </cell>
          <cell r="X92" t="str">
            <v>-</v>
          </cell>
          <cell r="Y92">
            <v>495</v>
          </cell>
          <cell r="Z92">
            <v>502</v>
          </cell>
          <cell r="AA92">
            <v>305</v>
          </cell>
          <cell r="AB92">
            <v>306</v>
          </cell>
          <cell r="AC92">
            <v>730</v>
          </cell>
          <cell r="AD92" t="str">
            <v>-</v>
          </cell>
          <cell r="AE92">
            <v>748</v>
          </cell>
          <cell r="AF92" t="str">
            <v>-</v>
          </cell>
          <cell r="AG92" t="str">
            <v>-</v>
          </cell>
          <cell r="AH92" t="str">
            <v>-</v>
          </cell>
          <cell r="AI92">
            <v>722</v>
          </cell>
        </row>
        <row r="93">
          <cell r="A93" t="str">
            <v>PAINEL BP PUX 1744X1376X18 + COR</v>
          </cell>
          <cell r="B93">
            <v>1800</v>
          </cell>
          <cell r="C93">
            <v>1400</v>
          </cell>
          <cell r="D93">
            <v>1744</v>
          </cell>
          <cell r="E93">
            <v>1376</v>
          </cell>
          <cell r="F93">
            <v>777506</v>
          </cell>
          <cell r="G93">
            <v>307</v>
          </cell>
          <cell r="H93">
            <v>302</v>
          </cell>
          <cell r="I93">
            <v>308</v>
          </cell>
          <cell r="J93">
            <v>309</v>
          </cell>
          <cell r="K93">
            <v>316</v>
          </cell>
          <cell r="L93">
            <v>318</v>
          </cell>
          <cell r="M93" t="str">
            <v>-</v>
          </cell>
          <cell r="N93" t="str">
            <v>-</v>
          </cell>
          <cell r="O93" t="str">
            <v>-</v>
          </cell>
          <cell r="P93">
            <v>724</v>
          </cell>
          <cell r="Q93">
            <v>911</v>
          </cell>
          <cell r="R93">
            <v>480</v>
          </cell>
          <cell r="S93">
            <v>501</v>
          </cell>
          <cell r="T93">
            <v>450</v>
          </cell>
          <cell r="U93">
            <v>304</v>
          </cell>
          <cell r="V93">
            <v>421</v>
          </cell>
          <cell r="W93">
            <v>422</v>
          </cell>
          <cell r="X93" t="str">
            <v>-</v>
          </cell>
          <cell r="Y93">
            <v>495</v>
          </cell>
          <cell r="Z93">
            <v>502</v>
          </cell>
          <cell r="AA93">
            <v>305</v>
          </cell>
          <cell r="AB93">
            <v>306</v>
          </cell>
          <cell r="AC93">
            <v>730</v>
          </cell>
          <cell r="AD93" t="str">
            <v>-</v>
          </cell>
          <cell r="AE93">
            <v>748</v>
          </cell>
          <cell r="AF93" t="str">
            <v>-</v>
          </cell>
          <cell r="AG93" t="str">
            <v>-</v>
          </cell>
          <cell r="AH93" t="str">
            <v>-</v>
          </cell>
          <cell r="AI93">
            <v>722</v>
          </cell>
        </row>
        <row r="94">
          <cell r="A94" t="str">
            <v>PAINEL BP PUX 1744X1476X18 + COR</v>
          </cell>
          <cell r="B94">
            <v>1800</v>
          </cell>
          <cell r="C94">
            <v>1500</v>
          </cell>
          <cell r="D94">
            <v>1744</v>
          </cell>
          <cell r="E94">
            <v>1476</v>
          </cell>
          <cell r="F94">
            <v>777507</v>
          </cell>
          <cell r="G94">
            <v>307</v>
          </cell>
          <cell r="H94">
            <v>302</v>
          </cell>
          <cell r="I94">
            <v>308</v>
          </cell>
          <cell r="J94">
            <v>309</v>
          </cell>
          <cell r="K94">
            <v>316</v>
          </cell>
          <cell r="L94">
            <v>318</v>
          </cell>
          <cell r="M94" t="str">
            <v>-</v>
          </cell>
          <cell r="N94" t="str">
            <v>-</v>
          </cell>
          <cell r="O94" t="str">
            <v>-</v>
          </cell>
          <cell r="P94">
            <v>724</v>
          </cell>
          <cell r="Q94">
            <v>911</v>
          </cell>
          <cell r="R94">
            <v>480</v>
          </cell>
          <cell r="S94">
            <v>501</v>
          </cell>
          <cell r="T94">
            <v>450</v>
          </cell>
          <cell r="U94">
            <v>304</v>
          </cell>
          <cell r="V94">
            <v>421</v>
          </cell>
          <cell r="W94">
            <v>422</v>
          </cell>
          <cell r="X94" t="str">
            <v>-</v>
          </cell>
          <cell r="Y94">
            <v>495</v>
          </cell>
          <cell r="Z94">
            <v>502</v>
          </cell>
          <cell r="AA94">
            <v>305</v>
          </cell>
          <cell r="AB94">
            <v>306</v>
          </cell>
          <cell r="AC94">
            <v>730</v>
          </cell>
          <cell r="AD94" t="str">
            <v>-</v>
          </cell>
          <cell r="AE94">
            <v>748</v>
          </cell>
          <cell r="AF94" t="str">
            <v>-</v>
          </cell>
          <cell r="AG94" t="str">
            <v>-</v>
          </cell>
          <cell r="AH94" t="str">
            <v>-</v>
          </cell>
          <cell r="AI94">
            <v>722</v>
          </cell>
        </row>
        <row r="95">
          <cell r="A95" t="str">
            <v>PAINEL BP PUX 1844X776X18 + COR</v>
          </cell>
          <cell r="B95">
            <v>1900</v>
          </cell>
          <cell r="C95">
            <v>800</v>
          </cell>
          <cell r="D95">
            <v>1844</v>
          </cell>
          <cell r="E95">
            <v>776</v>
          </cell>
          <cell r="F95">
            <v>777508</v>
          </cell>
          <cell r="G95">
            <v>307</v>
          </cell>
          <cell r="H95">
            <v>302</v>
          </cell>
          <cell r="I95">
            <v>308</v>
          </cell>
          <cell r="J95">
            <v>309</v>
          </cell>
          <cell r="K95">
            <v>316</v>
          </cell>
          <cell r="L95">
            <v>318</v>
          </cell>
          <cell r="M95" t="str">
            <v>-</v>
          </cell>
          <cell r="N95" t="str">
            <v>-</v>
          </cell>
          <cell r="O95" t="str">
            <v>-</v>
          </cell>
          <cell r="P95">
            <v>724</v>
          </cell>
          <cell r="Q95">
            <v>911</v>
          </cell>
          <cell r="R95">
            <v>480</v>
          </cell>
          <cell r="S95">
            <v>501</v>
          </cell>
          <cell r="T95">
            <v>450</v>
          </cell>
          <cell r="U95">
            <v>304</v>
          </cell>
          <cell r="V95">
            <v>421</v>
          </cell>
          <cell r="W95">
            <v>422</v>
          </cell>
          <cell r="X95" t="str">
            <v>-</v>
          </cell>
          <cell r="Y95">
            <v>495</v>
          </cell>
          <cell r="Z95">
            <v>502</v>
          </cell>
          <cell r="AA95">
            <v>305</v>
          </cell>
          <cell r="AB95">
            <v>306</v>
          </cell>
          <cell r="AC95">
            <v>730</v>
          </cell>
          <cell r="AD95" t="str">
            <v>-</v>
          </cell>
          <cell r="AE95">
            <v>748</v>
          </cell>
          <cell r="AF95" t="str">
            <v>-</v>
          </cell>
          <cell r="AG95" t="str">
            <v>-</v>
          </cell>
          <cell r="AH95" t="str">
            <v>-</v>
          </cell>
          <cell r="AI95">
            <v>722</v>
          </cell>
        </row>
        <row r="96">
          <cell r="A96" t="str">
            <v>PAINEL BP PUX 1844X876X18 + COR</v>
          </cell>
          <cell r="B96">
            <v>1900</v>
          </cell>
          <cell r="C96">
            <v>900</v>
          </cell>
          <cell r="D96">
            <v>1844</v>
          </cell>
          <cell r="E96">
            <v>876</v>
          </cell>
          <cell r="F96">
            <v>777509</v>
          </cell>
          <cell r="G96">
            <v>307</v>
          </cell>
          <cell r="H96">
            <v>302</v>
          </cell>
          <cell r="I96">
            <v>308</v>
          </cell>
          <cell r="J96">
            <v>309</v>
          </cell>
          <cell r="K96">
            <v>316</v>
          </cell>
          <cell r="L96">
            <v>318</v>
          </cell>
          <cell r="M96" t="str">
            <v>-</v>
          </cell>
          <cell r="N96" t="str">
            <v>-</v>
          </cell>
          <cell r="O96" t="str">
            <v>-</v>
          </cell>
          <cell r="P96">
            <v>724</v>
          </cell>
          <cell r="Q96">
            <v>911</v>
          </cell>
          <cell r="R96">
            <v>480</v>
          </cell>
          <cell r="S96">
            <v>501</v>
          </cell>
          <cell r="T96">
            <v>450</v>
          </cell>
          <cell r="U96">
            <v>304</v>
          </cell>
          <cell r="V96">
            <v>421</v>
          </cell>
          <cell r="W96">
            <v>422</v>
          </cell>
          <cell r="X96" t="str">
            <v>-</v>
          </cell>
          <cell r="Y96">
            <v>495</v>
          </cell>
          <cell r="Z96">
            <v>502</v>
          </cell>
          <cell r="AA96">
            <v>305</v>
          </cell>
          <cell r="AB96">
            <v>306</v>
          </cell>
          <cell r="AC96">
            <v>730</v>
          </cell>
          <cell r="AD96" t="str">
            <v>-</v>
          </cell>
          <cell r="AE96">
            <v>748</v>
          </cell>
          <cell r="AF96" t="str">
            <v>-</v>
          </cell>
          <cell r="AG96" t="str">
            <v>-</v>
          </cell>
          <cell r="AH96" t="str">
            <v>-</v>
          </cell>
          <cell r="AI96">
            <v>722</v>
          </cell>
        </row>
        <row r="97">
          <cell r="A97" t="str">
            <v>PAINEL BP PUX 1844X976X18 + COR</v>
          </cell>
          <cell r="B97">
            <v>1900</v>
          </cell>
          <cell r="C97">
            <v>1000</v>
          </cell>
          <cell r="D97">
            <v>1844</v>
          </cell>
          <cell r="E97">
            <v>976</v>
          </cell>
          <cell r="F97">
            <v>777510</v>
          </cell>
          <cell r="G97">
            <v>307</v>
          </cell>
          <cell r="H97">
            <v>302</v>
          </cell>
          <cell r="I97">
            <v>308</v>
          </cell>
          <cell r="J97">
            <v>309</v>
          </cell>
          <cell r="K97">
            <v>316</v>
          </cell>
          <cell r="L97">
            <v>318</v>
          </cell>
          <cell r="M97" t="str">
            <v>-</v>
          </cell>
          <cell r="N97" t="str">
            <v>-</v>
          </cell>
          <cell r="O97" t="str">
            <v>-</v>
          </cell>
          <cell r="P97">
            <v>724</v>
          </cell>
          <cell r="Q97">
            <v>911</v>
          </cell>
          <cell r="R97">
            <v>480</v>
          </cell>
          <cell r="S97">
            <v>501</v>
          </cell>
          <cell r="T97">
            <v>450</v>
          </cell>
          <cell r="U97">
            <v>304</v>
          </cell>
          <cell r="V97">
            <v>421</v>
          </cell>
          <cell r="W97">
            <v>422</v>
          </cell>
          <cell r="X97" t="str">
            <v>-</v>
          </cell>
          <cell r="Y97">
            <v>495</v>
          </cell>
          <cell r="Z97">
            <v>502</v>
          </cell>
          <cell r="AA97">
            <v>305</v>
          </cell>
          <cell r="AB97">
            <v>306</v>
          </cell>
          <cell r="AC97">
            <v>730</v>
          </cell>
          <cell r="AD97" t="str">
            <v>-</v>
          </cell>
          <cell r="AE97">
            <v>748</v>
          </cell>
          <cell r="AF97" t="str">
            <v>-</v>
          </cell>
          <cell r="AG97" t="str">
            <v>-</v>
          </cell>
          <cell r="AH97" t="str">
            <v>-</v>
          </cell>
          <cell r="AI97">
            <v>722</v>
          </cell>
        </row>
        <row r="98">
          <cell r="A98" t="str">
            <v>PAINEL BP PUX 1844X1076X18 + COR</v>
          </cell>
          <cell r="B98">
            <v>1900</v>
          </cell>
          <cell r="C98">
            <v>1100</v>
          </cell>
          <cell r="D98">
            <v>1844</v>
          </cell>
          <cell r="E98">
            <v>1076</v>
          </cell>
          <cell r="F98">
            <v>777511</v>
          </cell>
          <cell r="G98">
            <v>307</v>
          </cell>
          <cell r="H98">
            <v>302</v>
          </cell>
          <cell r="I98">
            <v>308</v>
          </cell>
          <cell r="J98">
            <v>309</v>
          </cell>
          <cell r="K98">
            <v>316</v>
          </cell>
          <cell r="L98">
            <v>318</v>
          </cell>
          <cell r="M98" t="str">
            <v>-</v>
          </cell>
          <cell r="N98" t="str">
            <v>-</v>
          </cell>
          <cell r="O98" t="str">
            <v>-</v>
          </cell>
          <cell r="P98">
            <v>724</v>
          </cell>
          <cell r="Q98">
            <v>911</v>
          </cell>
          <cell r="R98">
            <v>480</v>
          </cell>
          <cell r="S98">
            <v>501</v>
          </cell>
          <cell r="T98">
            <v>450</v>
          </cell>
          <cell r="U98">
            <v>304</v>
          </cell>
          <cell r="V98">
            <v>421</v>
          </cell>
          <cell r="W98">
            <v>422</v>
          </cell>
          <cell r="X98" t="str">
            <v>-</v>
          </cell>
          <cell r="Y98">
            <v>495</v>
          </cell>
          <cell r="Z98">
            <v>502</v>
          </cell>
          <cell r="AA98">
            <v>305</v>
          </cell>
          <cell r="AB98">
            <v>306</v>
          </cell>
          <cell r="AC98">
            <v>730</v>
          </cell>
          <cell r="AD98" t="str">
            <v>-</v>
          </cell>
          <cell r="AE98">
            <v>748</v>
          </cell>
          <cell r="AF98" t="str">
            <v>-</v>
          </cell>
          <cell r="AG98" t="str">
            <v>-</v>
          </cell>
          <cell r="AH98" t="str">
            <v>-</v>
          </cell>
          <cell r="AI98">
            <v>722</v>
          </cell>
        </row>
        <row r="99">
          <cell r="A99" t="str">
            <v>PAINEL BP PUX 1844X1176X18 + COR</v>
          </cell>
          <cell r="B99">
            <v>1900</v>
          </cell>
          <cell r="C99">
            <v>1200</v>
          </cell>
          <cell r="D99">
            <v>1844</v>
          </cell>
          <cell r="E99">
            <v>1176</v>
          </cell>
          <cell r="F99">
            <v>777512</v>
          </cell>
          <cell r="G99">
            <v>307</v>
          </cell>
          <cell r="H99">
            <v>302</v>
          </cell>
          <cell r="I99">
            <v>308</v>
          </cell>
          <cell r="J99">
            <v>309</v>
          </cell>
          <cell r="K99">
            <v>316</v>
          </cell>
          <cell r="L99">
            <v>318</v>
          </cell>
          <cell r="M99" t="str">
            <v>-</v>
          </cell>
          <cell r="N99" t="str">
            <v>-</v>
          </cell>
          <cell r="O99" t="str">
            <v>-</v>
          </cell>
          <cell r="P99">
            <v>724</v>
          </cell>
          <cell r="Q99">
            <v>911</v>
          </cell>
          <cell r="R99">
            <v>480</v>
          </cell>
          <cell r="S99">
            <v>501</v>
          </cell>
          <cell r="T99">
            <v>450</v>
          </cell>
          <cell r="U99">
            <v>304</v>
          </cell>
          <cell r="V99">
            <v>421</v>
          </cell>
          <cell r="W99">
            <v>422</v>
          </cell>
          <cell r="X99" t="str">
            <v>-</v>
          </cell>
          <cell r="Y99">
            <v>495</v>
          </cell>
          <cell r="Z99">
            <v>502</v>
          </cell>
          <cell r="AA99">
            <v>305</v>
          </cell>
          <cell r="AB99">
            <v>306</v>
          </cell>
          <cell r="AC99">
            <v>730</v>
          </cell>
          <cell r="AD99" t="str">
            <v>-</v>
          </cell>
          <cell r="AE99">
            <v>748</v>
          </cell>
          <cell r="AF99" t="str">
            <v>-</v>
          </cell>
          <cell r="AG99" t="str">
            <v>-</v>
          </cell>
          <cell r="AH99" t="str">
            <v>-</v>
          </cell>
          <cell r="AI99">
            <v>722</v>
          </cell>
        </row>
        <row r="100">
          <cell r="A100" t="str">
            <v>PAINEL BP PUX 1844X1276X18 + COR</v>
          </cell>
          <cell r="B100">
            <v>1900</v>
          </cell>
          <cell r="C100">
            <v>1300</v>
          </cell>
          <cell r="D100">
            <v>1844</v>
          </cell>
          <cell r="E100">
            <v>1276</v>
          </cell>
          <cell r="F100">
            <v>777513</v>
          </cell>
          <cell r="G100">
            <v>307</v>
          </cell>
          <cell r="H100">
            <v>302</v>
          </cell>
          <cell r="I100">
            <v>308</v>
          </cell>
          <cell r="J100">
            <v>309</v>
          </cell>
          <cell r="K100">
            <v>316</v>
          </cell>
          <cell r="L100">
            <v>318</v>
          </cell>
          <cell r="M100" t="str">
            <v>-</v>
          </cell>
          <cell r="N100" t="str">
            <v>-</v>
          </cell>
          <cell r="O100" t="str">
            <v>-</v>
          </cell>
          <cell r="P100">
            <v>724</v>
          </cell>
          <cell r="Q100">
            <v>911</v>
          </cell>
          <cell r="R100">
            <v>480</v>
          </cell>
          <cell r="S100">
            <v>501</v>
          </cell>
          <cell r="T100">
            <v>450</v>
          </cell>
          <cell r="U100">
            <v>304</v>
          </cell>
          <cell r="V100">
            <v>421</v>
          </cell>
          <cell r="W100">
            <v>422</v>
          </cell>
          <cell r="X100" t="str">
            <v>-</v>
          </cell>
          <cell r="Y100">
            <v>495</v>
          </cell>
          <cell r="Z100">
            <v>502</v>
          </cell>
          <cell r="AA100">
            <v>305</v>
          </cell>
          <cell r="AB100">
            <v>306</v>
          </cell>
          <cell r="AC100">
            <v>730</v>
          </cell>
          <cell r="AD100" t="str">
            <v>-</v>
          </cell>
          <cell r="AE100">
            <v>748</v>
          </cell>
          <cell r="AF100" t="str">
            <v>-</v>
          </cell>
          <cell r="AG100" t="str">
            <v>-</v>
          </cell>
          <cell r="AH100" t="str">
            <v>-</v>
          </cell>
          <cell r="AI100">
            <v>722</v>
          </cell>
        </row>
        <row r="101">
          <cell r="A101" t="str">
            <v>PAINEL BP PUX 1844X1376X18 + COR</v>
          </cell>
          <cell r="B101">
            <v>1900</v>
          </cell>
          <cell r="C101">
            <v>1400</v>
          </cell>
          <cell r="D101">
            <v>1844</v>
          </cell>
          <cell r="E101">
            <v>1376</v>
          </cell>
          <cell r="F101">
            <v>777514</v>
          </cell>
          <cell r="G101">
            <v>307</v>
          </cell>
          <cell r="H101">
            <v>302</v>
          </cell>
          <cell r="I101">
            <v>308</v>
          </cell>
          <cell r="J101">
            <v>309</v>
          </cell>
          <cell r="K101">
            <v>316</v>
          </cell>
          <cell r="L101">
            <v>318</v>
          </cell>
          <cell r="M101" t="str">
            <v>-</v>
          </cell>
          <cell r="N101" t="str">
            <v>-</v>
          </cell>
          <cell r="O101" t="str">
            <v>-</v>
          </cell>
          <cell r="P101">
            <v>724</v>
          </cell>
          <cell r="Q101">
            <v>911</v>
          </cell>
          <cell r="R101">
            <v>480</v>
          </cell>
          <cell r="S101">
            <v>501</v>
          </cell>
          <cell r="T101">
            <v>450</v>
          </cell>
          <cell r="U101">
            <v>304</v>
          </cell>
          <cell r="V101">
            <v>421</v>
          </cell>
          <cell r="W101">
            <v>422</v>
          </cell>
          <cell r="X101" t="str">
            <v>-</v>
          </cell>
          <cell r="Y101">
            <v>495</v>
          </cell>
          <cell r="Z101">
            <v>502</v>
          </cell>
          <cell r="AA101">
            <v>305</v>
          </cell>
          <cell r="AB101">
            <v>306</v>
          </cell>
          <cell r="AC101">
            <v>730</v>
          </cell>
          <cell r="AD101" t="str">
            <v>-</v>
          </cell>
          <cell r="AE101">
            <v>748</v>
          </cell>
          <cell r="AF101" t="str">
            <v>-</v>
          </cell>
          <cell r="AG101" t="str">
            <v>-</v>
          </cell>
          <cell r="AH101" t="str">
            <v>-</v>
          </cell>
          <cell r="AI101">
            <v>722</v>
          </cell>
        </row>
        <row r="102">
          <cell r="A102" t="str">
            <v>PAINEL BP PUX 1844X1476X18 + COR</v>
          </cell>
          <cell r="B102">
            <v>1900</v>
          </cell>
          <cell r="C102">
            <v>1500</v>
          </cell>
          <cell r="D102">
            <v>1844</v>
          </cell>
          <cell r="E102">
            <v>1476</v>
          </cell>
          <cell r="F102">
            <v>777515</v>
          </cell>
          <cell r="G102">
            <v>307</v>
          </cell>
          <cell r="H102">
            <v>302</v>
          </cell>
          <cell r="I102">
            <v>308</v>
          </cell>
          <cell r="J102">
            <v>309</v>
          </cell>
          <cell r="K102">
            <v>316</v>
          </cell>
          <cell r="L102">
            <v>318</v>
          </cell>
          <cell r="M102" t="str">
            <v>-</v>
          </cell>
          <cell r="N102" t="str">
            <v>-</v>
          </cell>
          <cell r="O102" t="str">
            <v>-</v>
          </cell>
          <cell r="P102">
            <v>724</v>
          </cell>
          <cell r="Q102">
            <v>911</v>
          </cell>
          <cell r="R102">
            <v>480</v>
          </cell>
          <cell r="S102">
            <v>501</v>
          </cell>
          <cell r="T102">
            <v>450</v>
          </cell>
          <cell r="U102">
            <v>304</v>
          </cell>
          <cell r="V102">
            <v>421</v>
          </cell>
          <cell r="W102">
            <v>422</v>
          </cell>
          <cell r="X102" t="str">
            <v>-</v>
          </cell>
          <cell r="Y102">
            <v>495</v>
          </cell>
          <cell r="Z102">
            <v>502</v>
          </cell>
          <cell r="AA102">
            <v>305</v>
          </cell>
          <cell r="AB102">
            <v>306</v>
          </cell>
          <cell r="AC102">
            <v>730</v>
          </cell>
          <cell r="AD102" t="str">
            <v>-</v>
          </cell>
          <cell r="AE102">
            <v>748</v>
          </cell>
          <cell r="AF102" t="str">
            <v>-</v>
          </cell>
          <cell r="AG102" t="str">
            <v>-</v>
          </cell>
          <cell r="AH102" t="str">
            <v>-</v>
          </cell>
          <cell r="AI102">
            <v>722</v>
          </cell>
        </row>
        <row r="103">
          <cell r="A103" t="str">
            <v>PAINEL BP PUX 1944X776X18 + COR</v>
          </cell>
          <cell r="B103">
            <v>2000</v>
          </cell>
          <cell r="C103">
            <v>800</v>
          </cell>
          <cell r="D103">
            <v>1944</v>
          </cell>
          <cell r="E103">
            <v>776</v>
          </cell>
          <cell r="F103">
            <v>777516</v>
          </cell>
          <cell r="G103">
            <v>307</v>
          </cell>
          <cell r="H103">
            <v>302</v>
          </cell>
          <cell r="I103">
            <v>308</v>
          </cell>
          <cell r="J103">
            <v>309</v>
          </cell>
          <cell r="K103">
            <v>316</v>
          </cell>
          <cell r="L103">
            <v>318</v>
          </cell>
          <cell r="M103" t="str">
            <v>-</v>
          </cell>
          <cell r="N103" t="str">
            <v>-</v>
          </cell>
          <cell r="O103" t="str">
            <v>-</v>
          </cell>
          <cell r="P103">
            <v>724</v>
          </cell>
          <cell r="Q103">
            <v>911</v>
          </cell>
          <cell r="R103">
            <v>480</v>
          </cell>
          <cell r="S103">
            <v>501</v>
          </cell>
          <cell r="T103">
            <v>450</v>
          </cell>
          <cell r="U103">
            <v>304</v>
          </cell>
          <cell r="V103">
            <v>421</v>
          </cell>
          <cell r="W103">
            <v>422</v>
          </cell>
          <cell r="X103" t="str">
            <v>-</v>
          </cell>
          <cell r="Y103">
            <v>495</v>
          </cell>
          <cell r="Z103">
            <v>502</v>
          </cell>
          <cell r="AA103">
            <v>305</v>
          </cell>
          <cell r="AB103">
            <v>306</v>
          </cell>
          <cell r="AC103">
            <v>730</v>
          </cell>
          <cell r="AD103" t="str">
            <v>-</v>
          </cell>
          <cell r="AE103">
            <v>748</v>
          </cell>
          <cell r="AF103" t="str">
            <v>-</v>
          </cell>
          <cell r="AG103" t="str">
            <v>-</v>
          </cell>
          <cell r="AH103" t="str">
            <v>-</v>
          </cell>
          <cell r="AI103">
            <v>722</v>
          </cell>
        </row>
        <row r="104">
          <cell r="A104" t="str">
            <v>PAINEL BP PUX 1944X876X18 + COR</v>
          </cell>
          <cell r="B104">
            <v>2000</v>
          </cell>
          <cell r="C104">
            <v>900</v>
          </cell>
          <cell r="D104">
            <v>1944</v>
          </cell>
          <cell r="E104">
            <v>876</v>
          </cell>
          <cell r="F104">
            <v>777517</v>
          </cell>
          <cell r="G104">
            <v>307</v>
          </cell>
          <cell r="H104">
            <v>302</v>
          </cell>
          <cell r="I104">
            <v>308</v>
          </cell>
          <cell r="J104">
            <v>309</v>
          </cell>
          <cell r="K104">
            <v>316</v>
          </cell>
          <cell r="L104">
            <v>318</v>
          </cell>
          <cell r="M104" t="str">
            <v>-</v>
          </cell>
          <cell r="N104" t="str">
            <v>-</v>
          </cell>
          <cell r="O104" t="str">
            <v>-</v>
          </cell>
          <cell r="P104">
            <v>724</v>
          </cell>
          <cell r="Q104">
            <v>911</v>
          </cell>
          <cell r="R104">
            <v>480</v>
          </cell>
          <cell r="S104">
            <v>501</v>
          </cell>
          <cell r="T104">
            <v>450</v>
          </cell>
          <cell r="U104">
            <v>304</v>
          </cell>
          <cell r="V104">
            <v>421</v>
          </cell>
          <cell r="W104">
            <v>422</v>
          </cell>
          <cell r="X104" t="str">
            <v>-</v>
          </cell>
          <cell r="Y104">
            <v>495</v>
          </cell>
          <cell r="Z104">
            <v>502</v>
          </cell>
          <cell r="AA104">
            <v>305</v>
          </cell>
          <cell r="AB104">
            <v>306</v>
          </cell>
          <cell r="AC104">
            <v>730</v>
          </cell>
          <cell r="AD104" t="str">
            <v>-</v>
          </cell>
          <cell r="AE104">
            <v>748</v>
          </cell>
          <cell r="AF104" t="str">
            <v>-</v>
          </cell>
          <cell r="AG104" t="str">
            <v>-</v>
          </cell>
          <cell r="AH104" t="str">
            <v>-</v>
          </cell>
          <cell r="AI104">
            <v>722</v>
          </cell>
        </row>
        <row r="105">
          <cell r="A105" t="str">
            <v>PAINEL BP PUX 1944X976X18 + COR</v>
          </cell>
          <cell r="B105">
            <v>2000</v>
          </cell>
          <cell r="C105">
            <v>1000</v>
          </cell>
          <cell r="D105">
            <v>1944</v>
          </cell>
          <cell r="E105">
            <v>976</v>
          </cell>
          <cell r="F105">
            <v>777518</v>
          </cell>
          <cell r="G105">
            <v>307</v>
          </cell>
          <cell r="H105">
            <v>302</v>
          </cell>
          <cell r="I105">
            <v>308</v>
          </cell>
          <cell r="J105">
            <v>309</v>
          </cell>
          <cell r="K105">
            <v>316</v>
          </cell>
          <cell r="L105">
            <v>318</v>
          </cell>
          <cell r="M105" t="str">
            <v>-</v>
          </cell>
          <cell r="N105" t="str">
            <v>-</v>
          </cell>
          <cell r="O105" t="str">
            <v>-</v>
          </cell>
          <cell r="P105">
            <v>724</v>
          </cell>
          <cell r="Q105">
            <v>911</v>
          </cell>
          <cell r="R105">
            <v>480</v>
          </cell>
          <cell r="S105">
            <v>501</v>
          </cell>
          <cell r="T105">
            <v>450</v>
          </cell>
          <cell r="U105">
            <v>304</v>
          </cell>
          <cell r="V105">
            <v>421</v>
          </cell>
          <cell r="W105">
            <v>422</v>
          </cell>
          <cell r="X105" t="str">
            <v>-</v>
          </cell>
          <cell r="Y105">
            <v>495</v>
          </cell>
          <cell r="Z105">
            <v>502</v>
          </cell>
          <cell r="AA105">
            <v>305</v>
          </cell>
          <cell r="AB105">
            <v>306</v>
          </cell>
          <cell r="AC105">
            <v>730</v>
          </cell>
          <cell r="AD105" t="str">
            <v>-</v>
          </cell>
          <cell r="AE105">
            <v>748</v>
          </cell>
          <cell r="AF105" t="str">
            <v>-</v>
          </cell>
          <cell r="AG105" t="str">
            <v>-</v>
          </cell>
          <cell r="AH105" t="str">
            <v>-</v>
          </cell>
          <cell r="AI105">
            <v>722</v>
          </cell>
        </row>
        <row r="106">
          <cell r="A106" t="str">
            <v>PAINEL BP PUX 1944X1076X18 + COR</v>
          </cell>
          <cell r="B106">
            <v>2000</v>
          </cell>
          <cell r="C106">
            <v>1100</v>
          </cell>
          <cell r="D106">
            <v>1944</v>
          </cell>
          <cell r="E106">
            <v>1076</v>
          </cell>
          <cell r="F106">
            <v>777519</v>
          </cell>
          <cell r="G106">
            <v>307</v>
          </cell>
          <cell r="H106">
            <v>302</v>
          </cell>
          <cell r="I106">
            <v>308</v>
          </cell>
          <cell r="J106">
            <v>309</v>
          </cell>
          <cell r="K106">
            <v>316</v>
          </cell>
          <cell r="L106">
            <v>318</v>
          </cell>
          <cell r="M106" t="str">
            <v>-</v>
          </cell>
          <cell r="N106" t="str">
            <v>-</v>
          </cell>
          <cell r="O106" t="str">
            <v>-</v>
          </cell>
          <cell r="P106">
            <v>724</v>
          </cell>
          <cell r="Q106">
            <v>911</v>
          </cell>
          <cell r="R106">
            <v>480</v>
          </cell>
          <cell r="S106">
            <v>501</v>
          </cell>
          <cell r="T106">
            <v>450</v>
          </cell>
          <cell r="U106">
            <v>304</v>
          </cell>
          <cell r="V106">
            <v>421</v>
          </cell>
          <cell r="W106">
            <v>422</v>
          </cell>
          <cell r="X106" t="str">
            <v>-</v>
          </cell>
          <cell r="Y106">
            <v>495</v>
          </cell>
          <cell r="Z106">
            <v>502</v>
          </cell>
          <cell r="AA106">
            <v>305</v>
          </cell>
          <cell r="AB106">
            <v>306</v>
          </cell>
          <cell r="AC106">
            <v>730</v>
          </cell>
          <cell r="AD106" t="str">
            <v>-</v>
          </cell>
          <cell r="AE106">
            <v>748</v>
          </cell>
          <cell r="AF106" t="str">
            <v>-</v>
          </cell>
          <cell r="AG106" t="str">
            <v>-</v>
          </cell>
          <cell r="AH106" t="str">
            <v>-</v>
          </cell>
          <cell r="AI106">
            <v>722</v>
          </cell>
        </row>
        <row r="107">
          <cell r="A107" t="str">
            <v>PAINEL BP PUX 1944X1176X18 + COR</v>
          </cell>
          <cell r="B107">
            <v>2000</v>
          </cell>
          <cell r="C107">
            <v>1200</v>
          </cell>
          <cell r="D107">
            <v>1944</v>
          </cell>
          <cell r="E107">
            <v>1176</v>
          </cell>
          <cell r="F107">
            <v>777520</v>
          </cell>
          <cell r="G107">
            <v>307</v>
          </cell>
          <cell r="H107">
            <v>302</v>
          </cell>
          <cell r="I107">
            <v>308</v>
          </cell>
          <cell r="J107">
            <v>309</v>
          </cell>
          <cell r="K107">
            <v>316</v>
          </cell>
          <cell r="L107">
            <v>318</v>
          </cell>
          <cell r="M107" t="str">
            <v>-</v>
          </cell>
          <cell r="N107" t="str">
            <v>-</v>
          </cell>
          <cell r="O107" t="str">
            <v>-</v>
          </cell>
          <cell r="P107">
            <v>724</v>
          </cell>
          <cell r="Q107">
            <v>911</v>
          </cell>
          <cell r="R107">
            <v>480</v>
          </cell>
          <cell r="S107">
            <v>501</v>
          </cell>
          <cell r="T107">
            <v>450</v>
          </cell>
          <cell r="U107">
            <v>304</v>
          </cell>
          <cell r="V107">
            <v>421</v>
          </cell>
          <cell r="W107">
            <v>422</v>
          </cell>
          <cell r="X107" t="str">
            <v>-</v>
          </cell>
          <cell r="Y107">
            <v>495</v>
          </cell>
          <cell r="Z107">
            <v>502</v>
          </cell>
          <cell r="AA107">
            <v>305</v>
          </cell>
          <cell r="AB107">
            <v>306</v>
          </cell>
          <cell r="AC107">
            <v>730</v>
          </cell>
          <cell r="AD107" t="str">
            <v>-</v>
          </cell>
          <cell r="AE107">
            <v>748</v>
          </cell>
          <cell r="AF107" t="str">
            <v>-</v>
          </cell>
          <cell r="AG107" t="str">
            <v>-</v>
          </cell>
          <cell r="AH107" t="str">
            <v>-</v>
          </cell>
          <cell r="AI107">
            <v>722</v>
          </cell>
        </row>
        <row r="108">
          <cell r="A108" t="str">
            <v>PAINEL BP PUX 1944X1276X18 + COR</v>
          </cell>
          <cell r="B108">
            <v>2000</v>
          </cell>
          <cell r="C108">
            <v>1300</v>
          </cell>
          <cell r="D108">
            <v>1944</v>
          </cell>
          <cell r="E108">
            <v>1276</v>
          </cell>
          <cell r="F108">
            <v>777521</v>
          </cell>
          <cell r="G108">
            <v>307</v>
          </cell>
          <cell r="H108">
            <v>302</v>
          </cell>
          <cell r="I108">
            <v>308</v>
          </cell>
          <cell r="J108">
            <v>309</v>
          </cell>
          <cell r="K108">
            <v>316</v>
          </cell>
          <cell r="L108">
            <v>318</v>
          </cell>
          <cell r="M108" t="str">
            <v>-</v>
          </cell>
          <cell r="N108" t="str">
            <v>-</v>
          </cell>
          <cell r="O108" t="str">
            <v>-</v>
          </cell>
          <cell r="P108">
            <v>724</v>
          </cell>
          <cell r="Q108">
            <v>911</v>
          </cell>
          <cell r="R108">
            <v>480</v>
          </cell>
          <cell r="S108">
            <v>501</v>
          </cell>
          <cell r="T108">
            <v>450</v>
          </cell>
          <cell r="U108">
            <v>304</v>
          </cell>
          <cell r="V108">
            <v>421</v>
          </cell>
          <cell r="W108">
            <v>422</v>
          </cell>
          <cell r="X108" t="str">
            <v>-</v>
          </cell>
          <cell r="Y108">
            <v>495</v>
          </cell>
          <cell r="Z108">
            <v>502</v>
          </cell>
          <cell r="AA108">
            <v>305</v>
          </cell>
          <cell r="AB108">
            <v>306</v>
          </cell>
          <cell r="AC108">
            <v>730</v>
          </cell>
          <cell r="AD108" t="str">
            <v>-</v>
          </cell>
          <cell r="AE108">
            <v>748</v>
          </cell>
          <cell r="AF108" t="str">
            <v>-</v>
          </cell>
          <cell r="AG108" t="str">
            <v>-</v>
          </cell>
          <cell r="AH108" t="str">
            <v>-</v>
          </cell>
          <cell r="AI108">
            <v>722</v>
          </cell>
        </row>
        <row r="109">
          <cell r="A109" t="str">
            <v>PAINEL BP PUX 1944X1376X18 + COR</v>
          </cell>
          <cell r="B109">
            <v>2000</v>
          </cell>
          <cell r="C109">
            <v>1400</v>
          </cell>
          <cell r="D109">
            <v>1944</v>
          </cell>
          <cell r="E109">
            <v>1376</v>
          </cell>
          <cell r="F109">
            <v>777522</v>
          </cell>
          <cell r="G109">
            <v>307</v>
          </cell>
          <cell r="H109">
            <v>302</v>
          </cell>
          <cell r="I109">
            <v>308</v>
          </cell>
          <cell r="J109">
            <v>309</v>
          </cell>
          <cell r="K109">
            <v>316</v>
          </cell>
          <cell r="L109">
            <v>318</v>
          </cell>
          <cell r="M109" t="str">
            <v>-</v>
          </cell>
          <cell r="N109" t="str">
            <v>-</v>
          </cell>
          <cell r="O109" t="str">
            <v>-</v>
          </cell>
          <cell r="P109">
            <v>724</v>
          </cell>
          <cell r="Q109">
            <v>911</v>
          </cell>
          <cell r="R109">
            <v>480</v>
          </cell>
          <cell r="S109">
            <v>501</v>
          </cell>
          <cell r="T109">
            <v>450</v>
          </cell>
          <cell r="U109">
            <v>304</v>
          </cell>
          <cell r="V109">
            <v>421</v>
          </cell>
          <cell r="W109">
            <v>422</v>
          </cell>
          <cell r="X109" t="str">
            <v>-</v>
          </cell>
          <cell r="Y109">
            <v>495</v>
          </cell>
          <cell r="Z109">
            <v>502</v>
          </cell>
          <cell r="AA109">
            <v>305</v>
          </cell>
          <cell r="AB109">
            <v>306</v>
          </cell>
          <cell r="AC109">
            <v>730</v>
          </cell>
          <cell r="AD109" t="str">
            <v>-</v>
          </cell>
          <cell r="AE109">
            <v>748</v>
          </cell>
          <cell r="AF109" t="str">
            <v>-</v>
          </cell>
          <cell r="AG109" t="str">
            <v>-</v>
          </cell>
          <cell r="AH109" t="str">
            <v>-</v>
          </cell>
          <cell r="AI109">
            <v>722</v>
          </cell>
        </row>
        <row r="110">
          <cell r="A110" t="str">
            <v>PAINEL BP PUX 1944X1476X18 + COR</v>
          </cell>
          <cell r="B110">
            <v>2000</v>
          </cell>
          <cell r="C110">
            <v>1500</v>
          </cell>
          <cell r="D110">
            <v>1944</v>
          </cell>
          <cell r="E110">
            <v>1476</v>
          </cell>
          <cell r="F110">
            <v>777523</v>
          </cell>
          <cell r="G110">
            <v>307</v>
          </cell>
          <cell r="H110">
            <v>302</v>
          </cell>
          <cell r="I110">
            <v>308</v>
          </cell>
          <cell r="J110">
            <v>309</v>
          </cell>
          <cell r="K110">
            <v>316</v>
          </cell>
          <cell r="L110">
            <v>318</v>
          </cell>
          <cell r="M110" t="str">
            <v>-</v>
          </cell>
          <cell r="N110" t="str">
            <v>-</v>
          </cell>
          <cell r="O110" t="str">
            <v>-</v>
          </cell>
          <cell r="P110">
            <v>724</v>
          </cell>
          <cell r="Q110">
            <v>911</v>
          </cell>
          <cell r="R110">
            <v>480</v>
          </cell>
          <cell r="S110">
            <v>501</v>
          </cell>
          <cell r="T110">
            <v>450</v>
          </cell>
          <cell r="U110">
            <v>304</v>
          </cell>
          <cell r="V110">
            <v>421</v>
          </cell>
          <cell r="W110">
            <v>422</v>
          </cell>
          <cell r="X110" t="str">
            <v>-</v>
          </cell>
          <cell r="Y110">
            <v>495</v>
          </cell>
          <cell r="Z110">
            <v>502</v>
          </cell>
          <cell r="AA110">
            <v>305</v>
          </cell>
          <cell r="AB110">
            <v>306</v>
          </cell>
          <cell r="AC110">
            <v>730</v>
          </cell>
          <cell r="AD110" t="str">
            <v>-</v>
          </cell>
          <cell r="AE110">
            <v>748</v>
          </cell>
          <cell r="AF110" t="str">
            <v>-</v>
          </cell>
          <cell r="AG110" t="str">
            <v>-</v>
          </cell>
          <cell r="AH110" t="str">
            <v>-</v>
          </cell>
          <cell r="AI110">
            <v>722</v>
          </cell>
        </row>
        <row r="111">
          <cell r="A111" t="str">
            <v>PAINEL BP PUX 2044X776X18 + COR</v>
          </cell>
          <cell r="B111">
            <v>2100</v>
          </cell>
          <cell r="C111">
            <v>800</v>
          </cell>
          <cell r="D111">
            <v>2044</v>
          </cell>
          <cell r="E111">
            <v>776</v>
          </cell>
          <cell r="F111">
            <v>777524</v>
          </cell>
          <cell r="G111">
            <v>307</v>
          </cell>
          <cell r="H111">
            <v>302</v>
          </cell>
          <cell r="I111">
            <v>308</v>
          </cell>
          <cell r="J111">
            <v>309</v>
          </cell>
          <cell r="K111">
            <v>316</v>
          </cell>
          <cell r="L111">
            <v>318</v>
          </cell>
          <cell r="M111" t="str">
            <v>-</v>
          </cell>
          <cell r="N111" t="str">
            <v>-</v>
          </cell>
          <cell r="O111" t="str">
            <v>-</v>
          </cell>
          <cell r="P111">
            <v>724</v>
          </cell>
          <cell r="Q111">
            <v>911</v>
          </cell>
          <cell r="R111">
            <v>480</v>
          </cell>
          <cell r="S111">
            <v>501</v>
          </cell>
          <cell r="T111">
            <v>450</v>
          </cell>
          <cell r="U111">
            <v>304</v>
          </cell>
          <cell r="V111">
            <v>421</v>
          </cell>
          <cell r="W111">
            <v>422</v>
          </cell>
          <cell r="X111" t="str">
            <v>-</v>
          </cell>
          <cell r="Y111">
            <v>495</v>
          </cell>
          <cell r="Z111">
            <v>502</v>
          </cell>
          <cell r="AA111">
            <v>305</v>
          </cell>
          <cell r="AB111">
            <v>306</v>
          </cell>
          <cell r="AC111">
            <v>730</v>
          </cell>
          <cell r="AD111" t="str">
            <v>-</v>
          </cell>
          <cell r="AE111">
            <v>748</v>
          </cell>
          <cell r="AF111" t="str">
            <v>-</v>
          </cell>
          <cell r="AG111" t="str">
            <v>-</v>
          </cell>
          <cell r="AH111" t="str">
            <v>-</v>
          </cell>
          <cell r="AI111">
            <v>722</v>
          </cell>
        </row>
        <row r="112">
          <cell r="A112" t="str">
            <v>PAINEL BP PUX 2044X876X18 + COR</v>
          </cell>
          <cell r="B112">
            <v>2100</v>
          </cell>
          <cell r="C112">
            <v>900</v>
          </cell>
          <cell r="D112">
            <v>2044</v>
          </cell>
          <cell r="E112">
            <v>876</v>
          </cell>
          <cell r="F112">
            <v>777525</v>
          </cell>
          <cell r="G112">
            <v>307</v>
          </cell>
          <cell r="H112">
            <v>302</v>
          </cell>
          <cell r="I112">
            <v>308</v>
          </cell>
          <cell r="J112">
            <v>309</v>
          </cell>
          <cell r="K112">
            <v>316</v>
          </cell>
          <cell r="L112">
            <v>318</v>
          </cell>
          <cell r="M112" t="str">
            <v>-</v>
          </cell>
          <cell r="N112" t="str">
            <v>-</v>
          </cell>
          <cell r="O112" t="str">
            <v>-</v>
          </cell>
          <cell r="P112">
            <v>724</v>
          </cell>
          <cell r="Q112">
            <v>911</v>
          </cell>
          <cell r="R112">
            <v>480</v>
          </cell>
          <cell r="S112">
            <v>501</v>
          </cell>
          <cell r="T112">
            <v>450</v>
          </cell>
          <cell r="U112">
            <v>304</v>
          </cell>
          <cell r="V112">
            <v>421</v>
          </cell>
          <cell r="W112">
            <v>422</v>
          </cell>
          <cell r="X112" t="str">
            <v>-</v>
          </cell>
          <cell r="Y112">
            <v>495</v>
          </cell>
          <cell r="Z112">
            <v>502</v>
          </cell>
          <cell r="AA112">
            <v>305</v>
          </cell>
          <cell r="AB112">
            <v>306</v>
          </cell>
          <cell r="AC112">
            <v>730</v>
          </cell>
          <cell r="AD112" t="str">
            <v>-</v>
          </cell>
          <cell r="AE112">
            <v>748</v>
          </cell>
          <cell r="AF112" t="str">
            <v>-</v>
          </cell>
          <cell r="AG112" t="str">
            <v>-</v>
          </cell>
          <cell r="AH112" t="str">
            <v>-</v>
          </cell>
          <cell r="AI112">
            <v>722</v>
          </cell>
        </row>
        <row r="113">
          <cell r="A113" t="str">
            <v>PAINEL BP PUX 2044X976X18 + COR</v>
          </cell>
          <cell r="B113">
            <v>2100</v>
          </cell>
          <cell r="C113">
            <v>1000</v>
          </cell>
          <cell r="D113">
            <v>2044</v>
          </cell>
          <cell r="E113">
            <v>976</v>
          </cell>
          <cell r="F113">
            <v>777526</v>
          </cell>
          <cell r="G113">
            <v>307</v>
          </cell>
          <cell r="H113">
            <v>302</v>
          </cell>
          <cell r="I113">
            <v>308</v>
          </cell>
          <cell r="J113">
            <v>309</v>
          </cell>
          <cell r="K113">
            <v>316</v>
          </cell>
          <cell r="L113">
            <v>318</v>
          </cell>
          <cell r="M113" t="str">
            <v>-</v>
          </cell>
          <cell r="N113" t="str">
            <v>-</v>
          </cell>
          <cell r="O113" t="str">
            <v>-</v>
          </cell>
          <cell r="P113">
            <v>724</v>
          </cell>
          <cell r="Q113">
            <v>911</v>
          </cell>
          <cell r="R113">
            <v>480</v>
          </cell>
          <cell r="S113">
            <v>501</v>
          </cell>
          <cell r="T113">
            <v>450</v>
          </cell>
          <cell r="U113">
            <v>304</v>
          </cell>
          <cell r="V113">
            <v>421</v>
          </cell>
          <cell r="W113">
            <v>422</v>
          </cell>
          <cell r="X113" t="str">
            <v>-</v>
          </cell>
          <cell r="Y113">
            <v>495</v>
          </cell>
          <cell r="Z113">
            <v>502</v>
          </cell>
          <cell r="AA113">
            <v>305</v>
          </cell>
          <cell r="AB113">
            <v>306</v>
          </cell>
          <cell r="AC113">
            <v>730</v>
          </cell>
          <cell r="AD113" t="str">
            <v>-</v>
          </cell>
          <cell r="AE113">
            <v>748</v>
          </cell>
          <cell r="AF113" t="str">
            <v>-</v>
          </cell>
          <cell r="AG113" t="str">
            <v>-</v>
          </cell>
          <cell r="AH113" t="str">
            <v>-</v>
          </cell>
          <cell r="AI113">
            <v>722</v>
          </cell>
        </row>
        <row r="114">
          <cell r="A114" t="str">
            <v>PAINEL BP PUX 2044X1076X18 + COR</v>
          </cell>
          <cell r="B114">
            <v>2100</v>
          </cell>
          <cell r="C114">
            <v>1100</v>
          </cell>
          <cell r="D114">
            <v>2044</v>
          </cell>
          <cell r="E114">
            <v>1076</v>
          </cell>
          <cell r="F114">
            <v>777527</v>
          </cell>
          <cell r="G114">
            <v>307</v>
          </cell>
          <cell r="H114">
            <v>302</v>
          </cell>
          <cell r="I114">
            <v>308</v>
          </cell>
          <cell r="J114">
            <v>309</v>
          </cell>
          <cell r="K114">
            <v>316</v>
          </cell>
          <cell r="L114">
            <v>318</v>
          </cell>
          <cell r="M114" t="str">
            <v>-</v>
          </cell>
          <cell r="N114" t="str">
            <v>-</v>
          </cell>
          <cell r="O114" t="str">
            <v>-</v>
          </cell>
          <cell r="P114">
            <v>724</v>
          </cell>
          <cell r="Q114">
            <v>911</v>
          </cell>
          <cell r="R114">
            <v>480</v>
          </cell>
          <cell r="S114">
            <v>501</v>
          </cell>
          <cell r="T114">
            <v>450</v>
          </cell>
          <cell r="U114">
            <v>304</v>
          </cell>
          <cell r="V114">
            <v>421</v>
          </cell>
          <cell r="W114">
            <v>422</v>
          </cell>
          <cell r="X114" t="str">
            <v>-</v>
          </cell>
          <cell r="Y114">
            <v>495</v>
          </cell>
          <cell r="Z114">
            <v>502</v>
          </cell>
          <cell r="AA114">
            <v>305</v>
          </cell>
          <cell r="AB114">
            <v>306</v>
          </cell>
          <cell r="AC114">
            <v>730</v>
          </cell>
          <cell r="AD114" t="str">
            <v>-</v>
          </cell>
          <cell r="AE114">
            <v>748</v>
          </cell>
          <cell r="AF114" t="str">
            <v>-</v>
          </cell>
          <cell r="AG114" t="str">
            <v>-</v>
          </cell>
          <cell r="AH114" t="str">
            <v>-</v>
          </cell>
          <cell r="AI114">
            <v>722</v>
          </cell>
        </row>
        <row r="115">
          <cell r="A115" t="str">
            <v>PAINEL BP PUX 2044X1176X18 + COR</v>
          </cell>
          <cell r="B115">
            <v>2100</v>
          </cell>
          <cell r="C115">
            <v>1200</v>
          </cell>
          <cell r="D115">
            <v>2044</v>
          </cell>
          <cell r="E115">
            <v>1176</v>
          </cell>
          <cell r="F115">
            <v>777528</v>
          </cell>
          <cell r="G115">
            <v>307</v>
          </cell>
          <cell r="H115">
            <v>302</v>
          </cell>
          <cell r="I115">
            <v>308</v>
          </cell>
          <cell r="J115">
            <v>309</v>
          </cell>
          <cell r="K115">
            <v>316</v>
          </cell>
          <cell r="L115">
            <v>318</v>
          </cell>
          <cell r="M115" t="str">
            <v>-</v>
          </cell>
          <cell r="N115" t="str">
            <v>-</v>
          </cell>
          <cell r="O115" t="str">
            <v>-</v>
          </cell>
          <cell r="P115">
            <v>724</v>
          </cell>
          <cell r="Q115">
            <v>911</v>
          </cell>
          <cell r="R115">
            <v>480</v>
          </cell>
          <cell r="S115">
            <v>501</v>
          </cell>
          <cell r="T115">
            <v>450</v>
          </cell>
          <cell r="U115">
            <v>304</v>
          </cell>
          <cell r="V115">
            <v>421</v>
          </cell>
          <cell r="W115">
            <v>422</v>
          </cell>
          <cell r="X115" t="str">
            <v>-</v>
          </cell>
          <cell r="Y115">
            <v>495</v>
          </cell>
          <cell r="Z115">
            <v>502</v>
          </cell>
          <cell r="AA115">
            <v>305</v>
          </cell>
          <cell r="AB115">
            <v>306</v>
          </cell>
          <cell r="AC115">
            <v>730</v>
          </cell>
          <cell r="AD115" t="str">
            <v>-</v>
          </cell>
          <cell r="AE115">
            <v>748</v>
          </cell>
          <cell r="AF115" t="str">
            <v>-</v>
          </cell>
          <cell r="AG115" t="str">
            <v>-</v>
          </cell>
          <cell r="AH115" t="str">
            <v>-</v>
          </cell>
          <cell r="AI115">
            <v>722</v>
          </cell>
        </row>
        <row r="116">
          <cell r="A116" t="str">
            <v>PAINEL BP PUX 2044X1276X18 + COR</v>
          </cell>
          <cell r="B116">
            <v>2100</v>
          </cell>
          <cell r="C116">
            <v>1300</v>
          </cell>
          <cell r="D116">
            <v>2044</v>
          </cell>
          <cell r="E116">
            <v>1276</v>
          </cell>
          <cell r="F116">
            <v>777529</v>
          </cell>
          <cell r="G116">
            <v>307</v>
          </cell>
          <cell r="H116">
            <v>302</v>
          </cell>
          <cell r="I116">
            <v>308</v>
          </cell>
          <cell r="J116">
            <v>309</v>
          </cell>
          <cell r="K116">
            <v>316</v>
          </cell>
          <cell r="L116">
            <v>318</v>
          </cell>
          <cell r="M116" t="str">
            <v>-</v>
          </cell>
          <cell r="N116" t="str">
            <v>-</v>
          </cell>
          <cell r="O116" t="str">
            <v>-</v>
          </cell>
          <cell r="P116">
            <v>724</v>
          </cell>
          <cell r="Q116">
            <v>911</v>
          </cell>
          <cell r="R116">
            <v>480</v>
          </cell>
          <cell r="S116">
            <v>501</v>
          </cell>
          <cell r="T116">
            <v>450</v>
          </cell>
          <cell r="U116">
            <v>304</v>
          </cell>
          <cell r="V116">
            <v>421</v>
          </cell>
          <cell r="W116">
            <v>422</v>
          </cell>
          <cell r="X116" t="str">
            <v>-</v>
          </cell>
          <cell r="Y116">
            <v>495</v>
          </cell>
          <cell r="Z116">
            <v>502</v>
          </cell>
          <cell r="AA116">
            <v>305</v>
          </cell>
          <cell r="AB116">
            <v>306</v>
          </cell>
          <cell r="AC116">
            <v>730</v>
          </cell>
          <cell r="AD116" t="str">
            <v>-</v>
          </cell>
          <cell r="AE116">
            <v>748</v>
          </cell>
          <cell r="AF116" t="str">
            <v>-</v>
          </cell>
          <cell r="AG116" t="str">
            <v>-</v>
          </cell>
          <cell r="AH116" t="str">
            <v>-</v>
          </cell>
          <cell r="AI116">
            <v>722</v>
          </cell>
        </row>
        <row r="117">
          <cell r="A117" t="str">
            <v>PAINEL BP PUX 2044X1376X18 + COR</v>
          </cell>
          <cell r="B117">
            <v>2100</v>
          </cell>
          <cell r="C117">
            <v>1400</v>
          </cell>
          <cell r="D117">
            <v>2044</v>
          </cell>
          <cell r="E117">
            <v>1376</v>
          </cell>
          <cell r="F117">
            <v>777530</v>
          </cell>
          <cell r="G117">
            <v>307</v>
          </cell>
          <cell r="H117">
            <v>302</v>
          </cell>
          <cell r="I117">
            <v>308</v>
          </cell>
          <cell r="J117">
            <v>309</v>
          </cell>
          <cell r="K117">
            <v>316</v>
          </cell>
          <cell r="L117">
            <v>318</v>
          </cell>
          <cell r="M117" t="str">
            <v>-</v>
          </cell>
          <cell r="N117" t="str">
            <v>-</v>
          </cell>
          <cell r="O117" t="str">
            <v>-</v>
          </cell>
          <cell r="P117">
            <v>724</v>
          </cell>
          <cell r="Q117">
            <v>911</v>
          </cell>
          <cell r="R117">
            <v>480</v>
          </cell>
          <cell r="S117">
            <v>501</v>
          </cell>
          <cell r="T117">
            <v>450</v>
          </cell>
          <cell r="U117">
            <v>304</v>
          </cell>
          <cell r="V117">
            <v>421</v>
          </cell>
          <cell r="W117">
            <v>422</v>
          </cell>
          <cell r="X117" t="str">
            <v>-</v>
          </cell>
          <cell r="Y117">
            <v>495</v>
          </cell>
          <cell r="Z117">
            <v>502</v>
          </cell>
          <cell r="AA117">
            <v>305</v>
          </cell>
          <cell r="AB117">
            <v>306</v>
          </cell>
          <cell r="AC117">
            <v>730</v>
          </cell>
          <cell r="AD117" t="str">
            <v>-</v>
          </cell>
          <cell r="AE117">
            <v>748</v>
          </cell>
          <cell r="AF117" t="str">
            <v>-</v>
          </cell>
          <cell r="AG117" t="str">
            <v>-</v>
          </cell>
          <cell r="AH117" t="str">
            <v>-</v>
          </cell>
          <cell r="AI117">
            <v>722</v>
          </cell>
        </row>
        <row r="118">
          <cell r="A118" t="str">
            <v>PAINEL BP PUX 2044X1476X18 + COR</v>
          </cell>
          <cell r="B118">
            <v>2100</v>
          </cell>
          <cell r="C118">
            <v>1500</v>
          </cell>
          <cell r="D118">
            <v>2044</v>
          </cell>
          <cell r="E118">
            <v>1476</v>
          </cell>
          <cell r="F118">
            <v>777531</v>
          </cell>
          <cell r="G118">
            <v>307</v>
          </cell>
          <cell r="H118">
            <v>302</v>
          </cell>
          <cell r="I118">
            <v>308</v>
          </cell>
          <cell r="J118">
            <v>309</v>
          </cell>
          <cell r="K118">
            <v>316</v>
          </cell>
          <cell r="L118">
            <v>318</v>
          </cell>
          <cell r="M118" t="str">
            <v>-</v>
          </cell>
          <cell r="N118" t="str">
            <v>-</v>
          </cell>
          <cell r="O118" t="str">
            <v>-</v>
          </cell>
          <cell r="P118">
            <v>724</v>
          </cell>
          <cell r="Q118">
            <v>911</v>
          </cell>
          <cell r="R118">
            <v>480</v>
          </cell>
          <cell r="S118">
            <v>501</v>
          </cell>
          <cell r="T118">
            <v>450</v>
          </cell>
          <cell r="U118">
            <v>304</v>
          </cell>
          <cell r="V118">
            <v>421</v>
          </cell>
          <cell r="W118">
            <v>422</v>
          </cell>
          <cell r="X118" t="str">
            <v>-</v>
          </cell>
          <cell r="Y118">
            <v>495</v>
          </cell>
          <cell r="Z118">
            <v>502</v>
          </cell>
          <cell r="AA118">
            <v>305</v>
          </cell>
          <cell r="AB118">
            <v>306</v>
          </cell>
          <cell r="AC118">
            <v>730</v>
          </cell>
          <cell r="AD118" t="str">
            <v>-</v>
          </cell>
          <cell r="AE118">
            <v>748</v>
          </cell>
          <cell r="AF118" t="str">
            <v>-</v>
          </cell>
          <cell r="AG118" t="str">
            <v>-</v>
          </cell>
          <cell r="AH118" t="str">
            <v>-</v>
          </cell>
          <cell r="AI118">
            <v>722</v>
          </cell>
        </row>
        <row r="119">
          <cell r="A119" t="str">
            <v>PAINEL BP PUX 2144X776X18 + COR</v>
          </cell>
          <cell r="B119">
            <v>2200</v>
          </cell>
          <cell r="C119">
            <v>800</v>
          </cell>
          <cell r="D119">
            <v>2144</v>
          </cell>
          <cell r="E119">
            <v>776</v>
          </cell>
          <cell r="F119">
            <v>777532</v>
          </cell>
          <cell r="G119">
            <v>307</v>
          </cell>
          <cell r="H119">
            <v>302</v>
          </cell>
          <cell r="I119">
            <v>308</v>
          </cell>
          <cell r="J119">
            <v>309</v>
          </cell>
          <cell r="K119">
            <v>316</v>
          </cell>
          <cell r="L119">
            <v>318</v>
          </cell>
          <cell r="M119" t="str">
            <v>-</v>
          </cell>
          <cell r="N119" t="str">
            <v>-</v>
          </cell>
          <cell r="O119" t="str">
            <v>-</v>
          </cell>
          <cell r="P119">
            <v>724</v>
          </cell>
          <cell r="Q119">
            <v>911</v>
          </cell>
          <cell r="R119">
            <v>480</v>
          </cell>
          <cell r="S119">
            <v>501</v>
          </cell>
          <cell r="T119">
            <v>450</v>
          </cell>
          <cell r="U119">
            <v>304</v>
          </cell>
          <cell r="V119">
            <v>421</v>
          </cell>
          <cell r="W119">
            <v>422</v>
          </cell>
          <cell r="X119" t="str">
            <v>-</v>
          </cell>
          <cell r="Y119">
            <v>495</v>
          </cell>
          <cell r="Z119">
            <v>502</v>
          </cell>
          <cell r="AA119">
            <v>305</v>
          </cell>
          <cell r="AB119">
            <v>306</v>
          </cell>
          <cell r="AC119">
            <v>730</v>
          </cell>
          <cell r="AD119" t="str">
            <v>-</v>
          </cell>
          <cell r="AE119">
            <v>748</v>
          </cell>
          <cell r="AF119" t="str">
            <v>-</v>
          </cell>
          <cell r="AG119" t="str">
            <v>-</v>
          </cell>
          <cell r="AH119" t="str">
            <v>-</v>
          </cell>
          <cell r="AI119">
            <v>722</v>
          </cell>
        </row>
        <row r="120">
          <cell r="A120" t="str">
            <v>PAINEL BP PUX 2144X876X18 + COR</v>
          </cell>
          <cell r="B120">
            <v>2200</v>
          </cell>
          <cell r="C120">
            <v>900</v>
          </cell>
          <cell r="D120">
            <v>2144</v>
          </cell>
          <cell r="E120">
            <v>876</v>
          </cell>
          <cell r="F120">
            <v>777533</v>
          </cell>
          <cell r="G120">
            <v>307</v>
          </cell>
          <cell r="H120">
            <v>302</v>
          </cell>
          <cell r="I120">
            <v>308</v>
          </cell>
          <cell r="J120">
            <v>309</v>
          </cell>
          <cell r="K120">
            <v>316</v>
          </cell>
          <cell r="L120">
            <v>318</v>
          </cell>
          <cell r="M120" t="str">
            <v>-</v>
          </cell>
          <cell r="N120" t="str">
            <v>-</v>
          </cell>
          <cell r="O120" t="str">
            <v>-</v>
          </cell>
          <cell r="P120">
            <v>724</v>
          </cell>
          <cell r="Q120">
            <v>911</v>
          </cell>
          <cell r="R120">
            <v>480</v>
          </cell>
          <cell r="S120">
            <v>501</v>
          </cell>
          <cell r="T120">
            <v>450</v>
          </cell>
          <cell r="U120">
            <v>304</v>
          </cell>
          <cell r="V120">
            <v>421</v>
          </cell>
          <cell r="W120">
            <v>422</v>
          </cell>
          <cell r="X120" t="str">
            <v>-</v>
          </cell>
          <cell r="Y120">
            <v>495</v>
          </cell>
          <cell r="Z120">
            <v>502</v>
          </cell>
          <cell r="AA120">
            <v>305</v>
          </cell>
          <cell r="AB120">
            <v>306</v>
          </cell>
          <cell r="AC120">
            <v>730</v>
          </cell>
          <cell r="AD120" t="str">
            <v>-</v>
          </cell>
          <cell r="AE120">
            <v>748</v>
          </cell>
          <cell r="AF120" t="str">
            <v>-</v>
          </cell>
          <cell r="AG120" t="str">
            <v>-</v>
          </cell>
          <cell r="AH120" t="str">
            <v>-</v>
          </cell>
          <cell r="AI120">
            <v>722</v>
          </cell>
        </row>
        <row r="121">
          <cell r="A121" t="str">
            <v>PAINEL BP PUX 2144X976X18 + COR</v>
          </cell>
          <cell r="B121">
            <v>2200</v>
          </cell>
          <cell r="C121">
            <v>1000</v>
          </cell>
          <cell r="D121">
            <v>2144</v>
          </cell>
          <cell r="E121">
            <v>976</v>
          </cell>
          <cell r="F121">
            <v>777534</v>
          </cell>
          <cell r="G121">
            <v>307</v>
          </cell>
          <cell r="H121">
            <v>302</v>
          </cell>
          <cell r="I121">
            <v>308</v>
          </cell>
          <cell r="J121">
            <v>309</v>
          </cell>
          <cell r="K121">
            <v>316</v>
          </cell>
          <cell r="L121">
            <v>318</v>
          </cell>
          <cell r="M121" t="str">
            <v>-</v>
          </cell>
          <cell r="N121" t="str">
            <v>-</v>
          </cell>
          <cell r="O121" t="str">
            <v>-</v>
          </cell>
          <cell r="P121">
            <v>724</v>
          </cell>
          <cell r="Q121">
            <v>911</v>
          </cell>
          <cell r="R121">
            <v>480</v>
          </cell>
          <cell r="S121">
            <v>501</v>
          </cell>
          <cell r="T121">
            <v>450</v>
          </cell>
          <cell r="U121">
            <v>304</v>
          </cell>
          <cell r="V121">
            <v>421</v>
          </cell>
          <cell r="W121">
            <v>422</v>
          </cell>
          <cell r="X121" t="str">
            <v>-</v>
          </cell>
          <cell r="Y121">
            <v>495</v>
          </cell>
          <cell r="Z121">
            <v>502</v>
          </cell>
          <cell r="AA121">
            <v>305</v>
          </cell>
          <cell r="AB121">
            <v>306</v>
          </cell>
          <cell r="AC121">
            <v>730</v>
          </cell>
          <cell r="AD121" t="str">
            <v>-</v>
          </cell>
          <cell r="AE121">
            <v>748</v>
          </cell>
          <cell r="AF121" t="str">
            <v>-</v>
          </cell>
          <cell r="AG121" t="str">
            <v>-</v>
          </cell>
          <cell r="AH121" t="str">
            <v>-</v>
          </cell>
          <cell r="AI121">
            <v>722</v>
          </cell>
        </row>
        <row r="122">
          <cell r="A122" t="str">
            <v>PAINEL BP PUX 2144X1076X18 + COR</v>
          </cell>
          <cell r="B122">
            <v>2200</v>
          </cell>
          <cell r="C122">
            <v>1100</v>
          </cell>
          <cell r="D122">
            <v>2144</v>
          </cell>
          <cell r="E122">
            <v>1076</v>
          </cell>
          <cell r="F122">
            <v>777535</v>
          </cell>
          <cell r="G122">
            <v>307</v>
          </cell>
          <cell r="H122">
            <v>302</v>
          </cell>
          <cell r="I122">
            <v>308</v>
          </cell>
          <cell r="J122">
            <v>309</v>
          </cell>
          <cell r="K122">
            <v>316</v>
          </cell>
          <cell r="L122">
            <v>318</v>
          </cell>
          <cell r="M122" t="str">
            <v>-</v>
          </cell>
          <cell r="N122" t="str">
            <v>-</v>
          </cell>
          <cell r="O122" t="str">
            <v>-</v>
          </cell>
          <cell r="P122">
            <v>724</v>
          </cell>
          <cell r="Q122">
            <v>911</v>
          </cell>
          <cell r="R122">
            <v>480</v>
          </cell>
          <cell r="S122">
            <v>501</v>
          </cell>
          <cell r="T122">
            <v>450</v>
          </cell>
          <cell r="U122">
            <v>304</v>
          </cell>
          <cell r="V122">
            <v>421</v>
          </cell>
          <cell r="W122">
            <v>422</v>
          </cell>
          <cell r="X122" t="str">
            <v>-</v>
          </cell>
          <cell r="Y122">
            <v>495</v>
          </cell>
          <cell r="Z122">
            <v>502</v>
          </cell>
          <cell r="AA122">
            <v>305</v>
          </cell>
          <cell r="AB122">
            <v>306</v>
          </cell>
          <cell r="AC122">
            <v>730</v>
          </cell>
          <cell r="AD122" t="str">
            <v>-</v>
          </cell>
          <cell r="AE122">
            <v>748</v>
          </cell>
          <cell r="AF122" t="str">
            <v>-</v>
          </cell>
          <cell r="AG122" t="str">
            <v>-</v>
          </cell>
          <cell r="AH122" t="str">
            <v>-</v>
          </cell>
          <cell r="AI122">
            <v>722</v>
          </cell>
        </row>
        <row r="123">
          <cell r="A123" t="str">
            <v>PAINEL BP PUX 2144X1176X18 + COR</v>
          </cell>
          <cell r="B123">
            <v>2200</v>
          </cell>
          <cell r="C123">
            <v>1200</v>
          </cell>
          <cell r="D123">
            <v>2144</v>
          </cell>
          <cell r="E123">
            <v>1176</v>
          </cell>
          <cell r="F123">
            <v>777536</v>
          </cell>
          <cell r="G123">
            <v>307</v>
          </cell>
          <cell r="H123">
            <v>302</v>
          </cell>
          <cell r="I123">
            <v>308</v>
          </cell>
          <cell r="J123">
            <v>309</v>
          </cell>
          <cell r="K123">
            <v>316</v>
          </cell>
          <cell r="L123">
            <v>318</v>
          </cell>
          <cell r="M123" t="str">
            <v>-</v>
          </cell>
          <cell r="N123" t="str">
            <v>-</v>
          </cell>
          <cell r="O123" t="str">
            <v>-</v>
          </cell>
          <cell r="P123">
            <v>724</v>
          </cell>
          <cell r="Q123">
            <v>911</v>
          </cell>
          <cell r="R123">
            <v>480</v>
          </cell>
          <cell r="S123">
            <v>501</v>
          </cell>
          <cell r="T123">
            <v>450</v>
          </cell>
          <cell r="U123">
            <v>304</v>
          </cell>
          <cell r="V123">
            <v>421</v>
          </cell>
          <cell r="W123">
            <v>422</v>
          </cell>
          <cell r="X123" t="str">
            <v>-</v>
          </cell>
          <cell r="Y123">
            <v>495</v>
          </cell>
          <cell r="Z123">
            <v>502</v>
          </cell>
          <cell r="AA123">
            <v>305</v>
          </cell>
          <cell r="AB123">
            <v>306</v>
          </cell>
          <cell r="AC123">
            <v>730</v>
          </cell>
          <cell r="AD123" t="str">
            <v>-</v>
          </cell>
          <cell r="AE123">
            <v>748</v>
          </cell>
          <cell r="AF123" t="str">
            <v>-</v>
          </cell>
          <cell r="AG123" t="str">
            <v>-</v>
          </cell>
          <cell r="AH123" t="str">
            <v>-</v>
          </cell>
          <cell r="AI123">
            <v>722</v>
          </cell>
        </row>
        <row r="124">
          <cell r="A124" t="str">
            <v>PAINEL BP PUX 2144X1276X18 + COR</v>
          </cell>
          <cell r="B124">
            <v>2200</v>
          </cell>
          <cell r="C124">
            <v>1300</v>
          </cell>
          <cell r="D124">
            <v>2144</v>
          </cell>
          <cell r="E124">
            <v>1276</v>
          </cell>
          <cell r="F124">
            <v>777537</v>
          </cell>
          <cell r="G124">
            <v>307</v>
          </cell>
          <cell r="H124">
            <v>302</v>
          </cell>
          <cell r="I124">
            <v>308</v>
          </cell>
          <cell r="J124">
            <v>309</v>
          </cell>
          <cell r="K124">
            <v>316</v>
          </cell>
          <cell r="L124">
            <v>318</v>
          </cell>
          <cell r="M124" t="str">
            <v>-</v>
          </cell>
          <cell r="N124" t="str">
            <v>-</v>
          </cell>
          <cell r="O124" t="str">
            <v>-</v>
          </cell>
          <cell r="P124">
            <v>724</v>
          </cell>
          <cell r="Q124">
            <v>911</v>
          </cell>
          <cell r="R124">
            <v>480</v>
          </cell>
          <cell r="S124">
            <v>501</v>
          </cell>
          <cell r="T124">
            <v>450</v>
          </cell>
          <cell r="U124">
            <v>304</v>
          </cell>
          <cell r="V124">
            <v>421</v>
          </cell>
          <cell r="W124">
            <v>422</v>
          </cell>
          <cell r="X124" t="str">
            <v>-</v>
          </cell>
          <cell r="Y124">
            <v>495</v>
          </cell>
          <cell r="Z124">
            <v>502</v>
          </cell>
          <cell r="AA124">
            <v>305</v>
          </cell>
          <cell r="AB124">
            <v>306</v>
          </cell>
          <cell r="AC124">
            <v>730</v>
          </cell>
          <cell r="AD124" t="str">
            <v>-</v>
          </cell>
          <cell r="AE124">
            <v>748</v>
          </cell>
          <cell r="AF124" t="str">
            <v>-</v>
          </cell>
          <cell r="AG124" t="str">
            <v>-</v>
          </cell>
          <cell r="AH124" t="str">
            <v>-</v>
          </cell>
          <cell r="AI124">
            <v>722</v>
          </cell>
        </row>
        <row r="125">
          <cell r="A125" t="str">
            <v>PAINEL BP PUX 2144X1376X18 + COR</v>
          </cell>
          <cell r="B125">
            <v>2200</v>
          </cell>
          <cell r="C125">
            <v>1400</v>
          </cell>
          <cell r="D125">
            <v>2144</v>
          </cell>
          <cell r="E125">
            <v>1376</v>
          </cell>
          <cell r="F125">
            <v>777538</v>
          </cell>
          <cell r="G125">
            <v>307</v>
          </cell>
          <cell r="H125">
            <v>302</v>
          </cell>
          <cell r="I125">
            <v>308</v>
          </cell>
          <cell r="J125">
            <v>309</v>
          </cell>
          <cell r="K125">
            <v>316</v>
          </cell>
          <cell r="L125">
            <v>318</v>
          </cell>
          <cell r="M125" t="str">
            <v>-</v>
          </cell>
          <cell r="N125" t="str">
            <v>-</v>
          </cell>
          <cell r="O125" t="str">
            <v>-</v>
          </cell>
          <cell r="P125">
            <v>724</v>
          </cell>
          <cell r="Q125">
            <v>911</v>
          </cell>
          <cell r="R125">
            <v>480</v>
          </cell>
          <cell r="S125">
            <v>501</v>
          </cell>
          <cell r="T125">
            <v>450</v>
          </cell>
          <cell r="U125">
            <v>304</v>
          </cell>
          <cell r="V125">
            <v>421</v>
          </cell>
          <cell r="W125">
            <v>422</v>
          </cell>
          <cell r="X125" t="str">
            <v>-</v>
          </cell>
          <cell r="Y125">
            <v>495</v>
          </cell>
          <cell r="Z125">
            <v>502</v>
          </cell>
          <cell r="AA125">
            <v>305</v>
          </cell>
          <cell r="AB125">
            <v>306</v>
          </cell>
          <cell r="AC125">
            <v>730</v>
          </cell>
          <cell r="AD125" t="str">
            <v>-</v>
          </cell>
          <cell r="AE125">
            <v>748</v>
          </cell>
          <cell r="AF125" t="str">
            <v>-</v>
          </cell>
          <cell r="AG125" t="str">
            <v>-</v>
          </cell>
          <cell r="AH125" t="str">
            <v>-</v>
          </cell>
          <cell r="AI125">
            <v>722</v>
          </cell>
        </row>
        <row r="126">
          <cell r="A126" t="str">
            <v>PAINEL BP PUX 2144X1476X18 + COR</v>
          </cell>
          <cell r="B126">
            <v>2200</v>
          </cell>
          <cell r="C126">
            <v>1500</v>
          </cell>
          <cell r="D126">
            <v>2144</v>
          </cell>
          <cell r="E126">
            <v>1476</v>
          </cell>
          <cell r="F126">
            <v>777539</v>
          </cell>
          <cell r="G126">
            <v>307</v>
          </cell>
          <cell r="H126">
            <v>302</v>
          </cell>
          <cell r="I126">
            <v>308</v>
          </cell>
          <cell r="J126">
            <v>309</v>
          </cell>
          <cell r="K126">
            <v>316</v>
          </cell>
          <cell r="L126">
            <v>318</v>
          </cell>
          <cell r="M126" t="str">
            <v>-</v>
          </cell>
          <cell r="N126" t="str">
            <v>-</v>
          </cell>
          <cell r="O126" t="str">
            <v>-</v>
          </cell>
          <cell r="P126">
            <v>724</v>
          </cell>
          <cell r="Q126">
            <v>911</v>
          </cell>
          <cell r="R126">
            <v>480</v>
          </cell>
          <cell r="S126">
            <v>501</v>
          </cell>
          <cell r="T126">
            <v>450</v>
          </cell>
          <cell r="U126">
            <v>304</v>
          </cell>
          <cell r="V126">
            <v>421</v>
          </cell>
          <cell r="W126">
            <v>422</v>
          </cell>
          <cell r="X126" t="str">
            <v>-</v>
          </cell>
          <cell r="Y126">
            <v>495</v>
          </cell>
          <cell r="Z126">
            <v>502</v>
          </cell>
          <cell r="AA126">
            <v>305</v>
          </cell>
          <cell r="AB126">
            <v>306</v>
          </cell>
          <cell r="AC126">
            <v>730</v>
          </cell>
          <cell r="AD126" t="str">
            <v>-</v>
          </cell>
          <cell r="AE126">
            <v>748</v>
          </cell>
          <cell r="AF126" t="str">
            <v>-</v>
          </cell>
          <cell r="AG126" t="str">
            <v>-</v>
          </cell>
          <cell r="AH126" t="str">
            <v>-</v>
          </cell>
          <cell r="AI126">
            <v>722</v>
          </cell>
        </row>
        <row r="127">
          <cell r="A127" t="str">
            <v>PAINEL BP PUX 2244X776X18 + COR</v>
          </cell>
          <cell r="B127">
            <v>2300</v>
          </cell>
          <cell r="C127">
            <v>800</v>
          </cell>
          <cell r="D127">
            <v>2244</v>
          </cell>
          <cell r="E127">
            <v>776</v>
          </cell>
          <cell r="F127">
            <v>777540</v>
          </cell>
          <cell r="G127">
            <v>307</v>
          </cell>
          <cell r="H127">
            <v>302</v>
          </cell>
          <cell r="I127">
            <v>308</v>
          </cell>
          <cell r="J127">
            <v>309</v>
          </cell>
          <cell r="K127">
            <v>316</v>
          </cell>
          <cell r="L127">
            <v>318</v>
          </cell>
          <cell r="M127" t="str">
            <v>-</v>
          </cell>
          <cell r="N127" t="str">
            <v>-</v>
          </cell>
          <cell r="O127" t="str">
            <v>-</v>
          </cell>
          <cell r="P127">
            <v>724</v>
          </cell>
          <cell r="Q127">
            <v>911</v>
          </cell>
          <cell r="R127">
            <v>480</v>
          </cell>
          <cell r="S127">
            <v>501</v>
          </cell>
          <cell r="T127">
            <v>450</v>
          </cell>
          <cell r="U127">
            <v>304</v>
          </cell>
          <cell r="V127">
            <v>421</v>
          </cell>
          <cell r="W127">
            <v>422</v>
          </cell>
          <cell r="X127" t="str">
            <v>-</v>
          </cell>
          <cell r="Y127">
            <v>495</v>
          </cell>
          <cell r="Z127">
            <v>502</v>
          </cell>
          <cell r="AA127">
            <v>305</v>
          </cell>
          <cell r="AB127">
            <v>306</v>
          </cell>
          <cell r="AC127">
            <v>730</v>
          </cell>
          <cell r="AD127" t="str">
            <v>-</v>
          </cell>
          <cell r="AE127">
            <v>748</v>
          </cell>
          <cell r="AF127" t="str">
            <v>-</v>
          </cell>
          <cell r="AG127" t="str">
            <v>-</v>
          </cell>
          <cell r="AH127" t="str">
            <v>-</v>
          </cell>
          <cell r="AI127">
            <v>722</v>
          </cell>
        </row>
        <row r="128">
          <cell r="A128" t="str">
            <v>PAINEL BP PUX 2244X876X18 + COR</v>
          </cell>
          <cell r="B128">
            <v>2300</v>
          </cell>
          <cell r="C128">
            <v>900</v>
          </cell>
          <cell r="D128">
            <v>2244</v>
          </cell>
          <cell r="E128">
            <v>876</v>
          </cell>
          <cell r="F128">
            <v>777541</v>
          </cell>
          <cell r="G128">
            <v>307</v>
          </cell>
          <cell r="H128">
            <v>302</v>
          </cell>
          <cell r="I128">
            <v>308</v>
          </cell>
          <cell r="J128">
            <v>309</v>
          </cell>
          <cell r="K128">
            <v>316</v>
          </cell>
          <cell r="L128">
            <v>318</v>
          </cell>
          <cell r="M128" t="str">
            <v>-</v>
          </cell>
          <cell r="N128" t="str">
            <v>-</v>
          </cell>
          <cell r="O128" t="str">
            <v>-</v>
          </cell>
          <cell r="P128">
            <v>724</v>
          </cell>
          <cell r="Q128">
            <v>911</v>
          </cell>
          <cell r="R128">
            <v>480</v>
          </cell>
          <cell r="S128">
            <v>501</v>
          </cell>
          <cell r="T128">
            <v>450</v>
          </cell>
          <cell r="U128">
            <v>304</v>
          </cell>
          <cell r="V128">
            <v>421</v>
          </cell>
          <cell r="W128">
            <v>422</v>
          </cell>
          <cell r="X128" t="str">
            <v>-</v>
          </cell>
          <cell r="Y128">
            <v>495</v>
          </cell>
          <cell r="Z128">
            <v>502</v>
          </cell>
          <cell r="AA128">
            <v>305</v>
          </cell>
          <cell r="AB128">
            <v>306</v>
          </cell>
          <cell r="AC128">
            <v>730</v>
          </cell>
          <cell r="AD128" t="str">
            <v>-</v>
          </cell>
          <cell r="AE128">
            <v>748</v>
          </cell>
          <cell r="AF128" t="str">
            <v>-</v>
          </cell>
          <cell r="AG128" t="str">
            <v>-</v>
          </cell>
          <cell r="AH128" t="str">
            <v>-</v>
          </cell>
          <cell r="AI128">
            <v>722</v>
          </cell>
        </row>
        <row r="129">
          <cell r="A129" t="str">
            <v>PAINEL BP PUX 2244X976X18 + COR</v>
          </cell>
          <cell r="B129">
            <v>2300</v>
          </cell>
          <cell r="C129">
            <v>1000</v>
          </cell>
          <cell r="D129">
            <v>2244</v>
          </cell>
          <cell r="E129">
            <v>976</v>
          </cell>
          <cell r="F129">
            <v>777542</v>
          </cell>
          <cell r="G129">
            <v>307</v>
          </cell>
          <cell r="H129">
            <v>302</v>
          </cell>
          <cell r="I129">
            <v>308</v>
          </cell>
          <cell r="J129">
            <v>309</v>
          </cell>
          <cell r="K129">
            <v>316</v>
          </cell>
          <cell r="L129">
            <v>318</v>
          </cell>
          <cell r="M129" t="str">
            <v>-</v>
          </cell>
          <cell r="N129" t="str">
            <v>-</v>
          </cell>
          <cell r="O129" t="str">
            <v>-</v>
          </cell>
          <cell r="P129">
            <v>724</v>
          </cell>
          <cell r="Q129">
            <v>911</v>
          </cell>
          <cell r="R129">
            <v>480</v>
          </cell>
          <cell r="S129">
            <v>501</v>
          </cell>
          <cell r="T129">
            <v>450</v>
          </cell>
          <cell r="U129">
            <v>304</v>
          </cell>
          <cell r="V129">
            <v>421</v>
          </cell>
          <cell r="W129">
            <v>422</v>
          </cell>
          <cell r="X129" t="str">
            <v>-</v>
          </cell>
          <cell r="Y129">
            <v>495</v>
          </cell>
          <cell r="Z129">
            <v>502</v>
          </cell>
          <cell r="AA129">
            <v>305</v>
          </cell>
          <cell r="AB129">
            <v>306</v>
          </cell>
          <cell r="AC129">
            <v>730</v>
          </cell>
          <cell r="AD129" t="str">
            <v>-</v>
          </cell>
          <cell r="AE129">
            <v>748</v>
          </cell>
          <cell r="AF129" t="str">
            <v>-</v>
          </cell>
          <cell r="AG129" t="str">
            <v>-</v>
          </cell>
          <cell r="AH129" t="str">
            <v>-</v>
          </cell>
          <cell r="AI129">
            <v>722</v>
          </cell>
        </row>
        <row r="130">
          <cell r="A130" t="str">
            <v>PAINEL BP PUX 2244X1076X18 + COR</v>
          </cell>
          <cell r="B130">
            <v>2300</v>
          </cell>
          <cell r="C130">
            <v>1100</v>
          </cell>
          <cell r="D130">
            <v>2244</v>
          </cell>
          <cell r="E130">
            <v>1076</v>
          </cell>
          <cell r="F130">
            <v>777543</v>
          </cell>
          <cell r="G130">
            <v>307</v>
          </cell>
          <cell r="H130">
            <v>302</v>
          </cell>
          <cell r="I130">
            <v>308</v>
          </cell>
          <cell r="J130">
            <v>309</v>
          </cell>
          <cell r="K130">
            <v>316</v>
          </cell>
          <cell r="L130">
            <v>318</v>
          </cell>
          <cell r="M130" t="str">
            <v>-</v>
          </cell>
          <cell r="N130" t="str">
            <v>-</v>
          </cell>
          <cell r="O130" t="str">
            <v>-</v>
          </cell>
          <cell r="P130">
            <v>724</v>
          </cell>
          <cell r="Q130">
            <v>911</v>
          </cell>
          <cell r="R130">
            <v>480</v>
          </cell>
          <cell r="S130">
            <v>501</v>
          </cell>
          <cell r="T130">
            <v>450</v>
          </cell>
          <cell r="U130">
            <v>304</v>
          </cell>
          <cell r="V130">
            <v>421</v>
          </cell>
          <cell r="W130">
            <v>422</v>
          </cell>
          <cell r="X130" t="str">
            <v>-</v>
          </cell>
          <cell r="Y130">
            <v>495</v>
          </cell>
          <cell r="Z130">
            <v>502</v>
          </cell>
          <cell r="AA130">
            <v>305</v>
          </cell>
          <cell r="AB130">
            <v>306</v>
          </cell>
          <cell r="AC130">
            <v>730</v>
          </cell>
          <cell r="AD130" t="str">
            <v>-</v>
          </cell>
          <cell r="AE130">
            <v>748</v>
          </cell>
          <cell r="AF130" t="str">
            <v>-</v>
          </cell>
          <cell r="AG130" t="str">
            <v>-</v>
          </cell>
          <cell r="AH130" t="str">
            <v>-</v>
          </cell>
          <cell r="AI130">
            <v>722</v>
          </cell>
        </row>
        <row r="131">
          <cell r="A131" t="str">
            <v>PAINEL BP PUX 2244X1176X18 + COR</v>
          </cell>
          <cell r="B131">
            <v>2300</v>
          </cell>
          <cell r="C131">
            <v>1200</v>
          </cell>
          <cell r="D131">
            <v>2244</v>
          </cell>
          <cell r="E131">
            <v>1176</v>
          </cell>
          <cell r="F131">
            <v>777544</v>
          </cell>
          <cell r="G131">
            <v>307</v>
          </cell>
          <cell r="H131">
            <v>302</v>
          </cell>
          <cell r="I131">
            <v>308</v>
          </cell>
          <cell r="J131">
            <v>309</v>
          </cell>
          <cell r="K131">
            <v>316</v>
          </cell>
          <cell r="L131">
            <v>318</v>
          </cell>
          <cell r="M131" t="str">
            <v>-</v>
          </cell>
          <cell r="N131" t="str">
            <v>-</v>
          </cell>
          <cell r="O131" t="str">
            <v>-</v>
          </cell>
          <cell r="P131">
            <v>724</v>
          </cell>
          <cell r="Q131">
            <v>911</v>
          </cell>
          <cell r="R131">
            <v>480</v>
          </cell>
          <cell r="S131">
            <v>501</v>
          </cell>
          <cell r="T131">
            <v>450</v>
          </cell>
          <cell r="U131">
            <v>304</v>
          </cell>
          <cell r="V131">
            <v>421</v>
          </cell>
          <cell r="W131">
            <v>422</v>
          </cell>
          <cell r="X131" t="str">
            <v>-</v>
          </cell>
          <cell r="Y131">
            <v>495</v>
          </cell>
          <cell r="Z131">
            <v>502</v>
          </cell>
          <cell r="AA131">
            <v>305</v>
          </cell>
          <cell r="AB131">
            <v>306</v>
          </cell>
          <cell r="AC131">
            <v>730</v>
          </cell>
          <cell r="AD131" t="str">
            <v>-</v>
          </cell>
          <cell r="AE131">
            <v>748</v>
          </cell>
          <cell r="AF131" t="str">
            <v>-</v>
          </cell>
          <cell r="AG131" t="str">
            <v>-</v>
          </cell>
          <cell r="AH131" t="str">
            <v>-</v>
          </cell>
          <cell r="AI131">
            <v>722</v>
          </cell>
        </row>
        <row r="132">
          <cell r="A132" t="str">
            <v>PAINEL BP PUX 2244X1276X18 + COR</v>
          </cell>
          <cell r="B132">
            <v>2300</v>
          </cell>
          <cell r="C132">
            <v>1300</v>
          </cell>
          <cell r="D132">
            <v>2244</v>
          </cell>
          <cell r="E132">
            <v>1276</v>
          </cell>
          <cell r="F132">
            <v>777545</v>
          </cell>
          <cell r="G132">
            <v>307</v>
          </cell>
          <cell r="H132">
            <v>302</v>
          </cell>
          <cell r="I132">
            <v>308</v>
          </cell>
          <cell r="J132">
            <v>309</v>
          </cell>
          <cell r="K132">
            <v>316</v>
          </cell>
          <cell r="L132">
            <v>318</v>
          </cell>
          <cell r="M132" t="str">
            <v>-</v>
          </cell>
          <cell r="N132" t="str">
            <v>-</v>
          </cell>
          <cell r="O132" t="str">
            <v>-</v>
          </cell>
          <cell r="P132">
            <v>724</v>
          </cell>
          <cell r="Q132">
            <v>911</v>
          </cell>
          <cell r="R132">
            <v>480</v>
          </cell>
          <cell r="S132">
            <v>501</v>
          </cell>
          <cell r="T132">
            <v>450</v>
          </cell>
          <cell r="U132">
            <v>304</v>
          </cell>
          <cell r="V132">
            <v>421</v>
          </cell>
          <cell r="W132">
            <v>422</v>
          </cell>
          <cell r="X132" t="str">
            <v>-</v>
          </cell>
          <cell r="Y132">
            <v>495</v>
          </cell>
          <cell r="Z132">
            <v>502</v>
          </cell>
          <cell r="AA132">
            <v>305</v>
          </cell>
          <cell r="AB132">
            <v>306</v>
          </cell>
          <cell r="AC132">
            <v>730</v>
          </cell>
          <cell r="AD132" t="str">
            <v>-</v>
          </cell>
          <cell r="AE132">
            <v>748</v>
          </cell>
          <cell r="AF132" t="str">
            <v>-</v>
          </cell>
          <cell r="AG132" t="str">
            <v>-</v>
          </cell>
          <cell r="AH132" t="str">
            <v>-</v>
          </cell>
          <cell r="AI132">
            <v>722</v>
          </cell>
        </row>
        <row r="133">
          <cell r="A133" t="str">
            <v>PAINEL BP PUX 2244X1376X18 + COR</v>
          </cell>
          <cell r="B133">
            <v>2300</v>
          </cell>
          <cell r="C133">
            <v>1400</v>
          </cell>
          <cell r="D133">
            <v>2244</v>
          </cell>
          <cell r="E133">
            <v>1376</v>
          </cell>
          <cell r="F133">
            <v>777546</v>
          </cell>
          <cell r="G133">
            <v>307</v>
          </cell>
          <cell r="H133">
            <v>302</v>
          </cell>
          <cell r="I133">
            <v>308</v>
          </cell>
          <cell r="J133">
            <v>309</v>
          </cell>
          <cell r="K133">
            <v>316</v>
          </cell>
          <cell r="L133">
            <v>318</v>
          </cell>
          <cell r="M133" t="str">
            <v>-</v>
          </cell>
          <cell r="N133" t="str">
            <v>-</v>
          </cell>
          <cell r="O133" t="str">
            <v>-</v>
          </cell>
          <cell r="P133">
            <v>724</v>
          </cell>
          <cell r="Q133">
            <v>911</v>
          </cell>
          <cell r="R133">
            <v>480</v>
          </cell>
          <cell r="S133">
            <v>501</v>
          </cell>
          <cell r="T133">
            <v>450</v>
          </cell>
          <cell r="U133">
            <v>304</v>
          </cell>
          <cell r="V133">
            <v>421</v>
          </cell>
          <cell r="W133">
            <v>422</v>
          </cell>
          <cell r="X133" t="str">
            <v>-</v>
          </cell>
          <cell r="Y133">
            <v>495</v>
          </cell>
          <cell r="Z133">
            <v>502</v>
          </cell>
          <cell r="AA133">
            <v>305</v>
          </cell>
          <cell r="AB133">
            <v>306</v>
          </cell>
          <cell r="AC133">
            <v>730</v>
          </cell>
          <cell r="AD133" t="str">
            <v>-</v>
          </cell>
          <cell r="AE133">
            <v>748</v>
          </cell>
          <cell r="AF133" t="str">
            <v>-</v>
          </cell>
          <cell r="AG133" t="str">
            <v>-</v>
          </cell>
          <cell r="AH133" t="str">
            <v>-</v>
          </cell>
          <cell r="AI133">
            <v>722</v>
          </cell>
        </row>
        <row r="134">
          <cell r="A134" t="str">
            <v>PAINEL BP PUX 2244X1476X18 + COR</v>
          </cell>
          <cell r="B134">
            <v>2300</v>
          </cell>
          <cell r="C134">
            <v>1500</v>
          </cell>
          <cell r="D134">
            <v>2244</v>
          </cell>
          <cell r="E134">
            <v>1476</v>
          </cell>
          <cell r="F134">
            <v>777547</v>
          </cell>
          <cell r="G134">
            <v>307</v>
          </cell>
          <cell r="H134">
            <v>302</v>
          </cell>
          <cell r="I134">
            <v>308</v>
          </cell>
          <cell r="J134">
            <v>309</v>
          </cell>
          <cell r="K134">
            <v>316</v>
          </cell>
          <cell r="L134">
            <v>318</v>
          </cell>
          <cell r="M134" t="str">
            <v>-</v>
          </cell>
          <cell r="N134" t="str">
            <v>-</v>
          </cell>
          <cell r="O134" t="str">
            <v>-</v>
          </cell>
          <cell r="P134">
            <v>724</v>
          </cell>
          <cell r="Q134">
            <v>911</v>
          </cell>
          <cell r="R134">
            <v>480</v>
          </cell>
          <cell r="S134">
            <v>501</v>
          </cell>
          <cell r="T134">
            <v>450</v>
          </cell>
          <cell r="U134">
            <v>304</v>
          </cell>
          <cell r="V134">
            <v>421</v>
          </cell>
          <cell r="W134">
            <v>422</v>
          </cell>
          <cell r="X134" t="str">
            <v>-</v>
          </cell>
          <cell r="Y134">
            <v>495</v>
          </cell>
          <cell r="Z134">
            <v>502</v>
          </cell>
          <cell r="AA134">
            <v>305</v>
          </cell>
          <cell r="AB134">
            <v>306</v>
          </cell>
          <cell r="AC134">
            <v>730</v>
          </cell>
          <cell r="AD134" t="str">
            <v>-</v>
          </cell>
          <cell r="AE134">
            <v>748</v>
          </cell>
          <cell r="AF134" t="str">
            <v>-</v>
          </cell>
          <cell r="AG134" t="str">
            <v>-</v>
          </cell>
          <cell r="AH134" t="str">
            <v>-</v>
          </cell>
          <cell r="AI134">
            <v>722</v>
          </cell>
        </row>
        <row r="135">
          <cell r="A135" t="str">
            <v>PAINEL BP PUX 2344X776X18 + COR</v>
          </cell>
          <cell r="B135">
            <v>2400</v>
          </cell>
          <cell r="C135">
            <v>800</v>
          </cell>
          <cell r="D135">
            <v>2344</v>
          </cell>
          <cell r="E135">
            <v>776</v>
          </cell>
          <cell r="F135">
            <v>777548</v>
          </cell>
          <cell r="G135">
            <v>307</v>
          </cell>
          <cell r="H135">
            <v>302</v>
          </cell>
          <cell r="I135">
            <v>308</v>
          </cell>
          <cell r="J135">
            <v>309</v>
          </cell>
          <cell r="K135">
            <v>316</v>
          </cell>
          <cell r="L135">
            <v>318</v>
          </cell>
          <cell r="M135" t="str">
            <v>-</v>
          </cell>
          <cell r="N135" t="str">
            <v>-</v>
          </cell>
          <cell r="O135" t="str">
            <v>-</v>
          </cell>
          <cell r="P135">
            <v>724</v>
          </cell>
          <cell r="Q135">
            <v>911</v>
          </cell>
          <cell r="R135">
            <v>480</v>
          </cell>
          <cell r="S135">
            <v>501</v>
          </cell>
          <cell r="T135">
            <v>450</v>
          </cell>
          <cell r="U135">
            <v>304</v>
          </cell>
          <cell r="V135">
            <v>421</v>
          </cell>
          <cell r="W135">
            <v>422</v>
          </cell>
          <cell r="X135" t="str">
            <v>-</v>
          </cell>
          <cell r="Y135">
            <v>495</v>
          </cell>
          <cell r="Z135">
            <v>502</v>
          </cell>
          <cell r="AA135">
            <v>305</v>
          </cell>
          <cell r="AB135">
            <v>306</v>
          </cell>
          <cell r="AC135">
            <v>730</v>
          </cell>
          <cell r="AD135" t="str">
            <v>-</v>
          </cell>
          <cell r="AE135">
            <v>748</v>
          </cell>
          <cell r="AF135" t="str">
            <v>-</v>
          </cell>
          <cell r="AG135" t="str">
            <v>-</v>
          </cell>
          <cell r="AH135" t="str">
            <v>-</v>
          </cell>
          <cell r="AI135">
            <v>722</v>
          </cell>
        </row>
        <row r="136">
          <cell r="A136" t="str">
            <v>PAINEL BP PUX 2344X876X18 + COR</v>
          </cell>
          <cell r="B136">
            <v>2400</v>
          </cell>
          <cell r="C136">
            <v>900</v>
          </cell>
          <cell r="D136">
            <v>2344</v>
          </cell>
          <cell r="E136">
            <v>876</v>
          </cell>
          <cell r="F136">
            <v>777549</v>
          </cell>
          <cell r="G136">
            <v>307</v>
          </cell>
          <cell r="H136">
            <v>302</v>
          </cell>
          <cell r="I136">
            <v>308</v>
          </cell>
          <cell r="J136">
            <v>309</v>
          </cell>
          <cell r="K136">
            <v>316</v>
          </cell>
          <cell r="L136">
            <v>318</v>
          </cell>
          <cell r="M136" t="str">
            <v>-</v>
          </cell>
          <cell r="N136" t="str">
            <v>-</v>
          </cell>
          <cell r="O136" t="str">
            <v>-</v>
          </cell>
          <cell r="P136">
            <v>724</v>
          </cell>
          <cell r="Q136">
            <v>911</v>
          </cell>
          <cell r="R136">
            <v>480</v>
          </cell>
          <cell r="S136">
            <v>501</v>
          </cell>
          <cell r="T136">
            <v>450</v>
          </cell>
          <cell r="U136">
            <v>304</v>
          </cell>
          <cell r="V136">
            <v>421</v>
          </cell>
          <cell r="W136">
            <v>422</v>
          </cell>
          <cell r="X136" t="str">
            <v>-</v>
          </cell>
          <cell r="Y136">
            <v>495</v>
          </cell>
          <cell r="Z136">
            <v>502</v>
          </cell>
          <cell r="AA136">
            <v>305</v>
          </cell>
          <cell r="AB136">
            <v>306</v>
          </cell>
          <cell r="AC136">
            <v>730</v>
          </cell>
          <cell r="AD136" t="str">
            <v>-</v>
          </cell>
          <cell r="AE136">
            <v>748</v>
          </cell>
          <cell r="AF136" t="str">
            <v>-</v>
          </cell>
          <cell r="AG136" t="str">
            <v>-</v>
          </cell>
          <cell r="AH136" t="str">
            <v>-</v>
          </cell>
          <cell r="AI136">
            <v>722</v>
          </cell>
        </row>
        <row r="137">
          <cell r="A137" t="str">
            <v>PAINEL BP PUX 2344X976X18 + COR</v>
          </cell>
          <cell r="B137">
            <v>2400</v>
          </cell>
          <cell r="C137">
            <v>1000</v>
          </cell>
          <cell r="D137">
            <v>2344</v>
          </cell>
          <cell r="E137">
            <v>976</v>
          </cell>
          <cell r="F137">
            <v>777550</v>
          </cell>
          <cell r="G137">
            <v>307</v>
          </cell>
          <cell r="H137">
            <v>302</v>
          </cell>
          <cell r="I137">
            <v>308</v>
          </cell>
          <cell r="J137">
            <v>309</v>
          </cell>
          <cell r="K137">
            <v>316</v>
          </cell>
          <cell r="L137">
            <v>318</v>
          </cell>
          <cell r="M137" t="str">
            <v>-</v>
          </cell>
          <cell r="N137" t="str">
            <v>-</v>
          </cell>
          <cell r="O137" t="str">
            <v>-</v>
          </cell>
          <cell r="P137">
            <v>724</v>
          </cell>
          <cell r="Q137">
            <v>911</v>
          </cell>
          <cell r="R137">
            <v>480</v>
          </cell>
          <cell r="S137">
            <v>501</v>
          </cell>
          <cell r="T137">
            <v>450</v>
          </cell>
          <cell r="U137">
            <v>304</v>
          </cell>
          <cell r="V137">
            <v>421</v>
          </cell>
          <cell r="W137">
            <v>422</v>
          </cell>
          <cell r="X137" t="str">
            <v>-</v>
          </cell>
          <cell r="Y137">
            <v>495</v>
          </cell>
          <cell r="Z137">
            <v>502</v>
          </cell>
          <cell r="AA137">
            <v>305</v>
          </cell>
          <cell r="AB137">
            <v>306</v>
          </cell>
          <cell r="AC137">
            <v>730</v>
          </cell>
          <cell r="AD137" t="str">
            <v>-</v>
          </cell>
          <cell r="AE137">
            <v>748</v>
          </cell>
          <cell r="AF137" t="str">
            <v>-</v>
          </cell>
          <cell r="AG137" t="str">
            <v>-</v>
          </cell>
          <cell r="AH137" t="str">
            <v>-</v>
          </cell>
          <cell r="AI137">
            <v>722</v>
          </cell>
        </row>
        <row r="138">
          <cell r="A138" t="str">
            <v>PAINEL BP PUX 2344X1076X18 + COR</v>
          </cell>
          <cell r="B138">
            <v>2400</v>
          </cell>
          <cell r="C138">
            <v>1100</v>
          </cell>
          <cell r="D138">
            <v>2344</v>
          </cell>
          <cell r="E138">
            <v>1076</v>
          </cell>
          <cell r="F138">
            <v>777551</v>
          </cell>
          <cell r="G138">
            <v>307</v>
          </cell>
          <cell r="H138">
            <v>302</v>
          </cell>
          <cell r="I138">
            <v>308</v>
          </cell>
          <cell r="J138">
            <v>309</v>
          </cell>
          <cell r="K138">
            <v>316</v>
          </cell>
          <cell r="L138">
            <v>318</v>
          </cell>
          <cell r="M138" t="str">
            <v>-</v>
          </cell>
          <cell r="N138" t="str">
            <v>-</v>
          </cell>
          <cell r="O138" t="str">
            <v>-</v>
          </cell>
          <cell r="P138">
            <v>724</v>
          </cell>
          <cell r="Q138">
            <v>911</v>
          </cell>
          <cell r="R138">
            <v>480</v>
          </cell>
          <cell r="S138">
            <v>501</v>
          </cell>
          <cell r="T138">
            <v>450</v>
          </cell>
          <cell r="U138">
            <v>304</v>
          </cell>
          <cell r="V138">
            <v>421</v>
          </cell>
          <cell r="W138">
            <v>422</v>
          </cell>
          <cell r="X138" t="str">
            <v>-</v>
          </cell>
          <cell r="Y138">
            <v>495</v>
          </cell>
          <cell r="Z138">
            <v>502</v>
          </cell>
          <cell r="AA138">
            <v>305</v>
          </cell>
          <cell r="AB138">
            <v>306</v>
          </cell>
          <cell r="AC138">
            <v>730</v>
          </cell>
          <cell r="AD138" t="str">
            <v>-</v>
          </cell>
          <cell r="AE138">
            <v>748</v>
          </cell>
          <cell r="AF138" t="str">
            <v>-</v>
          </cell>
          <cell r="AG138" t="str">
            <v>-</v>
          </cell>
          <cell r="AH138" t="str">
            <v>-</v>
          </cell>
          <cell r="AI138">
            <v>722</v>
          </cell>
        </row>
        <row r="139">
          <cell r="A139" t="str">
            <v>PAINEL BP PUX 2344X1176X18 + COR</v>
          </cell>
          <cell r="B139">
            <v>2400</v>
          </cell>
          <cell r="C139">
            <v>1200</v>
          </cell>
          <cell r="D139">
            <v>2344</v>
          </cell>
          <cell r="E139">
            <v>1176</v>
          </cell>
          <cell r="F139">
            <v>777552</v>
          </cell>
          <cell r="G139">
            <v>307</v>
          </cell>
          <cell r="H139">
            <v>302</v>
          </cell>
          <cell r="I139">
            <v>308</v>
          </cell>
          <cell r="J139">
            <v>309</v>
          </cell>
          <cell r="K139">
            <v>316</v>
          </cell>
          <cell r="L139">
            <v>318</v>
          </cell>
          <cell r="M139" t="str">
            <v>-</v>
          </cell>
          <cell r="N139" t="str">
            <v>-</v>
          </cell>
          <cell r="O139" t="str">
            <v>-</v>
          </cell>
          <cell r="P139">
            <v>724</v>
          </cell>
          <cell r="Q139">
            <v>911</v>
          </cell>
          <cell r="R139">
            <v>480</v>
          </cell>
          <cell r="S139">
            <v>501</v>
          </cell>
          <cell r="T139">
            <v>450</v>
          </cell>
          <cell r="U139">
            <v>304</v>
          </cell>
          <cell r="V139">
            <v>421</v>
          </cell>
          <cell r="W139">
            <v>422</v>
          </cell>
          <cell r="X139" t="str">
            <v>-</v>
          </cell>
          <cell r="Y139">
            <v>495</v>
          </cell>
          <cell r="Z139">
            <v>502</v>
          </cell>
          <cell r="AA139">
            <v>305</v>
          </cell>
          <cell r="AB139">
            <v>306</v>
          </cell>
          <cell r="AC139">
            <v>730</v>
          </cell>
          <cell r="AD139" t="str">
            <v>-</v>
          </cell>
          <cell r="AE139">
            <v>748</v>
          </cell>
          <cell r="AF139" t="str">
            <v>-</v>
          </cell>
          <cell r="AG139" t="str">
            <v>-</v>
          </cell>
          <cell r="AH139" t="str">
            <v>-</v>
          </cell>
          <cell r="AI139">
            <v>722</v>
          </cell>
        </row>
        <row r="140">
          <cell r="A140" t="str">
            <v>PAINEL BP PUX 2344X1276X18 + COR</v>
          </cell>
          <cell r="B140">
            <v>2400</v>
          </cell>
          <cell r="C140">
            <v>1300</v>
          </cell>
          <cell r="D140">
            <v>2344</v>
          </cell>
          <cell r="E140">
            <v>1276</v>
          </cell>
          <cell r="F140">
            <v>777553</v>
          </cell>
          <cell r="G140">
            <v>307</v>
          </cell>
          <cell r="H140">
            <v>302</v>
          </cell>
          <cell r="I140">
            <v>308</v>
          </cell>
          <cell r="J140">
            <v>309</v>
          </cell>
          <cell r="K140">
            <v>316</v>
          </cell>
          <cell r="L140">
            <v>318</v>
          </cell>
          <cell r="M140" t="str">
            <v>-</v>
          </cell>
          <cell r="N140" t="str">
            <v>-</v>
          </cell>
          <cell r="O140" t="str">
            <v>-</v>
          </cell>
          <cell r="P140">
            <v>724</v>
          </cell>
          <cell r="Q140">
            <v>911</v>
          </cell>
          <cell r="R140">
            <v>480</v>
          </cell>
          <cell r="S140">
            <v>501</v>
          </cell>
          <cell r="T140">
            <v>450</v>
          </cell>
          <cell r="U140">
            <v>304</v>
          </cell>
          <cell r="V140">
            <v>421</v>
          </cell>
          <cell r="W140">
            <v>422</v>
          </cell>
          <cell r="X140" t="str">
            <v>-</v>
          </cell>
          <cell r="Y140">
            <v>495</v>
          </cell>
          <cell r="Z140">
            <v>502</v>
          </cell>
          <cell r="AA140">
            <v>305</v>
          </cell>
          <cell r="AB140">
            <v>306</v>
          </cell>
          <cell r="AC140">
            <v>730</v>
          </cell>
          <cell r="AD140" t="str">
            <v>-</v>
          </cell>
          <cell r="AE140">
            <v>748</v>
          </cell>
          <cell r="AF140" t="str">
            <v>-</v>
          </cell>
          <cell r="AG140" t="str">
            <v>-</v>
          </cell>
          <cell r="AH140" t="str">
            <v>-</v>
          </cell>
          <cell r="AI140">
            <v>722</v>
          </cell>
        </row>
        <row r="141">
          <cell r="A141" t="str">
            <v>PAINEL BP PUX 2344X1376X18 + COR</v>
          </cell>
          <cell r="B141">
            <v>2400</v>
          </cell>
          <cell r="C141">
            <v>1400</v>
          </cell>
          <cell r="D141">
            <v>2344</v>
          </cell>
          <cell r="E141">
            <v>1376</v>
          </cell>
          <cell r="F141">
            <v>777554</v>
          </cell>
          <cell r="G141">
            <v>307</v>
          </cell>
          <cell r="H141">
            <v>302</v>
          </cell>
          <cell r="I141">
            <v>308</v>
          </cell>
          <cell r="J141">
            <v>309</v>
          </cell>
          <cell r="K141">
            <v>316</v>
          </cell>
          <cell r="L141">
            <v>318</v>
          </cell>
          <cell r="M141" t="str">
            <v>-</v>
          </cell>
          <cell r="N141" t="str">
            <v>-</v>
          </cell>
          <cell r="O141" t="str">
            <v>-</v>
          </cell>
          <cell r="P141">
            <v>724</v>
          </cell>
          <cell r="Q141">
            <v>911</v>
          </cell>
          <cell r="R141">
            <v>480</v>
          </cell>
          <cell r="S141">
            <v>501</v>
          </cell>
          <cell r="T141">
            <v>450</v>
          </cell>
          <cell r="U141">
            <v>304</v>
          </cell>
          <cell r="V141">
            <v>421</v>
          </cell>
          <cell r="W141">
            <v>422</v>
          </cell>
          <cell r="X141" t="str">
            <v>-</v>
          </cell>
          <cell r="Y141">
            <v>495</v>
          </cell>
          <cell r="Z141">
            <v>502</v>
          </cell>
          <cell r="AA141">
            <v>305</v>
          </cell>
          <cell r="AB141">
            <v>306</v>
          </cell>
          <cell r="AC141">
            <v>730</v>
          </cell>
          <cell r="AD141" t="str">
            <v>-</v>
          </cell>
          <cell r="AE141">
            <v>748</v>
          </cell>
          <cell r="AF141" t="str">
            <v>-</v>
          </cell>
          <cell r="AG141" t="str">
            <v>-</v>
          </cell>
          <cell r="AH141" t="str">
            <v>-</v>
          </cell>
          <cell r="AI141">
            <v>722</v>
          </cell>
        </row>
        <row r="142">
          <cell r="A142" t="str">
            <v>PAINEL BP PUX 2344X1476X18 + COR</v>
          </cell>
          <cell r="B142">
            <v>2400</v>
          </cell>
          <cell r="C142">
            <v>1500</v>
          </cell>
          <cell r="D142">
            <v>2344</v>
          </cell>
          <cell r="E142">
            <v>1476</v>
          </cell>
          <cell r="F142">
            <v>777555</v>
          </cell>
          <cell r="G142">
            <v>307</v>
          </cell>
          <cell r="H142">
            <v>302</v>
          </cell>
          <cell r="I142">
            <v>308</v>
          </cell>
          <cell r="J142">
            <v>309</v>
          </cell>
          <cell r="K142">
            <v>316</v>
          </cell>
          <cell r="L142">
            <v>318</v>
          </cell>
          <cell r="M142" t="str">
            <v>-</v>
          </cell>
          <cell r="N142" t="str">
            <v>-</v>
          </cell>
          <cell r="O142" t="str">
            <v>-</v>
          </cell>
          <cell r="P142">
            <v>724</v>
          </cell>
          <cell r="Q142">
            <v>911</v>
          </cell>
          <cell r="R142">
            <v>480</v>
          </cell>
          <cell r="S142">
            <v>501</v>
          </cell>
          <cell r="T142">
            <v>450</v>
          </cell>
          <cell r="U142">
            <v>304</v>
          </cell>
          <cell r="V142">
            <v>421</v>
          </cell>
          <cell r="W142">
            <v>422</v>
          </cell>
          <cell r="X142" t="str">
            <v>-</v>
          </cell>
          <cell r="Y142">
            <v>495</v>
          </cell>
          <cell r="Z142">
            <v>502</v>
          </cell>
          <cell r="AA142">
            <v>305</v>
          </cell>
          <cell r="AB142">
            <v>306</v>
          </cell>
          <cell r="AC142">
            <v>730</v>
          </cell>
          <cell r="AD142" t="str">
            <v>-</v>
          </cell>
          <cell r="AE142">
            <v>748</v>
          </cell>
          <cell r="AF142" t="str">
            <v>-</v>
          </cell>
          <cell r="AG142" t="str">
            <v>-</v>
          </cell>
          <cell r="AH142" t="str">
            <v>-</v>
          </cell>
          <cell r="AI142">
            <v>722</v>
          </cell>
        </row>
        <row r="143">
          <cell r="A143" t="str">
            <v>PAINEL BP PUX 2444X776X18 + COR</v>
          </cell>
          <cell r="B143">
            <v>2500</v>
          </cell>
          <cell r="C143">
            <v>800</v>
          </cell>
          <cell r="D143">
            <v>2444</v>
          </cell>
          <cell r="E143">
            <v>776</v>
          </cell>
          <cell r="F143">
            <v>777556</v>
          </cell>
          <cell r="G143">
            <v>307</v>
          </cell>
          <cell r="H143">
            <v>302</v>
          </cell>
          <cell r="I143">
            <v>308</v>
          </cell>
          <cell r="J143">
            <v>309</v>
          </cell>
          <cell r="K143">
            <v>316</v>
          </cell>
          <cell r="L143">
            <v>318</v>
          </cell>
          <cell r="M143" t="str">
            <v>-</v>
          </cell>
          <cell r="N143" t="str">
            <v>-</v>
          </cell>
          <cell r="O143" t="str">
            <v>-</v>
          </cell>
          <cell r="P143">
            <v>724</v>
          </cell>
          <cell r="Q143">
            <v>911</v>
          </cell>
          <cell r="R143">
            <v>480</v>
          </cell>
          <cell r="S143">
            <v>501</v>
          </cell>
          <cell r="T143">
            <v>450</v>
          </cell>
          <cell r="U143">
            <v>304</v>
          </cell>
          <cell r="V143">
            <v>421</v>
          </cell>
          <cell r="W143">
            <v>422</v>
          </cell>
          <cell r="X143" t="str">
            <v>-</v>
          </cell>
          <cell r="Y143">
            <v>495</v>
          </cell>
          <cell r="Z143">
            <v>502</v>
          </cell>
          <cell r="AA143">
            <v>305</v>
          </cell>
          <cell r="AB143">
            <v>306</v>
          </cell>
          <cell r="AC143">
            <v>730</v>
          </cell>
          <cell r="AD143" t="str">
            <v>-</v>
          </cell>
          <cell r="AE143">
            <v>748</v>
          </cell>
          <cell r="AF143" t="str">
            <v>-</v>
          </cell>
          <cell r="AG143" t="str">
            <v>-</v>
          </cell>
          <cell r="AH143" t="str">
            <v>-</v>
          </cell>
          <cell r="AI143">
            <v>722</v>
          </cell>
        </row>
        <row r="144">
          <cell r="A144" t="str">
            <v>PAINEL BP PUX 2444X876X18 + COR</v>
          </cell>
          <cell r="B144">
            <v>2500</v>
          </cell>
          <cell r="C144">
            <v>900</v>
          </cell>
          <cell r="D144">
            <v>2444</v>
          </cell>
          <cell r="E144">
            <v>876</v>
          </cell>
          <cell r="F144">
            <v>777557</v>
          </cell>
          <cell r="G144">
            <v>307</v>
          </cell>
          <cell r="H144">
            <v>302</v>
          </cell>
          <cell r="I144">
            <v>308</v>
          </cell>
          <cell r="J144">
            <v>309</v>
          </cell>
          <cell r="K144">
            <v>316</v>
          </cell>
          <cell r="L144">
            <v>318</v>
          </cell>
          <cell r="M144" t="str">
            <v>-</v>
          </cell>
          <cell r="N144" t="str">
            <v>-</v>
          </cell>
          <cell r="O144" t="str">
            <v>-</v>
          </cell>
          <cell r="P144">
            <v>724</v>
          </cell>
          <cell r="Q144">
            <v>911</v>
          </cell>
          <cell r="R144">
            <v>480</v>
          </cell>
          <cell r="S144">
            <v>501</v>
          </cell>
          <cell r="T144">
            <v>450</v>
          </cell>
          <cell r="U144">
            <v>304</v>
          </cell>
          <cell r="V144">
            <v>421</v>
          </cell>
          <cell r="W144">
            <v>422</v>
          </cell>
          <cell r="X144" t="str">
            <v>-</v>
          </cell>
          <cell r="Y144">
            <v>495</v>
          </cell>
          <cell r="Z144">
            <v>502</v>
          </cell>
          <cell r="AA144">
            <v>305</v>
          </cell>
          <cell r="AB144">
            <v>306</v>
          </cell>
          <cell r="AC144">
            <v>730</v>
          </cell>
          <cell r="AD144" t="str">
            <v>-</v>
          </cell>
          <cell r="AE144">
            <v>748</v>
          </cell>
          <cell r="AF144" t="str">
            <v>-</v>
          </cell>
          <cell r="AG144" t="str">
            <v>-</v>
          </cell>
          <cell r="AH144" t="str">
            <v>-</v>
          </cell>
          <cell r="AI144">
            <v>722</v>
          </cell>
        </row>
        <row r="145">
          <cell r="A145" t="str">
            <v>PAINEL BP PUX 2444X976X18 + COR</v>
          </cell>
          <cell r="B145">
            <v>2500</v>
          </cell>
          <cell r="C145">
            <v>1000</v>
          </cell>
          <cell r="D145">
            <v>2444</v>
          </cell>
          <cell r="E145">
            <v>976</v>
          </cell>
          <cell r="F145">
            <v>777558</v>
          </cell>
          <cell r="G145">
            <v>307</v>
          </cell>
          <cell r="H145">
            <v>302</v>
          </cell>
          <cell r="I145">
            <v>308</v>
          </cell>
          <cell r="J145">
            <v>309</v>
          </cell>
          <cell r="K145">
            <v>316</v>
          </cell>
          <cell r="L145">
            <v>318</v>
          </cell>
          <cell r="M145" t="str">
            <v>-</v>
          </cell>
          <cell r="N145" t="str">
            <v>-</v>
          </cell>
          <cell r="O145" t="str">
            <v>-</v>
          </cell>
          <cell r="P145">
            <v>724</v>
          </cell>
          <cell r="Q145">
            <v>911</v>
          </cell>
          <cell r="R145">
            <v>480</v>
          </cell>
          <cell r="S145">
            <v>501</v>
          </cell>
          <cell r="T145">
            <v>450</v>
          </cell>
          <cell r="U145">
            <v>304</v>
          </cell>
          <cell r="V145">
            <v>421</v>
          </cell>
          <cell r="W145">
            <v>422</v>
          </cell>
          <cell r="X145" t="str">
            <v>-</v>
          </cell>
          <cell r="Y145">
            <v>495</v>
          </cell>
          <cell r="Z145">
            <v>502</v>
          </cell>
          <cell r="AA145">
            <v>305</v>
          </cell>
          <cell r="AB145">
            <v>306</v>
          </cell>
          <cell r="AC145">
            <v>730</v>
          </cell>
          <cell r="AD145" t="str">
            <v>-</v>
          </cell>
          <cell r="AE145">
            <v>748</v>
          </cell>
          <cell r="AF145" t="str">
            <v>-</v>
          </cell>
          <cell r="AG145" t="str">
            <v>-</v>
          </cell>
          <cell r="AH145" t="str">
            <v>-</v>
          </cell>
          <cell r="AI145">
            <v>722</v>
          </cell>
        </row>
        <row r="146">
          <cell r="A146" t="str">
            <v>PAINEL BP PUX 2444X1076X18 + COR</v>
          </cell>
          <cell r="B146">
            <v>2500</v>
          </cell>
          <cell r="C146">
            <v>1100</v>
          </cell>
          <cell r="D146">
            <v>2444</v>
          </cell>
          <cell r="E146">
            <v>1076</v>
          </cell>
          <cell r="F146">
            <v>777559</v>
          </cell>
          <cell r="G146">
            <v>307</v>
          </cell>
          <cell r="H146">
            <v>302</v>
          </cell>
          <cell r="I146">
            <v>308</v>
          </cell>
          <cell r="J146">
            <v>309</v>
          </cell>
          <cell r="K146">
            <v>316</v>
          </cell>
          <cell r="L146">
            <v>318</v>
          </cell>
          <cell r="M146" t="str">
            <v>-</v>
          </cell>
          <cell r="N146" t="str">
            <v>-</v>
          </cell>
          <cell r="O146" t="str">
            <v>-</v>
          </cell>
          <cell r="P146">
            <v>724</v>
          </cell>
          <cell r="Q146">
            <v>911</v>
          </cell>
          <cell r="R146">
            <v>480</v>
          </cell>
          <cell r="S146">
            <v>501</v>
          </cell>
          <cell r="T146">
            <v>450</v>
          </cell>
          <cell r="U146">
            <v>304</v>
          </cell>
          <cell r="V146">
            <v>421</v>
          </cell>
          <cell r="W146">
            <v>422</v>
          </cell>
          <cell r="X146" t="str">
            <v>-</v>
          </cell>
          <cell r="Y146">
            <v>495</v>
          </cell>
          <cell r="Z146">
            <v>502</v>
          </cell>
          <cell r="AA146">
            <v>305</v>
          </cell>
          <cell r="AB146">
            <v>306</v>
          </cell>
          <cell r="AC146">
            <v>730</v>
          </cell>
          <cell r="AD146" t="str">
            <v>-</v>
          </cell>
          <cell r="AE146">
            <v>748</v>
          </cell>
          <cell r="AF146" t="str">
            <v>-</v>
          </cell>
          <cell r="AG146" t="str">
            <v>-</v>
          </cell>
          <cell r="AH146" t="str">
            <v>-</v>
          </cell>
          <cell r="AI146">
            <v>722</v>
          </cell>
        </row>
        <row r="147">
          <cell r="A147" t="str">
            <v>PAINEL BP PUX 2444X1176X18 + COR</v>
          </cell>
          <cell r="B147">
            <v>2500</v>
          </cell>
          <cell r="C147">
            <v>1200</v>
          </cell>
          <cell r="D147">
            <v>2444</v>
          </cell>
          <cell r="E147">
            <v>1176</v>
          </cell>
          <cell r="F147">
            <v>777560</v>
          </cell>
          <cell r="G147">
            <v>307</v>
          </cell>
          <cell r="H147">
            <v>302</v>
          </cell>
          <cell r="I147">
            <v>308</v>
          </cell>
          <cell r="J147">
            <v>309</v>
          </cell>
          <cell r="K147">
            <v>316</v>
          </cell>
          <cell r="L147">
            <v>318</v>
          </cell>
          <cell r="M147" t="str">
            <v>-</v>
          </cell>
          <cell r="N147" t="str">
            <v>-</v>
          </cell>
          <cell r="O147" t="str">
            <v>-</v>
          </cell>
          <cell r="P147">
            <v>724</v>
          </cell>
          <cell r="Q147">
            <v>911</v>
          </cell>
          <cell r="R147">
            <v>480</v>
          </cell>
          <cell r="S147">
            <v>501</v>
          </cell>
          <cell r="T147">
            <v>450</v>
          </cell>
          <cell r="U147">
            <v>304</v>
          </cell>
          <cell r="V147">
            <v>421</v>
          </cell>
          <cell r="W147">
            <v>422</v>
          </cell>
          <cell r="X147" t="str">
            <v>-</v>
          </cell>
          <cell r="Y147">
            <v>495</v>
          </cell>
          <cell r="Z147">
            <v>502</v>
          </cell>
          <cell r="AA147">
            <v>305</v>
          </cell>
          <cell r="AB147">
            <v>306</v>
          </cell>
          <cell r="AC147">
            <v>730</v>
          </cell>
          <cell r="AD147" t="str">
            <v>-</v>
          </cell>
          <cell r="AE147">
            <v>748</v>
          </cell>
          <cell r="AF147" t="str">
            <v>-</v>
          </cell>
          <cell r="AG147" t="str">
            <v>-</v>
          </cell>
          <cell r="AH147" t="str">
            <v>-</v>
          </cell>
          <cell r="AI147">
            <v>722</v>
          </cell>
        </row>
        <row r="148">
          <cell r="A148" t="str">
            <v>PAINEL BP PUX 2444X1276X18 + COR</v>
          </cell>
          <cell r="B148">
            <v>2500</v>
          </cell>
          <cell r="C148">
            <v>1300</v>
          </cell>
          <cell r="D148">
            <v>2444</v>
          </cell>
          <cell r="E148">
            <v>1276</v>
          </cell>
          <cell r="F148">
            <v>777561</v>
          </cell>
          <cell r="G148">
            <v>307</v>
          </cell>
          <cell r="H148">
            <v>302</v>
          </cell>
          <cell r="I148">
            <v>308</v>
          </cell>
          <cell r="J148">
            <v>309</v>
          </cell>
          <cell r="K148">
            <v>316</v>
          </cell>
          <cell r="L148">
            <v>318</v>
          </cell>
          <cell r="M148" t="str">
            <v>-</v>
          </cell>
          <cell r="N148" t="str">
            <v>-</v>
          </cell>
          <cell r="O148" t="str">
            <v>-</v>
          </cell>
          <cell r="P148">
            <v>724</v>
          </cell>
          <cell r="Q148">
            <v>911</v>
          </cell>
          <cell r="R148">
            <v>480</v>
          </cell>
          <cell r="S148">
            <v>501</v>
          </cell>
          <cell r="T148">
            <v>450</v>
          </cell>
          <cell r="U148">
            <v>304</v>
          </cell>
          <cell r="V148">
            <v>421</v>
          </cell>
          <cell r="W148">
            <v>422</v>
          </cell>
          <cell r="X148" t="str">
            <v>-</v>
          </cell>
          <cell r="Y148">
            <v>495</v>
          </cell>
          <cell r="Z148">
            <v>502</v>
          </cell>
          <cell r="AA148">
            <v>305</v>
          </cell>
          <cell r="AB148">
            <v>306</v>
          </cell>
          <cell r="AC148">
            <v>730</v>
          </cell>
          <cell r="AD148" t="str">
            <v>-</v>
          </cell>
          <cell r="AE148">
            <v>748</v>
          </cell>
          <cell r="AF148" t="str">
            <v>-</v>
          </cell>
          <cell r="AG148" t="str">
            <v>-</v>
          </cell>
          <cell r="AH148" t="str">
            <v>-</v>
          </cell>
          <cell r="AI148">
            <v>722</v>
          </cell>
        </row>
        <row r="149">
          <cell r="A149" t="str">
            <v>PAINEL BP PUX 2444X1376X18 + COR</v>
          </cell>
          <cell r="B149">
            <v>2500</v>
          </cell>
          <cell r="C149">
            <v>1400</v>
          </cell>
          <cell r="D149">
            <v>2444</v>
          </cell>
          <cell r="E149">
            <v>1376</v>
          </cell>
          <cell r="F149">
            <v>777562</v>
          </cell>
          <cell r="G149">
            <v>307</v>
          </cell>
          <cell r="H149">
            <v>302</v>
          </cell>
          <cell r="I149">
            <v>308</v>
          </cell>
          <cell r="J149">
            <v>309</v>
          </cell>
          <cell r="K149">
            <v>316</v>
          </cell>
          <cell r="L149">
            <v>318</v>
          </cell>
          <cell r="M149" t="str">
            <v>-</v>
          </cell>
          <cell r="N149" t="str">
            <v>-</v>
          </cell>
          <cell r="O149" t="str">
            <v>-</v>
          </cell>
          <cell r="P149">
            <v>724</v>
          </cell>
          <cell r="Q149">
            <v>911</v>
          </cell>
          <cell r="R149">
            <v>480</v>
          </cell>
          <cell r="S149">
            <v>501</v>
          </cell>
          <cell r="T149">
            <v>450</v>
          </cell>
          <cell r="U149">
            <v>304</v>
          </cell>
          <cell r="V149">
            <v>421</v>
          </cell>
          <cell r="W149">
            <v>422</v>
          </cell>
          <cell r="X149" t="str">
            <v>-</v>
          </cell>
          <cell r="Y149">
            <v>495</v>
          </cell>
          <cell r="Z149">
            <v>502</v>
          </cell>
          <cell r="AA149">
            <v>305</v>
          </cell>
          <cell r="AB149">
            <v>306</v>
          </cell>
          <cell r="AC149">
            <v>730</v>
          </cell>
          <cell r="AD149" t="str">
            <v>-</v>
          </cell>
          <cell r="AE149">
            <v>748</v>
          </cell>
          <cell r="AF149" t="str">
            <v>-</v>
          </cell>
          <cell r="AG149" t="str">
            <v>-</v>
          </cell>
          <cell r="AH149" t="str">
            <v>-</v>
          </cell>
          <cell r="AI149">
            <v>722</v>
          </cell>
        </row>
        <row r="150">
          <cell r="A150" t="str">
            <v>PAINEL BP PUX 2444X1476X18 + COR</v>
          </cell>
          <cell r="B150">
            <v>2500</v>
          </cell>
          <cell r="C150">
            <v>1500</v>
          </cell>
          <cell r="D150">
            <v>2444</v>
          </cell>
          <cell r="E150">
            <v>1476</v>
          </cell>
          <cell r="F150">
            <v>777563</v>
          </cell>
          <cell r="G150">
            <v>307</v>
          </cell>
          <cell r="H150">
            <v>302</v>
          </cell>
          <cell r="I150">
            <v>308</v>
          </cell>
          <cell r="J150">
            <v>309</v>
          </cell>
          <cell r="K150">
            <v>316</v>
          </cell>
          <cell r="L150">
            <v>318</v>
          </cell>
          <cell r="M150" t="str">
            <v>-</v>
          </cell>
          <cell r="N150" t="str">
            <v>-</v>
          </cell>
          <cell r="O150" t="str">
            <v>-</v>
          </cell>
          <cell r="P150">
            <v>724</v>
          </cell>
          <cell r="Q150">
            <v>911</v>
          </cell>
          <cell r="R150">
            <v>480</v>
          </cell>
          <cell r="S150">
            <v>501</v>
          </cell>
          <cell r="T150">
            <v>450</v>
          </cell>
          <cell r="U150">
            <v>304</v>
          </cell>
          <cell r="V150">
            <v>421</v>
          </cell>
          <cell r="W150">
            <v>422</v>
          </cell>
          <cell r="X150" t="str">
            <v>-</v>
          </cell>
          <cell r="Y150">
            <v>495</v>
          </cell>
          <cell r="Z150">
            <v>502</v>
          </cell>
          <cell r="AA150">
            <v>305</v>
          </cell>
          <cell r="AB150">
            <v>306</v>
          </cell>
          <cell r="AC150">
            <v>730</v>
          </cell>
          <cell r="AD150" t="str">
            <v>-</v>
          </cell>
          <cell r="AE150">
            <v>748</v>
          </cell>
          <cell r="AF150" t="str">
            <v>-</v>
          </cell>
          <cell r="AG150" t="str">
            <v>-</v>
          </cell>
          <cell r="AH150" t="str">
            <v>-</v>
          </cell>
          <cell r="AI150">
            <v>722</v>
          </cell>
        </row>
        <row r="151">
          <cell r="A151" t="str">
            <v>PAINEL BP PUX 2544X776X18 + COR</v>
          </cell>
          <cell r="B151">
            <v>2600</v>
          </cell>
          <cell r="C151">
            <v>800</v>
          </cell>
          <cell r="D151">
            <v>2544</v>
          </cell>
          <cell r="E151">
            <v>776</v>
          </cell>
          <cell r="F151">
            <v>777564</v>
          </cell>
          <cell r="G151">
            <v>307</v>
          </cell>
          <cell r="H151">
            <v>302</v>
          </cell>
          <cell r="I151">
            <v>308</v>
          </cell>
          <cell r="J151">
            <v>309</v>
          </cell>
          <cell r="K151">
            <v>316</v>
          </cell>
          <cell r="L151">
            <v>318</v>
          </cell>
          <cell r="M151" t="str">
            <v>-</v>
          </cell>
          <cell r="N151" t="str">
            <v>-</v>
          </cell>
          <cell r="O151" t="str">
            <v>-</v>
          </cell>
          <cell r="P151">
            <v>724</v>
          </cell>
          <cell r="Q151">
            <v>911</v>
          </cell>
          <cell r="R151">
            <v>480</v>
          </cell>
          <cell r="S151">
            <v>501</v>
          </cell>
          <cell r="T151">
            <v>450</v>
          </cell>
          <cell r="U151">
            <v>304</v>
          </cell>
          <cell r="V151">
            <v>421</v>
          </cell>
          <cell r="W151">
            <v>422</v>
          </cell>
          <cell r="X151" t="str">
            <v>-</v>
          </cell>
          <cell r="Y151">
            <v>495</v>
          </cell>
          <cell r="Z151">
            <v>502</v>
          </cell>
          <cell r="AA151">
            <v>305</v>
          </cell>
          <cell r="AB151">
            <v>306</v>
          </cell>
          <cell r="AC151">
            <v>730</v>
          </cell>
          <cell r="AD151" t="str">
            <v>-</v>
          </cell>
          <cell r="AE151">
            <v>748</v>
          </cell>
          <cell r="AF151" t="str">
            <v>-</v>
          </cell>
          <cell r="AG151" t="str">
            <v>-</v>
          </cell>
          <cell r="AH151" t="str">
            <v>-</v>
          </cell>
          <cell r="AI151">
            <v>722</v>
          </cell>
        </row>
        <row r="152">
          <cell r="A152" t="str">
            <v>PAINEL BP PUX 2544X876X18 + COR</v>
          </cell>
          <cell r="B152">
            <v>2600</v>
          </cell>
          <cell r="C152">
            <v>900</v>
          </cell>
          <cell r="D152">
            <v>2544</v>
          </cell>
          <cell r="E152">
            <v>876</v>
          </cell>
          <cell r="F152">
            <v>777565</v>
          </cell>
          <cell r="G152">
            <v>307</v>
          </cell>
          <cell r="H152">
            <v>302</v>
          </cell>
          <cell r="I152">
            <v>308</v>
          </cell>
          <cell r="J152">
            <v>309</v>
          </cell>
          <cell r="K152">
            <v>316</v>
          </cell>
          <cell r="L152">
            <v>318</v>
          </cell>
          <cell r="M152" t="str">
            <v>-</v>
          </cell>
          <cell r="N152" t="str">
            <v>-</v>
          </cell>
          <cell r="O152" t="str">
            <v>-</v>
          </cell>
          <cell r="P152">
            <v>724</v>
          </cell>
          <cell r="Q152">
            <v>911</v>
          </cell>
          <cell r="R152">
            <v>480</v>
          </cell>
          <cell r="S152">
            <v>501</v>
          </cell>
          <cell r="T152">
            <v>450</v>
          </cell>
          <cell r="U152">
            <v>304</v>
          </cell>
          <cell r="V152">
            <v>421</v>
          </cell>
          <cell r="W152">
            <v>422</v>
          </cell>
          <cell r="X152" t="str">
            <v>-</v>
          </cell>
          <cell r="Y152">
            <v>495</v>
          </cell>
          <cell r="Z152">
            <v>502</v>
          </cell>
          <cell r="AA152">
            <v>305</v>
          </cell>
          <cell r="AB152">
            <v>306</v>
          </cell>
          <cell r="AC152">
            <v>730</v>
          </cell>
          <cell r="AD152" t="str">
            <v>-</v>
          </cell>
          <cell r="AE152">
            <v>748</v>
          </cell>
          <cell r="AF152" t="str">
            <v>-</v>
          </cell>
          <cell r="AG152" t="str">
            <v>-</v>
          </cell>
          <cell r="AH152" t="str">
            <v>-</v>
          </cell>
          <cell r="AI152">
            <v>722</v>
          </cell>
        </row>
        <row r="153">
          <cell r="A153" t="str">
            <v>PAINEL BP PUX 2544X976X18 + COR</v>
          </cell>
          <cell r="B153">
            <v>2600</v>
          </cell>
          <cell r="C153">
            <v>1000</v>
          </cell>
          <cell r="D153">
            <v>2544</v>
          </cell>
          <cell r="E153">
            <v>976</v>
          </cell>
          <cell r="F153">
            <v>777566</v>
          </cell>
          <cell r="G153">
            <v>307</v>
          </cell>
          <cell r="H153">
            <v>302</v>
          </cell>
          <cell r="I153">
            <v>308</v>
          </cell>
          <cell r="J153">
            <v>309</v>
          </cell>
          <cell r="K153">
            <v>316</v>
          </cell>
          <cell r="L153">
            <v>318</v>
          </cell>
          <cell r="M153" t="str">
            <v>-</v>
          </cell>
          <cell r="N153" t="str">
            <v>-</v>
          </cell>
          <cell r="O153" t="str">
            <v>-</v>
          </cell>
          <cell r="P153">
            <v>724</v>
          </cell>
          <cell r="Q153">
            <v>911</v>
          </cell>
          <cell r="R153">
            <v>480</v>
          </cell>
          <cell r="S153">
            <v>501</v>
          </cell>
          <cell r="T153">
            <v>450</v>
          </cell>
          <cell r="U153">
            <v>304</v>
          </cell>
          <cell r="V153">
            <v>421</v>
          </cell>
          <cell r="W153">
            <v>422</v>
          </cell>
          <cell r="X153" t="str">
            <v>-</v>
          </cell>
          <cell r="Y153">
            <v>495</v>
          </cell>
          <cell r="Z153">
            <v>502</v>
          </cell>
          <cell r="AA153">
            <v>305</v>
          </cell>
          <cell r="AB153">
            <v>306</v>
          </cell>
          <cell r="AC153">
            <v>730</v>
          </cell>
          <cell r="AD153" t="str">
            <v>-</v>
          </cell>
          <cell r="AE153">
            <v>748</v>
          </cell>
          <cell r="AF153" t="str">
            <v>-</v>
          </cell>
          <cell r="AG153" t="str">
            <v>-</v>
          </cell>
          <cell r="AH153" t="str">
            <v>-</v>
          </cell>
          <cell r="AI153">
            <v>722</v>
          </cell>
        </row>
        <row r="154">
          <cell r="A154" t="str">
            <v>PAINEL BP PUX 2544X1076X18 + COR</v>
          </cell>
          <cell r="B154">
            <v>2600</v>
          </cell>
          <cell r="C154">
            <v>1100</v>
          </cell>
          <cell r="D154">
            <v>2544</v>
          </cell>
          <cell r="E154">
            <v>1076</v>
          </cell>
          <cell r="F154">
            <v>777567</v>
          </cell>
          <cell r="G154">
            <v>307</v>
          </cell>
          <cell r="H154">
            <v>302</v>
          </cell>
          <cell r="I154">
            <v>308</v>
          </cell>
          <cell r="J154">
            <v>309</v>
          </cell>
          <cell r="K154">
            <v>316</v>
          </cell>
          <cell r="L154">
            <v>318</v>
          </cell>
          <cell r="M154" t="str">
            <v>-</v>
          </cell>
          <cell r="N154" t="str">
            <v>-</v>
          </cell>
          <cell r="O154" t="str">
            <v>-</v>
          </cell>
          <cell r="P154">
            <v>724</v>
          </cell>
          <cell r="Q154">
            <v>911</v>
          </cell>
          <cell r="R154">
            <v>480</v>
          </cell>
          <cell r="S154">
            <v>501</v>
          </cell>
          <cell r="T154">
            <v>450</v>
          </cell>
          <cell r="U154">
            <v>304</v>
          </cell>
          <cell r="V154">
            <v>421</v>
          </cell>
          <cell r="W154">
            <v>422</v>
          </cell>
          <cell r="X154" t="str">
            <v>-</v>
          </cell>
          <cell r="Y154">
            <v>495</v>
          </cell>
          <cell r="Z154">
            <v>502</v>
          </cell>
          <cell r="AA154">
            <v>305</v>
          </cell>
          <cell r="AB154">
            <v>306</v>
          </cell>
          <cell r="AC154">
            <v>730</v>
          </cell>
          <cell r="AD154" t="str">
            <v>-</v>
          </cell>
          <cell r="AE154">
            <v>748</v>
          </cell>
          <cell r="AF154" t="str">
            <v>-</v>
          </cell>
          <cell r="AG154" t="str">
            <v>-</v>
          </cell>
          <cell r="AH154" t="str">
            <v>-</v>
          </cell>
          <cell r="AI154">
            <v>722</v>
          </cell>
        </row>
        <row r="155">
          <cell r="A155" t="str">
            <v>PAINEL BP PUX 2544X1176X18 + COR</v>
          </cell>
          <cell r="B155">
            <v>2600</v>
          </cell>
          <cell r="C155">
            <v>1200</v>
          </cell>
          <cell r="D155">
            <v>2544</v>
          </cell>
          <cell r="E155">
            <v>1176</v>
          </cell>
          <cell r="F155">
            <v>777568</v>
          </cell>
          <cell r="G155">
            <v>307</v>
          </cell>
          <cell r="H155">
            <v>302</v>
          </cell>
          <cell r="I155">
            <v>308</v>
          </cell>
          <cell r="J155">
            <v>309</v>
          </cell>
          <cell r="K155">
            <v>316</v>
          </cell>
          <cell r="L155">
            <v>318</v>
          </cell>
          <cell r="M155" t="str">
            <v>-</v>
          </cell>
          <cell r="N155" t="str">
            <v>-</v>
          </cell>
          <cell r="O155" t="str">
            <v>-</v>
          </cell>
          <cell r="P155">
            <v>724</v>
          </cell>
          <cell r="Q155">
            <v>911</v>
          </cell>
          <cell r="R155">
            <v>480</v>
          </cell>
          <cell r="S155">
            <v>501</v>
          </cell>
          <cell r="T155">
            <v>450</v>
          </cell>
          <cell r="U155">
            <v>304</v>
          </cell>
          <cell r="V155">
            <v>421</v>
          </cell>
          <cell r="W155">
            <v>422</v>
          </cell>
          <cell r="X155" t="str">
            <v>-</v>
          </cell>
          <cell r="Y155">
            <v>495</v>
          </cell>
          <cell r="Z155">
            <v>502</v>
          </cell>
          <cell r="AA155">
            <v>305</v>
          </cell>
          <cell r="AB155">
            <v>306</v>
          </cell>
          <cell r="AC155">
            <v>730</v>
          </cell>
          <cell r="AD155" t="str">
            <v>-</v>
          </cell>
          <cell r="AE155">
            <v>748</v>
          </cell>
          <cell r="AF155" t="str">
            <v>-</v>
          </cell>
          <cell r="AG155" t="str">
            <v>-</v>
          </cell>
          <cell r="AH155" t="str">
            <v>-</v>
          </cell>
          <cell r="AI155">
            <v>722</v>
          </cell>
        </row>
        <row r="156">
          <cell r="A156" t="str">
            <v>PAINEL BP PUX 2544X1276X18 + COR</v>
          </cell>
          <cell r="B156">
            <v>2600</v>
          </cell>
          <cell r="C156">
            <v>1300</v>
          </cell>
          <cell r="D156">
            <v>2544</v>
          </cell>
          <cell r="E156">
            <v>1276</v>
          </cell>
          <cell r="F156">
            <v>777569</v>
          </cell>
          <cell r="G156">
            <v>307</v>
          </cell>
          <cell r="H156">
            <v>302</v>
          </cell>
          <cell r="I156">
            <v>308</v>
          </cell>
          <cell r="J156">
            <v>309</v>
          </cell>
          <cell r="K156">
            <v>316</v>
          </cell>
          <cell r="L156">
            <v>318</v>
          </cell>
          <cell r="M156" t="str">
            <v>-</v>
          </cell>
          <cell r="N156" t="str">
            <v>-</v>
          </cell>
          <cell r="O156" t="str">
            <v>-</v>
          </cell>
          <cell r="P156">
            <v>724</v>
          </cell>
          <cell r="Q156">
            <v>911</v>
          </cell>
          <cell r="R156">
            <v>480</v>
          </cell>
          <cell r="S156">
            <v>501</v>
          </cell>
          <cell r="T156">
            <v>450</v>
          </cell>
          <cell r="U156">
            <v>304</v>
          </cell>
          <cell r="V156">
            <v>421</v>
          </cell>
          <cell r="W156">
            <v>422</v>
          </cell>
          <cell r="X156" t="str">
            <v>-</v>
          </cell>
          <cell r="Y156">
            <v>495</v>
          </cell>
          <cell r="Z156">
            <v>502</v>
          </cell>
          <cell r="AA156">
            <v>305</v>
          </cell>
          <cell r="AB156">
            <v>306</v>
          </cell>
          <cell r="AC156">
            <v>730</v>
          </cell>
          <cell r="AD156" t="str">
            <v>-</v>
          </cell>
          <cell r="AE156">
            <v>748</v>
          </cell>
          <cell r="AF156" t="str">
            <v>-</v>
          </cell>
          <cell r="AG156" t="str">
            <v>-</v>
          </cell>
          <cell r="AH156" t="str">
            <v>-</v>
          </cell>
          <cell r="AI156">
            <v>722</v>
          </cell>
        </row>
        <row r="157">
          <cell r="A157" t="str">
            <v>PAINEL BP PUX 2544X1376X18 + COR</v>
          </cell>
          <cell r="B157">
            <v>2600</v>
          </cell>
          <cell r="C157">
            <v>1400</v>
          </cell>
          <cell r="D157">
            <v>2544</v>
          </cell>
          <cell r="E157">
            <v>1376</v>
          </cell>
          <cell r="F157">
            <v>777570</v>
          </cell>
          <cell r="G157">
            <v>307</v>
          </cell>
          <cell r="H157">
            <v>302</v>
          </cell>
          <cell r="I157">
            <v>308</v>
          </cell>
          <cell r="J157">
            <v>309</v>
          </cell>
          <cell r="K157">
            <v>316</v>
          </cell>
          <cell r="L157">
            <v>318</v>
          </cell>
          <cell r="M157" t="str">
            <v>-</v>
          </cell>
          <cell r="N157" t="str">
            <v>-</v>
          </cell>
          <cell r="O157" t="str">
            <v>-</v>
          </cell>
          <cell r="P157">
            <v>724</v>
          </cell>
          <cell r="Q157">
            <v>911</v>
          </cell>
          <cell r="R157">
            <v>480</v>
          </cell>
          <cell r="S157">
            <v>501</v>
          </cell>
          <cell r="T157">
            <v>450</v>
          </cell>
          <cell r="U157">
            <v>304</v>
          </cell>
          <cell r="V157">
            <v>421</v>
          </cell>
          <cell r="W157">
            <v>422</v>
          </cell>
          <cell r="X157" t="str">
            <v>-</v>
          </cell>
          <cell r="Y157">
            <v>495</v>
          </cell>
          <cell r="Z157">
            <v>502</v>
          </cell>
          <cell r="AA157">
            <v>305</v>
          </cell>
          <cell r="AB157">
            <v>306</v>
          </cell>
          <cell r="AC157">
            <v>730</v>
          </cell>
          <cell r="AD157" t="str">
            <v>-</v>
          </cell>
          <cell r="AE157">
            <v>748</v>
          </cell>
          <cell r="AF157" t="str">
            <v>-</v>
          </cell>
          <cell r="AG157" t="str">
            <v>-</v>
          </cell>
          <cell r="AH157" t="str">
            <v>-</v>
          </cell>
          <cell r="AI157">
            <v>722</v>
          </cell>
        </row>
        <row r="158">
          <cell r="A158" t="str">
            <v>PAINEL BP PUX 2544X1476X18 + COR</v>
          </cell>
          <cell r="B158">
            <v>2600</v>
          </cell>
          <cell r="C158">
            <v>1500</v>
          </cell>
          <cell r="D158">
            <v>2544</v>
          </cell>
          <cell r="E158">
            <v>1476</v>
          </cell>
          <cell r="F158">
            <v>777571</v>
          </cell>
          <cell r="G158">
            <v>307</v>
          </cell>
          <cell r="H158">
            <v>302</v>
          </cell>
          <cell r="I158">
            <v>308</v>
          </cell>
          <cell r="J158">
            <v>309</v>
          </cell>
          <cell r="K158">
            <v>316</v>
          </cell>
          <cell r="L158">
            <v>318</v>
          </cell>
          <cell r="M158" t="str">
            <v>-</v>
          </cell>
          <cell r="N158" t="str">
            <v>-</v>
          </cell>
          <cell r="O158" t="str">
            <v>-</v>
          </cell>
          <cell r="P158">
            <v>724</v>
          </cell>
          <cell r="Q158">
            <v>911</v>
          </cell>
          <cell r="R158">
            <v>480</v>
          </cell>
          <cell r="S158">
            <v>501</v>
          </cell>
          <cell r="T158">
            <v>450</v>
          </cell>
          <cell r="U158">
            <v>304</v>
          </cell>
          <cell r="V158">
            <v>421</v>
          </cell>
          <cell r="W158">
            <v>422</v>
          </cell>
          <cell r="X158" t="str">
            <v>-</v>
          </cell>
          <cell r="Y158">
            <v>495</v>
          </cell>
          <cell r="Z158">
            <v>502</v>
          </cell>
          <cell r="AA158">
            <v>305</v>
          </cell>
          <cell r="AB158">
            <v>306</v>
          </cell>
          <cell r="AC158">
            <v>730</v>
          </cell>
          <cell r="AD158" t="str">
            <v>-</v>
          </cell>
          <cell r="AE158">
            <v>748</v>
          </cell>
          <cell r="AF158" t="str">
            <v>-</v>
          </cell>
          <cell r="AG158" t="str">
            <v>-</v>
          </cell>
          <cell r="AH158" t="str">
            <v>-</v>
          </cell>
          <cell r="AI158">
            <v>722</v>
          </cell>
        </row>
        <row r="159">
          <cell r="A159" t="str">
            <v>PAINEL BP PUX 2644X776X18 + COR</v>
          </cell>
          <cell r="B159">
            <v>2700</v>
          </cell>
          <cell r="C159">
            <v>800</v>
          </cell>
          <cell r="D159">
            <v>2644</v>
          </cell>
          <cell r="E159">
            <v>776</v>
          </cell>
          <cell r="F159">
            <v>777572</v>
          </cell>
          <cell r="G159">
            <v>307</v>
          </cell>
          <cell r="H159">
            <v>302</v>
          </cell>
          <cell r="I159">
            <v>308</v>
          </cell>
          <cell r="J159">
            <v>309</v>
          </cell>
          <cell r="K159">
            <v>316</v>
          </cell>
          <cell r="L159">
            <v>318</v>
          </cell>
          <cell r="M159" t="str">
            <v>-</v>
          </cell>
          <cell r="N159" t="str">
            <v>-</v>
          </cell>
          <cell r="O159" t="str">
            <v>-</v>
          </cell>
          <cell r="P159">
            <v>724</v>
          </cell>
          <cell r="Q159">
            <v>911</v>
          </cell>
          <cell r="R159">
            <v>480</v>
          </cell>
          <cell r="S159">
            <v>501</v>
          </cell>
          <cell r="T159">
            <v>450</v>
          </cell>
          <cell r="U159">
            <v>304</v>
          </cell>
          <cell r="V159">
            <v>421</v>
          </cell>
          <cell r="W159">
            <v>422</v>
          </cell>
          <cell r="X159" t="str">
            <v>-</v>
          </cell>
          <cell r="Y159">
            <v>495</v>
          </cell>
          <cell r="Z159">
            <v>502</v>
          </cell>
          <cell r="AA159">
            <v>305</v>
          </cell>
          <cell r="AB159">
            <v>306</v>
          </cell>
          <cell r="AC159">
            <v>730</v>
          </cell>
          <cell r="AD159" t="str">
            <v>-</v>
          </cell>
          <cell r="AE159">
            <v>748</v>
          </cell>
          <cell r="AF159" t="str">
            <v>-</v>
          </cell>
          <cell r="AG159" t="str">
            <v>-</v>
          </cell>
          <cell r="AH159" t="str">
            <v>-</v>
          </cell>
          <cell r="AI159">
            <v>722</v>
          </cell>
        </row>
        <row r="160">
          <cell r="A160" t="str">
            <v>PAINEL BP PUX 2644X876X18 + COR</v>
          </cell>
          <cell r="B160">
            <v>2700</v>
          </cell>
          <cell r="C160">
            <v>900</v>
          </cell>
          <cell r="D160">
            <v>2644</v>
          </cell>
          <cell r="E160">
            <v>876</v>
          </cell>
          <cell r="F160">
            <v>777573</v>
          </cell>
          <cell r="G160">
            <v>307</v>
          </cell>
          <cell r="H160">
            <v>302</v>
          </cell>
          <cell r="I160">
            <v>308</v>
          </cell>
          <cell r="J160">
            <v>309</v>
          </cell>
          <cell r="K160">
            <v>316</v>
          </cell>
          <cell r="L160">
            <v>318</v>
          </cell>
          <cell r="M160" t="str">
            <v>-</v>
          </cell>
          <cell r="N160" t="str">
            <v>-</v>
          </cell>
          <cell r="O160" t="str">
            <v>-</v>
          </cell>
          <cell r="P160">
            <v>724</v>
          </cell>
          <cell r="Q160">
            <v>911</v>
          </cell>
          <cell r="R160">
            <v>480</v>
          </cell>
          <cell r="S160">
            <v>501</v>
          </cell>
          <cell r="T160">
            <v>450</v>
          </cell>
          <cell r="U160">
            <v>304</v>
          </cell>
          <cell r="V160">
            <v>421</v>
          </cell>
          <cell r="W160">
            <v>422</v>
          </cell>
          <cell r="X160" t="str">
            <v>-</v>
          </cell>
          <cell r="Y160">
            <v>495</v>
          </cell>
          <cell r="Z160">
            <v>502</v>
          </cell>
          <cell r="AA160">
            <v>305</v>
          </cell>
          <cell r="AB160">
            <v>306</v>
          </cell>
          <cell r="AC160">
            <v>730</v>
          </cell>
          <cell r="AD160" t="str">
            <v>-</v>
          </cell>
          <cell r="AE160">
            <v>748</v>
          </cell>
          <cell r="AF160" t="str">
            <v>-</v>
          </cell>
          <cell r="AG160" t="str">
            <v>-</v>
          </cell>
          <cell r="AH160" t="str">
            <v>-</v>
          </cell>
          <cell r="AI160">
            <v>722</v>
          </cell>
        </row>
        <row r="161">
          <cell r="A161" t="str">
            <v>PAINEL BP PUX 2644X976X18 + COR</v>
          </cell>
          <cell r="B161">
            <v>2700</v>
          </cell>
          <cell r="C161">
            <v>1000</v>
          </cell>
          <cell r="D161">
            <v>2644</v>
          </cell>
          <cell r="E161">
            <v>976</v>
          </cell>
          <cell r="F161">
            <v>777574</v>
          </cell>
          <cell r="G161">
            <v>307</v>
          </cell>
          <cell r="H161">
            <v>302</v>
          </cell>
          <cell r="I161">
            <v>308</v>
          </cell>
          <cell r="J161">
            <v>309</v>
          </cell>
          <cell r="K161">
            <v>316</v>
          </cell>
          <cell r="L161">
            <v>318</v>
          </cell>
          <cell r="M161" t="str">
            <v>-</v>
          </cell>
          <cell r="N161" t="str">
            <v>-</v>
          </cell>
          <cell r="O161" t="str">
            <v>-</v>
          </cell>
          <cell r="P161">
            <v>724</v>
          </cell>
          <cell r="Q161">
            <v>911</v>
          </cell>
          <cell r="R161">
            <v>480</v>
          </cell>
          <cell r="S161">
            <v>501</v>
          </cell>
          <cell r="T161">
            <v>450</v>
          </cell>
          <cell r="U161">
            <v>304</v>
          </cell>
          <cell r="V161">
            <v>421</v>
          </cell>
          <cell r="W161">
            <v>422</v>
          </cell>
          <cell r="X161" t="str">
            <v>-</v>
          </cell>
          <cell r="Y161">
            <v>495</v>
          </cell>
          <cell r="Z161">
            <v>502</v>
          </cell>
          <cell r="AA161">
            <v>305</v>
          </cell>
          <cell r="AB161">
            <v>306</v>
          </cell>
          <cell r="AC161">
            <v>730</v>
          </cell>
          <cell r="AD161" t="str">
            <v>-</v>
          </cell>
          <cell r="AE161">
            <v>748</v>
          </cell>
          <cell r="AF161" t="str">
            <v>-</v>
          </cell>
          <cell r="AG161" t="str">
            <v>-</v>
          </cell>
          <cell r="AH161" t="str">
            <v>-</v>
          </cell>
          <cell r="AI161">
            <v>722</v>
          </cell>
        </row>
        <row r="162">
          <cell r="A162" t="str">
            <v>PAINEL BP PUX 2644X1076X18 + COR</v>
          </cell>
          <cell r="B162">
            <v>2700</v>
          </cell>
          <cell r="C162">
            <v>1100</v>
          </cell>
          <cell r="D162">
            <v>2644</v>
          </cell>
          <cell r="E162">
            <v>1076</v>
          </cell>
          <cell r="F162">
            <v>777575</v>
          </cell>
          <cell r="G162">
            <v>307</v>
          </cell>
          <cell r="H162">
            <v>302</v>
          </cell>
          <cell r="I162">
            <v>308</v>
          </cell>
          <cell r="J162">
            <v>309</v>
          </cell>
          <cell r="K162">
            <v>316</v>
          </cell>
          <cell r="L162">
            <v>318</v>
          </cell>
          <cell r="M162" t="str">
            <v>-</v>
          </cell>
          <cell r="N162" t="str">
            <v>-</v>
          </cell>
          <cell r="O162" t="str">
            <v>-</v>
          </cell>
          <cell r="P162">
            <v>724</v>
          </cell>
          <cell r="Q162">
            <v>911</v>
          </cell>
          <cell r="R162">
            <v>480</v>
          </cell>
          <cell r="S162">
            <v>501</v>
          </cell>
          <cell r="T162">
            <v>450</v>
          </cell>
          <cell r="U162">
            <v>304</v>
          </cell>
          <cell r="V162">
            <v>421</v>
          </cell>
          <cell r="W162">
            <v>422</v>
          </cell>
          <cell r="X162" t="str">
            <v>-</v>
          </cell>
          <cell r="Y162">
            <v>495</v>
          </cell>
          <cell r="Z162">
            <v>502</v>
          </cell>
          <cell r="AA162">
            <v>305</v>
          </cell>
          <cell r="AB162">
            <v>306</v>
          </cell>
          <cell r="AC162">
            <v>730</v>
          </cell>
          <cell r="AD162" t="str">
            <v>-</v>
          </cell>
          <cell r="AE162">
            <v>748</v>
          </cell>
          <cell r="AF162" t="str">
            <v>-</v>
          </cell>
          <cell r="AG162" t="str">
            <v>-</v>
          </cell>
          <cell r="AH162" t="str">
            <v>-</v>
          </cell>
          <cell r="AI162">
            <v>722</v>
          </cell>
        </row>
        <row r="163">
          <cell r="A163" t="str">
            <v>PAINEL BP PUX 2644X1176X18 + COR</v>
          </cell>
          <cell r="B163">
            <v>2700</v>
          </cell>
          <cell r="C163">
            <v>1200</v>
          </cell>
          <cell r="D163">
            <v>2644</v>
          </cell>
          <cell r="E163">
            <v>1176</v>
          </cell>
          <cell r="F163">
            <v>777576</v>
          </cell>
          <cell r="G163">
            <v>307</v>
          </cell>
          <cell r="H163">
            <v>302</v>
          </cell>
          <cell r="I163">
            <v>308</v>
          </cell>
          <cell r="J163">
            <v>309</v>
          </cell>
          <cell r="K163">
            <v>316</v>
          </cell>
          <cell r="L163">
            <v>318</v>
          </cell>
          <cell r="M163" t="str">
            <v>-</v>
          </cell>
          <cell r="N163" t="str">
            <v>-</v>
          </cell>
          <cell r="O163" t="str">
            <v>-</v>
          </cell>
          <cell r="P163">
            <v>724</v>
          </cell>
          <cell r="Q163">
            <v>911</v>
          </cell>
          <cell r="R163">
            <v>480</v>
          </cell>
          <cell r="S163">
            <v>501</v>
          </cell>
          <cell r="T163">
            <v>450</v>
          </cell>
          <cell r="U163">
            <v>304</v>
          </cell>
          <cell r="V163">
            <v>421</v>
          </cell>
          <cell r="W163">
            <v>422</v>
          </cell>
          <cell r="X163" t="str">
            <v>-</v>
          </cell>
          <cell r="Y163">
            <v>495</v>
          </cell>
          <cell r="Z163">
            <v>502</v>
          </cell>
          <cell r="AA163">
            <v>305</v>
          </cell>
          <cell r="AB163">
            <v>306</v>
          </cell>
          <cell r="AC163">
            <v>730</v>
          </cell>
          <cell r="AD163" t="str">
            <v>-</v>
          </cell>
          <cell r="AE163">
            <v>748</v>
          </cell>
          <cell r="AF163" t="str">
            <v>-</v>
          </cell>
          <cell r="AG163" t="str">
            <v>-</v>
          </cell>
          <cell r="AH163" t="str">
            <v>-</v>
          </cell>
          <cell r="AI163">
            <v>722</v>
          </cell>
        </row>
        <row r="164">
          <cell r="A164" t="str">
            <v>PAINEL BP PUX 2644X1276X18 + COR</v>
          </cell>
          <cell r="B164">
            <v>2700</v>
          </cell>
          <cell r="C164">
            <v>1300</v>
          </cell>
          <cell r="D164">
            <v>2644</v>
          </cell>
          <cell r="E164">
            <v>1276</v>
          </cell>
          <cell r="F164">
            <v>777577</v>
          </cell>
          <cell r="G164">
            <v>307</v>
          </cell>
          <cell r="H164">
            <v>302</v>
          </cell>
          <cell r="I164">
            <v>308</v>
          </cell>
          <cell r="J164">
            <v>309</v>
          </cell>
          <cell r="K164">
            <v>316</v>
          </cell>
          <cell r="L164">
            <v>318</v>
          </cell>
          <cell r="M164" t="str">
            <v>-</v>
          </cell>
          <cell r="N164" t="str">
            <v>-</v>
          </cell>
          <cell r="O164" t="str">
            <v>-</v>
          </cell>
          <cell r="P164">
            <v>724</v>
          </cell>
          <cell r="Q164">
            <v>911</v>
          </cell>
          <cell r="R164">
            <v>480</v>
          </cell>
          <cell r="S164">
            <v>501</v>
          </cell>
          <cell r="T164">
            <v>450</v>
          </cell>
          <cell r="U164">
            <v>304</v>
          </cell>
          <cell r="V164">
            <v>421</v>
          </cell>
          <cell r="W164">
            <v>422</v>
          </cell>
          <cell r="X164" t="str">
            <v>-</v>
          </cell>
          <cell r="Y164">
            <v>495</v>
          </cell>
          <cell r="Z164">
            <v>502</v>
          </cell>
          <cell r="AA164">
            <v>305</v>
          </cell>
          <cell r="AB164">
            <v>306</v>
          </cell>
          <cell r="AC164">
            <v>730</v>
          </cell>
          <cell r="AD164" t="str">
            <v>-</v>
          </cell>
          <cell r="AE164">
            <v>748</v>
          </cell>
          <cell r="AF164" t="str">
            <v>-</v>
          </cell>
          <cell r="AG164" t="str">
            <v>-</v>
          </cell>
          <cell r="AH164" t="str">
            <v>-</v>
          </cell>
          <cell r="AI164">
            <v>722</v>
          </cell>
        </row>
        <row r="165">
          <cell r="A165" t="str">
            <v>PAINEL BP PUX 2644X1376X18 + COR</v>
          </cell>
          <cell r="B165">
            <v>2700</v>
          </cell>
          <cell r="C165">
            <v>1400</v>
          </cell>
          <cell r="D165">
            <v>2644</v>
          </cell>
          <cell r="E165">
            <v>1376</v>
          </cell>
          <cell r="F165">
            <v>777578</v>
          </cell>
          <cell r="G165">
            <v>307</v>
          </cell>
          <cell r="H165">
            <v>302</v>
          </cell>
          <cell r="I165">
            <v>308</v>
          </cell>
          <cell r="J165">
            <v>309</v>
          </cell>
          <cell r="K165">
            <v>316</v>
          </cell>
          <cell r="L165">
            <v>318</v>
          </cell>
          <cell r="M165" t="str">
            <v>-</v>
          </cell>
          <cell r="N165" t="str">
            <v>-</v>
          </cell>
          <cell r="O165" t="str">
            <v>-</v>
          </cell>
          <cell r="P165">
            <v>724</v>
          </cell>
          <cell r="Q165">
            <v>911</v>
          </cell>
          <cell r="R165">
            <v>480</v>
          </cell>
          <cell r="S165">
            <v>501</v>
          </cell>
          <cell r="T165">
            <v>450</v>
          </cell>
          <cell r="U165">
            <v>304</v>
          </cell>
          <cell r="V165">
            <v>421</v>
          </cell>
          <cell r="W165">
            <v>422</v>
          </cell>
          <cell r="X165" t="str">
            <v>-</v>
          </cell>
          <cell r="Y165">
            <v>495</v>
          </cell>
          <cell r="Z165">
            <v>502</v>
          </cell>
          <cell r="AA165">
            <v>305</v>
          </cell>
          <cell r="AB165">
            <v>306</v>
          </cell>
          <cell r="AC165">
            <v>730</v>
          </cell>
          <cell r="AD165" t="str">
            <v>-</v>
          </cell>
          <cell r="AE165">
            <v>748</v>
          </cell>
          <cell r="AF165" t="str">
            <v>-</v>
          </cell>
          <cell r="AG165" t="str">
            <v>-</v>
          </cell>
          <cell r="AH165" t="str">
            <v>-</v>
          </cell>
          <cell r="AI165">
            <v>722</v>
          </cell>
        </row>
        <row r="166">
          <cell r="A166" t="str">
            <v>PAINEL BP PUX 2644X1476X18 + COR</v>
          </cell>
          <cell r="B166">
            <v>2700</v>
          </cell>
          <cell r="C166">
            <v>1500</v>
          </cell>
          <cell r="D166">
            <v>2644</v>
          </cell>
          <cell r="E166">
            <v>1476</v>
          </cell>
          <cell r="F166">
            <v>777579</v>
          </cell>
          <cell r="G166">
            <v>307</v>
          </cell>
          <cell r="H166">
            <v>302</v>
          </cell>
          <cell r="I166">
            <v>308</v>
          </cell>
          <cell r="J166">
            <v>309</v>
          </cell>
          <cell r="K166">
            <v>316</v>
          </cell>
          <cell r="L166">
            <v>318</v>
          </cell>
          <cell r="M166" t="str">
            <v>-</v>
          </cell>
          <cell r="N166" t="str">
            <v>-</v>
          </cell>
          <cell r="O166" t="str">
            <v>-</v>
          </cell>
          <cell r="P166">
            <v>724</v>
          </cell>
          <cell r="Q166">
            <v>911</v>
          </cell>
          <cell r="R166">
            <v>480</v>
          </cell>
          <cell r="S166">
            <v>501</v>
          </cell>
          <cell r="T166">
            <v>450</v>
          </cell>
          <cell r="U166">
            <v>304</v>
          </cell>
          <cell r="V166">
            <v>421</v>
          </cell>
          <cell r="W166">
            <v>422</v>
          </cell>
          <cell r="X166" t="str">
            <v>-</v>
          </cell>
          <cell r="Y166">
            <v>495</v>
          </cell>
          <cell r="Z166">
            <v>502</v>
          </cell>
          <cell r="AA166">
            <v>305</v>
          </cell>
          <cell r="AB166">
            <v>306</v>
          </cell>
          <cell r="AC166">
            <v>730</v>
          </cell>
          <cell r="AD166" t="str">
            <v>-</v>
          </cell>
          <cell r="AE166">
            <v>748</v>
          </cell>
          <cell r="AF166" t="str">
            <v>-</v>
          </cell>
          <cell r="AG166" t="str">
            <v>-</v>
          </cell>
          <cell r="AH166" t="str">
            <v>-</v>
          </cell>
          <cell r="AI166">
            <v>722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Y225"/>
  <sheetViews>
    <sheetView showGridLines="0" topLeftCell="A47" zoomScale="55" zoomScaleNormal="55" zoomScaleSheetLayoutView="70" workbookViewId="0">
      <selection activeCell="B155" sqref="B155:C175"/>
    </sheetView>
  </sheetViews>
  <sheetFormatPr defaultColWidth="9.140625" defaultRowHeight="12.75" x14ac:dyDescent="0.2"/>
  <cols>
    <col min="1" max="3" width="14.7109375" style="1" customWidth="1"/>
    <col min="4" max="11" width="14.42578125" style="1" customWidth="1"/>
    <col min="12" max="12" width="92.140625" style="1" bestFit="1" customWidth="1"/>
    <col min="13" max="13" width="18" style="1" bestFit="1" customWidth="1"/>
    <col min="14" max="16" width="10.7109375" style="1" customWidth="1"/>
    <col min="17" max="16384" width="9.140625" style="1"/>
  </cols>
  <sheetData>
    <row r="1" spans="1:25" s="2" customFormat="1" ht="33.75" customHeight="1" thickBot="1" x14ac:dyDescent="0.35">
      <c r="A1" s="121" t="s">
        <v>70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Y1" s="29">
        <v>12</v>
      </c>
    </row>
    <row r="2" spans="1:25" s="2" customFormat="1" ht="60.75" customHeight="1" x14ac:dyDescent="0.2">
      <c r="A2" s="115" t="s">
        <v>65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</row>
    <row r="3" spans="1:25" s="2" customFormat="1" ht="27.75" customHeight="1" x14ac:dyDescent="0.2">
      <c r="A3" s="117" t="s">
        <v>3</v>
      </c>
      <c r="B3" s="117" t="s">
        <v>4</v>
      </c>
      <c r="C3" s="117" t="s">
        <v>6</v>
      </c>
      <c r="D3" s="118" t="s">
        <v>6</v>
      </c>
      <c r="E3" s="118"/>
      <c r="F3" s="118"/>
      <c r="G3" s="118"/>
      <c r="H3" s="118"/>
      <c r="I3" s="118"/>
      <c r="J3" s="118"/>
      <c r="K3" s="118"/>
      <c r="L3" s="118" t="s">
        <v>5</v>
      </c>
      <c r="M3" s="119" t="s">
        <v>53</v>
      </c>
      <c r="N3" s="118" t="s">
        <v>7</v>
      </c>
      <c r="O3" s="118"/>
      <c r="P3" s="118"/>
    </row>
    <row r="4" spans="1:25" ht="38.25" customHeight="1" x14ac:dyDescent="0.2">
      <c r="A4" s="117"/>
      <c r="B4" s="117"/>
      <c r="C4" s="117"/>
      <c r="D4" s="7" t="s">
        <v>61</v>
      </c>
      <c r="E4" s="7" t="s">
        <v>54</v>
      </c>
      <c r="F4" s="7" t="s">
        <v>55</v>
      </c>
      <c r="G4" s="7" t="s">
        <v>56</v>
      </c>
      <c r="H4" s="7" t="s">
        <v>57</v>
      </c>
      <c r="I4" s="7" t="s">
        <v>58</v>
      </c>
      <c r="J4" s="7" t="s">
        <v>59</v>
      </c>
      <c r="K4" s="7" t="s">
        <v>60</v>
      </c>
      <c r="L4" s="118"/>
      <c r="M4" s="120"/>
      <c r="N4" s="20" t="s">
        <v>8</v>
      </c>
      <c r="O4" s="20" t="s">
        <v>9</v>
      </c>
      <c r="P4" s="20" t="s">
        <v>1</v>
      </c>
    </row>
    <row r="5" spans="1:25" ht="30" customHeight="1" x14ac:dyDescent="0.2">
      <c r="A5" s="103">
        <v>227020</v>
      </c>
      <c r="B5" s="103">
        <f>VLOOKUP($A$5,'[1]PIANO DORM ALUM'!$B$8:$F$102,2,FALSE)</f>
        <v>590394</v>
      </c>
      <c r="C5" s="103"/>
      <c r="D5" s="25">
        <v>320058</v>
      </c>
      <c r="E5" s="25" t="s">
        <v>14</v>
      </c>
      <c r="F5" s="25">
        <v>320258</v>
      </c>
      <c r="G5" s="25" t="s">
        <v>14</v>
      </c>
      <c r="H5" s="25">
        <v>320458</v>
      </c>
      <c r="I5" s="25">
        <v>320558</v>
      </c>
      <c r="J5" s="25" t="s">
        <v>14</v>
      </c>
      <c r="K5" s="25" t="s">
        <v>14</v>
      </c>
      <c r="L5" s="114" t="str">
        <f>VLOOKUP($A$5,'[1]PIANO DORM ALUM'!$B$8:$F$102,3,FALSE)</f>
        <v>FRENTE DIR DESLIZ 2210X800X44</v>
      </c>
      <c r="M5" s="22" t="s">
        <v>47</v>
      </c>
      <c r="N5" s="103">
        <f>VLOOKUP($A$5,'[1]PIANO DORM ALUM'!$B$8:$F$102,4,FALSE)</f>
        <v>2210</v>
      </c>
      <c r="O5" s="103">
        <f>VLOOKUP($A$5,'[1]PIANO DORM ALUM'!$B$8:$F$102,5,FALSE)</f>
        <v>800</v>
      </c>
      <c r="P5" s="103">
        <v>25</v>
      </c>
    </row>
    <row r="6" spans="1:25" ht="30" customHeight="1" x14ac:dyDescent="0.2">
      <c r="A6" s="103"/>
      <c r="B6" s="103"/>
      <c r="C6" s="103"/>
      <c r="D6" s="25">
        <v>320059</v>
      </c>
      <c r="E6" s="25" t="s">
        <v>14</v>
      </c>
      <c r="F6" s="25">
        <v>320259</v>
      </c>
      <c r="G6" s="25">
        <v>320359</v>
      </c>
      <c r="H6" s="25">
        <v>320459</v>
      </c>
      <c r="I6" s="25">
        <v>320559</v>
      </c>
      <c r="J6" s="25" t="s">
        <v>14</v>
      </c>
      <c r="K6" s="25">
        <v>320759</v>
      </c>
      <c r="L6" s="114"/>
      <c r="M6" s="22" t="s">
        <v>48</v>
      </c>
      <c r="N6" s="103"/>
      <c r="O6" s="103"/>
      <c r="P6" s="103"/>
    </row>
    <row r="7" spans="1:25" ht="30" customHeight="1" x14ac:dyDescent="0.2">
      <c r="A7" s="103"/>
      <c r="B7" s="103"/>
      <c r="C7" s="103"/>
      <c r="D7" s="25">
        <v>320060</v>
      </c>
      <c r="E7" s="25" t="s">
        <v>14</v>
      </c>
      <c r="F7" s="25">
        <v>320260</v>
      </c>
      <c r="G7" s="25" t="s">
        <v>14</v>
      </c>
      <c r="H7" s="25">
        <v>320460</v>
      </c>
      <c r="I7" s="25">
        <v>320560</v>
      </c>
      <c r="J7" s="25">
        <v>320660</v>
      </c>
      <c r="K7" s="25" t="s">
        <v>14</v>
      </c>
      <c r="L7" s="114"/>
      <c r="M7" s="22" t="s">
        <v>66</v>
      </c>
      <c r="N7" s="103"/>
      <c r="O7" s="103"/>
      <c r="P7" s="103"/>
    </row>
    <row r="8" spans="1:25" ht="30" customHeight="1" x14ac:dyDescent="0.2">
      <c r="A8" s="103"/>
      <c r="B8" s="103"/>
      <c r="C8" s="103"/>
      <c r="D8" s="25">
        <v>320061</v>
      </c>
      <c r="E8" s="25" t="s">
        <v>14</v>
      </c>
      <c r="F8" s="25" t="s">
        <v>14</v>
      </c>
      <c r="G8" s="25" t="s">
        <v>14</v>
      </c>
      <c r="H8" s="25">
        <v>320461</v>
      </c>
      <c r="I8" s="25">
        <v>320561</v>
      </c>
      <c r="J8" s="25" t="s">
        <v>14</v>
      </c>
      <c r="K8" s="25" t="s">
        <v>14</v>
      </c>
      <c r="L8" s="114"/>
      <c r="M8" s="22" t="s">
        <v>67</v>
      </c>
      <c r="N8" s="103"/>
      <c r="O8" s="103"/>
      <c r="P8" s="103"/>
    </row>
    <row r="9" spans="1:25" ht="30" customHeight="1" x14ac:dyDescent="0.2">
      <c r="A9" s="103"/>
      <c r="B9" s="103"/>
      <c r="C9" s="103"/>
      <c r="D9" s="25">
        <v>320063</v>
      </c>
      <c r="E9" s="25">
        <v>320163</v>
      </c>
      <c r="F9" s="25">
        <v>320263</v>
      </c>
      <c r="G9" s="25">
        <v>320363</v>
      </c>
      <c r="H9" s="25">
        <v>320463</v>
      </c>
      <c r="I9" s="25">
        <v>320563</v>
      </c>
      <c r="J9" s="25">
        <v>320663</v>
      </c>
      <c r="K9" s="25">
        <v>320763</v>
      </c>
      <c r="L9" s="114"/>
      <c r="M9" s="22" t="s">
        <v>69</v>
      </c>
      <c r="N9" s="103"/>
      <c r="O9" s="103"/>
      <c r="P9" s="103"/>
    </row>
    <row r="10" spans="1:25" ht="30" customHeight="1" x14ac:dyDescent="0.2">
      <c r="A10" s="103"/>
      <c r="B10" s="103"/>
      <c r="C10" s="103"/>
      <c r="D10" s="25">
        <v>320005</v>
      </c>
      <c r="E10" s="25">
        <v>320105</v>
      </c>
      <c r="F10" s="25">
        <v>320205</v>
      </c>
      <c r="G10" s="25">
        <v>320305</v>
      </c>
      <c r="H10" s="25">
        <v>320405</v>
      </c>
      <c r="I10" s="25">
        <v>320505</v>
      </c>
      <c r="J10" s="25">
        <v>320605</v>
      </c>
      <c r="K10" s="25">
        <v>320705</v>
      </c>
      <c r="L10" s="114"/>
      <c r="M10" s="22" t="s">
        <v>51</v>
      </c>
      <c r="N10" s="103"/>
      <c r="O10" s="103"/>
      <c r="P10" s="103"/>
    </row>
    <row r="11" spans="1:25" ht="30" customHeight="1" x14ac:dyDescent="0.2">
      <c r="A11" s="103"/>
      <c r="B11" s="103"/>
      <c r="C11" s="103"/>
      <c r="D11" s="25">
        <v>320012</v>
      </c>
      <c r="E11" s="25">
        <v>320112</v>
      </c>
      <c r="F11" s="25" t="s">
        <v>14</v>
      </c>
      <c r="G11" s="25">
        <v>320312</v>
      </c>
      <c r="H11" s="25" t="s">
        <v>14</v>
      </c>
      <c r="I11" s="25">
        <v>320512</v>
      </c>
      <c r="J11" s="25" t="s">
        <v>14</v>
      </c>
      <c r="K11" s="25" t="s">
        <v>14</v>
      </c>
      <c r="L11" s="114"/>
      <c r="M11" s="22" t="s">
        <v>12</v>
      </c>
      <c r="N11" s="103"/>
      <c r="O11" s="103"/>
      <c r="P11" s="103"/>
    </row>
    <row r="12" spans="1:25" ht="30" customHeight="1" x14ac:dyDescent="0.2">
      <c r="A12" s="103"/>
      <c r="B12" s="103"/>
      <c r="C12" s="103"/>
      <c r="D12" s="25">
        <v>320027</v>
      </c>
      <c r="E12" s="25" t="s">
        <v>14</v>
      </c>
      <c r="F12" s="25">
        <v>320227</v>
      </c>
      <c r="G12" s="25">
        <v>320327</v>
      </c>
      <c r="H12" s="25">
        <v>320427</v>
      </c>
      <c r="I12" s="25">
        <v>320527</v>
      </c>
      <c r="J12" s="25">
        <v>320627</v>
      </c>
      <c r="K12" s="25">
        <v>320727</v>
      </c>
      <c r="L12" s="114"/>
      <c r="M12" s="22" t="s">
        <v>52</v>
      </c>
      <c r="N12" s="103"/>
      <c r="O12" s="103"/>
      <c r="P12" s="103"/>
    </row>
    <row r="13" spans="1:25" ht="30" customHeight="1" x14ac:dyDescent="0.2">
      <c r="A13" s="103"/>
      <c r="B13" s="103"/>
      <c r="C13" s="103"/>
      <c r="D13" s="25">
        <v>320026</v>
      </c>
      <c r="E13" s="25" t="s">
        <v>14</v>
      </c>
      <c r="F13" s="25" t="s">
        <v>14</v>
      </c>
      <c r="G13" s="25">
        <v>320326</v>
      </c>
      <c r="H13" s="25">
        <v>320426</v>
      </c>
      <c r="I13" s="25">
        <v>320526</v>
      </c>
      <c r="J13" s="25" t="s">
        <v>14</v>
      </c>
      <c r="K13" s="25" t="s">
        <v>14</v>
      </c>
      <c r="L13" s="114"/>
      <c r="M13" s="22" t="s">
        <v>20</v>
      </c>
      <c r="N13" s="103"/>
      <c r="O13" s="103"/>
      <c r="P13" s="103"/>
    </row>
    <row r="14" spans="1:25" ht="30" customHeight="1" x14ac:dyDescent="0.2">
      <c r="A14" s="103"/>
      <c r="B14" s="103"/>
      <c r="C14" s="103"/>
      <c r="D14" s="25">
        <v>320025</v>
      </c>
      <c r="E14" s="25" t="s">
        <v>14</v>
      </c>
      <c r="F14" s="25">
        <v>320225</v>
      </c>
      <c r="G14" s="25">
        <v>320325</v>
      </c>
      <c r="H14" s="25">
        <v>320425</v>
      </c>
      <c r="I14" s="25">
        <v>320525</v>
      </c>
      <c r="J14" s="25">
        <v>320625</v>
      </c>
      <c r="K14" s="25">
        <v>320725</v>
      </c>
      <c r="L14" s="114"/>
      <c r="M14" s="22" t="s">
        <v>49</v>
      </c>
      <c r="N14" s="103"/>
      <c r="O14" s="103"/>
      <c r="P14" s="103"/>
    </row>
    <row r="15" spans="1:25" ht="30" customHeight="1" x14ac:dyDescent="0.2">
      <c r="A15" s="103"/>
      <c r="B15" s="103"/>
      <c r="C15" s="103"/>
      <c r="D15" s="25">
        <v>320028</v>
      </c>
      <c r="E15" s="25" t="s">
        <v>14</v>
      </c>
      <c r="F15" s="25" t="s">
        <v>14</v>
      </c>
      <c r="G15" s="25">
        <v>320328</v>
      </c>
      <c r="H15" s="25">
        <v>320428</v>
      </c>
      <c r="I15" s="25">
        <v>320528</v>
      </c>
      <c r="J15" s="25" t="s">
        <v>14</v>
      </c>
      <c r="K15" s="25" t="s">
        <v>14</v>
      </c>
      <c r="L15" s="114"/>
      <c r="M15" s="22" t="s">
        <v>50</v>
      </c>
      <c r="N15" s="103"/>
      <c r="O15" s="103"/>
      <c r="P15" s="103"/>
    </row>
    <row r="16" spans="1:25" ht="30" customHeight="1" x14ac:dyDescent="0.2">
      <c r="A16" s="103"/>
      <c r="B16" s="103"/>
      <c r="C16" s="103"/>
      <c r="D16" s="25">
        <v>320019</v>
      </c>
      <c r="E16" s="25">
        <v>320119</v>
      </c>
      <c r="F16" s="25">
        <v>320219</v>
      </c>
      <c r="G16" s="25">
        <v>320319</v>
      </c>
      <c r="H16" s="25">
        <v>320419</v>
      </c>
      <c r="I16" s="25">
        <v>320519</v>
      </c>
      <c r="J16" s="25">
        <v>320619</v>
      </c>
      <c r="K16" s="25">
        <v>320719</v>
      </c>
      <c r="L16" s="114"/>
      <c r="M16" s="22" t="s">
        <v>21</v>
      </c>
      <c r="N16" s="103"/>
      <c r="O16" s="103"/>
      <c r="P16" s="103"/>
    </row>
    <row r="17" spans="1:16" ht="30" customHeight="1" x14ac:dyDescent="0.2">
      <c r="A17" s="103"/>
      <c r="B17" s="103"/>
      <c r="C17" s="103"/>
      <c r="D17" s="25">
        <v>320013</v>
      </c>
      <c r="E17" s="25" t="s">
        <v>14</v>
      </c>
      <c r="F17" s="25" t="s">
        <v>14</v>
      </c>
      <c r="G17" s="25">
        <v>320313</v>
      </c>
      <c r="H17" s="25">
        <v>320413</v>
      </c>
      <c r="I17" s="25">
        <v>320513</v>
      </c>
      <c r="J17" s="25" t="s">
        <v>14</v>
      </c>
      <c r="K17" s="25" t="s">
        <v>14</v>
      </c>
      <c r="L17" s="114"/>
      <c r="M17" s="22" t="s">
        <v>22</v>
      </c>
      <c r="N17" s="103"/>
      <c r="O17" s="103"/>
      <c r="P17" s="103"/>
    </row>
    <row r="18" spans="1:16" ht="30" customHeight="1" x14ac:dyDescent="0.2">
      <c r="A18" s="103"/>
      <c r="B18" s="103"/>
      <c r="C18" s="103"/>
      <c r="D18" s="25">
        <v>320015</v>
      </c>
      <c r="E18" s="25" t="s">
        <v>14</v>
      </c>
      <c r="F18" s="25" t="s">
        <v>14</v>
      </c>
      <c r="G18" s="25">
        <v>320315</v>
      </c>
      <c r="H18" s="25" t="s">
        <v>14</v>
      </c>
      <c r="I18" s="25">
        <v>320515</v>
      </c>
      <c r="J18" s="25" t="s">
        <v>14</v>
      </c>
      <c r="K18" s="25" t="s">
        <v>14</v>
      </c>
      <c r="L18" s="114"/>
      <c r="M18" s="22" t="s">
        <v>23</v>
      </c>
      <c r="N18" s="103"/>
      <c r="O18" s="103"/>
      <c r="P18" s="103"/>
    </row>
    <row r="19" spans="1:16" ht="30" customHeight="1" x14ac:dyDescent="0.2">
      <c r="A19" s="103"/>
      <c r="B19" s="103"/>
      <c r="C19" s="103"/>
      <c r="D19" s="25">
        <v>320038</v>
      </c>
      <c r="E19" s="25" t="s">
        <v>14</v>
      </c>
      <c r="F19" s="25" t="s">
        <v>14</v>
      </c>
      <c r="G19" s="25">
        <v>320338</v>
      </c>
      <c r="H19" s="25" t="s">
        <v>14</v>
      </c>
      <c r="I19" s="25">
        <v>320538</v>
      </c>
      <c r="J19" s="25" t="s">
        <v>14</v>
      </c>
      <c r="K19" s="25" t="s">
        <v>14</v>
      </c>
      <c r="L19" s="114"/>
      <c r="M19" s="22" t="s">
        <v>24</v>
      </c>
      <c r="N19" s="103"/>
      <c r="O19" s="103"/>
      <c r="P19" s="103"/>
    </row>
    <row r="20" spans="1:16" ht="30" customHeight="1" x14ac:dyDescent="0.2">
      <c r="A20" s="103"/>
      <c r="B20" s="103"/>
      <c r="C20" s="103"/>
      <c r="D20" s="25">
        <v>320044</v>
      </c>
      <c r="E20" s="25" t="s">
        <v>14</v>
      </c>
      <c r="F20" s="25" t="s">
        <v>14</v>
      </c>
      <c r="G20" s="25">
        <v>320344</v>
      </c>
      <c r="H20" s="25" t="s">
        <v>14</v>
      </c>
      <c r="I20" s="25">
        <v>320544</v>
      </c>
      <c r="J20" s="25" t="s">
        <v>14</v>
      </c>
      <c r="K20" s="25" t="s">
        <v>14</v>
      </c>
      <c r="L20" s="114"/>
      <c r="M20" s="22" t="s">
        <v>25</v>
      </c>
      <c r="N20" s="103"/>
      <c r="O20" s="103"/>
      <c r="P20" s="103"/>
    </row>
    <row r="21" spans="1:16" ht="30" customHeight="1" x14ac:dyDescent="0.2">
      <c r="A21" s="103"/>
      <c r="B21" s="103"/>
      <c r="C21" s="103"/>
      <c r="D21" s="25">
        <v>320010</v>
      </c>
      <c r="E21" s="25" t="s">
        <v>14</v>
      </c>
      <c r="F21" s="25">
        <v>320210</v>
      </c>
      <c r="G21" s="25">
        <v>320310</v>
      </c>
      <c r="H21" s="25" t="s">
        <v>14</v>
      </c>
      <c r="I21" s="25">
        <v>320510</v>
      </c>
      <c r="J21" s="25">
        <v>320610</v>
      </c>
      <c r="K21" s="25">
        <v>320710</v>
      </c>
      <c r="L21" s="114"/>
      <c r="M21" s="22" t="s">
        <v>26</v>
      </c>
      <c r="N21" s="103"/>
      <c r="O21" s="103"/>
      <c r="P21" s="103"/>
    </row>
    <row r="22" spans="1:16" ht="30" customHeight="1" x14ac:dyDescent="0.2">
      <c r="A22" s="103"/>
      <c r="B22" s="103"/>
      <c r="C22" s="103"/>
      <c r="D22" s="25">
        <v>320008</v>
      </c>
      <c r="E22" s="25" t="s">
        <v>14</v>
      </c>
      <c r="F22" s="25" t="s">
        <v>14</v>
      </c>
      <c r="G22" s="25">
        <v>320308</v>
      </c>
      <c r="H22" s="25" t="s">
        <v>14</v>
      </c>
      <c r="I22" s="25">
        <v>320508</v>
      </c>
      <c r="J22" s="25" t="s">
        <v>14</v>
      </c>
      <c r="K22" s="25" t="s">
        <v>14</v>
      </c>
      <c r="L22" s="114"/>
      <c r="M22" s="22" t="s">
        <v>63</v>
      </c>
      <c r="N22" s="103"/>
      <c r="O22" s="103"/>
      <c r="P22" s="103"/>
    </row>
    <row r="23" spans="1:16" ht="30" customHeight="1" x14ac:dyDescent="0.2">
      <c r="A23" s="103"/>
      <c r="B23" s="103"/>
      <c r="C23" s="103"/>
      <c r="D23" s="25">
        <v>320021</v>
      </c>
      <c r="E23" s="25" t="s">
        <v>14</v>
      </c>
      <c r="F23" s="25" t="s">
        <v>14</v>
      </c>
      <c r="G23" s="25">
        <v>320321</v>
      </c>
      <c r="H23" s="25" t="s">
        <v>14</v>
      </c>
      <c r="I23" s="25">
        <v>320521</v>
      </c>
      <c r="J23" s="25" t="s">
        <v>14</v>
      </c>
      <c r="K23" s="25" t="s">
        <v>14</v>
      </c>
      <c r="L23" s="114"/>
      <c r="M23" s="22" t="s">
        <v>27</v>
      </c>
      <c r="N23" s="103"/>
      <c r="O23" s="103"/>
      <c r="P23" s="103"/>
    </row>
    <row r="24" spans="1:16" ht="30" customHeight="1" x14ac:dyDescent="0.2">
      <c r="A24" s="103"/>
      <c r="B24" s="103"/>
      <c r="C24" s="103"/>
      <c r="D24" s="25">
        <v>320006</v>
      </c>
      <c r="E24" s="25" t="s">
        <v>14</v>
      </c>
      <c r="F24" s="25">
        <v>320206</v>
      </c>
      <c r="G24" s="25">
        <v>320306</v>
      </c>
      <c r="H24" s="25">
        <v>320406</v>
      </c>
      <c r="I24" s="25">
        <v>320506</v>
      </c>
      <c r="J24" s="25">
        <v>320606</v>
      </c>
      <c r="K24" s="25" t="s">
        <v>14</v>
      </c>
      <c r="L24" s="114"/>
      <c r="M24" s="22" t="s">
        <v>28</v>
      </c>
      <c r="N24" s="103"/>
      <c r="O24" s="103"/>
      <c r="P24" s="103"/>
    </row>
    <row r="25" spans="1:16" ht="30" customHeight="1" x14ac:dyDescent="0.2">
      <c r="A25" s="103"/>
      <c r="B25" s="103"/>
      <c r="C25" s="103"/>
      <c r="D25" s="25">
        <v>320009</v>
      </c>
      <c r="E25" s="25" t="s">
        <v>14</v>
      </c>
      <c r="F25" s="25" t="s">
        <v>14</v>
      </c>
      <c r="G25" s="25">
        <v>320309</v>
      </c>
      <c r="H25" s="25" t="s">
        <v>14</v>
      </c>
      <c r="I25" s="25">
        <v>320509</v>
      </c>
      <c r="J25" s="25" t="s">
        <v>14</v>
      </c>
      <c r="K25" s="25" t="s">
        <v>14</v>
      </c>
      <c r="L25" s="114"/>
      <c r="M25" s="22" t="s">
        <v>29</v>
      </c>
      <c r="N25" s="103"/>
      <c r="O25" s="103"/>
      <c r="P25" s="103"/>
    </row>
    <row r="26" spans="1:16" ht="33" customHeight="1" x14ac:dyDescent="0.2">
      <c r="A26" s="104" t="s">
        <v>35</v>
      </c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6"/>
    </row>
    <row r="27" spans="1:16" ht="28.5" customHeight="1" x14ac:dyDescent="0.2">
      <c r="A27" s="107" t="s">
        <v>15</v>
      </c>
      <c r="B27" s="107" t="s">
        <v>4</v>
      </c>
      <c r="C27" s="107" t="s">
        <v>13</v>
      </c>
      <c r="D27" s="108" t="s">
        <v>6</v>
      </c>
      <c r="E27" s="109"/>
      <c r="F27" s="109"/>
      <c r="G27" s="109"/>
      <c r="H27" s="109"/>
      <c r="I27" s="109"/>
      <c r="J27" s="109"/>
      <c r="K27" s="110"/>
      <c r="L27" s="111"/>
      <c r="M27" s="113" t="s">
        <v>10</v>
      </c>
      <c r="N27" s="113" t="s">
        <v>11</v>
      </c>
      <c r="O27" s="113"/>
      <c r="P27" s="113"/>
    </row>
    <row r="28" spans="1:16" ht="39" customHeight="1" x14ac:dyDescent="0.2">
      <c r="A28" s="107"/>
      <c r="B28" s="107"/>
      <c r="C28" s="107"/>
      <c r="D28" s="7" t="s">
        <v>61</v>
      </c>
      <c r="E28" s="7" t="s">
        <v>54</v>
      </c>
      <c r="F28" s="7" t="s">
        <v>55</v>
      </c>
      <c r="G28" s="7" t="s">
        <v>56</v>
      </c>
      <c r="H28" s="7" t="s">
        <v>57</v>
      </c>
      <c r="I28" s="7" t="s">
        <v>58</v>
      </c>
      <c r="J28" s="7" t="s">
        <v>59</v>
      </c>
      <c r="K28" s="7" t="s">
        <v>60</v>
      </c>
      <c r="L28" s="112"/>
      <c r="M28" s="113"/>
      <c r="N28" s="21" t="s">
        <v>0</v>
      </c>
      <c r="O28" s="21" t="s">
        <v>9</v>
      </c>
      <c r="P28" s="21" t="s">
        <v>1</v>
      </c>
    </row>
    <row r="29" spans="1:16" ht="24" customHeight="1" x14ac:dyDescent="0.2">
      <c r="A29" s="9">
        <v>595770</v>
      </c>
      <c r="B29" s="9"/>
      <c r="C29" s="9"/>
      <c r="D29" s="9" t="s">
        <v>14</v>
      </c>
      <c r="E29" s="9">
        <v>3201</v>
      </c>
      <c r="F29" s="9">
        <v>3202</v>
      </c>
      <c r="G29" s="9">
        <v>3203</v>
      </c>
      <c r="H29" s="9">
        <v>3204</v>
      </c>
      <c r="I29" s="9">
        <v>3205</v>
      </c>
      <c r="J29" s="9">
        <v>3206</v>
      </c>
      <c r="K29" s="9">
        <v>3207</v>
      </c>
      <c r="L29" s="12" t="str">
        <f>VLOOKUP(A29,'[1]PERFIL ALUM PIANO'!$A$6:$N$132,11,FALSE)</f>
        <v>CABECEIRA NESE SUP PIANO 750X70X24+COR</v>
      </c>
      <c r="M29" s="101">
        <v>1</v>
      </c>
      <c r="N29" s="101">
        <f>VLOOKUP(A29,'[1]PERFIL ALUM PIANO'!$A$6:$N$132,12,FALSE)</f>
        <v>750</v>
      </c>
      <c r="O29" s="101">
        <f>VLOOKUP(A29,'[1]PERFIL ALUM PIANO'!$A$6:$N$132,13,FALSE)</f>
        <v>70</v>
      </c>
      <c r="P29" s="101">
        <f>VLOOKUP(A29,'[1]PERFIL ALUM PIANO'!$A$6:$N$132,14,FALSE)</f>
        <v>24</v>
      </c>
    </row>
    <row r="30" spans="1:16" ht="24" customHeight="1" x14ac:dyDescent="0.2">
      <c r="A30" s="12"/>
      <c r="B30" s="9">
        <f>A29</f>
        <v>595770</v>
      </c>
      <c r="C30" s="12"/>
      <c r="D30" s="9">
        <v>3299</v>
      </c>
      <c r="E30" s="9">
        <v>3200</v>
      </c>
      <c r="F30" s="9">
        <v>3200</v>
      </c>
      <c r="G30" s="9">
        <v>3200</v>
      </c>
      <c r="H30" s="9">
        <v>3200</v>
      </c>
      <c r="I30" s="9">
        <v>3200</v>
      </c>
      <c r="J30" s="9">
        <v>3200</v>
      </c>
      <c r="K30" s="9">
        <v>3200</v>
      </c>
      <c r="L30" s="12" t="str">
        <f>SUBSTITUTE(L29,"+ COR", "- NATURAL")</f>
        <v>CABECEIRA NESE SUP PIANO 750X70X24+COR</v>
      </c>
      <c r="M30" s="102"/>
      <c r="N30" s="102"/>
      <c r="O30" s="102"/>
      <c r="P30" s="102"/>
    </row>
    <row r="31" spans="1:16" ht="24" customHeight="1" x14ac:dyDescent="0.2">
      <c r="A31" s="13"/>
      <c r="B31" s="10"/>
      <c r="C31" s="10">
        <v>1022134</v>
      </c>
      <c r="D31" s="10" t="s">
        <v>14</v>
      </c>
      <c r="E31" s="10" t="s">
        <v>14</v>
      </c>
      <c r="F31" s="10" t="s">
        <v>14</v>
      </c>
      <c r="G31" s="10" t="s">
        <v>14</v>
      </c>
      <c r="H31" s="10" t="s">
        <v>14</v>
      </c>
      <c r="I31" s="10" t="s">
        <v>14</v>
      </c>
      <c r="J31" s="10" t="s">
        <v>14</v>
      </c>
      <c r="K31" s="10" t="s">
        <v>14</v>
      </c>
      <c r="L31" s="14" t="str">
        <f>VLOOKUP(C31,[1]PERFIS!$A$4:$B$12,2,FALSE)</f>
        <v>PERFIL  ALUMINIO PIANO CABECEIRA 6M JAT/ ANOD/ NAT/FOSCO</v>
      </c>
      <c r="M31" s="15"/>
      <c r="N31" s="15"/>
      <c r="O31" s="15"/>
      <c r="P31" s="16"/>
    </row>
    <row r="32" spans="1:16" ht="24" customHeight="1" x14ac:dyDescent="0.2">
      <c r="A32" s="13"/>
      <c r="B32" s="10">
        <v>595706</v>
      </c>
      <c r="C32" s="10"/>
      <c r="D32" s="11" t="s">
        <v>14</v>
      </c>
      <c r="E32" s="11" t="s">
        <v>16</v>
      </c>
      <c r="F32" s="11" t="s">
        <v>17</v>
      </c>
      <c r="G32" s="11" t="s">
        <v>18</v>
      </c>
      <c r="H32" s="11" t="s">
        <v>30</v>
      </c>
      <c r="I32" s="11" t="s">
        <v>2</v>
      </c>
      <c r="J32" s="11" t="s">
        <v>31</v>
      </c>
      <c r="K32" s="11" t="s">
        <v>32</v>
      </c>
      <c r="L32" s="14" t="str">
        <f>VLOOKUP(B32,'[1]PERFIL ALUM PIANO'!$A$6:$N$132,11,FALSE)</f>
        <v>PINTURA ALUMINIO PL PIANO CABECEIRA + COR</v>
      </c>
      <c r="M32" s="10"/>
      <c r="N32" s="10" t="s">
        <v>19</v>
      </c>
      <c r="O32" s="6"/>
      <c r="P32" s="6"/>
    </row>
    <row r="33" spans="1:16" ht="13.5" customHeight="1" x14ac:dyDescent="0.2"/>
    <row r="34" spans="1:16" ht="24" customHeight="1" x14ac:dyDescent="0.2">
      <c r="A34" s="9">
        <v>595775</v>
      </c>
      <c r="B34" s="9"/>
      <c r="C34" s="9"/>
      <c r="D34" s="9" t="s">
        <v>14</v>
      </c>
      <c r="E34" s="9">
        <v>3201</v>
      </c>
      <c r="F34" s="9">
        <v>3202</v>
      </c>
      <c r="G34" s="9">
        <v>3203</v>
      </c>
      <c r="H34" s="9">
        <v>3204</v>
      </c>
      <c r="I34" s="9">
        <v>3205</v>
      </c>
      <c r="J34" s="9">
        <v>3206</v>
      </c>
      <c r="K34" s="9">
        <v>3207</v>
      </c>
      <c r="L34" s="12" t="str">
        <f>VLOOKUP(A34,'[1]PERFIL ALUM PIANO'!$A$6:$N$132,11,FALSE)</f>
        <v>CABECEIRA NESE INF PIANO C/ REC 750X70X24+COR</v>
      </c>
      <c r="M34" s="101">
        <v>1</v>
      </c>
      <c r="N34" s="101">
        <f>VLOOKUP(A34,'[1]PERFIL ALUM PIANO'!$A$6:$N$132,12,FALSE)</f>
        <v>750</v>
      </c>
      <c r="O34" s="101">
        <f>VLOOKUP(A34,'[1]PERFIL ALUM PIANO'!$A$6:$N$132,13,FALSE)</f>
        <v>70</v>
      </c>
      <c r="P34" s="101">
        <f>VLOOKUP(A34,'[1]PERFIL ALUM PIANO'!$A$6:$N$132,14,FALSE)</f>
        <v>24</v>
      </c>
    </row>
    <row r="35" spans="1:16" ht="24" customHeight="1" x14ac:dyDescent="0.2">
      <c r="A35" s="12"/>
      <c r="B35" s="9">
        <f>A34</f>
        <v>595775</v>
      </c>
      <c r="C35" s="12"/>
      <c r="D35" s="9">
        <v>3299</v>
      </c>
      <c r="E35" s="9">
        <v>3200</v>
      </c>
      <c r="F35" s="9">
        <v>3200</v>
      </c>
      <c r="G35" s="9">
        <v>3200</v>
      </c>
      <c r="H35" s="9">
        <v>3200</v>
      </c>
      <c r="I35" s="9">
        <v>3200</v>
      </c>
      <c r="J35" s="9">
        <v>3200</v>
      </c>
      <c r="K35" s="9">
        <v>3200</v>
      </c>
      <c r="L35" s="12" t="str">
        <f>SUBSTITUTE(L34,"+ COR", "- NATURAL")</f>
        <v>CABECEIRA NESE INF PIANO C/ REC 750X70X24+COR</v>
      </c>
      <c r="M35" s="102"/>
      <c r="N35" s="102"/>
      <c r="O35" s="102"/>
      <c r="P35" s="102"/>
    </row>
    <row r="36" spans="1:16" ht="24" customHeight="1" x14ac:dyDescent="0.2">
      <c r="A36" s="13"/>
      <c r="B36" s="10"/>
      <c r="C36" s="10">
        <v>1022134</v>
      </c>
      <c r="D36" s="10" t="s">
        <v>14</v>
      </c>
      <c r="E36" s="10" t="s">
        <v>14</v>
      </c>
      <c r="F36" s="10" t="s">
        <v>14</v>
      </c>
      <c r="G36" s="10" t="s">
        <v>14</v>
      </c>
      <c r="H36" s="10" t="s">
        <v>14</v>
      </c>
      <c r="I36" s="10" t="s">
        <v>14</v>
      </c>
      <c r="J36" s="10" t="s">
        <v>14</v>
      </c>
      <c r="K36" s="10" t="s">
        <v>14</v>
      </c>
      <c r="L36" s="14" t="str">
        <f>VLOOKUP(C36,[1]PERFIS!$A$4:$B$12,2,FALSE)</f>
        <v>PERFIL  ALUMINIO PIANO CABECEIRA 6M JAT/ ANOD/ NAT/FOSCO</v>
      </c>
      <c r="M36" s="15"/>
      <c r="N36" s="15"/>
      <c r="O36" s="15"/>
      <c r="P36" s="16"/>
    </row>
    <row r="37" spans="1:16" ht="24" customHeight="1" x14ac:dyDescent="0.2">
      <c r="A37" s="13"/>
      <c r="B37" s="10">
        <v>595706</v>
      </c>
      <c r="C37" s="10"/>
      <c r="D37" s="11" t="s">
        <v>14</v>
      </c>
      <c r="E37" s="11" t="s">
        <v>16</v>
      </c>
      <c r="F37" s="11" t="s">
        <v>17</v>
      </c>
      <c r="G37" s="11" t="s">
        <v>18</v>
      </c>
      <c r="H37" s="11" t="s">
        <v>30</v>
      </c>
      <c r="I37" s="11" t="s">
        <v>2</v>
      </c>
      <c r="J37" s="11" t="s">
        <v>31</v>
      </c>
      <c r="K37" s="11" t="s">
        <v>32</v>
      </c>
      <c r="L37" s="14" t="str">
        <f>VLOOKUP(B37,'[1]PERFIL ALUM PIANO'!$A$6:$N$132,11,FALSE)</f>
        <v>PINTURA ALUMINIO PL PIANO CABECEIRA + COR</v>
      </c>
      <c r="M37" s="10"/>
      <c r="N37" s="10" t="s">
        <v>19</v>
      </c>
      <c r="O37" s="6"/>
      <c r="P37" s="6"/>
    </row>
    <row r="38" spans="1:16" ht="13.5" customHeight="1" x14ac:dyDescent="0.2"/>
    <row r="39" spans="1:16" ht="24" customHeight="1" x14ac:dyDescent="0.2">
      <c r="A39" s="9">
        <v>595800</v>
      </c>
      <c r="B39" s="9"/>
      <c r="C39" s="9"/>
      <c r="D39" s="9" t="s">
        <v>14</v>
      </c>
      <c r="E39" s="9">
        <v>3201</v>
      </c>
      <c r="F39" s="9">
        <v>3202</v>
      </c>
      <c r="G39" s="9">
        <v>3203</v>
      </c>
      <c r="H39" s="9">
        <v>3204</v>
      </c>
      <c r="I39" s="9">
        <v>3205</v>
      </c>
      <c r="J39" s="9">
        <v>3206</v>
      </c>
      <c r="K39" s="9">
        <v>3207</v>
      </c>
      <c r="L39" s="12" t="str">
        <f>VLOOKUP(A39,'[1]PERFIL ALUM PIANO'!$A$6:$N$132,11,FALSE)</f>
        <v>LATERAL DIR PIANO C/ PUX 2210X25X44+COR</v>
      </c>
      <c r="M39" s="101">
        <v>1</v>
      </c>
      <c r="N39" s="101">
        <f>VLOOKUP(A39,'[1]PERFIL ALUM PIANO'!$A$6:$N$132,12,FALSE)</f>
        <v>2210</v>
      </c>
      <c r="O39" s="101">
        <f>VLOOKUP(A39,'[1]PERFIL ALUM PIANO'!$A$6:$N$132,13,FALSE)</f>
        <v>25</v>
      </c>
      <c r="P39" s="101">
        <f>VLOOKUP(A39,'[1]PERFIL ALUM PIANO'!$A$6:$N$132,14,FALSE)</f>
        <v>44</v>
      </c>
    </row>
    <row r="40" spans="1:16" ht="24" customHeight="1" x14ac:dyDescent="0.2">
      <c r="A40" s="12"/>
      <c r="B40" s="9">
        <f>A39</f>
        <v>595800</v>
      </c>
      <c r="C40" s="12"/>
      <c r="D40" s="9">
        <v>3299</v>
      </c>
      <c r="E40" s="9">
        <v>3200</v>
      </c>
      <c r="F40" s="9">
        <v>3200</v>
      </c>
      <c r="G40" s="9">
        <v>3200</v>
      </c>
      <c r="H40" s="9">
        <v>3200</v>
      </c>
      <c r="I40" s="9">
        <v>3200</v>
      </c>
      <c r="J40" s="9">
        <v>3200</v>
      </c>
      <c r="K40" s="9">
        <v>3200</v>
      </c>
      <c r="L40" s="12" t="str">
        <f>SUBSTITUTE(L39,"+ COR", "- NATURAL")</f>
        <v>LATERAL DIR PIANO C/ PUX 2210X25X44+COR</v>
      </c>
      <c r="M40" s="102"/>
      <c r="N40" s="102"/>
      <c r="O40" s="102"/>
      <c r="P40" s="102"/>
    </row>
    <row r="41" spans="1:16" ht="24" customHeight="1" x14ac:dyDescent="0.2">
      <c r="A41" s="13"/>
      <c r="B41" s="10"/>
      <c r="C41" s="10">
        <v>1022132</v>
      </c>
      <c r="D41" s="10" t="s">
        <v>14</v>
      </c>
      <c r="E41" s="10" t="s">
        <v>14</v>
      </c>
      <c r="F41" s="10" t="s">
        <v>14</v>
      </c>
      <c r="G41" s="10" t="s">
        <v>14</v>
      </c>
      <c r="H41" s="10" t="s">
        <v>14</v>
      </c>
      <c r="I41" s="10" t="s">
        <v>14</v>
      </c>
      <c r="J41" s="10" t="s">
        <v>14</v>
      </c>
      <c r="K41" s="10" t="s">
        <v>14</v>
      </c>
      <c r="L41" s="14" t="str">
        <f>VLOOKUP(C41,[1]PERFIS!$A$4:$B$12,2,FALSE)</f>
        <v>PERFIL  ALUMINIO PIANO C/PUX 5,5 M JAT/ ANOD/ NAT/FOSCO</v>
      </c>
      <c r="M41" s="15"/>
      <c r="N41" s="15"/>
      <c r="O41" s="15"/>
      <c r="P41" s="16"/>
    </row>
    <row r="42" spans="1:16" ht="24" customHeight="1" x14ac:dyDescent="0.2">
      <c r="A42" s="13"/>
      <c r="B42" s="10">
        <v>595704</v>
      </c>
      <c r="C42" s="10"/>
      <c r="D42" s="11" t="s">
        <v>14</v>
      </c>
      <c r="E42" s="11" t="s">
        <v>16</v>
      </c>
      <c r="F42" s="11" t="s">
        <v>17</v>
      </c>
      <c r="G42" s="11" t="s">
        <v>18</v>
      </c>
      <c r="H42" s="11" t="s">
        <v>30</v>
      </c>
      <c r="I42" s="11" t="s">
        <v>2</v>
      </c>
      <c r="J42" s="11" t="s">
        <v>31</v>
      </c>
      <c r="K42" s="11" t="s">
        <v>32</v>
      </c>
      <c r="L42" s="14" t="str">
        <f>VLOOKUP(B42,'[1]PERFIL ALUM PIANO'!$A$6:$N$132,11,FALSE)</f>
        <v>PINTURA ALUMINIO PL PIANO PUX + COR</v>
      </c>
      <c r="M42" s="10"/>
      <c r="N42" s="10" t="s">
        <v>19</v>
      </c>
      <c r="O42" s="6"/>
      <c r="P42" s="6"/>
    </row>
    <row r="43" spans="1:16" ht="13.5" customHeight="1" x14ac:dyDescent="0.2"/>
    <row r="44" spans="1:16" ht="24" customHeight="1" x14ac:dyDescent="0.2">
      <c r="A44" s="9">
        <v>595806</v>
      </c>
      <c r="B44" s="9"/>
      <c r="C44" s="9"/>
      <c r="D44" s="9" t="s">
        <v>14</v>
      </c>
      <c r="E44" s="9">
        <v>3201</v>
      </c>
      <c r="F44" s="9">
        <v>3202</v>
      </c>
      <c r="G44" s="9">
        <v>3203</v>
      </c>
      <c r="H44" s="9">
        <v>3204</v>
      </c>
      <c r="I44" s="9">
        <v>3205</v>
      </c>
      <c r="J44" s="9">
        <v>3206</v>
      </c>
      <c r="K44" s="9">
        <v>3207</v>
      </c>
      <c r="L44" s="12" t="str">
        <f>VLOOKUP(A44,'[1]PERFIL ALUM PIANO'!$A$6:$N$132,11,FALSE)</f>
        <v>LATERAL DIR PIANO 2210X25X24+COR</v>
      </c>
      <c r="M44" s="101">
        <v>1</v>
      </c>
      <c r="N44" s="101">
        <f>VLOOKUP(A44,'[1]PERFIL ALUM PIANO'!$A$6:$N$132,12,FALSE)</f>
        <v>2210</v>
      </c>
      <c r="O44" s="101">
        <f>VLOOKUP(A44,'[1]PERFIL ALUM PIANO'!$A$6:$N$132,13,FALSE)</f>
        <v>25</v>
      </c>
      <c r="P44" s="101">
        <f>VLOOKUP(A44,'[1]PERFIL ALUM PIANO'!$A$6:$N$132,14,FALSE)</f>
        <v>24</v>
      </c>
    </row>
    <row r="45" spans="1:16" ht="24" customHeight="1" x14ac:dyDescent="0.2">
      <c r="A45" s="12"/>
      <c r="B45" s="9">
        <f>A44</f>
        <v>595806</v>
      </c>
      <c r="C45" s="12"/>
      <c r="D45" s="9">
        <v>3299</v>
      </c>
      <c r="E45" s="9">
        <v>3200</v>
      </c>
      <c r="F45" s="9">
        <v>3200</v>
      </c>
      <c r="G45" s="9">
        <v>3200</v>
      </c>
      <c r="H45" s="9">
        <v>3200</v>
      </c>
      <c r="I45" s="9">
        <v>3200</v>
      </c>
      <c r="J45" s="9">
        <v>3200</v>
      </c>
      <c r="K45" s="9">
        <v>3200</v>
      </c>
      <c r="L45" s="12" t="str">
        <f>SUBSTITUTE(L44,"+ COR", "- NATURAL")</f>
        <v>LATERAL DIR PIANO 2210X25X24+COR</v>
      </c>
      <c r="M45" s="102"/>
      <c r="N45" s="102"/>
      <c r="O45" s="102"/>
      <c r="P45" s="102"/>
    </row>
    <row r="46" spans="1:16" ht="24" customHeight="1" x14ac:dyDescent="0.2">
      <c r="A46" s="13"/>
      <c r="B46" s="10"/>
      <c r="C46" s="10">
        <v>1022133</v>
      </c>
      <c r="D46" s="10" t="s">
        <v>14</v>
      </c>
      <c r="E46" s="10" t="s">
        <v>14</v>
      </c>
      <c r="F46" s="10" t="s">
        <v>14</v>
      </c>
      <c r="G46" s="10" t="s">
        <v>14</v>
      </c>
      <c r="H46" s="10" t="s">
        <v>14</v>
      </c>
      <c r="I46" s="10" t="s">
        <v>14</v>
      </c>
      <c r="J46" s="10" t="s">
        <v>14</v>
      </c>
      <c r="K46" s="10" t="s">
        <v>14</v>
      </c>
      <c r="L46" s="14" t="str">
        <f>VLOOKUP(C46,[1]PERFIS!$A$4:$B$12,2,FALSE)</f>
        <v>PERFIL  ALUMINIO PIANO S/PUX 5,5 M JAT/ ANOD/ NAT/FOSCO</v>
      </c>
      <c r="M46" s="15"/>
      <c r="N46" s="15"/>
      <c r="O46" s="15"/>
      <c r="P46" s="16"/>
    </row>
    <row r="47" spans="1:16" ht="24" customHeight="1" x14ac:dyDescent="0.2">
      <c r="A47" s="13"/>
      <c r="B47" s="10">
        <v>595705</v>
      </c>
      <c r="C47" s="10"/>
      <c r="D47" s="11" t="s">
        <v>14</v>
      </c>
      <c r="E47" s="11" t="s">
        <v>16</v>
      </c>
      <c r="F47" s="11" t="s">
        <v>17</v>
      </c>
      <c r="G47" s="11" t="s">
        <v>18</v>
      </c>
      <c r="H47" s="11" t="s">
        <v>30</v>
      </c>
      <c r="I47" s="11" t="s">
        <v>2</v>
      </c>
      <c r="J47" s="11" t="s">
        <v>31</v>
      </c>
      <c r="K47" s="11" t="s">
        <v>32</v>
      </c>
      <c r="L47" s="14" t="str">
        <f>VLOOKUP(B47,'[1]PERFIL ALUM PIANO'!$A$6:$N$132,11,FALSE)</f>
        <v>PINTURA ALUMINIO PL PIANO + COR</v>
      </c>
      <c r="M47" s="10"/>
      <c r="N47" s="10" t="s">
        <v>19</v>
      </c>
      <c r="O47" s="6"/>
      <c r="P47" s="6"/>
    </row>
    <row r="48" spans="1:16" ht="13.5" customHeight="1" x14ac:dyDescent="0.2"/>
    <row r="49" spans="1:16" ht="18" customHeight="1" x14ac:dyDescent="0.2">
      <c r="A49" s="23"/>
      <c r="B49" s="23"/>
      <c r="C49" s="6"/>
      <c r="D49" s="5">
        <v>1022223</v>
      </c>
      <c r="E49" s="5">
        <v>1022223</v>
      </c>
      <c r="F49" s="5">
        <v>1022223</v>
      </c>
      <c r="G49" s="5">
        <v>1022223</v>
      </c>
      <c r="H49" s="5">
        <v>1022223</v>
      </c>
      <c r="I49" s="5">
        <v>1022223</v>
      </c>
      <c r="J49" s="5">
        <v>1022223</v>
      </c>
      <c r="K49" s="5">
        <v>1022223</v>
      </c>
      <c r="L49" s="6" t="s">
        <v>68</v>
      </c>
      <c r="M49" s="23">
        <v>4</v>
      </c>
      <c r="N49" s="18" t="s">
        <v>42</v>
      </c>
      <c r="O49" s="4"/>
      <c r="P49" s="4"/>
    </row>
    <row r="50" spans="1:16" ht="18" customHeight="1" x14ac:dyDescent="0.2">
      <c r="A50" s="5"/>
      <c r="B50" s="5"/>
      <c r="C50" s="4"/>
      <c r="D50" s="5">
        <v>1018359</v>
      </c>
      <c r="E50" s="5">
        <v>1018359</v>
      </c>
      <c r="F50" s="28">
        <v>1022356</v>
      </c>
      <c r="G50" s="5">
        <v>1018359</v>
      </c>
      <c r="H50" s="28">
        <v>1022356</v>
      </c>
      <c r="I50" s="28">
        <v>1022356</v>
      </c>
      <c r="J50" s="5">
        <v>1018359</v>
      </c>
      <c r="K50" s="5">
        <v>1018359</v>
      </c>
      <c r="L50" s="4" t="s">
        <v>62</v>
      </c>
      <c r="M50" s="5">
        <v>0.24</v>
      </c>
      <c r="N50" s="5" t="s">
        <v>72</v>
      </c>
      <c r="O50" s="4"/>
      <c r="P50" s="4"/>
    </row>
    <row r="51" spans="1:16" ht="18" customHeight="1" x14ac:dyDescent="0.2">
      <c r="A51" s="5"/>
      <c r="B51" s="5"/>
      <c r="C51" s="4"/>
      <c r="D51" s="5">
        <v>1022213</v>
      </c>
      <c r="E51" s="5">
        <v>1022213</v>
      </c>
      <c r="F51" s="5">
        <v>1022213</v>
      </c>
      <c r="G51" s="5">
        <v>1022213</v>
      </c>
      <c r="H51" s="5">
        <v>1022213</v>
      </c>
      <c r="I51" s="5">
        <v>1022213</v>
      </c>
      <c r="J51" s="5">
        <v>1022213</v>
      </c>
      <c r="K51" s="5">
        <v>1022213</v>
      </c>
      <c r="L51" s="6" t="s">
        <v>71</v>
      </c>
      <c r="M51" s="5" t="s">
        <v>73</v>
      </c>
      <c r="N51" s="5" t="s">
        <v>19</v>
      </c>
      <c r="O51" s="4"/>
      <c r="P51" s="4"/>
    </row>
    <row r="52" spans="1:16" ht="18" customHeight="1" x14ac:dyDescent="0.2">
      <c r="A52" s="30"/>
      <c r="B52" s="31"/>
      <c r="C52" s="32"/>
      <c r="D52" s="33"/>
      <c r="E52" s="33"/>
      <c r="F52" s="33"/>
      <c r="G52" s="33"/>
      <c r="H52" s="33"/>
      <c r="I52" s="33"/>
      <c r="J52" s="33"/>
      <c r="K52" s="33"/>
      <c r="L52" s="32"/>
      <c r="M52" s="31"/>
      <c r="N52" s="34"/>
      <c r="O52" s="35"/>
      <c r="P52" s="36"/>
    </row>
    <row r="53" spans="1:16" ht="18" customHeight="1" x14ac:dyDescent="0.2">
      <c r="A53" s="86" t="s">
        <v>43</v>
      </c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8"/>
    </row>
    <row r="54" spans="1:16" ht="25.5" x14ac:dyDescent="0.2">
      <c r="A54" s="24" t="s">
        <v>40</v>
      </c>
      <c r="B54" s="17" t="s">
        <v>36</v>
      </c>
      <c r="C54" s="17" t="s">
        <v>37</v>
      </c>
      <c r="D54" s="89" t="s">
        <v>41</v>
      </c>
      <c r="E54" s="89"/>
      <c r="F54" s="89"/>
      <c r="G54" s="89"/>
      <c r="H54" s="89"/>
      <c r="I54" s="89"/>
      <c r="J54" s="89"/>
      <c r="K54" s="90"/>
      <c r="L54" s="24" t="s">
        <v>5</v>
      </c>
      <c r="M54" s="24" t="s">
        <v>38</v>
      </c>
      <c r="N54" s="91" t="s">
        <v>39</v>
      </c>
      <c r="O54" s="89"/>
      <c r="P54" s="90"/>
    </row>
    <row r="55" spans="1:16" ht="15" customHeight="1" x14ac:dyDescent="0.2">
      <c r="A55" s="92" t="s">
        <v>34</v>
      </c>
      <c r="B55" s="95">
        <v>121700</v>
      </c>
      <c r="C55" s="8">
        <v>58</v>
      </c>
      <c r="D55" s="19"/>
      <c r="E55" s="19"/>
      <c r="F55" s="19"/>
      <c r="G55" s="19"/>
      <c r="H55" s="19"/>
      <c r="I55" s="19"/>
      <c r="J55" s="19"/>
      <c r="K55" s="19"/>
      <c r="L55" s="27" t="str">
        <f>CONCATENATE("VIDRO TEMP LINEE ARGENTO ",N$55,"X",O$55,"X",P$55)</f>
        <v>VIDRO TEMP LINEE ARGENTO 2202X764X4</v>
      </c>
      <c r="M55" s="98">
        <v>1</v>
      </c>
      <c r="N55" s="98">
        <f>N5-8</f>
        <v>2202</v>
      </c>
      <c r="O55" s="98">
        <f>O5-36</f>
        <v>764</v>
      </c>
      <c r="P55" s="98">
        <v>4</v>
      </c>
    </row>
    <row r="56" spans="1:16" ht="15" customHeight="1" x14ac:dyDescent="0.2">
      <c r="A56" s="93"/>
      <c r="B56" s="96"/>
      <c r="C56" s="8">
        <v>59</v>
      </c>
      <c r="D56" s="19"/>
      <c r="E56" s="19"/>
      <c r="F56" s="19"/>
      <c r="G56" s="19"/>
      <c r="H56" s="19"/>
      <c r="I56" s="19"/>
      <c r="J56" s="19"/>
      <c r="K56" s="19"/>
      <c r="L56" s="27" t="str">
        <f>CONCATENATE("VIDRO TEMP LINEE ORO ",N$55,"X",O$55,"X",P$55)</f>
        <v>VIDRO TEMP LINEE ORO 2202X764X4</v>
      </c>
      <c r="M56" s="99"/>
      <c r="N56" s="99"/>
      <c r="O56" s="99"/>
      <c r="P56" s="99"/>
    </row>
    <row r="57" spans="1:16" ht="15" customHeight="1" x14ac:dyDescent="0.2">
      <c r="A57" s="93"/>
      <c r="B57" s="96"/>
      <c r="C57" s="8">
        <v>60</v>
      </c>
      <c r="D57" s="19"/>
      <c r="E57" s="19"/>
      <c r="F57" s="19"/>
      <c r="G57" s="19"/>
      <c r="H57" s="19"/>
      <c r="I57" s="19"/>
      <c r="J57" s="19"/>
      <c r="K57" s="19"/>
      <c r="L57" s="27" t="str">
        <f>CONCATENATE("VIDRO TEMP FUMÊ CHAMP ",N$55,"X",O$55,"X",P$55)</f>
        <v>VIDRO TEMP FUMÊ CHAMP 2202X764X4</v>
      </c>
      <c r="M57" s="99"/>
      <c r="N57" s="99"/>
      <c r="O57" s="99"/>
      <c r="P57" s="99"/>
    </row>
    <row r="58" spans="1:16" ht="15" customHeight="1" x14ac:dyDescent="0.2">
      <c r="A58" s="93"/>
      <c r="B58" s="96"/>
      <c r="C58" s="8">
        <v>61</v>
      </c>
      <c r="D58" s="19"/>
      <c r="E58" s="19"/>
      <c r="F58" s="19"/>
      <c r="G58" s="19"/>
      <c r="H58" s="19"/>
      <c r="I58" s="19"/>
      <c r="J58" s="19"/>
      <c r="K58" s="19"/>
      <c r="L58" s="27" t="str">
        <f>CONCATENATE("VIDRO TEMP FUMÊ CZ ",N$55,"X",O$55,"X",P$55)</f>
        <v>VIDRO TEMP FUMÊ CZ 2202X764X4</v>
      </c>
      <c r="M58" s="99"/>
      <c r="N58" s="99"/>
      <c r="O58" s="99"/>
      <c r="P58" s="99"/>
    </row>
    <row r="59" spans="1:16" ht="15" customHeight="1" x14ac:dyDescent="0.2">
      <c r="A59" s="93"/>
      <c r="B59" s="96"/>
      <c r="C59" s="8">
        <v>63</v>
      </c>
      <c r="D59" s="19"/>
      <c r="E59" s="19"/>
      <c r="F59" s="19"/>
      <c r="G59" s="19"/>
      <c r="H59" s="19"/>
      <c r="I59" s="19"/>
      <c r="J59" s="19"/>
      <c r="K59" s="19"/>
      <c r="L59" s="27" t="str">
        <f>CONCATENATE("VIDRO TEMP REFL CRISTAL ",N$55,"X",O$55,"X",P$55)</f>
        <v>VIDRO TEMP REFL CRISTAL 2202X764X4</v>
      </c>
      <c r="M59" s="99"/>
      <c r="N59" s="99"/>
      <c r="O59" s="99"/>
      <c r="P59" s="99"/>
    </row>
    <row r="60" spans="1:16" s="3" customFormat="1" ht="15" customHeight="1" x14ac:dyDescent="0.2">
      <c r="A60" s="93"/>
      <c r="B60" s="96"/>
      <c r="C60" s="8" t="s">
        <v>2</v>
      </c>
      <c r="D60" s="19"/>
      <c r="E60" s="19"/>
      <c r="F60" s="19"/>
      <c r="G60" s="19"/>
      <c r="H60" s="19"/>
      <c r="I60" s="19"/>
      <c r="J60" s="19"/>
      <c r="K60" s="19"/>
      <c r="L60" s="27" t="str">
        <f>CONCATENATE("VIDRO PELIC ESP PRATA ",N$55,"X",O$55,"X",P$55)</f>
        <v>VIDRO PELIC ESP PRATA 2202X764X4</v>
      </c>
      <c r="M60" s="99"/>
      <c r="N60" s="99"/>
      <c r="O60" s="99"/>
      <c r="P60" s="99"/>
    </row>
    <row r="61" spans="1:16" s="3" customFormat="1" ht="15" customHeight="1" x14ac:dyDescent="0.2">
      <c r="A61" s="93"/>
      <c r="B61" s="96"/>
      <c r="C61" s="8">
        <v>12</v>
      </c>
      <c r="D61" s="19"/>
      <c r="E61" s="19"/>
      <c r="F61" s="19"/>
      <c r="G61" s="19"/>
      <c r="H61" s="19"/>
      <c r="I61" s="19"/>
      <c r="J61" s="19"/>
      <c r="K61" s="19"/>
      <c r="L61" s="27" t="str">
        <f>CONCATENATE("VIDRO PELIC BIANCO ",N$55,"X",O$55,"X",P$55)</f>
        <v>VIDRO PELIC BIANCO 2202X764X4</v>
      </c>
      <c r="M61" s="99"/>
      <c r="N61" s="99"/>
      <c r="O61" s="99"/>
      <c r="P61" s="99"/>
    </row>
    <row r="62" spans="1:16" s="3" customFormat="1" ht="15" customHeight="1" x14ac:dyDescent="0.2">
      <c r="A62" s="93"/>
      <c r="B62" s="96"/>
      <c r="C62" s="8">
        <v>27</v>
      </c>
      <c r="D62" s="19"/>
      <c r="E62" s="19"/>
      <c r="F62" s="19"/>
      <c r="G62" s="19"/>
      <c r="H62" s="19"/>
      <c r="I62" s="19"/>
      <c r="J62" s="19"/>
      <c r="K62" s="19"/>
      <c r="L62" s="27" t="str">
        <f>CONCATENATE("VIDRO PELIC ESP CHAMP ",N$55,"X",O$55,"X",P$55)</f>
        <v>VIDRO PELIC ESP CHAMP 2202X764X4</v>
      </c>
      <c r="M62" s="99"/>
      <c r="N62" s="99"/>
      <c r="O62" s="99"/>
      <c r="P62" s="99"/>
    </row>
    <row r="63" spans="1:16" ht="15" customHeight="1" x14ac:dyDescent="0.2">
      <c r="A63" s="93"/>
      <c r="B63" s="96"/>
      <c r="C63" s="8">
        <v>26</v>
      </c>
      <c r="D63" s="19"/>
      <c r="E63" s="19"/>
      <c r="F63" s="19"/>
      <c r="G63" s="19"/>
      <c r="H63" s="19"/>
      <c r="I63" s="19"/>
      <c r="J63" s="19"/>
      <c r="K63" s="19"/>
      <c r="L63" s="27" t="str">
        <f>CONCATENATE("VIDRO PELIC ESP FUME ",N$55,"X",O$55,"X",P$55)</f>
        <v>VIDRO PELIC ESP FUME 2202X764X4</v>
      </c>
      <c r="M63" s="99"/>
      <c r="N63" s="99"/>
      <c r="O63" s="99"/>
      <c r="P63" s="99"/>
    </row>
    <row r="64" spans="1:16" ht="15" customHeight="1" x14ac:dyDescent="0.2">
      <c r="A64" s="93"/>
      <c r="B64" s="96"/>
      <c r="C64" s="8" t="s">
        <v>44</v>
      </c>
      <c r="D64" s="19"/>
      <c r="E64" s="19"/>
      <c r="F64" s="19"/>
      <c r="G64" s="19"/>
      <c r="H64" s="19"/>
      <c r="I64" s="19"/>
      <c r="J64" s="19"/>
      <c r="K64" s="19"/>
      <c r="L64" s="27" t="str">
        <f>CONCATENATE("VIDRO TEMP REFLETO ",N$55,"X",O$55,"X",P$55)</f>
        <v>VIDRO TEMP REFLETO 2202X764X4</v>
      </c>
      <c r="M64" s="99"/>
      <c r="N64" s="99"/>
      <c r="O64" s="99"/>
      <c r="P64" s="99"/>
    </row>
    <row r="65" spans="1:16" ht="15" customHeight="1" x14ac:dyDescent="0.2">
      <c r="A65" s="93"/>
      <c r="B65" s="96"/>
      <c r="C65" s="8" t="s">
        <v>45</v>
      </c>
      <c r="D65" s="19"/>
      <c r="E65" s="19"/>
      <c r="F65" s="19"/>
      <c r="G65" s="19"/>
      <c r="H65" s="19"/>
      <c r="I65" s="19"/>
      <c r="J65" s="19"/>
      <c r="K65" s="19"/>
      <c r="L65" s="27" t="str">
        <f>CONCATENATE("VIDRO TEMP REFLETO CINZA ",N$55,"X",O$55,"X",P$55)</f>
        <v>VIDRO TEMP REFLETO CINZA 2202X764X4</v>
      </c>
      <c r="M65" s="99"/>
      <c r="N65" s="99"/>
      <c r="O65" s="99"/>
      <c r="P65" s="99"/>
    </row>
    <row r="66" spans="1:16" ht="15" customHeight="1" x14ac:dyDescent="0.2">
      <c r="A66" s="93"/>
      <c r="B66" s="96"/>
      <c r="C66" s="8" t="s">
        <v>46</v>
      </c>
      <c r="D66" s="19"/>
      <c r="E66" s="19"/>
      <c r="F66" s="19"/>
      <c r="G66" s="19"/>
      <c r="H66" s="19"/>
      <c r="I66" s="19"/>
      <c r="J66" s="19"/>
      <c r="K66" s="19"/>
      <c r="L66" s="27" t="str">
        <f>CONCATENATE("VIDRO TEMP TRANSPARENTE ",N$55,"X",O$55,"X",P$55)</f>
        <v>VIDRO TEMP TRANSPARENTE 2202X764X4</v>
      </c>
      <c r="M66" s="99"/>
      <c r="N66" s="99"/>
      <c r="O66" s="99"/>
      <c r="P66" s="99"/>
    </row>
    <row r="67" spans="1:16" ht="15" customHeight="1" x14ac:dyDescent="0.2">
      <c r="A67" s="93"/>
      <c r="B67" s="96"/>
      <c r="C67" s="8">
        <v>13</v>
      </c>
      <c r="D67" s="19"/>
      <c r="E67" s="19"/>
      <c r="F67" s="19"/>
      <c r="G67" s="19"/>
      <c r="H67" s="19"/>
      <c r="I67" s="19"/>
      <c r="J67" s="19"/>
      <c r="K67" s="19"/>
      <c r="L67" s="27" t="str">
        <f>CONCATENATE("VIDRO PELIC ONIX ",N$55,"X",O$55,"X",P$55)</f>
        <v>VIDRO PELIC ONIX 2202X764X4</v>
      </c>
      <c r="M67" s="99"/>
      <c r="N67" s="99"/>
      <c r="O67" s="99"/>
      <c r="P67" s="99"/>
    </row>
    <row r="68" spans="1:16" ht="15" customHeight="1" x14ac:dyDescent="0.2">
      <c r="A68" s="93"/>
      <c r="B68" s="96"/>
      <c r="C68" s="8">
        <v>15</v>
      </c>
      <c r="D68" s="19"/>
      <c r="E68" s="19"/>
      <c r="F68" s="19"/>
      <c r="G68" s="19"/>
      <c r="H68" s="19"/>
      <c r="I68" s="19"/>
      <c r="J68" s="19"/>
      <c r="K68" s="19"/>
      <c r="L68" s="27" t="str">
        <f>CONCATENATE("VIDRO PELIC GELO ",N$55,"X",O$55,"X",P$55)</f>
        <v>VIDRO PELIC GELO 2202X764X4</v>
      </c>
      <c r="M68" s="99"/>
      <c r="N68" s="99"/>
      <c r="O68" s="99"/>
      <c r="P68" s="99"/>
    </row>
    <row r="69" spans="1:16" ht="15" customHeight="1" x14ac:dyDescent="0.2">
      <c r="A69" s="93"/>
      <c r="B69" s="96"/>
      <c r="C69" s="8">
        <v>38</v>
      </c>
      <c r="D69" s="19"/>
      <c r="E69" s="19"/>
      <c r="F69" s="19"/>
      <c r="G69" s="19"/>
      <c r="H69" s="19"/>
      <c r="I69" s="19"/>
      <c r="J69" s="19"/>
      <c r="K69" s="19"/>
      <c r="L69" s="27" t="str">
        <f>CONCATENATE("VIDRO PELIC NATA ",N$55,"X",O$55,"X",P$55)</f>
        <v>VIDRO PELIC NATA 2202X764X4</v>
      </c>
      <c r="M69" s="99"/>
      <c r="N69" s="99"/>
      <c r="O69" s="99"/>
      <c r="P69" s="99"/>
    </row>
    <row r="70" spans="1:16" ht="15" customHeight="1" x14ac:dyDescent="0.2">
      <c r="A70" s="93"/>
      <c r="B70" s="96"/>
      <c r="C70" s="8">
        <v>44</v>
      </c>
      <c r="D70" s="19"/>
      <c r="E70" s="19"/>
      <c r="F70" s="19"/>
      <c r="G70" s="19"/>
      <c r="H70" s="19"/>
      <c r="I70" s="19"/>
      <c r="J70" s="19"/>
      <c r="K70" s="19"/>
      <c r="L70" s="27" t="str">
        <f>CONCATENATE("VIDRO PELIC BASALTO ",N$55,"X",O$55,"X",P$55)</f>
        <v>VIDRO PELIC BASALTO 2202X764X4</v>
      </c>
      <c r="M70" s="99"/>
      <c r="N70" s="99"/>
      <c r="O70" s="99"/>
      <c r="P70" s="99"/>
    </row>
    <row r="71" spans="1:16" ht="15" customHeight="1" x14ac:dyDescent="0.2">
      <c r="A71" s="93"/>
      <c r="B71" s="96"/>
      <c r="C71" s="8">
        <v>10</v>
      </c>
      <c r="D71" s="19"/>
      <c r="E71" s="19"/>
      <c r="F71" s="19"/>
      <c r="G71" s="19"/>
      <c r="H71" s="19"/>
      <c r="I71" s="19"/>
      <c r="J71" s="19"/>
      <c r="K71" s="19"/>
      <c r="L71" s="27" t="str">
        <f>CONCATENATE("VIDRO PELIC SAND ",N$55,"X",O$55,"X",P$55)</f>
        <v>VIDRO PELIC SAND 2202X764X4</v>
      </c>
      <c r="M71" s="99"/>
      <c r="N71" s="99"/>
      <c r="O71" s="99"/>
      <c r="P71" s="99"/>
    </row>
    <row r="72" spans="1:16" ht="15" customHeight="1" x14ac:dyDescent="0.2">
      <c r="A72" s="93"/>
      <c r="B72" s="96"/>
      <c r="C72" s="26" t="s">
        <v>64</v>
      </c>
      <c r="D72" s="19"/>
      <c r="E72" s="19"/>
      <c r="F72" s="19"/>
      <c r="G72" s="19"/>
      <c r="H72" s="19"/>
      <c r="I72" s="19"/>
      <c r="J72" s="19"/>
      <c r="K72" s="19"/>
      <c r="L72" s="27" t="str">
        <f>CONCATENATE("VIDRO PELIC PETRÓLEO ",N$55,"X",O$55,"X",P$55)</f>
        <v>VIDRO PELIC PETRÓLEO 2202X764X4</v>
      </c>
      <c r="M72" s="99"/>
      <c r="N72" s="99"/>
      <c r="O72" s="99"/>
      <c r="P72" s="99"/>
    </row>
    <row r="73" spans="1:16" ht="15" customHeight="1" x14ac:dyDescent="0.2">
      <c r="A73" s="93"/>
      <c r="B73" s="96"/>
      <c r="C73" s="8">
        <v>21</v>
      </c>
      <c r="D73" s="19"/>
      <c r="E73" s="19"/>
      <c r="F73" s="19"/>
      <c r="G73" s="19"/>
      <c r="H73" s="19"/>
      <c r="I73" s="19"/>
      <c r="J73" s="19"/>
      <c r="K73" s="19"/>
      <c r="L73" s="27" t="str">
        <f>CONCATENATE("VIDRO PELIC FENDI ",N$55,"X",O$55,"X",P$55)</f>
        <v>VIDRO PELIC FENDI 2202X764X4</v>
      </c>
      <c r="M73" s="99"/>
      <c r="N73" s="99"/>
      <c r="O73" s="99"/>
      <c r="P73" s="99"/>
    </row>
    <row r="74" spans="1:16" ht="15" customHeight="1" x14ac:dyDescent="0.2">
      <c r="A74" s="93"/>
      <c r="B74" s="96"/>
      <c r="C74" s="8" t="s">
        <v>31</v>
      </c>
      <c r="D74" s="19"/>
      <c r="E74" s="19"/>
      <c r="F74" s="19"/>
      <c r="G74" s="19"/>
      <c r="H74" s="19"/>
      <c r="I74" s="19"/>
      <c r="J74" s="19"/>
      <c r="K74" s="19"/>
      <c r="L74" s="27" t="str">
        <f>CONCATENATE("VIDRO PELIC SISAL ",N$55,"X",O$55,"X",P$55)</f>
        <v>VIDRO PELIC SISAL 2202X764X4</v>
      </c>
      <c r="M74" s="99"/>
      <c r="N74" s="99"/>
      <c r="O74" s="99"/>
      <c r="P74" s="99"/>
    </row>
    <row r="75" spans="1:16" ht="15" customHeight="1" x14ac:dyDescent="0.2">
      <c r="A75" s="94"/>
      <c r="B75" s="97"/>
      <c r="C75" s="8" t="s">
        <v>33</v>
      </c>
      <c r="D75" s="19"/>
      <c r="E75" s="19"/>
      <c r="F75" s="19"/>
      <c r="G75" s="19"/>
      <c r="H75" s="19"/>
      <c r="I75" s="19"/>
      <c r="J75" s="19"/>
      <c r="K75" s="19"/>
      <c r="L75" s="27" t="str">
        <f>CONCATENATE("VIDRO PELIC ARDOSIA ",N$55,"X",O$55,"X",P$55)</f>
        <v>VIDRO PELIC ARDOSIA 2202X764X4</v>
      </c>
      <c r="M75" s="100"/>
      <c r="N75" s="100"/>
      <c r="O75" s="100"/>
      <c r="P75" s="100"/>
    </row>
    <row r="76" spans="1:16" ht="13.5" thickBot="1" x14ac:dyDescent="0.25"/>
    <row r="77" spans="1:16" s="2" customFormat="1" ht="60.75" customHeight="1" x14ac:dyDescent="0.2">
      <c r="A77" s="115" t="s">
        <v>65</v>
      </c>
      <c r="B77" s="116"/>
      <c r="C77" s="116"/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</row>
    <row r="78" spans="1:16" s="2" customFormat="1" ht="27.75" customHeight="1" x14ac:dyDescent="0.2">
      <c r="A78" s="117" t="s">
        <v>3</v>
      </c>
      <c r="B78" s="117" t="s">
        <v>4</v>
      </c>
      <c r="C78" s="117" t="s">
        <v>6</v>
      </c>
      <c r="D78" s="118" t="s">
        <v>6</v>
      </c>
      <c r="E78" s="118"/>
      <c r="F78" s="118"/>
      <c r="G78" s="118"/>
      <c r="H78" s="118"/>
      <c r="I78" s="118"/>
      <c r="J78" s="118"/>
      <c r="K78" s="118"/>
      <c r="L78" s="118" t="s">
        <v>5</v>
      </c>
      <c r="M78" s="119" t="s">
        <v>53</v>
      </c>
      <c r="N78" s="118" t="s">
        <v>7</v>
      </c>
      <c r="O78" s="118"/>
      <c r="P78" s="118"/>
    </row>
    <row r="79" spans="1:16" ht="38.25" customHeight="1" x14ac:dyDescent="0.2">
      <c r="A79" s="117"/>
      <c r="B79" s="117"/>
      <c r="C79" s="117"/>
      <c r="D79" s="7" t="s">
        <v>61</v>
      </c>
      <c r="E79" s="7" t="s">
        <v>54</v>
      </c>
      <c r="F79" s="7" t="s">
        <v>55</v>
      </c>
      <c r="G79" s="7" t="s">
        <v>56</v>
      </c>
      <c r="H79" s="7" t="s">
        <v>57</v>
      </c>
      <c r="I79" s="7" t="s">
        <v>58</v>
      </c>
      <c r="J79" s="7" t="s">
        <v>59</v>
      </c>
      <c r="K79" s="7" t="s">
        <v>60</v>
      </c>
      <c r="L79" s="118"/>
      <c r="M79" s="120"/>
      <c r="N79" s="41" t="s">
        <v>8</v>
      </c>
      <c r="O79" s="41" t="s">
        <v>9</v>
      </c>
      <c r="P79" s="41" t="s">
        <v>1</v>
      </c>
    </row>
    <row r="80" spans="1:16" ht="30" customHeight="1" x14ac:dyDescent="0.2">
      <c r="A80" s="103">
        <v>229999</v>
      </c>
      <c r="B80" s="103" t="s">
        <v>74</v>
      </c>
      <c r="C80" s="103"/>
      <c r="D80" s="25">
        <v>320058</v>
      </c>
      <c r="E80" s="25" t="s">
        <v>14</v>
      </c>
      <c r="F80" s="25">
        <v>320258</v>
      </c>
      <c r="G80" s="25" t="s">
        <v>14</v>
      </c>
      <c r="H80" s="25">
        <v>320458</v>
      </c>
      <c r="I80" s="25">
        <v>320558</v>
      </c>
      <c r="J80" s="25" t="s">
        <v>14</v>
      </c>
      <c r="K80" s="25" t="s">
        <v>14</v>
      </c>
      <c r="L80" s="114" t="str">
        <f>VLOOKUP($A$5,'[1]PIANO DORM ALUM'!$B$8:$F$102,3,FALSE)</f>
        <v>FRENTE DIR DESLIZ 2210X800X44</v>
      </c>
      <c r="M80" s="39" t="s">
        <v>47</v>
      </c>
      <c r="N80" s="103">
        <f>VLOOKUP($A$5,'[1]PIANO DORM ALUM'!$B$8:$F$102,4,FALSE)</f>
        <v>2210</v>
      </c>
      <c r="O80" s="103">
        <f>VLOOKUP($A$5,'[1]PIANO DORM ALUM'!$B$8:$F$102,5,FALSE)</f>
        <v>800</v>
      </c>
      <c r="P80" s="103">
        <v>25</v>
      </c>
    </row>
    <row r="81" spans="1:16" ht="30" customHeight="1" x14ac:dyDescent="0.2">
      <c r="A81" s="103"/>
      <c r="B81" s="103"/>
      <c r="C81" s="103"/>
      <c r="D81" s="25">
        <v>320059</v>
      </c>
      <c r="E81" s="25" t="s">
        <v>14</v>
      </c>
      <c r="F81" s="25">
        <v>320259</v>
      </c>
      <c r="G81" s="25">
        <v>320359</v>
      </c>
      <c r="H81" s="25">
        <v>320459</v>
      </c>
      <c r="I81" s="25">
        <v>320559</v>
      </c>
      <c r="J81" s="25" t="s">
        <v>14</v>
      </c>
      <c r="K81" s="25">
        <v>320759</v>
      </c>
      <c r="L81" s="114"/>
      <c r="M81" s="39" t="s">
        <v>48</v>
      </c>
      <c r="N81" s="103"/>
      <c r="O81" s="103"/>
      <c r="P81" s="103"/>
    </row>
    <row r="82" spans="1:16" ht="30" customHeight="1" x14ac:dyDescent="0.2">
      <c r="A82" s="103"/>
      <c r="B82" s="103"/>
      <c r="C82" s="103"/>
      <c r="D82" s="25">
        <v>320060</v>
      </c>
      <c r="E82" s="25" t="s">
        <v>14</v>
      </c>
      <c r="F82" s="25">
        <v>320260</v>
      </c>
      <c r="G82" s="25" t="s">
        <v>14</v>
      </c>
      <c r="H82" s="25">
        <v>320460</v>
      </c>
      <c r="I82" s="25">
        <v>320560</v>
      </c>
      <c r="J82" s="25">
        <v>320660</v>
      </c>
      <c r="K82" s="25" t="s">
        <v>14</v>
      </c>
      <c r="L82" s="114"/>
      <c r="M82" s="39" t="s">
        <v>66</v>
      </c>
      <c r="N82" s="103"/>
      <c r="O82" s="103"/>
      <c r="P82" s="103"/>
    </row>
    <row r="83" spans="1:16" ht="30" customHeight="1" x14ac:dyDescent="0.2">
      <c r="A83" s="103"/>
      <c r="B83" s="103"/>
      <c r="C83" s="103"/>
      <c r="D83" s="25">
        <v>320061</v>
      </c>
      <c r="E83" s="25" t="s">
        <v>14</v>
      </c>
      <c r="F83" s="25" t="s">
        <v>14</v>
      </c>
      <c r="G83" s="25" t="s">
        <v>14</v>
      </c>
      <c r="H83" s="25">
        <v>320461</v>
      </c>
      <c r="I83" s="25">
        <v>320561</v>
      </c>
      <c r="J83" s="25" t="s">
        <v>14</v>
      </c>
      <c r="K83" s="25" t="s">
        <v>14</v>
      </c>
      <c r="L83" s="114"/>
      <c r="M83" s="39" t="s">
        <v>67</v>
      </c>
      <c r="N83" s="103"/>
      <c r="O83" s="103"/>
      <c r="P83" s="103"/>
    </row>
    <row r="84" spans="1:16" ht="30" customHeight="1" x14ac:dyDescent="0.2">
      <c r="A84" s="103"/>
      <c r="B84" s="103"/>
      <c r="C84" s="103"/>
      <c r="D84" s="25">
        <v>320063</v>
      </c>
      <c r="E84" s="25">
        <v>320163</v>
      </c>
      <c r="F84" s="25">
        <v>320263</v>
      </c>
      <c r="G84" s="25">
        <v>320363</v>
      </c>
      <c r="H84" s="25">
        <v>320463</v>
      </c>
      <c r="I84" s="25">
        <v>320563</v>
      </c>
      <c r="J84" s="25">
        <v>320663</v>
      </c>
      <c r="K84" s="25">
        <v>320763</v>
      </c>
      <c r="L84" s="114"/>
      <c r="M84" s="39" t="s">
        <v>69</v>
      </c>
      <c r="N84" s="103"/>
      <c r="O84" s="103"/>
      <c r="P84" s="103"/>
    </row>
    <row r="85" spans="1:16" ht="30" customHeight="1" x14ac:dyDescent="0.2">
      <c r="A85" s="103"/>
      <c r="B85" s="103"/>
      <c r="C85" s="103"/>
      <c r="D85" s="25">
        <v>320005</v>
      </c>
      <c r="E85" s="25">
        <v>320105</v>
      </c>
      <c r="F85" s="25">
        <v>320205</v>
      </c>
      <c r="G85" s="25">
        <v>320305</v>
      </c>
      <c r="H85" s="25">
        <v>320405</v>
      </c>
      <c r="I85" s="25">
        <v>320505</v>
      </c>
      <c r="J85" s="25">
        <v>320605</v>
      </c>
      <c r="K85" s="25">
        <v>320705</v>
      </c>
      <c r="L85" s="114"/>
      <c r="M85" s="39" t="s">
        <v>51</v>
      </c>
      <c r="N85" s="103"/>
      <c r="O85" s="103"/>
      <c r="P85" s="103"/>
    </row>
    <row r="86" spans="1:16" ht="30" customHeight="1" x14ac:dyDescent="0.2">
      <c r="A86" s="103"/>
      <c r="B86" s="103"/>
      <c r="C86" s="103"/>
      <c r="D86" s="25">
        <v>320012</v>
      </c>
      <c r="E86" s="25">
        <v>320112</v>
      </c>
      <c r="F86" s="25" t="s">
        <v>14</v>
      </c>
      <c r="G86" s="25">
        <v>320312</v>
      </c>
      <c r="H86" s="25" t="s">
        <v>14</v>
      </c>
      <c r="I86" s="25">
        <v>320512</v>
      </c>
      <c r="J86" s="25" t="s">
        <v>14</v>
      </c>
      <c r="K86" s="25" t="s">
        <v>14</v>
      </c>
      <c r="L86" s="114"/>
      <c r="M86" s="39" t="s">
        <v>12</v>
      </c>
      <c r="N86" s="103"/>
      <c r="O86" s="103"/>
      <c r="P86" s="103"/>
    </row>
    <row r="87" spans="1:16" ht="30" customHeight="1" x14ac:dyDescent="0.2">
      <c r="A87" s="103"/>
      <c r="B87" s="103"/>
      <c r="C87" s="103"/>
      <c r="D87" s="25">
        <v>320027</v>
      </c>
      <c r="E87" s="25" t="s">
        <v>14</v>
      </c>
      <c r="F87" s="25">
        <v>320227</v>
      </c>
      <c r="G87" s="25">
        <v>320327</v>
      </c>
      <c r="H87" s="25">
        <v>320427</v>
      </c>
      <c r="I87" s="25">
        <v>320527</v>
      </c>
      <c r="J87" s="25">
        <v>320627</v>
      </c>
      <c r="K87" s="25">
        <v>320727</v>
      </c>
      <c r="L87" s="114"/>
      <c r="M87" s="39" t="s">
        <v>52</v>
      </c>
      <c r="N87" s="103"/>
      <c r="O87" s="103"/>
      <c r="P87" s="103"/>
    </row>
    <row r="88" spans="1:16" ht="30" customHeight="1" x14ac:dyDescent="0.2">
      <c r="A88" s="103"/>
      <c r="B88" s="103"/>
      <c r="C88" s="103"/>
      <c r="D88" s="25">
        <v>320026</v>
      </c>
      <c r="E88" s="25" t="s">
        <v>14</v>
      </c>
      <c r="F88" s="25" t="s">
        <v>14</v>
      </c>
      <c r="G88" s="25">
        <v>320326</v>
      </c>
      <c r="H88" s="25">
        <v>320426</v>
      </c>
      <c r="I88" s="25">
        <v>320526</v>
      </c>
      <c r="J88" s="25" t="s">
        <v>14</v>
      </c>
      <c r="K88" s="25" t="s">
        <v>14</v>
      </c>
      <c r="L88" s="114"/>
      <c r="M88" s="39" t="s">
        <v>20</v>
      </c>
      <c r="N88" s="103"/>
      <c r="O88" s="103"/>
      <c r="P88" s="103"/>
    </row>
    <row r="89" spans="1:16" ht="30" customHeight="1" x14ac:dyDescent="0.2">
      <c r="A89" s="103"/>
      <c r="B89" s="103"/>
      <c r="C89" s="103"/>
      <c r="D89" s="25">
        <v>320025</v>
      </c>
      <c r="E89" s="25" t="s">
        <v>14</v>
      </c>
      <c r="F89" s="25">
        <v>320225</v>
      </c>
      <c r="G89" s="25">
        <v>320325</v>
      </c>
      <c r="H89" s="25">
        <v>320425</v>
      </c>
      <c r="I89" s="25">
        <v>320525</v>
      </c>
      <c r="J89" s="25">
        <v>320625</v>
      </c>
      <c r="K89" s="25">
        <v>320725</v>
      </c>
      <c r="L89" s="114"/>
      <c r="M89" s="39" t="s">
        <v>49</v>
      </c>
      <c r="N89" s="103"/>
      <c r="O89" s="103"/>
      <c r="P89" s="103"/>
    </row>
    <row r="90" spans="1:16" ht="30" customHeight="1" x14ac:dyDescent="0.2">
      <c r="A90" s="103"/>
      <c r="B90" s="103"/>
      <c r="C90" s="103"/>
      <c r="D90" s="25">
        <v>320028</v>
      </c>
      <c r="E90" s="25" t="s">
        <v>14</v>
      </c>
      <c r="F90" s="25" t="s">
        <v>14</v>
      </c>
      <c r="G90" s="25">
        <v>320328</v>
      </c>
      <c r="H90" s="25">
        <v>320428</v>
      </c>
      <c r="I90" s="25">
        <v>320528</v>
      </c>
      <c r="J90" s="25" t="s">
        <v>14</v>
      </c>
      <c r="K90" s="25" t="s">
        <v>14</v>
      </c>
      <c r="L90" s="114"/>
      <c r="M90" s="39" t="s">
        <v>50</v>
      </c>
      <c r="N90" s="103"/>
      <c r="O90" s="103"/>
      <c r="P90" s="103"/>
    </row>
    <row r="91" spans="1:16" ht="30" customHeight="1" x14ac:dyDescent="0.2">
      <c r="A91" s="103"/>
      <c r="B91" s="103"/>
      <c r="C91" s="103"/>
      <c r="D91" s="25">
        <v>320019</v>
      </c>
      <c r="E91" s="25">
        <v>320119</v>
      </c>
      <c r="F91" s="25">
        <v>320219</v>
      </c>
      <c r="G91" s="25">
        <v>320319</v>
      </c>
      <c r="H91" s="25">
        <v>320419</v>
      </c>
      <c r="I91" s="25">
        <v>320519</v>
      </c>
      <c r="J91" s="25">
        <v>320619</v>
      </c>
      <c r="K91" s="25">
        <v>320719</v>
      </c>
      <c r="L91" s="114"/>
      <c r="M91" s="39" t="s">
        <v>21</v>
      </c>
      <c r="N91" s="103"/>
      <c r="O91" s="103"/>
      <c r="P91" s="103"/>
    </row>
    <row r="92" spans="1:16" ht="30" customHeight="1" x14ac:dyDescent="0.2">
      <c r="A92" s="103"/>
      <c r="B92" s="103"/>
      <c r="C92" s="103"/>
      <c r="D92" s="25">
        <v>320013</v>
      </c>
      <c r="E92" s="25" t="s">
        <v>14</v>
      </c>
      <c r="F92" s="25" t="s">
        <v>14</v>
      </c>
      <c r="G92" s="25">
        <v>320313</v>
      </c>
      <c r="H92" s="25">
        <v>320413</v>
      </c>
      <c r="I92" s="25">
        <v>320513</v>
      </c>
      <c r="J92" s="25" t="s">
        <v>14</v>
      </c>
      <c r="K92" s="25" t="s">
        <v>14</v>
      </c>
      <c r="L92" s="114"/>
      <c r="M92" s="39" t="s">
        <v>22</v>
      </c>
      <c r="N92" s="103"/>
      <c r="O92" s="103"/>
      <c r="P92" s="103"/>
    </row>
    <row r="93" spans="1:16" ht="30" customHeight="1" x14ac:dyDescent="0.2">
      <c r="A93" s="103"/>
      <c r="B93" s="103"/>
      <c r="C93" s="103"/>
      <c r="D93" s="25">
        <v>320015</v>
      </c>
      <c r="E93" s="25" t="s">
        <v>14</v>
      </c>
      <c r="F93" s="25" t="s">
        <v>14</v>
      </c>
      <c r="G93" s="25">
        <v>320315</v>
      </c>
      <c r="H93" s="25" t="s">
        <v>14</v>
      </c>
      <c r="I93" s="25">
        <v>320515</v>
      </c>
      <c r="J93" s="25" t="s">
        <v>14</v>
      </c>
      <c r="K93" s="25" t="s">
        <v>14</v>
      </c>
      <c r="L93" s="114"/>
      <c r="M93" s="39" t="s">
        <v>23</v>
      </c>
      <c r="N93" s="103"/>
      <c r="O93" s="103"/>
      <c r="P93" s="103"/>
    </row>
    <row r="94" spans="1:16" ht="30" customHeight="1" x14ac:dyDescent="0.2">
      <c r="A94" s="103"/>
      <c r="B94" s="103"/>
      <c r="C94" s="103"/>
      <c r="D94" s="25">
        <v>320038</v>
      </c>
      <c r="E94" s="25" t="s">
        <v>14</v>
      </c>
      <c r="F94" s="25" t="s">
        <v>14</v>
      </c>
      <c r="G94" s="25">
        <v>320338</v>
      </c>
      <c r="H94" s="25" t="s">
        <v>14</v>
      </c>
      <c r="I94" s="25">
        <v>320538</v>
      </c>
      <c r="J94" s="25" t="s">
        <v>14</v>
      </c>
      <c r="K94" s="25" t="s">
        <v>14</v>
      </c>
      <c r="L94" s="114"/>
      <c r="M94" s="39" t="s">
        <v>24</v>
      </c>
      <c r="N94" s="103"/>
      <c r="O94" s="103"/>
      <c r="P94" s="103"/>
    </row>
    <row r="95" spans="1:16" ht="30" customHeight="1" x14ac:dyDescent="0.2">
      <c r="A95" s="103"/>
      <c r="B95" s="103"/>
      <c r="C95" s="103"/>
      <c r="D95" s="25">
        <v>320044</v>
      </c>
      <c r="E95" s="25" t="s">
        <v>14</v>
      </c>
      <c r="F95" s="25" t="s">
        <v>14</v>
      </c>
      <c r="G95" s="25">
        <v>320344</v>
      </c>
      <c r="H95" s="25" t="s">
        <v>14</v>
      </c>
      <c r="I95" s="25">
        <v>320544</v>
      </c>
      <c r="J95" s="25" t="s">
        <v>14</v>
      </c>
      <c r="K95" s="25" t="s">
        <v>14</v>
      </c>
      <c r="L95" s="114"/>
      <c r="M95" s="39" t="s">
        <v>25</v>
      </c>
      <c r="N95" s="103"/>
      <c r="O95" s="103"/>
      <c r="P95" s="103"/>
    </row>
    <row r="96" spans="1:16" ht="30" customHeight="1" x14ac:dyDescent="0.2">
      <c r="A96" s="103"/>
      <c r="B96" s="103"/>
      <c r="C96" s="103"/>
      <c r="D96" s="25">
        <v>320010</v>
      </c>
      <c r="E96" s="25" t="s">
        <v>14</v>
      </c>
      <c r="F96" s="25">
        <v>320210</v>
      </c>
      <c r="G96" s="25">
        <v>320310</v>
      </c>
      <c r="H96" s="25" t="s">
        <v>14</v>
      </c>
      <c r="I96" s="25">
        <v>320510</v>
      </c>
      <c r="J96" s="25">
        <v>320610</v>
      </c>
      <c r="K96" s="25">
        <v>320710</v>
      </c>
      <c r="L96" s="114"/>
      <c r="M96" s="39" t="s">
        <v>26</v>
      </c>
      <c r="N96" s="103"/>
      <c r="O96" s="103"/>
      <c r="P96" s="103"/>
    </row>
    <row r="97" spans="1:16" ht="30" customHeight="1" x14ac:dyDescent="0.2">
      <c r="A97" s="103"/>
      <c r="B97" s="103"/>
      <c r="C97" s="103"/>
      <c r="D97" s="25">
        <v>320008</v>
      </c>
      <c r="E97" s="25" t="s">
        <v>14</v>
      </c>
      <c r="F97" s="25" t="s">
        <v>14</v>
      </c>
      <c r="G97" s="25">
        <v>320308</v>
      </c>
      <c r="H97" s="25" t="s">
        <v>14</v>
      </c>
      <c r="I97" s="25">
        <v>320508</v>
      </c>
      <c r="J97" s="25" t="s">
        <v>14</v>
      </c>
      <c r="K97" s="25" t="s">
        <v>14</v>
      </c>
      <c r="L97" s="114"/>
      <c r="M97" s="39" t="s">
        <v>63</v>
      </c>
      <c r="N97" s="103"/>
      <c r="O97" s="103"/>
      <c r="P97" s="103"/>
    </row>
    <row r="98" spans="1:16" ht="30" customHeight="1" x14ac:dyDescent="0.2">
      <c r="A98" s="103"/>
      <c r="B98" s="103"/>
      <c r="C98" s="103"/>
      <c r="D98" s="25">
        <v>320021</v>
      </c>
      <c r="E98" s="25" t="s">
        <v>14</v>
      </c>
      <c r="F98" s="25" t="s">
        <v>14</v>
      </c>
      <c r="G98" s="25">
        <v>320321</v>
      </c>
      <c r="H98" s="25" t="s">
        <v>14</v>
      </c>
      <c r="I98" s="25">
        <v>320521</v>
      </c>
      <c r="J98" s="25" t="s">
        <v>14</v>
      </c>
      <c r="K98" s="25" t="s">
        <v>14</v>
      </c>
      <c r="L98" s="114"/>
      <c r="M98" s="39" t="s">
        <v>27</v>
      </c>
      <c r="N98" s="103"/>
      <c r="O98" s="103"/>
      <c r="P98" s="103"/>
    </row>
    <row r="99" spans="1:16" ht="30" customHeight="1" x14ac:dyDescent="0.2">
      <c r="A99" s="103"/>
      <c r="B99" s="103"/>
      <c r="C99" s="103"/>
      <c r="D99" s="25">
        <v>320006</v>
      </c>
      <c r="E99" s="25" t="s">
        <v>14</v>
      </c>
      <c r="F99" s="25">
        <v>320206</v>
      </c>
      <c r="G99" s="25">
        <v>320306</v>
      </c>
      <c r="H99" s="25">
        <v>320406</v>
      </c>
      <c r="I99" s="25">
        <v>320506</v>
      </c>
      <c r="J99" s="25">
        <v>320606</v>
      </c>
      <c r="K99" s="25" t="s">
        <v>14</v>
      </c>
      <c r="L99" s="114"/>
      <c r="M99" s="39" t="s">
        <v>28</v>
      </c>
      <c r="N99" s="103"/>
      <c r="O99" s="103"/>
      <c r="P99" s="103"/>
    </row>
    <row r="100" spans="1:16" ht="30" customHeight="1" x14ac:dyDescent="0.2">
      <c r="A100" s="103"/>
      <c r="B100" s="103"/>
      <c r="C100" s="103"/>
      <c r="D100" s="25">
        <v>320009</v>
      </c>
      <c r="E100" s="25" t="s">
        <v>14</v>
      </c>
      <c r="F100" s="25" t="s">
        <v>14</v>
      </c>
      <c r="G100" s="25">
        <v>320309</v>
      </c>
      <c r="H100" s="25" t="s">
        <v>14</v>
      </c>
      <c r="I100" s="25">
        <v>320509</v>
      </c>
      <c r="J100" s="25" t="s">
        <v>14</v>
      </c>
      <c r="K100" s="25" t="s">
        <v>14</v>
      </c>
      <c r="L100" s="114"/>
      <c r="M100" s="39" t="s">
        <v>29</v>
      </c>
      <c r="N100" s="103"/>
      <c r="O100" s="103"/>
      <c r="P100" s="103"/>
    </row>
    <row r="101" spans="1:16" ht="33" customHeight="1" x14ac:dyDescent="0.2">
      <c r="A101" s="104" t="s">
        <v>35</v>
      </c>
      <c r="B101" s="105"/>
      <c r="C101" s="105"/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P101" s="106"/>
    </row>
    <row r="102" spans="1:16" ht="28.5" customHeight="1" x14ac:dyDescent="0.2">
      <c r="A102" s="107" t="s">
        <v>15</v>
      </c>
      <c r="B102" s="107" t="s">
        <v>4</v>
      </c>
      <c r="C102" s="107" t="s">
        <v>13</v>
      </c>
      <c r="D102" s="108" t="s">
        <v>6</v>
      </c>
      <c r="E102" s="109"/>
      <c r="F102" s="109"/>
      <c r="G102" s="109"/>
      <c r="H102" s="109"/>
      <c r="I102" s="109"/>
      <c r="J102" s="109"/>
      <c r="K102" s="110"/>
      <c r="L102" s="111"/>
      <c r="M102" s="113" t="s">
        <v>10</v>
      </c>
      <c r="N102" s="113" t="s">
        <v>11</v>
      </c>
      <c r="O102" s="113"/>
      <c r="P102" s="113"/>
    </row>
    <row r="103" spans="1:16" ht="39" customHeight="1" x14ac:dyDescent="0.2">
      <c r="A103" s="107"/>
      <c r="B103" s="107"/>
      <c r="C103" s="107"/>
      <c r="D103" s="7" t="s">
        <v>61</v>
      </c>
      <c r="E103" s="7" t="s">
        <v>54</v>
      </c>
      <c r="F103" s="7" t="s">
        <v>55</v>
      </c>
      <c r="G103" s="7" t="s">
        <v>56</v>
      </c>
      <c r="H103" s="7" t="s">
        <v>57</v>
      </c>
      <c r="I103" s="7" t="s">
        <v>58</v>
      </c>
      <c r="J103" s="7" t="s">
        <v>59</v>
      </c>
      <c r="K103" s="7" t="s">
        <v>60</v>
      </c>
      <c r="L103" s="112"/>
      <c r="M103" s="113"/>
      <c r="N103" s="40" t="s">
        <v>0</v>
      </c>
      <c r="O103" s="40" t="s">
        <v>9</v>
      </c>
      <c r="P103" s="40" t="s">
        <v>1</v>
      </c>
    </row>
    <row r="104" spans="1:16" ht="24" customHeight="1" x14ac:dyDescent="0.2">
      <c r="A104" s="9">
        <v>595770</v>
      </c>
      <c r="B104" s="9"/>
      <c r="C104" s="9"/>
      <c r="D104" s="9" t="s">
        <v>14</v>
      </c>
      <c r="E104" s="9">
        <v>3201</v>
      </c>
      <c r="F104" s="9">
        <v>3202</v>
      </c>
      <c r="G104" s="9">
        <v>3203</v>
      </c>
      <c r="H104" s="9">
        <v>3204</v>
      </c>
      <c r="I104" s="9">
        <v>3205</v>
      </c>
      <c r="J104" s="9">
        <v>3206</v>
      </c>
      <c r="K104" s="9">
        <v>3207</v>
      </c>
      <c r="L104" s="12" t="str">
        <f>VLOOKUP(A104,'[1]PERFIL ALUM PIANO'!$A$6:$N$132,11,FALSE)</f>
        <v>CABECEIRA NESE SUP PIANO 750X70X24+COR</v>
      </c>
      <c r="M104" s="101">
        <v>1</v>
      </c>
      <c r="N104" s="101">
        <f>VLOOKUP(A104,'[1]PERFIL ALUM PIANO'!$A$6:$N$132,12,FALSE)</f>
        <v>750</v>
      </c>
      <c r="O104" s="101">
        <f>VLOOKUP(A104,'[1]PERFIL ALUM PIANO'!$A$6:$N$132,13,FALSE)</f>
        <v>70</v>
      </c>
      <c r="P104" s="101">
        <f>VLOOKUP(A104,'[1]PERFIL ALUM PIANO'!$A$6:$N$132,14,FALSE)</f>
        <v>24</v>
      </c>
    </row>
    <row r="105" spans="1:16" ht="24" customHeight="1" x14ac:dyDescent="0.2">
      <c r="A105" s="12"/>
      <c r="B105" s="9">
        <f>A104</f>
        <v>595770</v>
      </c>
      <c r="C105" s="12"/>
      <c r="D105" s="9">
        <v>3299</v>
      </c>
      <c r="E105" s="9">
        <v>3200</v>
      </c>
      <c r="F105" s="9">
        <v>3200</v>
      </c>
      <c r="G105" s="9">
        <v>3200</v>
      </c>
      <c r="H105" s="9">
        <v>3200</v>
      </c>
      <c r="I105" s="9">
        <v>3200</v>
      </c>
      <c r="J105" s="9">
        <v>3200</v>
      </c>
      <c r="K105" s="9">
        <v>3200</v>
      </c>
      <c r="L105" s="12" t="str">
        <f>SUBSTITUTE(L104,"+ COR", "- NATURAL")</f>
        <v>CABECEIRA NESE SUP PIANO 750X70X24+COR</v>
      </c>
      <c r="M105" s="102"/>
      <c r="N105" s="102"/>
      <c r="O105" s="102"/>
      <c r="P105" s="102"/>
    </row>
    <row r="106" spans="1:16" ht="24" customHeight="1" x14ac:dyDescent="0.2">
      <c r="A106" s="13"/>
      <c r="B106" s="10"/>
      <c r="C106" s="10">
        <v>1022134</v>
      </c>
      <c r="D106" s="10" t="s">
        <v>14</v>
      </c>
      <c r="E106" s="10" t="s">
        <v>14</v>
      </c>
      <c r="F106" s="10" t="s">
        <v>14</v>
      </c>
      <c r="G106" s="10" t="s">
        <v>14</v>
      </c>
      <c r="H106" s="10" t="s">
        <v>14</v>
      </c>
      <c r="I106" s="10" t="s">
        <v>14</v>
      </c>
      <c r="J106" s="10" t="s">
        <v>14</v>
      </c>
      <c r="K106" s="10" t="s">
        <v>14</v>
      </c>
      <c r="L106" s="14" t="str">
        <f>VLOOKUP(C106,[1]PERFIS!$A$4:$B$12,2,FALSE)</f>
        <v>PERFIL  ALUMINIO PIANO CABECEIRA 6M JAT/ ANOD/ NAT/FOSCO</v>
      </c>
      <c r="M106" s="15"/>
      <c r="N106" s="15"/>
      <c r="O106" s="15"/>
      <c r="P106" s="16"/>
    </row>
    <row r="107" spans="1:16" ht="24" customHeight="1" x14ac:dyDescent="0.2">
      <c r="A107" s="13"/>
      <c r="B107" s="10">
        <v>595706</v>
      </c>
      <c r="C107" s="10"/>
      <c r="D107" s="11" t="s">
        <v>14</v>
      </c>
      <c r="E107" s="11" t="s">
        <v>16</v>
      </c>
      <c r="F107" s="11" t="s">
        <v>17</v>
      </c>
      <c r="G107" s="11" t="s">
        <v>18</v>
      </c>
      <c r="H107" s="11" t="s">
        <v>30</v>
      </c>
      <c r="I107" s="11" t="s">
        <v>2</v>
      </c>
      <c r="J107" s="11" t="s">
        <v>31</v>
      </c>
      <c r="K107" s="11" t="s">
        <v>32</v>
      </c>
      <c r="L107" s="14" t="str">
        <f>VLOOKUP(B107,'[1]PERFIL ALUM PIANO'!$A$6:$N$132,11,FALSE)</f>
        <v>PINTURA ALUMINIO PL PIANO CABECEIRA + COR</v>
      </c>
      <c r="M107" s="10"/>
      <c r="N107" s="10" t="s">
        <v>19</v>
      </c>
      <c r="O107" s="6"/>
      <c r="P107" s="6"/>
    </row>
    <row r="108" spans="1:16" ht="13.5" customHeight="1" x14ac:dyDescent="0.2"/>
    <row r="109" spans="1:16" ht="24" customHeight="1" x14ac:dyDescent="0.2">
      <c r="A109" s="9">
        <v>595775</v>
      </c>
      <c r="B109" s="9"/>
      <c r="C109" s="9"/>
      <c r="D109" s="9" t="s">
        <v>14</v>
      </c>
      <c r="E109" s="9">
        <v>3201</v>
      </c>
      <c r="F109" s="9">
        <v>3202</v>
      </c>
      <c r="G109" s="9">
        <v>3203</v>
      </c>
      <c r="H109" s="9">
        <v>3204</v>
      </c>
      <c r="I109" s="9">
        <v>3205</v>
      </c>
      <c r="J109" s="9">
        <v>3206</v>
      </c>
      <c r="K109" s="9">
        <v>3207</v>
      </c>
      <c r="L109" s="12" t="str">
        <f>VLOOKUP(A109,'[1]PERFIL ALUM PIANO'!$A$6:$N$132,11,FALSE)</f>
        <v>CABECEIRA NESE INF PIANO C/ REC 750X70X24+COR</v>
      </c>
      <c r="M109" s="101">
        <v>1</v>
      </c>
      <c r="N109" s="101">
        <f>VLOOKUP(A109,'[1]PERFIL ALUM PIANO'!$A$6:$N$132,12,FALSE)</f>
        <v>750</v>
      </c>
      <c r="O109" s="101">
        <f>VLOOKUP(A109,'[1]PERFIL ALUM PIANO'!$A$6:$N$132,13,FALSE)</f>
        <v>70</v>
      </c>
      <c r="P109" s="101">
        <f>VLOOKUP(A109,'[1]PERFIL ALUM PIANO'!$A$6:$N$132,14,FALSE)</f>
        <v>24</v>
      </c>
    </row>
    <row r="110" spans="1:16" ht="24" customHeight="1" x14ac:dyDescent="0.2">
      <c r="A110" s="12"/>
      <c r="B110" s="9">
        <f>A109</f>
        <v>595775</v>
      </c>
      <c r="C110" s="12"/>
      <c r="D110" s="9">
        <v>3299</v>
      </c>
      <c r="E110" s="9">
        <v>3200</v>
      </c>
      <c r="F110" s="9">
        <v>3200</v>
      </c>
      <c r="G110" s="9">
        <v>3200</v>
      </c>
      <c r="H110" s="9">
        <v>3200</v>
      </c>
      <c r="I110" s="9">
        <v>3200</v>
      </c>
      <c r="J110" s="9">
        <v>3200</v>
      </c>
      <c r="K110" s="9">
        <v>3200</v>
      </c>
      <c r="L110" s="12" t="str">
        <f>SUBSTITUTE(L109,"+ COR", "- NATURAL")</f>
        <v>CABECEIRA NESE INF PIANO C/ REC 750X70X24+COR</v>
      </c>
      <c r="M110" s="102"/>
      <c r="N110" s="102"/>
      <c r="O110" s="102"/>
      <c r="P110" s="102"/>
    </row>
    <row r="111" spans="1:16" ht="24" customHeight="1" x14ac:dyDescent="0.2">
      <c r="A111" s="13"/>
      <c r="B111" s="10"/>
      <c r="C111" s="10">
        <v>1022134</v>
      </c>
      <c r="D111" s="10" t="s">
        <v>14</v>
      </c>
      <c r="E111" s="10" t="s">
        <v>14</v>
      </c>
      <c r="F111" s="10" t="s">
        <v>14</v>
      </c>
      <c r="G111" s="10" t="s">
        <v>14</v>
      </c>
      <c r="H111" s="10" t="s">
        <v>14</v>
      </c>
      <c r="I111" s="10" t="s">
        <v>14</v>
      </c>
      <c r="J111" s="10" t="s">
        <v>14</v>
      </c>
      <c r="K111" s="10" t="s">
        <v>14</v>
      </c>
      <c r="L111" s="14" t="str">
        <f>VLOOKUP(C111,[1]PERFIS!$A$4:$B$12,2,FALSE)</f>
        <v>PERFIL  ALUMINIO PIANO CABECEIRA 6M JAT/ ANOD/ NAT/FOSCO</v>
      </c>
      <c r="M111" s="15"/>
      <c r="N111" s="15"/>
      <c r="O111" s="15"/>
      <c r="P111" s="16"/>
    </row>
    <row r="112" spans="1:16" ht="24" customHeight="1" x14ac:dyDescent="0.2">
      <c r="A112" s="13"/>
      <c r="B112" s="10">
        <v>595706</v>
      </c>
      <c r="C112" s="10"/>
      <c r="D112" s="11" t="s">
        <v>14</v>
      </c>
      <c r="E112" s="11" t="s">
        <v>16</v>
      </c>
      <c r="F112" s="11" t="s">
        <v>17</v>
      </c>
      <c r="G112" s="11" t="s">
        <v>18</v>
      </c>
      <c r="H112" s="11" t="s">
        <v>30</v>
      </c>
      <c r="I112" s="11" t="s">
        <v>2</v>
      </c>
      <c r="J112" s="11" t="s">
        <v>31</v>
      </c>
      <c r="K112" s="11" t="s">
        <v>32</v>
      </c>
      <c r="L112" s="14" t="str">
        <f>VLOOKUP(B112,'[1]PERFIL ALUM PIANO'!$A$6:$N$132,11,FALSE)</f>
        <v>PINTURA ALUMINIO PL PIANO CABECEIRA + COR</v>
      </c>
      <c r="M112" s="10"/>
      <c r="N112" s="10" t="s">
        <v>19</v>
      </c>
      <c r="O112" s="6"/>
      <c r="P112" s="6"/>
    </row>
    <row r="113" spans="1:16" ht="13.5" customHeight="1" x14ac:dyDescent="0.2"/>
    <row r="114" spans="1:16" ht="24" customHeight="1" x14ac:dyDescent="0.2">
      <c r="A114" s="9">
        <v>595800</v>
      </c>
      <c r="B114" s="9"/>
      <c r="C114" s="9"/>
      <c r="D114" s="9" t="s">
        <v>14</v>
      </c>
      <c r="E114" s="9">
        <v>3201</v>
      </c>
      <c r="F114" s="9">
        <v>3202</v>
      </c>
      <c r="G114" s="9">
        <v>3203</v>
      </c>
      <c r="H114" s="9">
        <v>3204</v>
      </c>
      <c r="I114" s="9">
        <v>3205</v>
      </c>
      <c r="J114" s="9">
        <v>3206</v>
      </c>
      <c r="K114" s="9">
        <v>3207</v>
      </c>
      <c r="L114" s="12" t="str">
        <f>VLOOKUP(A114,'[1]PERFIL ALUM PIANO'!$A$6:$N$132,11,FALSE)</f>
        <v>LATERAL DIR PIANO C/ PUX 2210X25X44+COR</v>
      </c>
      <c r="M114" s="101">
        <v>1</v>
      </c>
      <c r="N114" s="101">
        <f>VLOOKUP(A114,'[1]PERFIL ALUM PIANO'!$A$6:$N$132,12,FALSE)</f>
        <v>2210</v>
      </c>
      <c r="O114" s="101">
        <f>VLOOKUP(A114,'[1]PERFIL ALUM PIANO'!$A$6:$N$132,13,FALSE)</f>
        <v>25</v>
      </c>
      <c r="P114" s="101">
        <f>VLOOKUP(A114,'[1]PERFIL ALUM PIANO'!$A$6:$N$132,14,FALSE)</f>
        <v>44</v>
      </c>
    </row>
    <row r="115" spans="1:16" ht="24" customHeight="1" x14ac:dyDescent="0.2">
      <c r="A115" s="12"/>
      <c r="B115" s="9">
        <f>A114</f>
        <v>595800</v>
      </c>
      <c r="C115" s="12"/>
      <c r="D115" s="9">
        <v>3299</v>
      </c>
      <c r="E115" s="9">
        <v>3200</v>
      </c>
      <c r="F115" s="9">
        <v>3200</v>
      </c>
      <c r="G115" s="9">
        <v>3200</v>
      </c>
      <c r="H115" s="9">
        <v>3200</v>
      </c>
      <c r="I115" s="9">
        <v>3200</v>
      </c>
      <c r="J115" s="9">
        <v>3200</v>
      </c>
      <c r="K115" s="9">
        <v>3200</v>
      </c>
      <c r="L115" s="12" t="str">
        <f>SUBSTITUTE(L114,"+ COR", "- NATURAL")</f>
        <v>LATERAL DIR PIANO C/ PUX 2210X25X44+COR</v>
      </c>
      <c r="M115" s="102"/>
      <c r="N115" s="102"/>
      <c r="O115" s="102"/>
      <c r="P115" s="102"/>
    </row>
    <row r="116" spans="1:16" ht="24" customHeight="1" x14ac:dyDescent="0.2">
      <c r="A116" s="13"/>
      <c r="B116" s="10"/>
      <c r="C116" s="10">
        <v>1022132</v>
      </c>
      <c r="D116" s="10" t="s">
        <v>14</v>
      </c>
      <c r="E116" s="10" t="s">
        <v>14</v>
      </c>
      <c r="F116" s="10" t="s">
        <v>14</v>
      </c>
      <c r="G116" s="10" t="s">
        <v>14</v>
      </c>
      <c r="H116" s="10" t="s">
        <v>14</v>
      </c>
      <c r="I116" s="10" t="s">
        <v>14</v>
      </c>
      <c r="J116" s="10" t="s">
        <v>14</v>
      </c>
      <c r="K116" s="10" t="s">
        <v>14</v>
      </c>
      <c r="L116" s="14" t="str">
        <f>VLOOKUP(C116,[1]PERFIS!$A$4:$B$12,2,FALSE)</f>
        <v>PERFIL  ALUMINIO PIANO C/PUX 5,5 M JAT/ ANOD/ NAT/FOSCO</v>
      </c>
      <c r="M116" s="15"/>
      <c r="N116" s="15"/>
      <c r="O116" s="15"/>
      <c r="P116" s="16"/>
    </row>
    <row r="117" spans="1:16" ht="24" customHeight="1" x14ac:dyDescent="0.2">
      <c r="A117" s="13"/>
      <c r="B117" s="10">
        <v>595704</v>
      </c>
      <c r="C117" s="10"/>
      <c r="D117" s="11" t="s">
        <v>14</v>
      </c>
      <c r="E117" s="11" t="s">
        <v>16</v>
      </c>
      <c r="F117" s="11" t="s">
        <v>17</v>
      </c>
      <c r="G117" s="11" t="s">
        <v>18</v>
      </c>
      <c r="H117" s="11" t="s">
        <v>30</v>
      </c>
      <c r="I117" s="11" t="s">
        <v>2</v>
      </c>
      <c r="J117" s="11" t="s">
        <v>31</v>
      </c>
      <c r="K117" s="11" t="s">
        <v>32</v>
      </c>
      <c r="L117" s="14" t="str">
        <f>VLOOKUP(B117,'[1]PERFIL ALUM PIANO'!$A$6:$N$132,11,FALSE)</f>
        <v>PINTURA ALUMINIO PL PIANO PUX + COR</v>
      </c>
      <c r="M117" s="10"/>
      <c r="N117" s="10" t="s">
        <v>19</v>
      </c>
      <c r="O117" s="6"/>
      <c r="P117" s="6"/>
    </row>
    <row r="118" spans="1:16" ht="13.5" customHeight="1" x14ac:dyDescent="0.2"/>
    <row r="119" spans="1:16" ht="24" customHeight="1" x14ac:dyDescent="0.2">
      <c r="A119" s="9">
        <v>595806</v>
      </c>
      <c r="B119" s="9"/>
      <c r="C119" s="9"/>
      <c r="D119" s="9" t="s">
        <v>14</v>
      </c>
      <c r="E119" s="9">
        <v>3201</v>
      </c>
      <c r="F119" s="9">
        <v>3202</v>
      </c>
      <c r="G119" s="9">
        <v>3203</v>
      </c>
      <c r="H119" s="9">
        <v>3204</v>
      </c>
      <c r="I119" s="9">
        <v>3205</v>
      </c>
      <c r="J119" s="9">
        <v>3206</v>
      </c>
      <c r="K119" s="9">
        <v>3207</v>
      </c>
      <c r="L119" s="12" t="str">
        <f>VLOOKUP(A119,'[1]PERFIL ALUM PIANO'!$A$6:$N$132,11,FALSE)</f>
        <v>LATERAL DIR PIANO 2210X25X24+COR</v>
      </c>
      <c r="M119" s="101">
        <v>1</v>
      </c>
      <c r="N119" s="101">
        <f>VLOOKUP(A119,'[1]PERFIL ALUM PIANO'!$A$6:$N$132,12,FALSE)</f>
        <v>2210</v>
      </c>
      <c r="O119" s="101">
        <f>VLOOKUP(A119,'[1]PERFIL ALUM PIANO'!$A$6:$N$132,13,FALSE)</f>
        <v>25</v>
      </c>
      <c r="P119" s="101">
        <f>VLOOKUP(A119,'[1]PERFIL ALUM PIANO'!$A$6:$N$132,14,FALSE)</f>
        <v>24</v>
      </c>
    </row>
    <row r="120" spans="1:16" ht="24" customHeight="1" x14ac:dyDescent="0.2">
      <c r="A120" s="12"/>
      <c r="B120" s="9">
        <f>A119</f>
        <v>595806</v>
      </c>
      <c r="C120" s="12"/>
      <c r="D120" s="9">
        <v>3299</v>
      </c>
      <c r="E120" s="9">
        <v>3200</v>
      </c>
      <c r="F120" s="9">
        <v>3200</v>
      </c>
      <c r="G120" s="9">
        <v>3200</v>
      </c>
      <c r="H120" s="9">
        <v>3200</v>
      </c>
      <c r="I120" s="9">
        <v>3200</v>
      </c>
      <c r="J120" s="9">
        <v>3200</v>
      </c>
      <c r="K120" s="9">
        <v>3200</v>
      </c>
      <c r="L120" s="12" t="str">
        <f>SUBSTITUTE(L119,"+ COR", "- NATURAL")</f>
        <v>LATERAL DIR PIANO 2210X25X24+COR</v>
      </c>
      <c r="M120" s="102"/>
      <c r="N120" s="102"/>
      <c r="O120" s="102"/>
      <c r="P120" s="102"/>
    </row>
    <row r="121" spans="1:16" ht="24" customHeight="1" x14ac:dyDescent="0.2">
      <c r="A121" s="13"/>
      <c r="B121" s="10"/>
      <c r="C121" s="10">
        <v>1022133</v>
      </c>
      <c r="D121" s="10" t="s">
        <v>14</v>
      </c>
      <c r="E121" s="10" t="s">
        <v>14</v>
      </c>
      <c r="F121" s="10" t="s">
        <v>14</v>
      </c>
      <c r="G121" s="10" t="s">
        <v>14</v>
      </c>
      <c r="H121" s="10" t="s">
        <v>14</v>
      </c>
      <c r="I121" s="10" t="s">
        <v>14</v>
      </c>
      <c r="J121" s="10" t="s">
        <v>14</v>
      </c>
      <c r="K121" s="10" t="s">
        <v>14</v>
      </c>
      <c r="L121" s="14" t="str">
        <f>VLOOKUP(C121,[1]PERFIS!$A$4:$B$12,2,FALSE)</f>
        <v>PERFIL  ALUMINIO PIANO S/PUX 5,5 M JAT/ ANOD/ NAT/FOSCO</v>
      </c>
      <c r="M121" s="15"/>
      <c r="N121" s="15"/>
      <c r="O121" s="15"/>
      <c r="P121" s="16"/>
    </row>
    <row r="122" spans="1:16" ht="24" customHeight="1" x14ac:dyDescent="0.2">
      <c r="A122" s="13"/>
      <c r="B122" s="10">
        <v>595705</v>
      </c>
      <c r="C122" s="10"/>
      <c r="D122" s="11" t="s">
        <v>14</v>
      </c>
      <c r="E122" s="11" t="s">
        <v>16</v>
      </c>
      <c r="F122" s="11" t="s">
        <v>17</v>
      </c>
      <c r="G122" s="11" t="s">
        <v>18</v>
      </c>
      <c r="H122" s="11" t="s">
        <v>30</v>
      </c>
      <c r="I122" s="11" t="s">
        <v>2</v>
      </c>
      <c r="J122" s="11" t="s">
        <v>31</v>
      </c>
      <c r="K122" s="11" t="s">
        <v>32</v>
      </c>
      <c r="L122" s="14" t="str">
        <f>VLOOKUP(B122,'[1]PERFIL ALUM PIANO'!$A$6:$N$132,11,FALSE)</f>
        <v>PINTURA ALUMINIO PL PIANO + COR</v>
      </c>
      <c r="M122" s="10"/>
      <c r="N122" s="10" t="s">
        <v>19</v>
      </c>
      <c r="O122" s="6"/>
      <c r="P122" s="6"/>
    </row>
    <row r="123" spans="1:16" ht="13.5" customHeight="1" x14ac:dyDescent="0.2"/>
    <row r="124" spans="1:16" ht="18" customHeight="1" x14ac:dyDescent="0.2">
      <c r="A124" s="23"/>
      <c r="B124" s="23"/>
      <c r="C124" s="6"/>
      <c r="D124" s="5">
        <v>1022223</v>
      </c>
      <c r="E124" s="5">
        <v>1022223</v>
      </c>
      <c r="F124" s="5">
        <v>1022223</v>
      </c>
      <c r="G124" s="5">
        <v>1022223</v>
      </c>
      <c r="H124" s="5">
        <v>1022223</v>
      </c>
      <c r="I124" s="5">
        <v>1022223</v>
      </c>
      <c r="J124" s="5">
        <v>1022223</v>
      </c>
      <c r="K124" s="5">
        <v>1022223</v>
      </c>
      <c r="L124" s="6" t="s">
        <v>68</v>
      </c>
      <c r="M124" s="23">
        <v>4</v>
      </c>
      <c r="N124" s="18" t="s">
        <v>42</v>
      </c>
      <c r="O124" s="4"/>
      <c r="P124" s="4"/>
    </row>
    <row r="125" spans="1:16" ht="18" customHeight="1" x14ac:dyDescent="0.2">
      <c r="A125" s="5"/>
      <c r="B125" s="5"/>
      <c r="C125" s="4"/>
      <c r="D125" s="5">
        <v>1018359</v>
      </c>
      <c r="E125" s="5">
        <v>1018359</v>
      </c>
      <c r="F125" s="28">
        <v>1022356</v>
      </c>
      <c r="G125" s="5">
        <v>1018359</v>
      </c>
      <c r="H125" s="28">
        <v>1022356</v>
      </c>
      <c r="I125" s="28">
        <v>1022356</v>
      </c>
      <c r="J125" s="5">
        <v>1018359</v>
      </c>
      <c r="K125" s="5">
        <v>1018359</v>
      </c>
      <c r="L125" s="4" t="s">
        <v>62</v>
      </c>
      <c r="M125" s="5">
        <v>0.24</v>
      </c>
      <c r="N125" s="5" t="s">
        <v>72</v>
      </c>
      <c r="O125" s="4"/>
      <c r="P125" s="4"/>
    </row>
    <row r="126" spans="1:16" ht="18" customHeight="1" x14ac:dyDescent="0.2">
      <c r="A126" s="5"/>
      <c r="B126" s="5"/>
      <c r="C126" s="4"/>
      <c r="D126" s="5">
        <v>1022213</v>
      </c>
      <c r="E126" s="5">
        <v>1022213</v>
      </c>
      <c r="F126" s="5">
        <v>1022213</v>
      </c>
      <c r="G126" s="5">
        <v>1022213</v>
      </c>
      <c r="H126" s="5">
        <v>1022213</v>
      </c>
      <c r="I126" s="5">
        <v>1022213</v>
      </c>
      <c r="J126" s="5">
        <v>1022213</v>
      </c>
      <c r="K126" s="5">
        <v>1022213</v>
      </c>
      <c r="L126" s="6" t="s">
        <v>71</v>
      </c>
      <c r="M126" s="5" t="s">
        <v>73</v>
      </c>
      <c r="N126" s="5" t="s">
        <v>19</v>
      </c>
      <c r="O126" s="4"/>
      <c r="P126" s="4"/>
    </row>
    <row r="127" spans="1:16" ht="18" customHeight="1" x14ac:dyDescent="0.2">
      <c r="A127" s="30"/>
      <c r="B127" s="31"/>
      <c r="C127" s="32"/>
      <c r="D127" s="33"/>
      <c r="E127" s="33"/>
      <c r="F127" s="33"/>
      <c r="G127" s="33"/>
      <c r="H127" s="33"/>
      <c r="I127" s="33"/>
      <c r="J127" s="33"/>
      <c r="K127" s="33"/>
      <c r="L127" s="32"/>
      <c r="M127" s="31"/>
      <c r="N127" s="34"/>
      <c r="O127" s="35"/>
      <c r="P127" s="36"/>
    </row>
    <row r="128" spans="1:16" ht="18" customHeight="1" x14ac:dyDescent="0.2">
      <c r="A128" s="86" t="s">
        <v>43</v>
      </c>
      <c r="B128" s="87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8"/>
    </row>
    <row r="129" spans="1:16" ht="25.5" x14ac:dyDescent="0.2">
      <c r="A129" s="24" t="s">
        <v>40</v>
      </c>
      <c r="B129" s="17" t="s">
        <v>36</v>
      </c>
      <c r="C129" s="17" t="s">
        <v>37</v>
      </c>
      <c r="D129" s="89" t="s">
        <v>41</v>
      </c>
      <c r="E129" s="89"/>
      <c r="F129" s="89"/>
      <c r="G129" s="89"/>
      <c r="H129" s="89"/>
      <c r="I129" s="89"/>
      <c r="J129" s="89"/>
      <c r="K129" s="90"/>
      <c r="L129" s="24" t="s">
        <v>5</v>
      </c>
      <c r="M129" s="24" t="s">
        <v>38</v>
      </c>
      <c r="N129" s="91" t="s">
        <v>39</v>
      </c>
      <c r="O129" s="89"/>
      <c r="P129" s="90"/>
    </row>
    <row r="130" spans="1:16" ht="15" customHeight="1" x14ac:dyDescent="0.2">
      <c r="A130" s="92" t="s">
        <v>34</v>
      </c>
      <c r="B130" s="95">
        <v>121700</v>
      </c>
      <c r="C130" s="8">
        <v>58</v>
      </c>
      <c r="D130" s="19"/>
      <c r="E130" s="19"/>
      <c r="F130" s="19"/>
      <c r="G130" s="19"/>
      <c r="H130" s="19"/>
      <c r="I130" s="19"/>
      <c r="J130" s="19"/>
      <c r="K130" s="19"/>
      <c r="L130" s="27" t="str">
        <f>CONCATENATE("VIDRO TEMP LINEE ARGENTO ",N$55,"X",O$55,"X",P$55)</f>
        <v>VIDRO TEMP LINEE ARGENTO 2202X764X4</v>
      </c>
      <c r="M130" s="98">
        <v>1</v>
      </c>
      <c r="N130" s="98">
        <f>N80-8</f>
        <v>2202</v>
      </c>
      <c r="O130" s="98">
        <f>O80-36</f>
        <v>764</v>
      </c>
      <c r="P130" s="98">
        <v>4</v>
      </c>
    </row>
    <row r="131" spans="1:16" ht="15" customHeight="1" x14ac:dyDescent="0.2">
      <c r="A131" s="93"/>
      <c r="B131" s="96"/>
      <c r="C131" s="8">
        <v>59</v>
      </c>
      <c r="D131" s="19"/>
      <c r="E131" s="19"/>
      <c r="F131" s="19"/>
      <c r="G131" s="19"/>
      <c r="H131" s="19"/>
      <c r="I131" s="19"/>
      <c r="J131" s="19"/>
      <c r="K131" s="19"/>
      <c r="L131" s="27" t="str">
        <f>CONCATENATE("VIDRO TEMP LINEE ORO ",N$55,"X",O$55,"X",P$55)</f>
        <v>VIDRO TEMP LINEE ORO 2202X764X4</v>
      </c>
      <c r="M131" s="99"/>
      <c r="N131" s="99"/>
      <c r="O131" s="99"/>
      <c r="P131" s="99"/>
    </row>
    <row r="132" spans="1:16" ht="15" customHeight="1" x14ac:dyDescent="0.2">
      <c r="A132" s="93"/>
      <c r="B132" s="96"/>
      <c r="C132" s="8">
        <v>60</v>
      </c>
      <c r="D132" s="19"/>
      <c r="E132" s="19"/>
      <c r="F132" s="19"/>
      <c r="G132" s="19"/>
      <c r="H132" s="19"/>
      <c r="I132" s="19"/>
      <c r="J132" s="19"/>
      <c r="K132" s="19"/>
      <c r="L132" s="27" t="str">
        <f>CONCATENATE("VIDRO TEMP FUMÊ CHAMP ",N$55,"X",O$55,"X",P$55)</f>
        <v>VIDRO TEMP FUMÊ CHAMP 2202X764X4</v>
      </c>
      <c r="M132" s="99"/>
      <c r="N132" s="99"/>
      <c r="O132" s="99"/>
      <c r="P132" s="99"/>
    </row>
    <row r="133" spans="1:16" ht="15" customHeight="1" x14ac:dyDescent="0.2">
      <c r="A133" s="93"/>
      <c r="B133" s="96"/>
      <c r="C133" s="8">
        <v>61</v>
      </c>
      <c r="D133" s="19"/>
      <c r="E133" s="19"/>
      <c r="F133" s="19"/>
      <c r="G133" s="19"/>
      <c r="H133" s="19"/>
      <c r="I133" s="19"/>
      <c r="J133" s="19"/>
      <c r="K133" s="19"/>
      <c r="L133" s="27" t="str">
        <f>CONCATENATE("VIDRO TEMP FUMÊ CZ ",N$55,"X",O$55,"X",P$55)</f>
        <v>VIDRO TEMP FUMÊ CZ 2202X764X4</v>
      </c>
      <c r="M133" s="99"/>
      <c r="N133" s="99"/>
      <c r="O133" s="99"/>
      <c r="P133" s="99"/>
    </row>
    <row r="134" spans="1:16" ht="15" customHeight="1" x14ac:dyDescent="0.2">
      <c r="A134" s="93"/>
      <c r="B134" s="96"/>
      <c r="C134" s="8">
        <v>63</v>
      </c>
      <c r="D134" s="19"/>
      <c r="E134" s="19"/>
      <c r="F134" s="19"/>
      <c r="G134" s="19"/>
      <c r="H134" s="19"/>
      <c r="I134" s="19"/>
      <c r="J134" s="19"/>
      <c r="K134" s="19"/>
      <c r="L134" s="27" t="str">
        <f>CONCATENATE("VIDRO TEMP REFL CRISTAL ",N$55,"X",O$55,"X",P$55)</f>
        <v>VIDRO TEMP REFL CRISTAL 2202X764X4</v>
      </c>
      <c r="M134" s="99"/>
      <c r="N134" s="99"/>
      <c r="O134" s="99"/>
      <c r="P134" s="99"/>
    </row>
    <row r="135" spans="1:16" s="3" customFormat="1" ht="15" customHeight="1" x14ac:dyDescent="0.2">
      <c r="A135" s="93"/>
      <c r="B135" s="96"/>
      <c r="C135" s="8" t="s">
        <v>2</v>
      </c>
      <c r="D135" s="19"/>
      <c r="E135" s="19"/>
      <c r="F135" s="19"/>
      <c r="G135" s="19"/>
      <c r="H135" s="19"/>
      <c r="I135" s="19"/>
      <c r="J135" s="19"/>
      <c r="K135" s="19"/>
      <c r="L135" s="27" t="str">
        <f>CONCATENATE("VIDRO PELIC ESP PRATA ",N$55,"X",O$55,"X",P$55)</f>
        <v>VIDRO PELIC ESP PRATA 2202X764X4</v>
      </c>
      <c r="M135" s="99"/>
      <c r="N135" s="99"/>
      <c r="O135" s="99"/>
      <c r="P135" s="99"/>
    </row>
    <row r="136" spans="1:16" s="3" customFormat="1" ht="15" customHeight="1" x14ac:dyDescent="0.2">
      <c r="A136" s="93"/>
      <c r="B136" s="96"/>
      <c r="C136" s="8">
        <v>12</v>
      </c>
      <c r="D136" s="19"/>
      <c r="E136" s="19"/>
      <c r="F136" s="19"/>
      <c r="G136" s="19"/>
      <c r="H136" s="19"/>
      <c r="I136" s="19"/>
      <c r="J136" s="19"/>
      <c r="K136" s="19"/>
      <c r="L136" s="27" t="str">
        <f>CONCATENATE("VIDRO PELIC BIANCO ",N$55,"X",O$55,"X",P$55)</f>
        <v>VIDRO PELIC BIANCO 2202X764X4</v>
      </c>
      <c r="M136" s="99"/>
      <c r="N136" s="99"/>
      <c r="O136" s="99"/>
      <c r="P136" s="99"/>
    </row>
    <row r="137" spans="1:16" s="3" customFormat="1" ht="15" customHeight="1" x14ac:dyDescent="0.2">
      <c r="A137" s="93"/>
      <c r="B137" s="96"/>
      <c r="C137" s="8">
        <v>27</v>
      </c>
      <c r="D137" s="19"/>
      <c r="E137" s="19"/>
      <c r="F137" s="19"/>
      <c r="G137" s="19"/>
      <c r="H137" s="19"/>
      <c r="I137" s="19"/>
      <c r="J137" s="19"/>
      <c r="K137" s="19"/>
      <c r="L137" s="27" t="str">
        <f>CONCATENATE("VIDRO PELIC ESP CHAMP ",N$55,"X",O$55,"X",P$55)</f>
        <v>VIDRO PELIC ESP CHAMP 2202X764X4</v>
      </c>
      <c r="M137" s="99"/>
      <c r="N137" s="99"/>
      <c r="O137" s="99"/>
      <c r="P137" s="99"/>
    </row>
    <row r="138" spans="1:16" ht="15" customHeight="1" x14ac:dyDescent="0.2">
      <c r="A138" s="93"/>
      <c r="B138" s="96"/>
      <c r="C138" s="8">
        <v>26</v>
      </c>
      <c r="D138" s="19"/>
      <c r="E138" s="19"/>
      <c r="F138" s="19"/>
      <c r="G138" s="19"/>
      <c r="H138" s="19"/>
      <c r="I138" s="19"/>
      <c r="J138" s="19"/>
      <c r="K138" s="19"/>
      <c r="L138" s="27" t="str">
        <f>CONCATENATE("VIDRO PELIC ESP FUME ",N$55,"X",O$55,"X",P$55)</f>
        <v>VIDRO PELIC ESP FUME 2202X764X4</v>
      </c>
      <c r="M138" s="99"/>
      <c r="N138" s="99"/>
      <c r="O138" s="99"/>
      <c r="P138" s="99"/>
    </row>
    <row r="139" spans="1:16" ht="15" customHeight="1" x14ac:dyDescent="0.2">
      <c r="A139" s="93"/>
      <c r="B139" s="96"/>
      <c r="C139" s="8" t="s">
        <v>44</v>
      </c>
      <c r="D139" s="19"/>
      <c r="E139" s="19"/>
      <c r="F139" s="19"/>
      <c r="G139" s="19"/>
      <c r="H139" s="19"/>
      <c r="I139" s="19"/>
      <c r="J139" s="19"/>
      <c r="K139" s="19"/>
      <c r="L139" s="27" t="str">
        <f>CONCATENATE("VIDRO TEMP REFLETO ",N$55,"X",O$55,"X",P$55)</f>
        <v>VIDRO TEMP REFLETO 2202X764X4</v>
      </c>
      <c r="M139" s="99"/>
      <c r="N139" s="99"/>
      <c r="O139" s="99"/>
      <c r="P139" s="99"/>
    </row>
    <row r="140" spans="1:16" ht="15" customHeight="1" x14ac:dyDescent="0.2">
      <c r="A140" s="93"/>
      <c r="B140" s="96"/>
      <c r="C140" s="8" t="s">
        <v>45</v>
      </c>
      <c r="D140" s="19"/>
      <c r="E140" s="19"/>
      <c r="F140" s="19"/>
      <c r="G140" s="19"/>
      <c r="H140" s="19"/>
      <c r="I140" s="19"/>
      <c r="J140" s="19"/>
      <c r="K140" s="19"/>
      <c r="L140" s="27" t="str">
        <f>CONCATENATE("VIDRO TEMP REFLETO CINZA ",N$55,"X",O$55,"X",P$55)</f>
        <v>VIDRO TEMP REFLETO CINZA 2202X764X4</v>
      </c>
      <c r="M140" s="99"/>
      <c r="N140" s="99"/>
      <c r="O140" s="99"/>
      <c r="P140" s="99"/>
    </row>
    <row r="141" spans="1:16" ht="15" customHeight="1" x14ac:dyDescent="0.2">
      <c r="A141" s="93"/>
      <c r="B141" s="96"/>
      <c r="C141" s="8" t="s">
        <v>46</v>
      </c>
      <c r="D141" s="19"/>
      <c r="E141" s="19"/>
      <c r="F141" s="19"/>
      <c r="G141" s="19"/>
      <c r="H141" s="19"/>
      <c r="I141" s="19"/>
      <c r="J141" s="19"/>
      <c r="K141" s="19"/>
      <c r="L141" s="27" t="str">
        <f>CONCATENATE("VIDRO TEMP TRANSPARENTE ",N$55,"X",O$55,"X",P$55)</f>
        <v>VIDRO TEMP TRANSPARENTE 2202X764X4</v>
      </c>
      <c r="M141" s="99"/>
      <c r="N141" s="99"/>
      <c r="O141" s="99"/>
      <c r="P141" s="99"/>
    </row>
    <row r="142" spans="1:16" ht="15" customHeight="1" x14ac:dyDescent="0.2">
      <c r="A142" s="93"/>
      <c r="B142" s="96"/>
      <c r="C142" s="8">
        <v>13</v>
      </c>
      <c r="D142" s="19"/>
      <c r="E142" s="19"/>
      <c r="F142" s="19"/>
      <c r="G142" s="19"/>
      <c r="H142" s="19"/>
      <c r="I142" s="19"/>
      <c r="J142" s="19"/>
      <c r="K142" s="19"/>
      <c r="L142" s="27" t="str">
        <f>CONCATENATE("VIDRO PELIC ONIX ",N$55,"X",O$55,"X",P$55)</f>
        <v>VIDRO PELIC ONIX 2202X764X4</v>
      </c>
      <c r="M142" s="99"/>
      <c r="N142" s="99"/>
      <c r="O142" s="99"/>
      <c r="P142" s="99"/>
    </row>
    <row r="143" spans="1:16" ht="15" customHeight="1" x14ac:dyDescent="0.2">
      <c r="A143" s="93"/>
      <c r="B143" s="96"/>
      <c r="C143" s="8">
        <v>15</v>
      </c>
      <c r="D143" s="19"/>
      <c r="E143" s="19"/>
      <c r="F143" s="19"/>
      <c r="G143" s="19"/>
      <c r="H143" s="19"/>
      <c r="I143" s="19"/>
      <c r="J143" s="19"/>
      <c r="K143" s="19"/>
      <c r="L143" s="27" t="str">
        <f>CONCATENATE("VIDRO PELIC GELO ",N$55,"X",O$55,"X",P$55)</f>
        <v>VIDRO PELIC GELO 2202X764X4</v>
      </c>
      <c r="M143" s="99"/>
      <c r="N143" s="99"/>
      <c r="O143" s="99"/>
      <c r="P143" s="99"/>
    </row>
    <row r="144" spans="1:16" ht="15" customHeight="1" x14ac:dyDescent="0.2">
      <c r="A144" s="93"/>
      <c r="B144" s="96"/>
      <c r="C144" s="8">
        <v>38</v>
      </c>
      <c r="D144" s="19"/>
      <c r="E144" s="19"/>
      <c r="F144" s="19"/>
      <c r="G144" s="19"/>
      <c r="H144" s="19"/>
      <c r="I144" s="19"/>
      <c r="J144" s="19"/>
      <c r="K144" s="19"/>
      <c r="L144" s="27" t="str">
        <f>CONCATENATE("VIDRO PELIC NATA ",N$55,"X",O$55,"X",P$55)</f>
        <v>VIDRO PELIC NATA 2202X764X4</v>
      </c>
      <c r="M144" s="99"/>
      <c r="N144" s="99"/>
      <c r="O144" s="99"/>
      <c r="P144" s="99"/>
    </row>
    <row r="145" spans="1:16" ht="15" customHeight="1" x14ac:dyDescent="0.2">
      <c r="A145" s="93"/>
      <c r="B145" s="96"/>
      <c r="C145" s="8">
        <v>44</v>
      </c>
      <c r="D145" s="19"/>
      <c r="E145" s="19"/>
      <c r="F145" s="19"/>
      <c r="G145" s="19"/>
      <c r="H145" s="19"/>
      <c r="I145" s="19"/>
      <c r="J145" s="19"/>
      <c r="K145" s="19"/>
      <c r="L145" s="27" t="str">
        <f>CONCATENATE("VIDRO PELIC BASALTO ",N$55,"X",O$55,"X",P$55)</f>
        <v>VIDRO PELIC BASALTO 2202X764X4</v>
      </c>
      <c r="M145" s="99"/>
      <c r="N145" s="99"/>
      <c r="O145" s="99"/>
      <c r="P145" s="99"/>
    </row>
    <row r="146" spans="1:16" ht="15" customHeight="1" x14ac:dyDescent="0.2">
      <c r="A146" s="93"/>
      <c r="B146" s="96"/>
      <c r="C146" s="8">
        <v>10</v>
      </c>
      <c r="D146" s="19"/>
      <c r="E146" s="19"/>
      <c r="F146" s="19"/>
      <c r="G146" s="19"/>
      <c r="H146" s="19"/>
      <c r="I146" s="19"/>
      <c r="J146" s="19"/>
      <c r="K146" s="19"/>
      <c r="L146" s="27" t="str">
        <f>CONCATENATE("VIDRO PELIC SAND ",N$55,"X",O$55,"X",P$55)</f>
        <v>VIDRO PELIC SAND 2202X764X4</v>
      </c>
      <c r="M146" s="99"/>
      <c r="N146" s="99"/>
      <c r="O146" s="99"/>
      <c r="P146" s="99"/>
    </row>
    <row r="147" spans="1:16" ht="15" customHeight="1" x14ac:dyDescent="0.2">
      <c r="A147" s="93"/>
      <c r="B147" s="96"/>
      <c r="C147" s="26" t="s">
        <v>64</v>
      </c>
      <c r="D147" s="19"/>
      <c r="E147" s="19"/>
      <c r="F147" s="19"/>
      <c r="G147" s="19"/>
      <c r="H147" s="19"/>
      <c r="I147" s="19"/>
      <c r="J147" s="19"/>
      <c r="K147" s="19"/>
      <c r="L147" s="27" t="str">
        <f>CONCATENATE("VIDRO PELIC PETRÓLEO ",N$55,"X",O$55,"X",P$55)</f>
        <v>VIDRO PELIC PETRÓLEO 2202X764X4</v>
      </c>
      <c r="M147" s="99"/>
      <c r="N147" s="99"/>
      <c r="O147" s="99"/>
      <c r="P147" s="99"/>
    </row>
    <row r="148" spans="1:16" ht="15" customHeight="1" x14ac:dyDescent="0.2">
      <c r="A148" s="93"/>
      <c r="B148" s="96"/>
      <c r="C148" s="8">
        <v>21</v>
      </c>
      <c r="D148" s="19"/>
      <c r="E148" s="19"/>
      <c r="F148" s="19"/>
      <c r="G148" s="19"/>
      <c r="H148" s="19"/>
      <c r="I148" s="19"/>
      <c r="J148" s="19"/>
      <c r="K148" s="19"/>
      <c r="L148" s="27" t="str">
        <f>CONCATENATE("VIDRO PELIC FENDI ",N$55,"X",O$55,"X",P$55)</f>
        <v>VIDRO PELIC FENDI 2202X764X4</v>
      </c>
      <c r="M148" s="99"/>
      <c r="N148" s="99"/>
      <c r="O148" s="99"/>
      <c r="P148" s="99"/>
    </row>
    <row r="149" spans="1:16" ht="15" customHeight="1" x14ac:dyDescent="0.2">
      <c r="A149" s="93"/>
      <c r="B149" s="96"/>
      <c r="C149" s="8" t="s">
        <v>31</v>
      </c>
      <c r="D149" s="19"/>
      <c r="E149" s="19"/>
      <c r="F149" s="19"/>
      <c r="G149" s="19"/>
      <c r="H149" s="19"/>
      <c r="I149" s="19"/>
      <c r="J149" s="19"/>
      <c r="K149" s="19"/>
      <c r="L149" s="27" t="str">
        <f>CONCATENATE("VIDRO PELIC SISAL ",N$55,"X",O$55,"X",P$55)</f>
        <v>VIDRO PELIC SISAL 2202X764X4</v>
      </c>
      <c r="M149" s="99"/>
      <c r="N149" s="99"/>
      <c r="O149" s="99"/>
      <c r="P149" s="99"/>
    </row>
    <row r="150" spans="1:16" ht="15" customHeight="1" x14ac:dyDescent="0.2">
      <c r="A150" s="94"/>
      <c r="B150" s="97"/>
      <c r="C150" s="8" t="s">
        <v>33</v>
      </c>
      <c r="D150" s="19"/>
      <c r="E150" s="19"/>
      <c r="F150" s="19"/>
      <c r="G150" s="19"/>
      <c r="H150" s="19"/>
      <c r="I150" s="19"/>
      <c r="J150" s="19"/>
      <c r="K150" s="19"/>
      <c r="L150" s="27" t="str">
        <f>CONCATENATE("VIDRO PELIC ARDOSIA ",N$55,"X",O$55,"X",P$55)</f>
        <v>VIDRO PELIC ARDOSIA 2202X764X4</v>
      </c>
      <c r="M150" s="100"/>
      <c r="N150" s="100"/>
      <c r="O150" s="100"/>
      <c r="P150" s="100"/>
    </row>
    <row r="151" spans="1:16" ht="13.5" thickBot="1" x14ac:dyDescent="0.25"/>
    <row r="152" spans="1:16" s="2" customFormat="1" ht="60.75" customHeight="1" x14ac:dyDescent="0.2">
      <c r="A152" s="115" t="s">
        <v>65</v>
      </c>
      <c r="B152" s="116"/>
      <c r="C152" s="116"/>
      <c r="D152" s="116"/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</row>
    <row r="153" spans="1:16" s="2" customFormat="1" ht="27.75" customHeight="1" x14ac:dyDescent="0.2">
      <c r="A153" s="117" t="s">
        <v>3</v>
      </c>
      <c r="B153" s="117" t="s">
        <v>4</v>
      </c>
      <c r="C153" s="117" t="s">
        <v>6</v>
      </c>
      <c r="D153" s="118" t="s">
        <v>6</v>
      </c>
      <c r="E153" s="118"/>
      <c r="F153" s="118"/>
      <c r="G153" s="118"/>
      <c r="H153" s="118"/>
      <c r="I153" s="118"/>
      <c r="J153" s="118"/>
      <c r="K153" s="118"/>
      <c r="L153" s="118" t="s">
        <v>5</v>
      </c>
      <c r="M153" s="119" t="s">
        <v>53</v>
      </c>
      <c r="N153" s="118" t="s">
        <v>7</v>
      </c>
      <c r="O153" s="118"/>
      <c r="P153" s="118"/>
    </row>
    <row r="154" spans="1:16" ht="38.25" customHeight="1" x14ac:dyDescent="0.2">
      <c r="A154" s="117"/>
      <c r="B154" s="117"/>
      <c r="C154" s="117"/>
      <c r="D154" s="7" t="s">
        <v>61</v>
      </c>
      <c r="E154" s="7" t="s">
        <v>54</v>
      </c>
      <c r="F154" s="7" t="s">
        <v>55</v>
      </c>
      <c r="G154" s="7" t="s">
        <v>56</v>
      </c>
      <c r="H154" s="7" t="s">
        <v>57</v>
      </c>
      <c r="I154" s="7" t="s">
        <v>58</v>
      </c>
      <c r="J154" s="7" t="s">
        <v>59</v>
      </c>
      <c r="K154" s="7" t="s">
        <v>60</v>
      </c>
      <c r="L154" s="118"/>
      <c r="M154" s="120"/>
      <c r="N154" s="44" t="s">
        <v>8</v>
      </c>
      <c r="O154" s="44" t="s">
        <v>9</v>
      </c>
      <c r="P154" s="44" t="s">
        <v>1</v>
      </c>
    </row>
    <row r="155" spans="1:16" ht="30" customHeight="1" x14ac:dyDescent="0.2">
      <c r="A155" s="103">
        <v>223000</v>
      </c>
      <c r="B155" s="103" t="s">
        <v>75</v>
      </c>
      <c r="C155" s="103"/>
      <c r="D155" s="25">
        <v>320058</v>
      </c>
      <c r="E155" s="25" t="s">
        <v>14</v>
      </c>
      <c r="F155" s="25">
        <v>320258</v>
      </c>
      <c r="G155" s="25" t="s">
        <v>14</v>
      </c>
      <c r="H155" s="25">
        <v>320458</v>
      </c>
      <c r="I155" s="25">
        <v>320558</v>
      </c>
      <c r="J155" s="25" t="s">
        <v>14</v>
      </c>
      <c r="K155" s="25" t="s">
        <v>14</v>
      </c>
      <c r="L155" s="114" t="str">
        <f>VLOOKUP($A$5,'[1]PIANO DORM ALUM'!$B$8:$F$102,3,FALSE)</f>
        <v>FRENTE DIR DESLIZ 2210X800X44</v>
      </c>
      <c r="M155" s="42" t="s">
        <v>47</v>
      </c>
      <c r="N155" s="103">
        <f>VLOOKUP($A$5,'[1]PIANO DORM ALUM'!$B$8:$F$102,4,FALSE)</f>
        <v>2210</v>
      </c>
      <c r="O155" s="103">
        <f>VLOOKUP($A$5,'[1]PIANO DORM ALUM'!$B$8:$F$102,5,FALSE)</f>
        <v>800</v>
      </c>
      <c r="P155" s="103">
        <v>25</v>
      </c>
    </row>
    <row r="156" spans="1:16" ht="30" customHeight="1" x14ac:dyDescent="0.2">
      <c r="A156" s="103"/>
      <c r="B156" s="103"/>
      <c r="C156" s="103"/>
      <c r="D156" s="25">
        <v>320059</v>
      </c>
      <c r="E156" s="25" t="s">
        <v>14</v>
      </c>
      <c r="F156" s="25">
        <v>320259</v>
      </c>
      <c r="G156" s="25">
        <v>320359</v>
      </c>
      <c r="H156" s="25">
        <v>320459</v>
      </c>
      <c r="I156" s="25">
        <v>320559</v>
      </c>
      <c r="J156" s="25" t="s">
        <v>14</v>
      </c>
      <c r="K156" s="25">
        <v>320759</v>
      </c>
      <c r="L156" s="114"/>
      <c r="M156" s="42" t="s">
        <v>48</v>
      </c>
      <c r="N156" s="103"/>
      <c r="O156" s="103"/>
      <c r="P156" s="103"/>
    </row>
    <row r="157" spans="1:16" ht="30" customHeight="1" x14ac:dyDescent="0.2">
      <c r="A157" s="103"/>
      <c r="B157" s="103"/>
      <c r="C157" s="103"/>
      <c r="D157" s="25">
        <v>320060</v>
      </c>
      <c r="E157" s="25" t="s">
        <v>14</v>
      </c>
      <c r="F157" s="25">
        <v>320260</v>
      </c>
      <c r="G157" s="25" t="s">
        <v>14</v>
      </c>
      <c r="H157" s="25">
        <v>320460</v>
      </c>
      <c r="I157" s="25">
        <v>320560</v>
      </c>
      <c r="J157" s="25">
        <v>320660</v>
      </c>
      <c r="K157" s="25" t="s">
        <v>14</v>
      </c>
      <c r="L157" s="114"/>
      <c r="M157" s="42" t="s">
        <v>66</v>
      </c>
      <c r="N157" s="103"/>
      <c r="O157" s="103"/>
      <c r="P157" s="103"/>
    </row>
    <row r="158" spans="1:16" ht="30" customHeight="1" x14ac:dyDescent="0.2">
      <c r="A158" s="103"/>
      <c r="B158" s="103"/>
      <c r="C158" s="103"/>
      <c r="D158" s="25">
        <v>320061</v>
      </c>
      <c r="E158" s="25" t="s">
        <v>14</v>
      </c>
      <c r="F158" s="25" t="s">
        <v>14</v>
      </c>
      <c r="G158" s="25" t="s">
        <v>14</v>
      </c>
      <c r="H158" s="25">
        <v>320461</v>
      </c>
      <c r="I158" s="25">
        <v>320561</v>
      </c>
      <c r="J158" s="25" t="s">
        <v>14</v>
      </c>
      <c r="K158" s="25" t="s">
        <v>14</v>
      </c>
      <c r="L158" s="114"/>
      <c r="M158" s="42" t="s">
        <v>67</v>
      </c>
      <c r="N158" s="103"/>
      <c r="O158" s="103"/>
      <c r="P158" s="103"/>
    </row>
    <row r="159" spans="1:16" ht="30" customHeight="1" x14ac:dyDescent="0.2">
      <c r="A159" s="103"/>
      <c r="B159" s="103"/>
      <c r="C159" s="103"/>
      <c r="D159" s="25">
        <v>320063</v>
      </c>
      <c r="E159" s="25">
        <v>320163</v>
      </c>
      <c r="F159" s="25">
        <v>320263</v>
      </c>
      <c r="G159" s="25">
        <v>320363</v>
      </c>
      <c r="H159" s="25">
        <v>320463</v>
      </c>
      <c r="I159" s="25">
        <v>320563</v>
      </c>
      <c r="J159" s="25">
        <v>320663</v>
      </c>
      <c r="K159" s="25">
        <v>320763</v>
      </c>
      <c r="L159" s="114"/>
      <c r="M159" s="42" t="s">
        <v>69</v>
      </c>
      <c r="N159" s="103"/>
      <c r="O159" s="103"/>
      <c r="P159" s="103"/>
    </row>
    <row r="160" spans="1:16" ht="30" customHeight="1" x14ac:dyDescent="0.2">
      <c r="A160" s="103"/>
      <c r="B160" s="103"/>
      <c r="C160" s="103"/>
      <c r="D160" s="25">
        <v>320005</v>
      </c>
      <c r="E160" s="25">
        <v>320105</v>
      </c>
      <c r="F160" s="25">
        <v>320205</v>
      </c>
      <c r="G160" s="25">
        <v>320305</v>
      </c>
      <c r="H160" s="25">
        <v>320405</v>
      </c>
      <c r="I160" s="25">
        <v>320505</v>
      </c>
      <c r="J160" s="25">
        <v>320605</v>
      </c>
      <c r="K160" s="25">
        <v>320705</v>
      </c>
      <c r="L160" s="114"/>
      <c r="M160" s="42" t="s">
        <v>51</v>
      </c>
      <c r="N160" s="103"/>
      <c r="O160" s="103"/>
      <c r="P160" s="103"/>
    </row>
    <row r="161" spans="1:16" ht="30" customHeight="1" x14ac:dyDescent="0.2">
      <c r="A161" s="103"/>
      <c r="B161" s="103"/>
      <c r="C161" s="103"/>
      <c r="D161" s="25">
        <v>320012</v>
      </c>
      <c r="E161" s="25">
        <v>320112</v>
      </c>
      <c r="F161" s="25" t="s">
        <v>14</v>
      </c>
      <c r="G161" s="25">
        <v>320312</v>
      </c>
      <c r="H161" s="25" t="s">
        <v>14</v>
      </c>
      <c r="I161" s="25">
        <v>320512</v>
      </c>
      <c r="J161" s="25" t="s">
        <v>14</v>
      </c>
      <c r="K161" s="25" t="s">
        <v>14</v>
      </c>
      <c r="L161" s="114"/>
      <c r="M161" s="42" t="s">
        <v>12</v>
      </c>
      <c r="N161" s="103"/>
      <c r="O161" s="103"/>
      <c r="P161" s="103"/>
    </row>
    <row r="162" spans="1:16" ht="30" customHeight="1" x14ac:dyDescent="0.2">
      <c r="A162" s="103"/>
      <c r="B162" s="103"/>
      <c r="C162" s="103"/>
      <c r="D162" s="25">
        <v>320027</v>
      </c>
      <c r="E162" s="25" t="s">
        <v>14</v>
      </c>
      <c r="F162" s="25">
        <v>320227</v>
      </c>
      <c r="G162" s="25">
        <v>320327</v>
      </c>
      <c r="H162" s="25">
        <v>320427</v>
      </c>
      <c r="I162" s="25">
        <v>320527</v>
      </c>
      <c r="J162" s="25">
        <v>320627</v>
      </c>
      <c r="K162" s="25">
        <v>320727</v>
      </c>
      <c r="L162" s="114"/>
      <c r="M162" s="42" t="s">
        <v>52</v>
      </c>
      <c r="N162" s="103"/>
      <c r="O162" s="103"/>
      <c r="P162" s="103"/>
    </row>
    <row r="163" spans="1:16" ht="30" customHeight="1" x14ac:dyDescent="0.2">
      <c r="A163" s="103"/>
      <c r="B163" s="103"/>
      <c r="C163" s="103"/>
      <c r="D163" s="25">
        <v>320026</v>
      </c>
      <c r="E163" s="25" t="s">
        <v>14</v>
      </c>
      <c r="F163" s="25" t="s">
        <v>14</v>
      </c>
      <c r="G163" s="25">
        <v>320326</v>
      </c>
      <c r="H163" s="25">
        <v>320426</v>
      </c>
      <c r="I163" s="25">
        <v>320526</v>
      </c>
      <c r="J163" s="25" t="s">
        <v>14</v>
      </c>
      <c r="K163" s="25" t="s">
        <v>14</v>
      </c>
      <c r="L163" s="114"/>
      <c r="M163" s="42" t="s">
        <v>20</v>
      </c>
      <c r="N163" s="103"/>
      <c r="O163" s="103"/>
      <c r="P163" s="103"/>
    </row>
    <row r="164" spans="1:16" ht="30" customHeight="1" x14ac:dyDescent="0.2">
      <c r="A164" s="103"/>
      <c r="B164" s="103"/>
      <c r="C164" s="103"/>
      <c r="D164" s="25">
        <v>320025</v>
      </c>
      <c r="E164" s="25" t="s">
        <v>14</v>
      </c>
      <c r="F164" s="25">
        <v>320225</v>
      </c>
      <c r="G164" s="25">
        <v>320325</v>
      </c>
      <c r="H164" s="25">
        <v>320425</v>
      </c>
      <c r="I164" s="25">
        <v>320525</v>
      </c>
      <c r="J164" s="25">
        <v>320625</v>
      </c>
      <c r="K164" s="25">
        <v>320725</v>
      </c>
      <c r="L164" s="114"/>
      <c r="M164" s="42" t="s">
        <v>49</v>
      </c>
      <c r="N164" s="103"/>
      <c r="O164" s="103"/>
      <c r="P164" s="103"/>
    </row>
    <row r="165" spans="1:16" ht="30" customHeight="1" x14ac:dyDescent="0.2">
      <c r="A165" s="103"/>
      <c r="B165" s="103"/>
      <c r="C165" s="103"/>
      <c r="D165" s="25">
        <v>320028</v>
      </c>
      <c r="E165" s="25" t="s">
        <v>14</v>
      </c>
      <c r="F165" s="25" t="s">
        <v>14</v>
      </c>
      <c r="G165" s="25">
        <v>320328</v>
      </c>
      <c r="H165" s="25">
        <v>320428</v>
      </c>
      <c r="I165" s="25">
        <v>320528</v>
      </c>
      <c r="J165" s="25" t="s">
        <v>14</v>
      </c>
      <c r="K165" s="25" t="s">
        <v>14</v>
      </c>
      <c r="L165" s="114"/>
      <c r="M165" s="42" t="s">
        <v>50</v>
      </c>
      <c r="N165" s="103"/>
      <c r="O165" s="103"/>
      <c r="P165" s="103"/>
    </row>
    <row r="166" spans="1:16" ht="30" customHeight="1" x14ac:dyDescent="0.2">
      <c r="A166" s="103"/>
      <c r="B166" s="103"/>
      <c r="C166" s="103"/>
      <c r="D166" s="25">
        <v>320019</v>
      </c>
      <c r="E166" s="25">
        <v>320119</v>
      </c>
      <c r="F166" s="25">
        <v>320219</v>
      </c>
      <c r="G166" s="25">
        <v>320319</v>
      </c>
      <c r="H166" s="25">
        <v>320419</v>
      </c>
      <c r="I166" s="25">
        <v>320519</v>
      </c>
      <c r="J166" s="25">
        <v>320619</v>
      </c>
      <c r="K166" s="25">
        <v>320719</v>
      </c>
      <c r="L166" s="114"/>
      <c r="M166" s="42" t="s">
        <v>21</v>
      </c>
      <c r="N166" s="103"/>
      <c r="O166" s="103"/>
      <c r="P166" s="103"/>
    </row>
    <row r="167" spans="1:16" ht="30" customHeight="1" x14ac:dyDescent="0.2">
      <c r="A167" s="103"/>
      <c r="B167" s="103"/>
      <c r="C167" s="103"/>
      <c r="D167" s="25">
        <v>320013</v>
      </c>
      <c r="E167" s="25" t="s">
        <v>14</v>
      </c>
      <c r="F167" s="25" t="s">
        <v>14</v>
      </c>
      <c r="G167" s="25">
        <v>320313</v>
      </c>
      <c r="H167" s="25">
        <v>320413</v>
      </c>
      <c r="I167" s="25">
        <v>320513</v>
      </c>
      <c r="J167" s="25" t="s">
        <v>14</v>
      </c>
      <c r="K167" s="25" t="s">
        <v>14</v>
      </c>
      <c r="L167" s="114"/>
      <c r="M167" s="42" t="s">
        <v>22</v>
      </c>
      <c r="N167" s="103"/>
      <c r="O167" s="103"/>
      <c r="P167" s="103"/>
    </row>
    <row r="168" spans="1:16" ht="30" customHeight="1" x14ac:dyDescent="0.2">
      <c r="A168" s="103"/>
      <c r="B168" s="103"/>
      <c r="C168" s="103"/>
      <c r="D168" s="25">
        <v>320015</v>
      </c>
      <c r="E168" s="25" t="s">
        <v>14</v>
      </c>
      <c r="F168" s="25" t="s">
        <v>14</v>
      </c>
      <c r="G168" s="25">
        <v>320315</v>
      </c>
      <c r="H168" s="25" t="s">
        <v>14</v>
      </c>
      <c r="I168" s="25">
        <v>320515</v>
      </c>
      <c r="J168" s="25" t="s">
        <v>14</v>
      </c>
      <c r="K168" s="25" t="s">
        <v>14</v>
      </c>
      <c r="L168" s="114"/>
      <c r="M168" s="42" t="s">
        <v>23</v>
      </c>
      <c r="N168" s="103"/>
      <c r="O168" s="103"/>
      <c r="P168" s="103"/>
    </row>
    <row r="169" spans="1:16" ht="30" customHeight="1" x14ac:dyDescent="0.2">
      <c r="A169" s="103"/>
      <c r="B169" s="103"/>
      <c r="C169" s="103"/>
      <c r="D169" s="25">
        <v>320038</v>
      </c>
      <c r="E169" s="25" t="s">
        <v>14</v>
      </c>
      <c r="F169" s="25" t="s">
        <v>14</v>
      </c>
      <c r="G169" s="25">
        <v>320338</v>
      </c>
      <c r="H169" s="25" t="s">
        <v>14</v>
      </c>
      <c r="I169" s="25">
        <v>320538</v>
      </c>
      <c r="J169" s="25" t="s">
        <v>14</v>
      </c>
      <c r="K169" s="25" t="s">
        <v>14</v>
      </c>
      <c r="L169" s="114"/>
      <c r="M169" s="42" t="s">
        <v>24</v>
      </c>
      <c r="N169" s="103"/>
      <c r="O169" s="103"/>
      <c r="P169" s="103"/>
    </row>
    <row r="170" spans="1:16" ht="30" customHeight="1" x14ac:dyDescent="0.2">
      <c r="A170" s="103"/>
      <c r="B170" s="103"/>
      <c r="C170" s="103"/>
      <c r="D170" s="25">
        <v>320044</v>
      </c>
      <c r="E170" s="25" t="s">
        <v>14</v>
      </c>
      <c r="F170" s="25" t="s">
        <v>14</v>
      </c>
      <c r="G170" s="25">
        <v>320344</v>
      </c>
      <c r="H170" s="25" t="s">
        <v>14</v>
      </c>
      <c r="I170" s="25">
        <v>320544</v>
      </c>
      <c r="J170" s="25" t="s">
        <v>14</v>
      </c>
      <c r="K170" s="25" t="s">
        <v>14</v>
      </c>
      <c r="L170" s="114"/>
      <c r="M170" s="42" t="s">
        <v>25</v>
      </c>
      <c r="N170" s="103"/>
      <c r="O170" s="103"/>
      <c r="P170" s="103"/>
    </row>
    <row r="171" spans="1:16" ht="30" customHeight="1" x14ac:dyDescent="0.2">
      <c r="A171" s="103"/>
      <c r="B171" s="103"/>
      <c r="C171" s="103"/>
      <c r="D171" s="25">
        <v>320010</v>
      </c>
      <c r="E171" s="25" t="s">
        <v>14</v>
      </c>
      <c r="F171" s="25">
        <v>320210</v>
      </c>
      <c r="G171" s="25">
        <v>320310</v>
      </c>
      <c r="H171" s="25" t="s">
        <v>14</v>
      </c>
      <c r="I171" s="25">
        <v>320510</v>
      </c>
      <c r="J171" s="25">
        <v>320610</v>
      </c>
      <c r="K171" s="25">
        <v>320710</v>
      </c>
      <c r="L171" s="114"/>
      <c r="M171" s="42" t="s">
        <v>26</v>
      </c>
      <c r="N171" s="103"/>
      <c r="O171" s="103"/>
      <c r="P171" s="103"/>
    </row>
    <row r="172" spans="1:16" ht="30" customHeight="1" x14ac:dyDescent="0.2">
      <c r="A172" s="103"/>
      <c r="B172" s="103"/>
      <c r="C172" s="103"/>
      <c r="D172" s="25">
        <v>320008</v>
      </c>
      <c r="E172" s="25" t="s">
        <v>14</v>
      </c>
      <c r="F172" s="25" t="s">
        <v>14</v>
      </c>
      <c r="G172" s="25">
        <v>320308</v>
      </c>
      <c r="H172" s="25" t="s">
        <v>14</v>
      </c>
      <c r="I172" s="25">
        <v>320508</v>
      </c>
      <c r="J172" s="25" t="s">
        <v>14</v>
      </c>
      <c r="K172" s="25" t="s">
        <v>14</v>
      </c>
      <c r="L172" s="114"/>
      <c r="M172" s="42" t="s">
        <v>63</v>
      </c>
      <c r="N172" s="103"/>
      <c r="O172" s="103"/>
      <c r="P172" s="103"/>
    </row>
    <row r="173" spans="1:16" ht="30" customHeight="1" x14ac:dyDescent="0.2">
      <c r="A173" s="103"/>
      <c r="B173" s="103"/>
      <c r="C173" s="103"/>
      <c r="D173" s="25">
        <v>320021</v>
      </c>
      <c r="E173" s="25" t="s">
        <v>14</v>
      </c>
      <c r="F173" s="25" t="s">
        <v>14</v>
      </c>
      <c r="G173" s="25">
        <v>320321</v>
      </c>
      <c r="H173" s="25" t="s">
        <v>14</v>
      </c>
      <c r="I173" s="25">
        <v>320521</v>
      </c>
      <c r="J173" s="25" t="s">
        <v>14</v>
      </c>
      <c r="K173" s="25" t="s">
        <v>14</v>
      </c>
      <c r="L173" s="114"/>
      <c r="M173" s="42" t="s">
        <v>27</v>
      </c>
      <c r="N173" s="103"/>
      <c r="O173" s="103"/>
      <c r="P173" s="103"/>
    </row>
    <row r="174" spans="1:16" ht="30" customHeight="1" x14ac:dyDescent="0.2">
      <c r="A174" s="103"/>
      <c r="B174" s="103"/>
      <c r="C174" s="103"/>
      <c r="D174" s="25">
        <v>320006</v>
      </c>
      <c r="E174" s="25" t="s">
        <v>14</v>
      </c>
      <c r="F174" s="25">
        <v>320206</v>
      </c>
      <c r="G174" s="25">
        <v>320306</v>
      </c>
      <c r="H174" s="25">
        <v>320406</v>
      </c>
      <c r="I174" s="25">
        <v>320506</v>
      </c>
      <c r="J174" s="25">
        <v>320606</v>
      </c>
      <c r="K174" s="25" t="s">
        <v>14</v>
      </c>
      <c r="L174" s="114"/>
      <c r="M174" s="42" t="s">
        <v>28</v>
      </c>
      <c r="N174" s="103"/>
      <c r="O174" s="103"/>
      <c r="P174" s="103"/>
    </row>
    <row r="175" spans="1:16" ht="30" customHeight="1" x14ac:dyDescent="0.2">
      <c r="A175" s="103"/>
      <c r="B175" s="103"/>
      <c r="C175" s="103"/>
      <c r="D175" s="25">
        <v>320009</v>
      </c>
      <c r="E175" s="25" t="s">
        <v>14</v>
      </c>
      <c r="F175" s="25" t="s">
        <v>14</v>
      </c>
      <c r="G175" s="25">
        <v>320309</v>
      </c>
      <c r="H175" s="25" t="s">
        <v>14</v>
      </c>
      <c r="I175" s="25">
        <v>320509</v>
      </c>
      <c r="J175" s="25" t="s">
        <v>14</v>
      </c>
      <c r="K175" s="25" t="s">
        <v>14</v>
      </c>
      <c r="L175" s="114"/>
      <c r="M175" s="42" t="s">
        <v>29</v>
      </c>
      <c r="N175" s="103"/>
      <c r="O175" s="103"/>
      <c r="P175" s="103"/>
    </row>
    <row r="176" spans="1:16" ht="33" customHeight="1" x14ac:dyDescent="0.2">
      <c r="A176" s="104" t="s">
        <v>35</v>
      </c>
      <c r="B176" s="105"/>
      <c r="C176" s="105"/>
      <c r="D176" s="105"/>
      <c r="E176" s="105"/>
      <c r="F176" s="105"/>
      <c r="G176" s="105"/>
      <c r="H176" s="105"/>
      <c r="I176" s="105"/>
      <c r="J176" s="105"/>
      <c r="K176" s="105"/>
      <c r="L176" s="105"/>
      <c r="M176" s="105"/>
      <c r="N176" s="105"/>
      <c r="O176" s="105"/>
      <c r="P176" s="106"/>
    </row>
    <row r="177" spans="1:16" ht="28.5" customHeight="1" x14ac:dyDescent="0.2">
      <c r="A177" s="107" t="s">
        <v>15</v>
      </c>
      <c r="B177" s="107" t="s">
        <v>4</v>
      </c>
      <c r="C177" s="107" t="s">
        <v>13</v>
      </c>
      <c r="D177" s="108" t="s">
        <v>6</v>
      </c>
      <c r="E177" s="109"/>
      <c r="F177" s="109"/>
      <c r="G177" s="109"/>
      <c r="H177" s="109"/>
      <c r="I177" s="109"/>
      <c r="J177" s="109"/>
      <c r="K177" s="110"/>
      <c r="L177" s="111"/>
      <c r="M177" s="113" t="s">
        <v>10</v>
      </c>
      <c r="N177" s="113" t="s">
        <v>11</v>
      </c>
      <c r="O177" s="113"/>
      <c r="P177" s="113"/>
    </row>
    <row r="178" spans="1:16" ht="39" customHeight="1" x14ac:dyDescent="0.2">
      <c r="A178" s="107"/>
      <c r="B178" s="107"/>
      <c r="C178" s="107"/>
      <c r="D178" s="7" t="s">
        <v>61</v>
      </c>
      <c r="E178" s="7" t="s">
        <v>54</v>
      </c>
      <c r="F178" s="7" t="s">
        <v>55</v>
      </c>
      <c r="G178" s="7" t="s">
        <v>56</v>
      </c>
      <c r="H178" s="7" t="s">
        <v>57</v>
      </c>
      <c r="I178" s="7" t="s">
        <v>58</v>
      </c>
      <c r="J178" s="7" t="s">
        <v>59</v>
      </c>
      <c r="K178" s="7" t="s">
        <v>60</v>
      </c>
      <c r="L178" s="112"/>
      <c r="M178" s="113"/>
      <c r="N178" s="43" t="s">
        <v>0</v>
      </c>
      <c r="O178" s="43" t="s">
        <v>9</v>
      </c>
      <c r="P178" s="43" t="s">
        <v>1</v>
      </c>
    </row>
    <row r="179" spans="1:16" ht="24" customHeight="1" x14ac:dyDescent="0.2">
      <c r="A179" s="9">
        <v>595770</v>
      </c>
      <c r="B179" s="9"/>
      <c r="C179" s="9"/>
      <c r="D179" s="9" t="s">
        <v>14</v>
      </c>
      <c r="E179" s="9">
        <v>3201</v>
      </c>
      <c r="F179" s="9">
        <v>3202</v>
      </c>
      <c r="G179" s="9">
        <v>3203</v>
      </c>
      <c r="H179" s="9">
        <v>3204</v>
      </c>
      <c r="I179" s="9">
        <v>3205</v>
      </c>
      <c r="J179" s="9">
        <v>3206</v>
      </c>
      <c r="K179" s="9">
        <v>3207</v>
      </c>
      <c r="L179" s="12" t="str">
        <f>VLOOKUP(A179,'[1]PERFIL ALUM PIANO'!$A$6:$N$132,11,FALSE)</f>
        <v>CABECEIRA NESE SUP PIANO 750X70X24+COR</v>
      </c>
      <c r="M179" s="101">
        <v>1</v>
      </c>
      <c r="N179" s="101">
        <f>VLOOKUP(A179,'[1]PERFIL ALUM PIANO'!$A$6:$N$132,12,FALSE)</f>
        <v>750</v>
      </c>
      <c r="O179" s="101">
        <f>VLOOKUP(A179,'[1]PERFIL ALUM PIANO'!$A$6:$N$132,13,FALSE)</f>
        <v>70</v>
      </c>
      <c r="P179" s="101">
        <f>VLOOKUP(A179,'[1]PERFIL ALUM PIANO'!$A$6:$N$132,14,FALSE)</f>
        <v>24</v>
      </c>
    </row>
    <row r="180" spans="1:16" ht="24" customHeight="1" x14ac:dyDescent="0.2">
      <c r="A180" s="12"/>
      <c r="B180" s="9">
        <f>A179</f>
        <v>595770</v>
      </c>
      <c r="C180" s="12"/>
      <c r="D180" s="9">
        <v>3299</v>
      </c>
      <c r="E180" s="9">
        <v>3200</v>
      </c>
      <c r="F180" s="9">
        <v>3200</v>
      </c>
      <c r="G180" s="9">
        <v>3200</v>
      </c>
      <c r="H180" s="9">
        <v>3200</v>
      </c>
      <c r="I180" s="9">
        <v>3200</v>
      </c>
      <c r="J180" s="9">
        <v>3200</v>
      </c>
      <c r="K180" s="9">
        <v>3200</v>
      </c>
      <c r="L180" s="12" t="str">
        <f>SUBSTITUTE(L179,"+ COR", "- NATURAL")</f>
        <v>CABECEIRA NESE SUP PIANO 750X70X24+COR</v>
      </c>
      <c r="M180" s="102"/>
      <c r="N180" s="102"/>
      <c r="O180" s="102"/>
      <c r="P180" s="102"/>
    </row>
    <row r="181" spans="1:16" ht="24" customHeight="1" x14ac:dyDescent="0.2">
      <c r="A181" s="13"/>
      <c r="B181" s="10"/>
      <c r="C181" s="10">
        <v>1022134</v>
      </c>
      <c r="D181" s="10" t="s">
        <v>14</v>
      </c>
      <c r="E181" s="10" t="s">
        <v>14</v>
      </c>
      <c r="F181" s="10" t="s">
        <v>14</v>
      </c>
      <c r="G181" s="10" t="s">
        <v>14</v>
      </c>
      <c r="H181" s="10" t="s">
        <v>14</v>
      </c>
      <c r="I181" s="10" t="s">
        <v>14</v>
      </c>
      <c r="J181" s="10" t="s">
        <v>14</v>
      </c>
      <c r="K181" s="10" t="s">
        <v>14</v>
      </c>
      <c r="L181" s="14" t="str">
        <f>VLOOKUP(C181,[1]PERFIS!$A$4:$B$12,2,FALSE)</f>
        <v>PERFIL  ALUMINIO PIANO CABECEIRA 6M JAT/ ANOD/ NAT/FOSCO</v>
      </c>
      <c r="M181" s="15"/>
      <c r="N181" s="15"/>
      <c r="O181" s="15"/>
      <c r="P181" s="16"/>
    </row>
    <row r="182" spans="1:16" ht="24" customHeight="1" x14ac:dyDescent="0.2">
      <c r="A182" s="13"/>
      <c r="B182" s="10">
        <v>595706</v>
      </c>
      <c r="C182" s="10"/>
      <c r="D182" s="11" t="s">
        <v>14</v>
      </c>
      <c r="E182" s="11" t="s">
        <v>16</v>
      </c>
      <c r="F182" s="11" t="s">
        <v>17</v>
      </c>
      <c r="G182" s="11" t="s">
        <v>18</v>
      </c>
      <c r="H182" s="11" t="s">
        <v>30</v>
      </c>
      <c r="I182" s="11" t="s">
        <v>2</v>
      </c>
      <c r="J182" s="11" t="s">
        <v>31</v>
      </c>
      <c r="K182" s="11" t="s">
        <v>32</v>
      </c>
      <c r="L182" s="14" t="str">
        <f>VLOOKUP(B182,'[1]PERFIL ALUM PIANO'!$A$6:$N$132,11,FALSE)</f>
        <v>PINTURA ALUMINIO PL PIANO CABECEIRA + COR</v>
      </c>
      <c r="M182" s="10"/>
      <c r="N182" s="10" t="s">
        <v>19</v>
      </c>
      <c r="O182" s="6"/>
      <c r="P182" s="6"/>
    </row>
    <row r="183" spans="1:16" ht="13.5" customHeight="1" x14ac:dyDescent="0.2"/>
    <row r="184" spans="1:16" ht="24" customHeight="1" x14ac:dyDescent="0.2">
      <c r="A184" s="9">
        <v>595775</v>
      </c>
      <c r="B184" s="9"/>
      <c r="C184" s="9"/>
      <c r="D184" s="9" t="s">
        <v>14</v>
      </c>
      <c r="E184" s="9">
        <v>3201</v>
      </c>
      <c r="F184" s="9">
        <v>3202</v>
      </c>
      <c r="G184" s="9">
        <v>3203</v>
      </c>
      <c r="H184" s="9">
        <v>3204</v>
      </c>
      <c r="I184" s="9">
        <v>3205</v>
      </c>
      <c r="J184" s="9">
        <v>3206</v>
      </c>
      <c r="K184" s="9">
        <v>3207</v>
      </c>
      <c r="L184" s="12" t="str">
        <f>VLOOKUP(A184,'[1]PERFIL ALUM PIANO'!$A$6:$N$132,11,FALSE)</f>
        <v>CABECEIRA NESE INF PIANO C/ REC 750X70X24+COR</v>
      </c>
      <c r="M184" s="101">
        <v>1</v>
      </c>
      <c r="N184" s="101">
        <f>VLOOKUP(A184,'[1]PERFIL ALUM PIANO'!$A$6:$N$132,12,FALSE)</f>
        <v>750</v>
      </c>
      <c r="O184" s="101">
        <f>VLOOKUP(A184,'[1]PERFIL ALUM PIANO'!$A$6:$N$132,13,FALSE)</f>
        <v>70</v>
      </c>
      <c r="P184" s="101">
        <f>VLOOKUP(A184,'[1]PERFIL ALUM PIANO'!$A$6:$N$132,14,FALSE)</f>
        <v>24</v>
      </c>
    </row>
    <row r="185" spans="1:16" ht="24" customHeight="1" x14ac:dyDescent="0.2">
      <c r="A185" s="12"/>
      <c r="B185" s="9">
        <f>A184</f>
        <v>595775</v>
      </c>
      <c r="C185" s="12"/>
      <c r="D185" s="9">
        <v>3299</v>
      </c>
      <c r="E185" s="9">
        <v>3200</v>
      </c>
      <c r="F185" s="9">
        <v>3200</v>
      </c>
      <c r="G185" s="9">
        <v>3200</v>
      </c>
      <c r="H185" s="9">
        <v>3200</v>
      </c>
      <c r="I185" s="9">
        <v>3200</v>
      </c>
      <c r="J185" s="9">
        <v>3200</v>
      </c>
      <c r="K185" s="9">
        <v>3200</v>
      </c>
      <c r="L185" s="12" t="str">
        <f>SUBSTITUTE(L184,"+ COR", "- NATURAL")</f>
        <v>CABECEIRA NESE INF PIANO C/ REC 750X70X24+COR</v>
      </c>
      <c r="M185" s="102"/>
      <c r="N185" s="102"/>
      <c r="O185" s="102"/>
      <c r="P185" s="102"/>
    </row>
    <row r="186" spans="1:16" ht="24" customHeight="1" x14ac:dyDescent="0.2">
      <c r="A186" s="13"/>
      <c r="B186" s="10"/>
      <c r="C186" s="10">
        <v>1022134</v>
      </c>
      <c r="D186" s="10" t="s">
        <v>14</v>
      </c>
      <c r="E186" s="10" t="s">
        <v>14</v>
      </c>
      <c r="F186" s="10" t="s">
        <v>14</v>
      </c>
      <c r="G186" s="10" t="s">
        <v>14</v>
      </c>
      <c r="H186" s="10" t="s">
        <v>14</v>
      </c>
      <c r="I186" s="10" t="s">
        <v>14</v>
      </c>
      <c r="J186" s="10" t="s">
        <v>14</v>
      </c>
      <c r="K186" s="10" t="s">
        <v>14</v>
      </c>
      <c r="L186" s="14" t="str">
        <f>VLOOKUP(C186,[1]PERFIS!$A$4:$B$12,2,FALSE)</f>
        <v>PERFIL  ALUMINIO PIANO CABECEIRA 6M JAT/ ANOD/ NAT/FOSCO</v>
      </c>
      <c r="M186" s="15"/>
      <c r="N186" s="15"/>
      <c r="O186" s="15"/>
      <c r="P186" s="16"/>
    </row>
    <row r="187" spans="1:16" ht="24" customHeight="1" x14ac:dyDescent="0.2">
      <c r="A187" s="13"/>
      <c r="B187" s="10">
        <v>595706</v>
      </c>
      <c r="C187" s="10"/>
      <c r="D187" s="11" t="s">
        <v>14</v>
      </c>
      <c r="E187" s="11" t="s">
        <v>16</v>
      </c>
      <c r="F187" s="11" t="s">
        <v>17</v>
      </c>
      <c r="G187" s="11" t="s">
        <v>18</v>
      </c>
      <c r="H187" s="11" t="s">
        <v>30</v>
      </c>
      <c r="I187" s="11" t="s">
        <v>2</v>
      </c>
      <c r="J187" s="11" t="s">
        <v>31</v>
      </c>
      <c r="K187" s="11" t="s">
        <v>32</v>
      </c>
      <c r="L187" s="14" t="str">
        <f>VLOOKUP(B187,'[1]PERFIL ALUM PIANO'!$A$6:$N$132,11,FALSE)</f>
        <v>PINTURA ALUMINIO PL PIANO CABECEIRA + COR</v>
      </c>
      <c r="M187" s="10"/>
      <c r="N187" s="10" t="s">
        <v>19</v>
      </c>
      <c r="O187" s="6"/>
      <c r="P187" s="6"/>
    </row>
    <row r="188" spans="1:16" ht="13.5" customHeight="1" x14ac:dyDescent="0.2"/>
    <row r="189" spans="1:16" ht="24" customHeight="1" x14ac:dyDescent="0.2">
      <c r="A189" s="9">
        <v>595800</v>
      </c>
      <c r="B189" s="9"/>
      <c r="C189" s="9"/>
      <c r="D189" s="9" t="s">
        <v>14</v>
      </c>
      <c r="E189" s="9">
        <v>3201</v>
      </c>
      <c r="F189" s="9">
        <v>3202</v>
      </c>
      <c r="G189" s="9">
        <v>3203</v>
      </c>
      <c r="H189" s="9">
        <v>3204</v>
      </c>
      <c r="I189" s="9">
        <v>3205</v>
      </c>
      <c r="J189" s="9">
        <v>3206</v>
      </c>
      <c r="K189" s="9">
        <v>3207</v>
      </c>
      <c r="L189" s="12" t="str">
        <f>VLOOKUP(A189,'[1]PERFIL ALUM PIANO'!$A$6:$N$132,11,FALSE)</f>
        <v>LATERAL DIR PIANO C/ PUX 2210X25X44+COR</v>
      </c>
      <c r="M189" s="101">
        <v>1</v>
      </c>
      <c r="N189" s="101">
        <f>VLOOKUP(A189,'[1]PERFIL ALUM PIANO'!$A$6:$N$132,12,FALSE)</f>
        <v>2210</v>
      </c>
      <c r="O189" s="101">
        <f>VLOOKUP(A189,'[1]PERFIL ALUM PIANO'!$A$6:$N$132,13,FALSE)</f>
        <v>25</v>
      </c>
      <c r="P189" s="101">
        <f>VLOOKUP(A189,'[1]PERFIL ALUM PIANO'!$A$6:$N$132,14,FALSE)</f>
        <v>44</v>
      </c>
    </row>
    <row r="190" spans="1:16" ht="24" customHeight="1" x14ac:dyDescent="0.2">
      <c r="A190" s="12"/>
      <c r="B190" s="9">
        <f>A189</f>
        <v>595800</v>
      </c>
      <c r="C190" s="12"/>
      <c r="D190" s="9">
        <v>3299</v>
      </c>
      <c r="E190" s="9">
        <v>3200</v>
      </c>
      <c r="F190" s="9">
        <v>3200</v>
      </c>
      <c r="G190" s="9">
        <v>3200</v>
      </c>
      <c r="H190" s="9">
        <v>3200</v>
      </c>
      <c r="I190" s="9">
        <v>3200</v>
      </c>
      <c r="J190" s="9">
        <v>3200</v>
      </c>
      <c r="K190" s="9">
        <v>3200</v>
      </c>
      <c r="L190" s="12" t="str">
        <f>SUBSTITUTE(L189,"+ COR", "- NATURAL")</f>
        <v>LATERAL DIR PIANO C/ PUX 2210X25X44+COR</v>
      </c>
      <c r="M190" s="102"/>
      <c r="N190" s="102"/>
      <c r="O190" s="102"/>
      <c r="P190" s="102"/>
    </row>
    <row r="191" spans="1:16" ht="24" customHeight="1" x14ac:dyDescent="0.2">
      <c r="A191" s="13"/>
      <c r="B191" s="10"/>
      <c r="C191" s="10">
        <v>1022132</v>
      </c>
      <c r="D191" s="10" t="s">
        <v>14</v>
      </c>
      <c r="E191" s="10" t="s">
        <v>14</v>
      </c>
      <c r="F191" s="10" t="s">
        <v>14</v>
      </c>
      <c r="G191" s="10" t="s">
        <v>14</v>
      </c>
      <c r="H191" s="10" t="s">
        <v>14</v>
      </c>
      <c r="I191" s="10" t="s">
        <v>14</v>
      </c>
      <c r="J191" s="10" t="s">
        <v>14</v>
      </c>
      <c r="K191" s="10" t="s">
        <v>14</v>
      </c>
      <c r="L191" s="14" t="str">
        <f>VLOOKUP(C191,[1]PERFIS!$A$4:$B$12,2,FALSE)</f>
        <v>PERFIL  ALUMINIO PIANO C/PUX 5,5 M JAT/ ANOD/ NAT/FOSCO</v>
      </c>
      <c r="M191" s="15"/>
      <c r="N191" s="15"/>
      <c r="O191" s="15"/>
      <c r="P191" s="16"/>
    </row>
    <row r="192" spans="1:16" ht="24" customHeight="1" x14ac:dyDescent="0.2">
      <c r="A192" s="13"/>
      <c r="B192" s="10">
        <v>595704</v>
      </c>
      <c r="C192" s="10"/>
      <c r="D192" s="11" t="s">
        <v>14</v>
      </c>
      <c r="E192" s="11" t="s">
        <v>16</v>
      </c>
      <c r="F192" s="11" t="s">
        <v>17</v>
      </c>
      <c r="G192" s="11" t="s">
        <v>18</v>
      </c>
      <c r="H192" s="11" t="s">
        <v>30</v>
      </c>
      <c r="I192" s="11" t="s">
        <v>2</v>
      </c>
      <c r="J192" s="11" t="s">
        <v>31</v>
      </c>
      <c r="K192" s="11" t="s">
        <v>32</v>
      </c>
      <c r="L192" s="14" t="str">
        <f>VLOOKUP(B192,'[1]PERFIL ALUM PIANO'!$A$6:$N$132,11,FALSE)</f>
        <v>PINTURA ALUMINIO PL PIANO PUX + COR</v>
      </c>
      <c r="M192" s="10"/>
      <c r="N192" s="10" t="s">
        <v>19</v>
      </c>
      <c r="O192" s="6"/>
      <c r="P192" s="6"/>
    </row>
    <row r="193" spans="1:16" ht="13.5" customHeight="1" x14ac:dyDescent="0.2"/>
    <row r="194" spans="1:16" ht="24" customHeight="1" x14ac:dyDescent="0.2">
      <c r="A194" s="9">
        <v>595806</v>
      </c>
      <c r="B194" s="9"/>
      <c r="C194" s="9"/>
      <c r="D194" s="9" t="s">
        <v>14</v>
      </c>
      <c r="E194" s="9">
        <v>3201</v>
      </c>
      <c r="F194" s="9">
        <v>3202</v>
      </c>
      <c r="G194" s="9">
        <v>3203</v>
      </c>
      <c r="H194" s="9">
        <v>3204</v>
      </c>
      <c r="I194" s="9">
        <v>3205</v>
      </c>
      <c r="J194" s="9">
        <v>3206</v>
      </c>
      <c r="K194" s="9">
        <v>3207</v>
      </c>
      <c r="L194" s="12" t="str">
        <f>VLOOKUP(A194,'[1]PERFIL ALUM PIANO'!$A$6:$N$132,11,FALSE)</f>
        <v>LATERAL DIR PIANO 2210X25X24+COR</v>
      </c>
      <c r="M194" s="101">
        <v>1</v>
      </c>
      <c r="N194" s="101">
        <f>VLOOKUP(A194,'[1]PERFIL ALUM PIANO'!$A$6:$N$132,12,FALSE)</f>
        <v>2210</v>
      </c>
      <c r="O194" s="101">
        <f>VLOOKUP(A194,'[1]PERFIL ALUM PIANO'!$A$6:$N$132,13,FALSE)</f>
        <v>25</v>
      </c>
      <c r="P194" s="101">
        <f>VLOOKUP(A194,'[1]PERFIL ALUM PIANO'!$A$6:$N$132,14,FALSE)</f>
        <v>24</v>
      </c>
    </row>
    <row r="195" spans="1:16" ht="24" customHeight="1" x14ac:dyDescent="0.2">
      <c r="A195" s="12"/>
      <c r="B195" s="9">
        <f>A194</f>
        <v>595806</v>
      </c>
      <c r="C195" s="12"/>
      <c r="D195" s="9">
        <v>3299</v>
      </c>
      <c r="E195" s="9">
        <v>3200</v>
      </c>
      <c r="F195" s="9">
        <v>3200</v>
      </c>
      <c r="G195" s="9">
        <v>3200</v>
      </c>
      <c r="H195" s="9">
        <v>3200</v>
      </c>
      <c r="I195" s="9">
        <v>3200</v>
      </c>
      <c r="J195" s="9">
        <v>3200</v>
      </c>
      <c r="K195" s="9">
        <v>3200</v>
      </c>
      <c r="L195" s="12" t="str">
        <f>SUBSTITUTE(L194,"+ COR", "- NATURAL")</f>
        <v>LATERAL DIR PIANO 2210X25X24+COR</v>
      </c>
      <c r="M195" s="102"/>
      <c r="N195" s="102"/>
      <c r="O195" s="102"/>
      <c r="P195" s="102"/>
    </row>
    <row r="196" spans="1:16" ht="24" customHeight="1" x14ac:dyDescent="0.2">
      <c r="A196" s="13"/>
      <c r="B196" s="10"/>
      <c r="C196" s="10">
        <v>1022133</v>
      </c>
      <c r="D196" s="10" t="s">
        <v>14</v>
      </c>
      <c r="E196" s="10" t="s">
        <v>14</v>
      </c>
      <c r="F196" s="10" t="s">
        <v>14</v>
      </c>
      <c r="G196" s="10" t="s">
        <v>14</v>
      </c>
      <c r="H196" s="10" t="s">
        <v>14</v>
      </c>
      <c r="I196" s="10" t="s">
        <v>14</v>
      </c>
      <c r="J196" s="10" t="s">
        <v>14</v>
      </c>
      <c r="K196" s="10" t="s">
        <v>14</v>
      </c>
      <c r="L196" s="14" t="str">
        <f>VLOOKUP(C196,[1]PERFIS!$A$4:$B$12,2,FALSE)</f>
        <v>PERFIL  ALUMINIO PIANO S/PUX 5,5 M JAT/ ANOD/ NAT/FOSCO</v>
      </c>
      <c r="M196" s="15"/>
      <c r="N196" s="15"/>
      <c r="O196" s="15"/>
      <c r="P196" s="16"/>
    </row>
    <row r="197" spans="1:16" ht="24" customHeight="1" x14ac:dyDescent="0.2">
      <c r="A197" s="13"/>
      <c r="B197" s="10">
        <v>595705</v>
      </c>
      <c r="C197" s="10"/>
      <c r="D197" s="11" t="s">
        <v>14</v>
      </c>
      <c r="E197" s="11" t="s">
        <v>16</v>
      </c>
      <c r="F197" s="11" t="s">
        <v>17</v>
      </c>
      <c r="G197" s="11" t="s">
        <v>18</v>
      </c>
      <c r="H197" s="11" t="s">
        <v>30</v>
      </c>
      <c r="I197" s="11" t="s">
        <v>2</v>
      </c>
      <c r="J197" s="11" t="s">
        <v>31</v>
      </c>
      <c r="K197" s="11" t="s">
        <v>32</v>
      </c>
      <c r="L197" s="14" t="str">
        <f>VLOOKUP(B197,'[1]PERFIL ALUM PIANO'!$A$6:$N$132,11,FALSE)</f>
        <v>PINTURA ALUMINIO PL PIANO + COR</v>
      </c>
      <c r="M197" s="10"/>
      <c r="N197" s="10" t="s">
        <v>19</v>
      </c>
      <c r="O197" s="6"/>
      <c r="P197" s="6"/>
    </row>
    <row r="198" spans="1:16" ht="13.5" customHeight="1" x14ac:dyDescent="0.2"/>
    <row r="199" spans="1:16" ht="18" customHeight="1" x14ac:dyDescent="0.2">
      <c r="A199" s="23"/>
      <c r="B199" s="23"/>
      <c r="C199" s="6"/>
      <c r="D199" s="5">
        <v>1022223</v>
      </c>
      <c r="E199" s="5">
        <v>1022223</v>
      </c>
      <c r="F199" s="5">
        <v>1022223</v>
      </c>
      <c r="G199" s="5">
        <v>1022223</v>
      </c>
      <c r="H199" s="5">
        <v>1022223</v>
      </c>
      <c r="I199" s="5">
        <v>1022223</v>
      </c>
      <c r="J199" s="5">
        <v>1022223</v>
      </c>
      <c r="K199" s="5">
        <v>1022223</v>
      </c>
      <c r="L199" s="6" t="s">
        <v>68</v>
      </c>
      <c r="M199" s="23">
        <v>4</v>
      </c>
      <c r="N199" s="18" t="s">
        <v>42</v>
      </c>
      <c r="O199" s="4"/>
      <c r="P199" s="4"/>
    </row>
    <row r="200" spans="1:16" ht="18" customHeight="1" x14ac:dyDescent="0.2">
      <c r="A200" s="5"/>
      <c r="B200" s="5"/>
      <c r="C200" s="4"/>
      <c r="D200" s="5">
        <v>1018359</v>
      </c>
      <c r="E200" s="5">
        <v>1018359</v>
      </c>
      <c r="F200" s="28">
        <v>1022356</v>
      </c>
      <c r="G200" s="5">
        <v>1018359</v>
      </c>
      <c r="H200" s="28">
        <v>1022356</v>
      </c>
      <c r="I200" s="28">
        <v>1022356</v>
      </c>
      <c r="J200" s="5">
        <v>1018359</v>
      </c>
      <c r="K200" s="5">
        <v>1018359</v>
      </c>
      <c r="L200" s="4" t="s">
        <v>62</v>
      </c>
      <c r="M200" s="5">
        <v>0.24</v>
      </c>
      <c r="N200" s="5" t="s">
        <v>72</v>
      </c>
      <c r="O200" s="4"/>
      <c r="P200" s="4"/>
    </row>
    <row r="201" spans="1:16" ht="18" customHeight="1" x14ac:dyDescent="0.2">
      <c r="A201" s="5"/>
      <c r="B201" s="5"/>
      <c r="C201" s="4"/>
      <c r="D201" s="5">
        <v>1022213</v>
      </c>
      <c r="E201" s="5">
        <v>1022213</v>
      </c>
      <c r="F201" s="5">
        <v>1022213</v>
      </c>
      <c r="G201" s="5">
        <v>1022213</v>
      </c>
      <c r="H201" s="5">
        <v>1022213</v>
      </c>
      <c r="I201" s="5">
        <v>1022213</v>
      </c>
      <c r="J201" s="5">
        <v>1022213</v>
      </c>
      <c r="K201" s="5">
        <v>1022213</v>
      </c>
      <c r="L201" s="6" t="s">
        <v>71</v>
      </c>
      <c r="M201" s="5" t="s">
        <v>73</v>
      </c>
      <c r="N201" s="5" t="s">
        <v>19</v>
      </c>
      <c r="O201" s="4"/>
      <c r="P201" s="4"/>
    </row>
    <row r="202" spans="1:16" ht="18" customHeight="1" x14ac:dyDescent="0.2">
      <c r="A202" s="30"/>
      <c r="B202" s="31"/>
      <c r="C202" s="32"/>
      <c r="D202" s="33"/>
      <c r="E202" s="33"/>
      <c r="F202" s="33"/>
      <c r="G202" s="33"/>
      <c r="H202" s="33"/>
      <c r="I202" s="33"/>
      <c r="J202" s="33"/>
      <c r="K202" s="33"/>
      <c r="L202" s="32"/>
      <c r="M202" s="31"/>
      <c r="N202" s="34"/>
      <c r="O202" s="35"/>
      <c r="P202" s="36"/>
    </row>
    <row r="203" spans="1:16" ht="18" customHeight="1" x14ac:dyDescent="0.2">
      <c r="A203" s="86" t="s">
        <v>43</v>
      </c>
      <c r="B203" s="87"/>
      <c r="C203" s="87"/>
      <c r="D203" s="87"/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8"/>
    </row>
    <row r="204" spans="1:16" ht="25.5" x14ac:dyDescent="0.2">
      <c r="A204" s="24" t="s">
        <v>40</v>
      </c>
      <c r="B204" s="17" t="s">
        <v>36</v>
      </c>
      <c r="C204" s="17" t="s">
        <v>37</v>
      </c>
      <c r="D204" s="89" t="s">
        <v>41</v>
      </c>
      <c r="E204" s="89"/>
      <c r="F204" s="89"/>
      <c r="G204" s="89"/>
      <c r="H204" s="89"/>
      <c r="I204" s="89"/>
      <c r="J204" s="89"/>
      <c r="K204" s="90"/>
      <c r="L204" s="24" t="s">
        <v>5</v>
      </c>
      <c r="M204" s="24" t="s">
        <v>38</v>
      </c>
      <c r="N204" s="91" t="s">
        <v>39</v>
      </c>
      <c r="O204" s="89"/>
      <c r="P204" s="90"/>
    </row>
    <row r="205" spans="1:16" ht="15" customHeight="1" x14ac:dyDescent="0.2">
      <c r="A205" s="92" t="s">
        <v>34</v>
      </c>
      <c r="B205" s="95">
        <v>121700</v>
      </c>
      <c r="C205" s="8">
        <v>58</v>
      </c>
      <c r="D205" s="19"/>
      <c r="E205" s="19"/>
      <c r="F205" s="19"/>
      <c r="G205" s="19"/>
      <c r="H205" s="19"/>
      <c r="I205" s="19"/>
      <c r="J205" s="19"/>
      <c r="K205" s="19"/>
      <c r="L205" s="27" t="str">
        <f>CONCATENATE("VIDRO TEMP LINEE ARGENTO ",N$55,"X",O$55,"X",P$55)</f>
        <v>VIDRO TEMP LINEE ARGENTO 2202X764X4</v>
      </c>
      <c r="M205" s="98">
        <v>1</v>
      </c>
      <c r="N205" s="98">
        <f>N155-8</f>
        <v>2202</v>
      </c>
      <c r="O205" s="98">
        <f>O155-36</f>
        <v>764</v>
      </c>
      <c r="P205" s="98">
        <v>4</v>
      </c>
    </row>
    <row r="206" spans="1:16" ht="15" customHeight="1" x14ac:dyDescent="0.2">
      <c r="A206" s="93"/>
      <c r="B206" s="96"/>
      <c r="C206" s="8">
        <v>59</v>
      </c>
      <c r="D206" s="19"/>
      <c r="E206" s="19"/>
      <c r="F206" s="19"/>
      <c r="G206" s="19"/>
      <c r="H206" s="19"/>
      <c r="I206" s="19"/>
      <c r="J206" s="19"/>
      <c r="K206" s="19"/>
      <c r="L206" s="27" t="str">
        <f>CONCATENATE("VIDRO TEMP LINEE ORO ",N$55,"X",O$55,"X",P$55)</f>
        <v>VIDRO TEMP LINEE ORO 2202X764X4</v>
      </c>
      <c r="M206" s="99"/>
      <c r="N206" s="99"/>
      <c r="O206" s="99"/>
      <c r="P206" s="99"/>
    </row>
    <row r="207" spans="1:16" ht="15" customHeight="1" x14ac:dyDescent="0.2">
      <c r="A207" s="93"/>
      <c r="B207" s="96"/>
      <c r="C207" s="8">
        <v>60</v>
      </c>
      <c r="D207" s="19"/>
      <c r="E207" s="19"/>
      <c r="F207" s="19"/>
      <c r="G207" s="19"/>
      <c r="H207" s="19"/>
      <c r="I207" s="19"/>
      <c r="J207" s="19"/>
      <c r="K207" s="19"/>
      <c r="L207" s="27" t="str">
        <f>CONCATENATE("VIDRO TEMP FUMÊ CHAMP ",N$55,"X",O$55,"X",P$55)</f>
        <v>VIDRO TEMP FUMÊ CHAMP 2202X764X4</v>
      </c>
      <c r="M207" s="99"/>
      <c r="N207" s="99"/>
      <c r="O207" s="99"/>
      <c r="P207" s="99"/>
    </row>
    <row r="208" spans="1:16" ht="15" customHeight="1" x14ac:dyDescent="0.2">
      <c r="A208" s="93"/>
      <c r="B208" s="96"/>
      <c r="C208" s="8">
        <v>61</v>
      </c>
      <c r="D208" s="19"/>
      <c r="E208" s="19"/>
      <c r="F208" s="19"/>
      <c r="G208" s="19"/>
      <c r="H208" s="19"/>
      <c r="I208" s="19"/>
      <c r="J208" s="19"/>
      <c r="K208" s="19"/>
      <c r="L208" s="27" t="str">
        <f>CONCATENATE("VIDRO TEMP FUMÊ CZ ",N$55,"X",O$55,"X",P$55)</f>
        <v>VIDRO TEMP FUMÊ CZ 2202X764X4</v>
      </c>
      <c r="M208" s="99"/>
      <c r="N208" s="99"/>
      <c r="O208" s="99"/>
      <c r="P208" s="99"/>
    </row>
    <row r="209" spans="1:16" ht="15" customHeight="1" x14ac:dyDescent="0.2">
      <c r="A209" s="93"/>
      <c r="B209" s="96"/>
      <c r="C209" s="8">
        <v>63</v>
      </c>
      <c r="D209" s="19"/>
      <c r="E209" s="19"/>
      <c r="F209" s="19"/>
      <c r="G209" s="19"/>
      <c r="H209" s="19"/>
      <c r="I209" s="19"/>
      <c r="J209" s="19"/>
      <c r="K209" s="19"/>
      <c r="L209" s="27" t="str">
        <f>CONCATENATE("VIDRO TEMP REFL CRISTAL ",N$55,"X",O$55,"X",P$55)</f>
        <v>VIDRO TEMP REFL CRISTAL 2202X764X4</v>
      </c>
      <c r="M209" s="99"/>
      <c r="N209" s="99"/>
      <c r="O209" s="99"/>
      <c r="P209" s="99"/>
    </row>
    <row r="210" spans="1:16" s="3" customFormat="1" ht="15" customHeight="1" x14ac:dyDescent="0.2">
      <c r="A210" s="93"/>
      <c r="B210" s="96"/>
      <c r="C210" s="8" t="s">
        <v>2</v>
      </c>
      <c r="D210" s="19"/>
      <c r="E210" s="19"/>
      <c r="F210" s="19"/>
      <c r="G210" s="19"/>
      <c r="H210" s="19"/>
      <c r="I210" s="19"/>
      <c r="J210" s="19"/>
      <c r="K210" s="19"/>
      <c r="L210" s="27" t="str">
        <f>CONCATENATE("VIDRO PELIC ESP PRATA ",N$55,"X",O$55,"X",P$55)</f>
        <v>VIDRO PELIC ESP PRATA 2202X764X4</v>
      </c>
      <c r="M210" s="99"/>
      <c r="N210" s="99"/>
      <c r="O210" s="99"/>
      <c r="P210" s="99"/>
    </row>
    <row r="211" spans="1:16" s="3" customFormat="1" ht="15" customHeight="1" x14ac:dyDescent="0.2">
      <c r="A211" s="93"/>
      <c r="B211" s="96"/>
      <c r="C211" s="8">
        <v>12</v>
      </c>
      <c r="D211" s="19"/>
      <c r="E211" s="19"/>
      <c r="F211" s="19"/>
      <c r="G211" s="19"/>
      <c r="H211" s="19"/>
      <c r="I211" s="19"/>
      <c r="J211" s="19"/>
      <c r="K211" s="19"/>
      <c r="L211" s="27" t="str">
        <f>CONCATENATE("VIDRO PELIC BIANCO ",N$55,"X",O$55,"X",P$55)</f>
        <v>VIDRO PELIC BIANCO 2202X764X4</v>
      </c>
      <c r="M211" s="99"/>
      <c r="N211" s="99"/>
      <c r="O211" s="99"/>
      <c r="P211" s="99"/>
    </row>
    <row r="212" spans="1:16" s="3" customFormat="1" ht="15" customHeight="1" x14ac:dyDescent="0.2">
      <c r="A212" s="93"/>
      <c r="B212" s="96"/>
      <c r="C212" s="8">
        <v>27</v>
      </c>
      <c r="D212" s="19"/>
      <c r="E212" s="19"/>
      <c r="F212" s="19"/>
      <c r="G212" s="19"/>
      <c r="H212" s="19"/>
      <c r="I212" s="19"/>
      <c r="J212" s="19"/>
      <c r="K212" s="19"/>
      <c r="L212" s="27" t="str">
        <f>CONCATENATE("VIDRO PELIC ESP CHAMP ",N$55,"X",O$55,"X",P$55)</f>
        <v>VIDRO PELIC ESP CHAMP 2202X764X4</v>
      </c>
      <c r="M212" s="99"/>
      <c r="N212" s="99"/>
      <c r="O212" s="99"/>
      <c r="P212" s="99"/>
    </row>
    <row r="213" spans="1:16" ht="15" customHeight="1" x14ac:dyDescent="0.2">
      <c r="A213" s="93"/>
      <c r="B213" s="96"/>
      <c r="C213" s="8">
        <v>26</v>
      </c>
      <c r="D213" s="19"/>
      <c r="E213" s="19"/>
      <c r="F213" s="19"/>
      <c r="G213" s="19"/>
      <c r="H213" s="19"/>
      <c r="I213" s="19"/>
      <c r="J213" s="19"/>
      <c r="K213" s="19"/>
      <c r="L213" s="27" t="str">
        <f>CONCATENATE("VIDRO PELIC ESP FUME ",N$55,"X",O$55,"X",P$55)</f>
        <v>VIDRO PELIC ESP FUME 2202X764X4</v>
      </c>
      <c r="M213" s="99"/>
      <c r="N213" s="99"/>
      <c r="O213" s="99"/>
      <c r="P213" s="99"/>
    </row>
    <row r="214" spans="1:16" ht="15" customHeight="1" x14ac:dyDescent="0.2">
      <c r="A214" s="93"/>
      <c r="B214" s="96"/>
      <c r="C214" s="8" t="s">
        <v>44</v>
      </c>
      <c r="D214" s="19"/>
      <c r="E214" s="19"/>
      <c r="F214" s="19"/>
      <c r="G214" s="19"/>
      <c r="H214" s="19"/>
      <c r="I214" s="19"/>
      <c r="J214" s="19"/>
      <c r="K214" s="19"/>
      <c r="L214" s="27" t="str">
        <f>CONCATENATE("VIDRO TEMP REFLETO ",N$55,"X",O$55,"X",P$55)</f>
        <v>VIDRO TEMP REFLETO 2202X764X4</v>
      </c>
      <c r="M214" s="99"/>
      <c r="N214" s="99"/>
      <c r="O214" s="99"/>
      <c r="P214" s="99"/>
    </row>
    <row r="215" spans="1:16" ht="15" customHeight="1" x14ac:dyDescent="0.2">
      <c r="A215" s="93"/>
      <c r="B215" s="96"/>
      <c r="C215" s="8" t="s">
        <v>45</v>
      </c>
      <c r="D215" s="19"/>
      <c r="E215" s="19"/>
      <c r="F215" s="19"/>
      <c r="G215" s="19"/>
      <c r="H215" s="19"/>
      <c r="I215" s="19"/>
      <c r="J215" s="19"/>
      <c r="K215" s="19"/>
      <c r="L215" s="27" t="str">
        <f>CONCATENATE("VIDRO TEMP REFLETO CINZA ",N$55,"X",O$55,"X",P$55)</f>
        <v>VIDRO TEMP REFLETO CINZA 2202X764X4</v>
      </c>
      <c r="M215" s="99"/>
      <c r="N215" s="99"/>
      <c r="O215" s="99"/>
      <c r="P215" s="99"/>
    </row>
    <row r="216" spans="1:16" ht="15" customHeight="1" x14ac:dyDescent="0.2">
      <c r="A216" s="93"/>
      <c r="B216" s="96"/>
      <c r="C216" s="8" t="s">
        <v>46</v>
      </c>
      <c r="D216" s="19"/>
      <c r="E216" s="19"/>
      <c r="F216" s="19"/>
      <c r="G216" s="19"/>
      <c r="H216" s="19"/>
      <c r="I216" s="19"/>
      <c r="J216" s="19"/>
      <c r="K216" s="19"/>
      <c r="L216" s="27" t="str">
        <f>CONCATENATE("VIDRO TEMP TRANSPARENTE ",N$55,"X",O$55,"X",P$55)</f>
        <v>VIDRO TEMP TRANSPARENTE 2202X764X4</v>
      </c>
      <c r="M216" s="99"/>
      <c r="N216" s="99"/>
      <c r="O216" s="99"/>
      <c r="P216" s="99"/>
    </row>
    <row r="217" spans="1:16" ht="15" customHeight="1" x14ac:dyDescent="0.2">
      <c r="A217" s="93"/>
      <c r="B217" s="96"/>
      <c r="C217" s="8">
        <v>13</v>
      </c>
      <c r="D217" s="19"/>
      <c r="E217" s="19"/>
      <c r="F217" s="19"/>
      <c r="G217" s="19"/>
      <c r="H217" s="19"/>
      <c r="I217" s="19"/>
      <c r="J217" s="19"/>
      <c r="K217" s="19"/>
      <c r="L217" s="27" t="str">
        <f>CONCATENATE("VIDRO PELIC ONIX ",N$55,"X",O$55,"X",P$55)</f>
        <v>VIDRO PELIC ONIX 2202X764X4</v>
      </c>
      <c r="M217" s="99"/>
      <c r="N217" s="99"/>
      <c r="O217" s="99"/>
      <c r="P217" s="99"/>
    </row>
    <row r="218" spans="1:16" ht="15" customHeight="1" x14ac:dyDescent="0.2">
      <c r="A218" s="93"/>
      <c r="B218" s="96"/>
      <c r="C218" s="8">
        <v>15</v>
      </c>
      <c r="D218" s="19"/>
      <c r="E218" s="19"/>
      <c r="F218" s="19"/>
      <c r="G218" s="19"/>
      <c r="H218" s="19"/>
      <c r="I218" s="19"/>
      <c r="J218" s="19"/>
      <c r="K218" s="19"/>
      <c r="L218" s="27" t="str">
        <f>CONCATENATE("VIDRO PELIC GELO ",N$55,"X",O$55,"X",P$55)</f>
        <v>VIDRO PELIC GELO 2202X764X4</v>
      </c>
      <c r="M218" s="99"/>
      <c r="N218" s="99"/>
      <c r="O218" s="99"/>
      <c r="P218" s="99"/>
    </row>
    <row r="219" spans="1:16" ht="15" customHeight="1" x14ac:dyDescent="0.2">
      <c r="A219" s="93"/>
      <c r="B219" s="96"/>
      <c r="C219" s="8">
        <v>38</v>
      </c>
      <c r="D219" s="19"/>
      <c r="E219" s="19"/>
      <c r="F219" s="19"/>
      <c r="G219" s="19"/>
      <c r="H219" s="19"/>
      <c r="I219" s="19"/>
      <c r="J219" s="19"/>
      <c r="K219" s="19"/>
      <c r="L219" s="27" t="str">
        <f>CONCATENATE("VIDRO PELIC NATA ",N$55,"X",O$55,"X",P$55)</f>
        <v>VIDRO PELIC NATA 2202X764X4</v>
      </c>
      <c r="M219" s="99"/>
      <c r="N219" s="99"/>
      <c r="O219" s="99"/>
      <c r="P219" s="99"/>
    </row>
    <row r="220" spans="1:16" ht="15" customHeight="1" x14ac:dyDescent="0.2">
      <c r="A220" s="93"/>
      <c r="B220" s="96"/>
      <c r="C220" s="8">
        <v>44</v>
      </c>
      <c r="D220" s="19"/>
      <c r="E220" s="19"/>
      <c r="F220" s="19"/>
      <c r="G220" s="19"/>
      <c r="H220" s="19"/>
      <c r="I220" s="19"/>
      <c r="J220" s="19"/>
      <c r="K220" s="19"/>
      <c r="L220" s="27" t="str">
        <f>CONCATENATE("VIDRO PELIC BASALTO ",N$55,"X",O$55,"X",P$55)</f>
        <v>VIDRO PELIC BASALTO 2202X764X4</v>
      </c>
      <c r="M220" s="99"/>
      <c r="N220" s="99"/>
      <c r="O220" s="99"/>
      <c r="P220" s="99"/>
    </row>
    <row r="221" spans="1:16" ht="15" customHeight="1" x14ac:dyDescent="0.2">
      <c r="A221" s="93"/>
      <c r="B221" s="96"/>
      <c r="C221" s="8">
        <v>10</v>
      </c>
      <c r="D221" s="19"/>
      <c r="E221" s="19"/>
      <c r="F221" s="19"/>
      <c r="G221" s="19"/>
      <c r="H221" s="19"/>
      <c r="I221" s="19"/>
      <c r="J221" s="19"/>
      <c r="K221" s="19"/>
      <c r="L221" s="27" t="str">
        <f>CONCATENATE("VIDRO PELIC SAND ",N$55,"X",O$55,"X",P$55)</f>
        <v>VIDRO PELIC SAND 2202X764X4</v>
      </c>
      <c r="M221" s="99"/>
      <c r="N221" s="99"/>
      <c r="O221" s="99"/>
      <c r="P221" s="99"/>
    </row>
    <row r="222" spans="1:16" ht="15" customHeight="1" x14ac:dyDescent="0.2">
      <c r="A222" s="93"/>
      <c r="B222" s="96"/>
      <c r="C222" s="26" t="s">
        <v>64</v>
      </c>
      <c r="D222" s="19"/>
      <c r="E222" s="19"/>
      <c r="F222" s="19"/>
      <c r="G222" s="19"/>
      <c r="H222" s="19"/>
      <c r="I222" s="19"/>
      <c r="J222" s="19"/>
      <c r="K222" s="19"/>
      <c r="L222" s="27" t="str">
        <f>CONCATENATE("VIDRO PELIC PETRÓLEO ",N$55,"X",O$55,"X",P$55)</f>
        <v>VIDRO PELIC PETRÓLEO 2202X764X4</v>
      </c>
      <c r="M222" s="99"/>
      <c r="N222" s="99"/>
      <c r="O222" s="99"/>
      <c r="P222" s="99"/>
    </row>
    <row r="223" spans="1:16" ht="15" customHeight="1" x14ac:dyDescent="0.2">
      <c r="A223" s="93"/>
      <c r="B223" s="96"/>
      <c r="C223" s="8">
        <v>21</v>
      </c>
      <c r="D223" s="19"/>
      <c r="E223" s="19"/>
      <c r="F223" s="19"/>
      <c r="G223" s="19"/>
      <c r="H223" s="19"/>
      <c r="I223" s="19"/>
      <c r="J223" s="19"/>
      <c r="K223" s="19"/>
      <c r="L223" s="27" t="str">
        <f>CONCATENATE("VIDRO PELIC FENDI ",N$55,"X",O$55,"X",P$55)</f>
        <v>VIDRO PELIC FENDI 2202X764X4</v>
      </c>
      <c r="M223" s="99"/>
      <c r="N223" s="99"/>
      <c r="O223" s="99"/>
      <c r="P223" s="99"/>
    </row>
    <row r="224" spans="1:16" ht="15" customHeight="1" x14ac:dyDescent="0.2">
      <c r="A224" s="93"/>
      <c r="B224" s="96"/>
      <c r="C224" s="8" t="s">
        <v>31</v>
      </c>
      <c r="D224" s="19"/>
      <c r="E224" s="19"/>
      <c r="F224" s="19"/>
      <c r="G224" s="19"/>
      <c r="H224" s="19"/>
      <c r="I224" s="19"/>
      <c r="J224" s="19"/>
      <c r="K224" s="19"/>
      <c r="L224" s="27" t="str">
        <f>CONCATENATE("VIDRO PELIC SISAL ",N$55,"X",O$55,"X",P$55)</f>
        <v>VIDRO PELIC SISAL 2202X764X4</v>
      </c>
      <c r="M224" s="99"/>
      <c r="N224" s="99"/>
      <c r="O224" s="99"/>
      <c r="P224" s="99"/>
    </row>
    <row r="225" spans="1:16" ht="15" customHeight="1" x14ac:dyDescent="0.2">
      <c r="A225" s="94"/>
      <c r="B225" s="97"/>
      <c r="C225" s="8" t="s">
        <v>33</v>
      </c>
      <c r="D225" s="19"/>
      <c r="E225" s="19"/>
      <c r="F225" s="19"/>
      <c r="G225" s="19"/>
      <c r="H225" s="19"/>
      <c r="I225" s="19"/>
      <c r="J225" s="19"/>
      <c r="K225" s="19"/>
      <c r="L225" s="27" t="str">
        <f>CONCATENATE("VIDRO PELIC ARDOSIA ",N$55,"X",O$55,"X",P$55)</f>
        <v>VIDRO PELIC ARDOSIA 2202X764X4</v>
      </c>
      <c r="M225" s="100"/>
      <c r="N225" s="100"/>
      <c r="O225" s="100"/>
      <c r="P225" s="100"/>
    </row>
  </sheetData>
  <mergeCells count="139">
    <mergeCell ref="D54:K54"/>
    <mergeCell ref="N54:P54"/>
    <mergeCell ref="A55:A75"/>
    <mergeCell ref="B55:B75"/>
    <mergeCell ref="M55:M75"/>
    <mergeCell ref="N55:N75"/>
    <mergeCell ref="O55:O75"/>
    <mergeCell ref="P55:P75"/>
    <mergeCell ref="P34:P35"/>
    <mergeCell ref="M39:M40"/>
    <mergeCell ref="N39:N40"/>
    <mergeCell ref="O39:O40"/>
    <mergeCell ref="P39:P40"/>
    <mergeCell ref="A53:P53"/>
    <mergeCell ref="M44:M45"/>
    <mergeCell ref="N44:N45"/>
    <mergeCell ref="O44:O45"/>
    <mergeCell ref="P44:P45"/>
    <mergeCell ref="A1:P1"/>
    <mergeCell ref="A2:P2"/>
    <mergeCell ref="A3:A4"/>
    <mergeCell ref="B3:C4"/>
    <mergeCell ref="D3:K3"/>
    <mergeCell ref="L3:L4"/>
    <mergeCell ref="M3:M4"/>
    <mergeCell ref="N3:P3"/>
    <mergeCell ref="P29:P30"/>
    <mergeCell ref="M29:M30"/>
    <mergeCell ref="N29:N30"/>
    <mergeCell ref="O29:O30"/>
    <mergeCell ref="A77:P77"/>
    <mergeCell ref="A78:A79"/>
    <mergeCell ref="B78:C79"/>
    <mergeCell ref="D78:K78"/>
    <mergeCell ref="L78:L79"/>
    <mergeCell ref="M78:M79"/>
    <mergeCell ref="N78:P78"/>
    <mergeCell ref="P5:P25"/>
    <mergeCell ref="A26:P26"/>
    <mergeCell ref="A27:A28"/>
    <mergeCell ref="B27:B28"/>
    <mergeCell ref="C27:C28"/>
    <mergeCell ref="D27:K27"/>
    <mergeCell ref="L27:L28"/>
    <mergeCell ref="M27:M28"/>
    <mergeCell ref="N27:P27"/>
    <mergeCell ref="A5:A25"/>
    <mergeCell ref="B5:C25"/>
    <mergeCell ref="L5:L25"/>
    <mergeCell ref="N5:N25"/>
    <mergeCell ref="O5:O25"/>
    <mergeCell ref="M34:M35"/>
    <mergeCell ref="N34:N35"/>
    <mergeCell ref="O34:O35"/>
    <mergeCell ref="P80:P100"/>
    <mergeCell ref="A101:P101"/>
    <mergeCell ref="A102:A103"/>
    <mergeCell ref="B102:B103"/>
    <mergeCell ref="C102:C103"/>
    <mergeCell ref="D102:K102"/>
    <mergeCell ref="L102:L103"/>
    <mergeCell ref="M102:M103"/>
    <mergeCell ref="N102:P102"/>
    <mergeCell ref="A80:A100"/>
    <mergeCell ref="B80:C100"/>
    <mergeCell ref="L80:L100"/>
    <mergeCell ref="N80:N100"/>
    <mergeCell ref="O80:O100"/>
    <mergeCell ref="M114:M115"/>
    <mergeCell ref="N114:N115"/>
    <mergeCell ref="O114:O115"/>
    <mergeCell ref="P114:P115"/>
    <mergeCell ref="M119:M120"/>
    <mergeCell ref="N119:N120"/>
    <mergeCell ref="O119:O120"/>
    <mergeCell ref="P119:P120"/>
    <mergeCell ref="M104:M105"/>
    <mergeCell ref="N104:N105"/>
    <mergeCell ref="O104:O105"/>
    <mergeCell ref="P104:P105"/>
    <mergeCell ref="M109:M110"/>
    <mergeCell ref="N109:N110"/>
    <mergeCell ref="O109:O110"/>
    <mergeCell ref="P109:P110"/>
    <mergeCell ref="A152:P152"/>
    <mergeCell ref="A153:A154"/>
    <mergeCell ref="B153:C154"/>
    <mergeCell ref="D153:K153"/>
    <mergeCell ref="L153:L154"/>
    <mergeCell ref="M153:M154"/>
    <mergeCell ref="N153:P153"/>
    <mergeCell ref="A128:P128"/>
    <mergeCell ref="D129:K129"/>
    <mergeCell ref="N129:P129"/>
    <mergeCell ref="A130:A150"/>
    <mergeCell ref="B130:B150"/>
    <mergeCell ref="M130:M150"/>
    <mergeCell ref="N130:N150"/>
    <mergeCell ref="O130:O150"/>
    <mergeCell ref="P130:P150"/>
    <mergeCell ref="P155:P175"/>
    <mergeCell ref="A176:P176"/>
    <mergeCell ref="A177:A178"/>
    <mergeCell ref="B177:B178"/>
    <mergeCell ref="C177:C178"/>
    <mergeCell ref="D177:K177"/>
    <mergeCell ref="L177:L178"/>
    <mergeCell ref="M177:M178"/>
    <mergeCell ref="N177:P177"/>
    <mergeCell ref="A155:A175"/>
    <mergeCell ref="B155:C175"/>
    <mergeCell ref="L155:L175"/>
    <mergeCell ref="N155:N175"/>
    <mergeCell ref="O155:O175"/>
    <mergeCell ref="M189:M190"/>
    <mergeCell ref="N189:N190"/>
    <mergeCell ref="O189:O190"/>
    <mergeCell ref="P189:P190"/>
    <mergeCell ref="M194:M195"/>
    <mergeCell ref="N194:N195"/>
    <mergeCell ref="O194:O195"/>
    <mergeCell ref="P194:P195"/>
    <mergeCell ref="M179:M180"/>
    <mergeCell ref="N179:N180"/>
    <mergeCell ref="O179:O180"/>
    <mergeCell ref="P179:P180"/>
    <mergeCell ref="M184:M185"/>
    <mergeCell ref="N184:N185"/>
    <mergeCell ref="O184:O185"/>
    <mergeCell ref="P184:P185"/>
    <mergeCell ref="A203:P203"/>
    <mergeCell ref="D204:K204"/>
    <mergeCell ref="N204:P204"/>
    <mergeCell ref="A205:A225"/>
    <mergeCell ref="B205:B225"/>
    <mergeCell ref="M205:M225"/>
    <mergeCell ref="N205:N225"/>
    <mergeCell ref="O205:O225"/>
    <mergeCell ref="P205:P225"/>
  </mergeCells>
  <pageMargins left="0.511811024" right="0.511811024" top="0.78740157499999996" bottom="0.78740157499999996" header="0.31496062000000002" footer="0.31496062000000002"/>
  <pageSetup paperSize="9" scale="2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3D4-EF63-425B-921D-C82E1BB19F37}">
  <sheetPr codeName="Planilha3"/>
  <dimension ref="A1:Y100"/>
  <sheetViews>
    <sheetView showGridLines="0" topLeftCell="A19" zoomScale="70" zoomScaleNormal="70" workbookViewId="0">
      <selection activeCell="M25" sqref="M25"/>
    </sheetView>
  </sheetViews>
  <sheetFormatPr defaultRowHeight="12.75" x14ac:dyDescent="0.2"/>
  <cols>
    <col min="1" max="1" width="15.7109375" customWidth="1"/>
    <col min="2" max="2" width="12.28515625" customWidth="1"/>
    <col min="3" max="3" width="11.140625" customWidth="1"/>
    <col min="4" max="14" width="14.42578125" customWidth="1"/>
    <col min="15" max="15" width="71.7109375" bestFit="1" customWidth="1"/>
    <col min="16" max="16" width="25.5703125" customWidth="1"/>
  </cols>
  <sheetData>
    <row r="1" spans="1:25" ht="23.25" thickBot="1" x14ac:dyDescent="0.35">
      <c r="A1" s="121" t="s">
        <v>104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3"/>
      <c r="Y1" s="80">
        <v>15</v>
      </c>
    </row>
    <row r="2" spans="1:25" ht="22.5" x14ac:dyDescent="0.2">
      <c r="A2" s="115" t="s">
        <v>105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24"/>
    </row>
    <row r="3" spans="1:25" x14ac:dyDescent="0.2">
      <c r="A3" s="139" t="s">
        <v>3</v>
      </c>
      <c r="B3" s="117" t="s">
        <v>4</v>
      </c>
      <c r="C3" s="117" t="s">
        <v>6</v>
      </c>
      <c r="D3" s="108" t="s">
        <v>6</v>
      </c>
      <c r="E3" s="109"/>
      <c r="F3" s="109"/>
      <c r="G3" s="109"/>
      <c r="H3" s="109"/>
      <c r="I3" s="109"/>
      <c r="J3" s="109"/>
      <c r="K3" s="109"/>
      <c r="L3" s="109"/>
      <c r="M3" s="109"/>
      <c r="N3" s="110"/>
      <c r="O3" s="118" t="s">
        <v>5</v>
      </c>
      <c r="P3" s="119" t="s">
        <v>53</v>
      </c>
      <c r="Q3" s="118" t="s">
        <v>7</v>
      </c>
      <c r="R3" s="118"/>
      <c r="S3" s="135"/>
    </row>
    <row r="4" spans="1:25" ht="21" x14ac:dyDescent="0.2">
      <c r="A4" s="139"/>
      <c r="B4" s="117"/>
      <c r="C4" s="117"/>
      <c r="D4" s="53" t="s">
        <v>61</v>
      </c>
      <c r="E4" s="53" t="s">
        <v>54</v>
      </c>
      <c r="F4" s="53" t="s">
        <v>55</v>
      </c>
      <c r="G4" s="53" t="s">
        <v>56</v>
      </c>
      <c r="H4" s="53" t="s">
        <v>57</v>
      </c>
      <c r="I4" s="53" t="s">
        <v>58</v>
      </c>
      <c r="J4" s="53" t="s">
        <v>59</v>
      </c>
      <c r="K4" s="53" t="s">
        <v>60</v>
      </c>
      <c r="L4" s="53" t="s">
        <v>106</v>
      </c>
      <c r="M4" s="53" t="s">
        <v>107</v>
      </c>
      <c r="N4" s="53" t="s">
        <v>108</v>
      </c>
      <c r="O4" s="118"/>
      <c r="P4" s="120"/>
      <c r="Q4" s="63" t="s">
        <v>8</v>
      </c>
      <c r="R4" s="63" t="s">
        <v>9</v>
      </c>
      <c r="S4" s="75" t="s">
        <v>1</v>
      </c>
    </row>
    <row r="5" spans="1:25" ht="15.75" x14ac:dyDescent="0.2">
      <c r="A5" s="126">
        <v>929200</v>
      </c>
      <c r="B5" s="129">
        <f>VLOOKUP(A5,'[2]PTA DESL ALUM BP'!$B$10:$F$278,2,FALSE)</f>
        <v>570160</v>
      </c>
      <c r="C5" s="130"/>
      <c r="D5" s="70" t="s">
        <v>109</v>
      </c>
      <c r="E5" s="70" t="s">
        <v>110</v>
      </c>
      <c r="F5" s="70" t="s">
        <v>111</v>
      </c>
      <c r="G5" s="70" t="s">
        <v>112</v>
      </c>
      <c r="H5" s="70" t="s">
        <v>113</v>
      </c>
      <c r="I5" s="70" t="s">
        <v>114</v>
      </c>
      <c r="J5" s="70" t="s">
        <v>115</v>
      </c>
      <c r="K5" s="70" t="s">
        <v>116</v>
      </c>
      <c r="L5" s="70" t="s">
        <v>117</v>
      </c>
      <c r="M5" s="70" t="s">
        <v>118</v>
      </c>
      <c r="N5" s="70" t="s">
        <v>119</v>
      </c>
      <c r="O5" s="98" t="s">
        <v>409</v>
      </c>
      <c r="P5" s="71" t="s">
        <v>120</v>
      </c>
      <c r="Q5" s="98">
        <f>VLOOKUP(A5,'[2]PTA DESL ALUM BP'!$B$10:$F$278,4,FALSE)</f>
        <v>1800</v>
      </c>
      <c r="R5" s="98">
        <f>VLOOKUP(A5,'[2]PTA DESL ALUM BP'!$B$10:$F$278,5,FALSE)</f>
        <v>800</v>
      </c>
      <c r="S5" s="136">
        <v>45</v>
      </c>
    </row>
    <row r="6" spans="1:25" ht="15.75" x14ac:dyDescent="0.2">
      <c r="A6" s="127"/>
      <c r="B6" s="131"/>
      <c r="C6" s="132"/>
      <c r="D6" s="70" t="s">
        <v>121</v>
      </c>
      <c r="E6" s="70" t="s">
        <v>122</v>
      </c>
      <c r="F6" s="70" t="s">
        <v>123</v>
      </c>
      <c r="G6" s="70" t="s">
        <v>124</v>
      </c>
      <c r="H6" s="70" t="s">
        <v>125</v>
      </c>
      <c r="I6" s="70" t="s">
        <v>126</v>
      </c>
      <c r="J6" s="70" t="s">
        <v>127</v>
      </c>
      <c r="K6" s="70" t="s">
        <v>128</v>
      </c>
      <c r="L6" s="70" t="s">
        <v>129</v>
      </c>
      <c r="M6" s="70" t="s">
        <v>130</v>
      </c>
      <c r="N6" s="70" t="s">
        <v>131</v>
      </c>
      <c r="O6" s="99"/>
      <c r="P6" s="71" t="s">
        <v>132</v>
      </c>
      <c r="Q6" s="99"/>
      <c r="R6" s="99"/>
      <c r="S6" s="137"/>
    </row>
    <row r="7" spans="1:25" ht="15.75" x14ac:dyDescent="0.2">
      <c r="A7" s="127"/>
      <c r="B7" s="131"/>
      <c r="C7" s="132"/>
      <c r="D7" s="70" t="s">
        <v>133</v>
      </c>
      <c r="E7" s="70" t="s">
        <v>134</v>
      </c>
      <c r="F7" s="70" t="s">
        <v>135</v>
      </c>
      <c r="G7" s="70" t="s">
        <v>136</v>
      </c>
      <c r="H7" s="70" t="s">
        <v>137</v>
      </c>
      <c r="I7" s="70" t="s">
        <v>138</v>
      </c>
      <c r="J7" s="70" t="s">
        <v>139</v>
      </c>
      <c r="K7" s="70" t="s">
        <v>140</v>
      </c>
      <c r="L7" s="70" t="s">
        <v>141</v>
      </c>
      <c r="M7" s="70" t="s">
        <v>142</v>
      </c>
      <c r="N7" s="70" t="s">
        <v>143</v>
      </c>
      <c r="O7" s="99"/>
      <c r="P7" s="71" t="s">
        <v>144</v>
      </c>
      <c r="Q7" s="99"/>
      <c r="R7" s="99"/>
      <c r="S7" s="137"/>
    </row>
    <row r="8" spans="1:25" ht="15.75" x14ac:dyDescent="0.2">
      <c r="A8" s="127"/>
      <c r="B8" s="131"/>
      <c r="C8" s="132"/>
      <c r="D8" s="70" t="s">
        <v>145</v>
      </c>
      <c r="E8" s="70" t="s">
        <v>146</v>
      </c>
      <c r="F8" s="70" t="s">
        <v>147</v>
      </c>
      <c r="G8" s="70" t="s">
        <v>148</v>
      </c>
      <c r="H8" s="70" t="s">
        <v>149</v>
      </c>
      <c r="I8" s="70" t="s">
        <v>150</v>
      </c>
      <c r="J8" s="70" t="s">
        <v>151</v>
      </c>
      <c r="K8" s="70" t="s">
        <v>152</v>
      </c>
      <c r="L8" s="70" t="s">
        <v>153</v>
      </c>
      <c r="M8" s="70" t="s">
        <v>154</v>
      </c>
      <c r="N8" s="70" t="s">
        <v>155</v>
      </c>
      <c r="O8" s="99"/>
      <c r="P8" s="71" t="s">
        <v>156</v>
      </c>
      <c r="Q8" s="99"/>
      <c r="R8" s="99"/>
      <c r="S8" s="137"/>
    </row>
    <row r="9" spans="1:25" ht="15.75" x14ac:dyDescent="0.2">
      <c r="A9" s="127"/>
      <c r="B9" s="131"/>
      <c r="C9" s="132"/>
      <c r="D9" s="70" t="s">
        <v>157</v>
      </c>
      <c r="E9" s="70" t="s">
        <v>158</v>
      </c>
      <c r="F9" s="70" t="s">
        <v>159</v>
      </c>
      <c r="G9" s="70" t="s">
        <v>160</v>
      </c>
      <c r="H9" s="70" t="s">
        <v>161</v>
      </c>
      <c r="I9" s="70" t="s">
        <v>162</v>
      </c>
      <c r="J9" s="70" t="s">
        <v>163</v>
      </c>
      <c r="K9" s="70" t="s">
        <v>164</v>
      </c>
      <c r="L9" s="70" t="s">
        <v>165</v>
      </c>
      <c r="M9" s="70" t="s">
        <v>166</v>
      </c>
      <c r="N9" s="70" t="s">
        <v>167</v>
      </c>
      <c r="O9" s="99"/>
      <c r="P9" s="71" t="s">
        <v>168</v>
      </c>
      <c r="Q9" s="99"/>
      <c r="R9" s="99"/>
      <c r="S9" s="137"/>
    </row>
    <row r="10" spans="1:25" ht="15.75" x14ac:dyDescent="0.2">
      <c r="A10" s="127"/>
      <c r="B10" s="131"/>
      <c r="C10" s="132"/>
      <c r="D10" s="70" t="s">
        <v>169</v>
      </c>
      <c r="E10" s="70" t="s">
        <v>170</v>
      </c>
      <c r="F10" s="70" t="s">
        <v>171</v>
      </c>
      <c r="G10" s="70" t="s">
        <v>172</v>
      </c>
      <c r="H10" s="70" t="s">
        <v>173</v>
      </c>
      <c r="I10" s="70" t="s">
        <v>174</v>
      </c>
      <c r="J10" s="70" t="s">
        <v>175</v>
      </c>
      <c r="K10" s="70" t="s">
        <v>176</v>
      </c>
      <c r="L10" s="70" t="s">
        <v>177</v>
      </c>
      <c r="M10" s="70" t="s">
        <v>178</v>
      </c>
      <c r="N10" s="70" t="s">
        <v>179</v>
      </c>
      <c r="O10" s="99"/>
      <c r="P10" s="71" t="s">
        <v>180</v>
      </c>
      <c r="Q10" s="99"/>
      <c r="R10" s="99"/>
      <c r="S10" s="137"/>
    </row>
    <row r="11" spans="1:25" ht="15.75" x14ac:dyDescent="0.2">
      <c r="A11" s="127"/>
      <c r="B11" s="131"/>
      <c r="C11" s="132"/>
      <c r="D11" s="70">
        <v>777500307</v>
      </c>
      <c r="E11" s="70" t="s">
        <v>14</v>
      </c>
      <c r="F11" s="70" t="s">
        <v>14</v>
      </c>
      <c r="G11" s="70" t="s">
        <v>14</v>
      </c>
      <c r="H11" s="70" t="s">
        <v>14</v>
      </c>
      <c r="I11" s="70" t="s">
        <v>14</v>
      </c>
      <c r="J11" s="70" t="s">
        <v>14</v>
      </c>
      <c r="K11" s="70" t="s">
        <v>14</v>
      </c>
      <c r="L11" s="70" t="s">
        <v>14</v>
      </c>
      <c r="M11" s="70" t="s">
        <v>14</v>
      </c>
      <c r="N11" s="70" t="s">
        <v>14</v>
      </c>
      <c r="O11" s="99"/>
      <c r="P11" s="71" t="s">
        <v>181</v>
      </c>
      <c r="Q11" s="99"/>
      <c r="R11" s="99"/>
      <c r="S11" s="137"/>
    </row>
    <row r="12" spans="1:25" ht="15.75" x14ac:dyDescent="0.2">
      <c r="A12" s="127"/>
      <c r="B12" s="131"/>
      <c r="C12" s="132"/>
      <c r="D12" s="70" t="s">
        <v>14</v>
      </c>
      <c r="E12" s="70" t="s">
        <v>14</v>
      </c>
      <c r="F12" s="70" t="s">
        <v>14</v>
      </c>
      <c r="G12" s="70" t="s">
        <v>14</v>
      </c>
      <c r="H12" s="70" t="s">
        <v>14</v>
      </c>
      <c r="I12" s="70" t="s">
        <v>14</v>
      </c>
      <c r="J12" s="70" t="s">
        <v>14</v>
      </c>
      <c r="K12" s="70" t="s">
        <v>14</v>
      </c>
      <c r="L12" s="70" t="s">
        <v>14</v>
      </c>
      <c r="M12" s="70" t="s">
        <v>14</v>
      </c>
      <c r="N12" s="70" t="s">
        <v>14</v>
      </c>
      <c r="O12" s="99"/>
      <c r="P12" s="71" t="s">
        <v>182</v>
      </c>
      <c r="Q12" s="99"/>
      <c r="R12" s="99"/>
      <c r="S12" s="137"/>
    </row>
    <row r="13" spans="1:25" ht="15.75" x14ac:dyDescent="0.2">
      <c r="A13" s="127"/>
      <c r="B13" s="131"/>
      <c r="C13" s="132"/>
      <c r="D13" s="70" t="s">
        <v>14</v>
      </c>
      <c r="E13" s="70" t="s">
        <v>14</v>
      </c>
      <c r="F13" s="70" t="s">
        <v>14</v>
      </c>
      <c r="G13" s="70" t="s">
        <v>14</v>
      </c>
      <c r="H13" s="70" t="s">
        <v>14</v>
      </c>
      <c r="I13" s="70" t="s">
        <v>14</v>
      </c>
      <c r="J13" s="70" t="s">
        <v>14</v>
      </c>
      <c r="K13" s="70" t="s">
        <v>14</v>
      </c>
      <c r="L13" s="70" t="s">
        <v>14</v>
      </c>
      <c r="M13" s="70" t="s">
        <v>14</v>
      </c>
      <c r="N13" s="70" t="s">
        <v>14</v>
      </c>
      <c r="O13" s="99"/>
      <c r="P13" s="71" t="s">
        <v>183</v>
      </c>
      <c r="Q13" s="99"/>
      <c r="R13" s="99"/>
      <c r="S13" s="137"/>
    </row>
    <row r="14" spans="1:25" ht="15.75" x14ac:dyDescent="0.2">
      <c r="A14" s="127"/>
      <c r="B14" s="131"/>
      <c r="C14" s="132"/>
      <c r="D14" s="70" t="s">
        <v>184</v>
      </c>
      <c r="E14" s="70" t="s">
        <v>185</v>
      </c>
      <c r="F14" s="70" t="s">
        <v>186</v>
      </c>
      <c r="G14" s="70" t="s">
        <v>187</v>
      </c>
      <c r="H14" s="70" t="s">
        <v>188</v>
      </c>
      <c r="I14" s="70" t="s">
        <v>189</v>
      </c>
      <c r="J14" s="70" t="s">
        <v>190</v>
      </c>
      <c r="K14" s="70" t="s">
        <v>191</v>
      </c>
      <c r="L14" s="70" t="s">
        <v>192</v>
      </c>
      <c r="M14" s="70" t="s">
        <v>193</v>
      </c>
      <c r="N14" s="70" t="s">
        <v>194</v>
      </c>
      <c r="O14" s="99"/>
      <c r="P14" s="71" t="s">
        <v>195</v>
      </c>
      <c r="Q14" s="99"/>
      <c r="R14" s="99"/>
      <c r="S14" s="137"/>
    </row>
    <row r="15" spans="1:25" ht="15.75" x14ac:dyDescent="0.2">
      <c r="A15" s="127"/>
      <c r="B15" s="131"/>
      <c r="C15" s="132"/>
      <c r="D15" s="70" t="s">
        <v>196</v>
      </c>
      <c r="E15" s="70" t="s">
        <v>197</v>
      </c>
      <c r="F15" s="70" t="s">
        <v>198</v>
      </c>
      <c r="G15" s="70" t="s">
        <v>199</v>
      </c>
      <c r="H15" s="70" t="s">
        <v>200</v>
      </c>
      <c r="I15" s="70" t="s">
        <v>201</v>
      </c>
      <c r="J15" s="70" t="s">
        <v>202</v>
      </c>
      <c r="K15" s="70" t="s">
        <v>203</v>
      </c>
      <c r="L15" s="70" t="s">
        <v>204</v>
      </c>
      <c r="M15" s="70" t="s">
        <v>205</v>
      </c>
      <c r="N15" s="70" t="s">
        <v>206</v>
      </c>
      <c r="O15" s="99"/>
      <c r="P15" s="71" t="s">
        <v>207</v>
      </c>
      <c r="Q15" s="99"/>
      <c r="R15" s="99"/>
      <c r="S15" s="137"/>
    </row>
    <row r="16" spans="1:25" ht="15.75" x14ac:dyDescent="0.2">
      <c r="A16" s="127"/>
      <c r="B16" s="131"/>
      <c r="C16" s="132"/>
      <c r="D16" s="70" t="s">
        <v>208</v>
      </c>
      <c r="E16" s="70" t="s">
        <v>209</v>
      </c>
      <c r="F16" s="70" t="s">
        <v>210</v>
      </c>
      <c r="G16" s="70" t="s">
        <v>211</v>
      </c>
      <c r="H16" s="70" t="s">
        <v>212</v>
      </c>
      <c r="I16" s="70" t="s">
        <v>213</v>
      </c>
      <c r="J16" s="70" t="s">
        <v>214</v>
      </c>
      <c r="K16" s="70" t="s">
        <v>215</v>
      </c>
      <c r="L16" s="70" t="s">
        <v>216</v>
      </c>
      <c r="M16" s="70" t="s">
        <v>217</v>
      </c>
      <c r="N16" s="70" t="s">
        <v>218</v>
      </c>
      <c r="O16" s="99"/>
      <c r="P16" s="71" t="s">
        <v>219</v>
      </c>
      <c r="Q16" s="99"/>
      <c r="R16" s="99"/>
      <c r="S16" s="137"/>
    </row>
    <row r="17" spans="1:19" ht="15.75" x14ac:dyDescent="0.2">
      <c r="A17" s="127"/>
      <c r="B17" s="131"/>
      <c r="C17" s="132"/>
      <c r="D17" s="70" t="s">
        <v>220</v>
      </c>
      <c r="E17" s="70" t="s">
        <v>221</v>
      </c>
      <c r="F17" s="70" t="s">
        <v>222</v>
      </c>
      <c r="G17" s="70" t="s">
        <v>223</v>
      </c>
      <c r="H17" s="70" t="s">
        <v>224</v>
      </c>
      <c r="I17" s="70" t="s">
        <v>225</v>
      </c>
      <c r="J17" s="70" t="s">
        <v>226</v>
      </c>
      <c r="K17" s="70" t="s">
        <v>227</v>
      </c>
      <c r="L17" s="70" t="s">
        <v>228</v>
      </c>
      <c r="M17" s="70" t="s">
        <v>229</v>
      </c>
      <c r="N17" s="70" t="s">
        <v>230</v>
      </c>
      <c r="O17" s="99"/>
      <c r="P17" s="71" t="s">
        <v>231</v>
      </c>
      <c r="Q17" s="99"/>
      <c r="R17" s="99"/>
      <c r="S17" s="137"/>
    </row>
    <row r="18" spans="1:19" ht="15.75" x14ac:dyDescent="0.2">
      <c r="A18" s="127"/>
      <c r="B18" s="131"/>
      <c r="C18" s="132"/>
      <c r="D18" s="70" t="s">
        <v>232</v>
      </c>
      <c r="E18" s="70" t="s">
        <v>233</v>
      </c>
      <c r="F18" s="70" t="s">
        <v>234</v>
      </c>
      <c r="G18" s="70" t="s">
        <v>235</v>
      </c>
      <c r="H18" s="70" t="s">
        <v>236</v>
      </c>
      <c r="I18" s="70" t="s">
        <v>237</v>
      </c>
      <c r="J18" s="70" t="s">
        <v>238</v>
      </c>
      <c r="K18" s="70" t="s">
        <v>239</v>
      </c>
      <c r="L18" s="70" t="s">
        <v>240</v>
      </c>
      <c r="M18" s="70" t="s">
        <v>241</v>
      </c>
      <c r="N18" s="70" t="s">
        <v>242</v>
      </c>
      <c r="O18" s="99"/>
      <c r="P18" s="71" t="s">
        <v>243</v>
      </c>
      <c r="Q18" s="99"/>
      <c r="R18" s="99"/>
      <c r="S18" s="137"/>
    </row>
    <row r="19" spans="1:19" ht="15.75" x14ac:dyDescent="0.2">
      <c r="A19" s="127"/>
      <c r="B19" s="131"/>
      <c r="C19" s="132"/>
      <c r="D19" s="70" t="s">
        <v>244</v>
      </c>
      <c r="E19" s="70" t="s">
        <v>245</v>
      </c>
      <c r="F19" s="70" t="s">
        <v>246</v>
      </c>
      <c r="G19" s="70" t="s">
        <v>247</v>
      </c>
      <c r="H19" s="70" t="s">
        <v>248</v>
      </c>
      <c r="I19" s="70" t="s">
        <v>249</v>
      </c>
      <c r="J19" s="70" t="s">
        <v>250</v>
      </c>
      <c r="K19" s="70" t="s">
        <v>251</v>
      </c>
      <c r="L19" s="70" t="s">
        <v>252</v>
      </c>
      <c r="M19" s="70" t="s">
        <v>253</v>
      </c>
      <c r="N19" s="70" t="s">
        <v>254</v>
      </c>
      <c r="O19" s="99"/>
      <c r="P19" s="71" t="s">
        <v>255</v>
      </c>
      <c r="Q19" s="99"/>
      <c r="R19" s="99"/>
      <c r="S19" s="137"/>
    </row>
    <row r="20" spans="1:19" ht="15.75" x14ac:dyDescent="0.2">
      <c r="A20" s="127"/>
      <c r="B20" s="131"/>
      <c r="C20" s="132"/>
      <c r="D20" s="70" t="s">
        <v>256</v>
      </c>
      <c r="E20" s="70" t="s">
        <v>257</v>
      </c>
      <c r="F20" s="70" t="s">
        <v>258</v>
      </c>
      <c r="G20" s="70" t="s">
        <v>259</v>
      </c>
      <c r="H20" s="70" t="s">
        <v>260</v>
      </c>
      <c r="I20" s="70" t="s">
        <v>261</v>
      </c>
      <c r="J20" s="70" t="s">
        <v>262</v>
      </c>
      <c r="K20" s="70" t="s">
        <v>263</v>
      </c>
      <c r="L20" s="70" t="s">
        <v>264</v>
      </c>
      <c r="M20" s="70" t="s">
        <v>265</v>
      </c>
      <c r="N20" s="70" t="s">
        <v>266</v>
      </c>
      <c r="O20" s="99"/>
      <c r="P20" s="71" t="s">
        <v>267</v>
      </c>
      <c r="Q20" s="99"/>
      <c r="R20" s="99"/>
      <c r="S20" s="137"/>
    </row>
    <row r="21" spans="1:19" ht="15.75" x14ac:dyDescent="0.2">
      <c r="A21" s="127"/>
      <c r="B21" s="131"/>
      <c r="C21" s="132"/>
      <c r="D21" s="70" t="s">
        <v>268</v>
      </c>
      <c r="E21" s="70" t="s">
        <v>269</v>
      </c>
      <c r="F21" s="70" t="s">
        <v>270</v>
      </c>
      <c r="G21" s="70" t="s">
        <v>271</v>
      </c>
      <c r="H21" s="70" t="s">
        <v>272</v>
      </c>
      <c r="I21" s="70" t="s">
        <v>273</v>
      </c>
      <c r="J21" s="70" t="s">
        <v>274</v>
      </c>
      <c r="K21" s="70" t="s">
        <v>275</v>
      </c>
      <c r="L21" s="70" t="s">
        <v>276</v>
      </c>
      <c r="M21" s="70" t="s">
        <v>277</v>
      </c>
      <c r="N21" s="70" t="s">
        <v>278</v>
      </c>
      <c r="O21" s="99"/>
      <c r="P21" s="71" t="s">
        <v>279</v>
      </c>
      <c r="Q21" s="99"/>
      <c r="R21" s="99"/>
      <c r="S21" s="137"/>
    </row>
    <row r="22" spans="1:19" ht="15.75" x14ac:dyDescent="0.2">
      <c r="A22" s="127"/>
      <c r="B22" s="131"/>
      <c r="C22" s="132"/>
      <c r="D22" s="70" t="s">
        <v>14</v>
      </c>
      <c r="E22" s="70" t="s">
        <v>14</v>
      </c>
      <c r="F22" s="70" t="s">
        <v>14</v>
      </c>
      <c r="G22" s="70" t="s">
        <v>14</v>
      </c>
      <c r="H22" s="70" t="s">
        <v>14</v>
      </c>
      <c r="I22" s="70" t="s">
        <v>14</v>
      </c>
      <c r="J22" s="70" t="s">
        <v>14</v>
      </c>
      <c r="K22" s="70" t="s">
        <v>14</v>
      </c>
      <c r="L22" s="70" t="s">
        <v>14</v>
      </c>
      <c r="M22" s="70" t="s">
        <v>14</v>
      </c>
      <c r="N22" s="70" t="s">
        <v>14</v>
      </c>
      <c r="O22" s="99"/>
      <c r="P22" s="71" t="s">
        <v>280</v>
      </c>
      <c r="Q22" s="99"/>
      <c r="R22" s="99"/>
      <c r="S22" s="137"/>
    </row>
    <row r="23" spans="1:19" ht="15.75" x14ac:dyDescent="0.2">
      <c r="A23" s="127"/>
      <c r="B23" s="131"/>
      <c r="C23" s="132"/>
      <c r="D23" s="70" t="s">
        <v>281</v>
      </c>
      <c r="E23" s="70" t="s">
        <v>282</v>
      </c>
      <c r="F23" s="70" t="s">
        <v>283</v>
      </c>
      <c r="G23" s="70" t="s">
        <v>284</v>
      </c>
      <c r="H23" s="70" t="s">
        <v>285</v>
      </c>
      <c r="I23" s="70" t="s">
        <v>286</v>
      </c>
      <c r="J23" s="70" t="s">
        <v>287</v>
      </c>
      <c r="K23" s="70" t="s">
        <v>288</v>
      </c>
      <c r="L23" s="70" t="s">
        <v>289</v>
      </c>
      <c r="M23" s="70" t="s">
        <v>290</v>
      </c>
      <c r="N23" s="70" t="s">
        <v>291</v>
      </c>
      <c r="O23" s="99"/>
      <c r="P23" s="71" t="s">
        <v>292</v>
      </c>
      <c r="Q23" s="99"/>
      <c r="R23" s="99"/>
      <c r="S23" s="137"/>
    </row>
    <row r="24" spans="1:19" ht="15.75" x14ac:dyDescent="0.2">
      <c r="A24" s="127"/>
      <c r="B24" s="131"/>
      <c r="C24" s="132"/>
      <c r="D24" s="70" t="s">
        <v>293</v>
      </c>
      <c r="E24" s="70" t="s">
        <v>294</v>
      </c>
      <c r="F24" s="70" t="s">
        <v>295</v>
      </c>
      <c r="G24" s="70" t="s">
        <v>296</v>
      </c>
      <c r="H24" s="70" t="s">
        <v>297</v>
      </c>
      <c r="I24" s="70" t="s">
        <v>298</v>
      </c>
      <c r="J24" s="70" t="s">
        <v>299</v>
      </c>
      <c r="K24" s="70" t="s">
        <v>300</v>
      </c>
      <c r="L24" s="70" t="s">
        <v>301</v>
      </c>
      <c r="M24" s="70" t="s">
        <v>302</v>
      </c>
      <c r="N24" s="70" t="s">
        <v>303</v>
      </c>
      <c r="O24" s="99"/>
      <c r="P24" s="71" t="s">
        <v>304</v>
      </c>
      <c r="Q24" s="99"/>
      <c r="R24" s="99"/>
      <c r="S24" s="137"/>
    </row>
    <row r="25" spans="1:19" ht="15.75" x14ac:dyDescent="0.2">
      <c r="A25" s="127"/>
      <c r="B25" s="131"/>
      <c r="C25" s="132"/>
      <c r="D25" s="70" t="s">
        <v>305</v>
      </c>
      <c r="E25" s="70" t="s">
        <v>306</v>
      </c>
      <c r="F25" s="70" t="s">
        <v>307</v>
      </c>
      <c r="G25" s="70" t="s">
        <v>308</v>
      </c>
      <c r="H25" s="70" t="s">
        <v>309</v>
      </c>
      <c r="I25" s="70" t="s">
        <v>310</v>
      </c>
      <c r="J25" s="70" t="s">
        <v>311</v>
      </c>
      <c r="K25" s="70" t="s">
        <v>312</v>
      </c>
      <c r="L25" s="70" t="s">
        <v>313</v>
      </c>
      <c r="M25" s="70" t="s">
        <v>314</v>
      </c>
      <c r="N25" s="70" t="s">
        <v>315</v>
      </c>
      <c r="O25" s="99"/>
      <c r="P25" s="71" t="s">
        <v>316</v>
      </c>
      <c r="Q25" s="99"/>
      <c r="R25" s="99"/>
      <c r="S25" s="137"/>
    </row>
    <row r="26" spans="1:19" ht="15.75" x14ac:dyDescent="0.2">
      <c r="A26" s="127"/>
      <c r="B26" s="131"/>
      <c r="C26" s="132"/>
      <c r="D26" s="70" t="s">
        <v>317</v>
      </c>
      <c r="E26" s="70" t="s">
        <v>318</v>
      </c>
      <c r="F26" s="70" t="s">
        <v>319</v>
      </c>
      <c r="G26" s="70" t="s">
        <v>320</v>
      </c>
      <c r="H26" s="70" t="s">
        <v>321</v>
      </c>
      <c r="I26" s="70" t="s">
        <v>322</v>
      </c>
      <c r="J26" s="70" t="s">
        <v>323</v>
      </c>
      <c r="K26" s="70" t="s">
        <v>324</v>
      </c>
      <c r="L26" s="70" t="s">
        <v>325</v>
      </c>
      <c r="M26" s="70" t="s">
        <v>326</v>
      </c>
      <c r="N26" s="70" t="s">
        <v>327</v>
      </c>
      <c r="O26" s="99"/>
      <c r="P26" s="71" t="s">
        <v>328</v>
      </c>
      <c r="Q26" s="99"/>
      <c r="R26" s="99"/>
      <c r="S26" s="137"/>
    </row>
    <row r="27" spans="1:19" ht="15.75" x14ac:dyDescent="0.2">
      <c r="A27" s="127"/>
      <c r="B27" s="131"/>
      <c r="C27" s="132"/>
      <c r="D27" s="70" t="s">
        <v>329</v>
      </c>
      <c r="E27" s="70" t="s">
        <v>330</v>
      </c>
      <c r="F27" s="70" t="s">
        <v>331</v>
      </c>
      <c r="G27" s="70" t="s">
        <v>332</v>
      </c>
      <c r="H27" s="70" t="s">
        <v>333</v>
      </c>
      <c r="I27" s="70" t="s">
        <v>334</v>
      </c>
      <c r="J27" s="70" t="s">
        <v>335</v>
      </c>
      <c r="K27" s="70" t="s">
        <v>336</v>
      </c>
      <c r="L27" s="70" t="s">
        <v>337</v>
      </c>
      <c r="M27" s="70" t="s">
        <v>338</v>
      </c>
      <c r="N27" s="70" t="s">
        <v>339</v>
      </c>
      <c r="O27" s="99"/>
      <c r="P27" s="71" t="s">
        <v>340</v>
      </c>
      <c r="Q27" s="99"/>
      <c r="R27" s="99"/>
      <c r="S27" s="137"/>
    </row>
    <row r="28" spans="1:19" ht="15.75" x14ac:dyDescent="0.2">
      <c r="A28" s="127"/>
      <c r="B28" s="131"/>
      <c r="C28" s="132"/>
      <c r="D28" s="70" t="s">
        <v>14</v>
      </c>
      <c r="E28" s="70" t="s">
        <v>14</v>
      </c>
      <c r="F28" s="70" t="s">
        <v>14</v>
      </c>
      <c r="G28" s="70" t="s">
        <v>14</v>
      </c>
      <c r="H28" s="70" t="s">
        <v>14</v>
      </c>
      <c r="I28" s="70" t="s">
        <v>14</v>
      </c>
      <c r="J28" s="70" t="s">
        <v>14</v>
      </c>
      <c r="K28" s="70" t="s">
        <v>14</v>
      </c>
      <c r="L28" s="70" t="s">
        <v>14</v>
      </c>
      <c r="M28" s="70" t="s">
        <v>14</v>
      </c>
      <c r="N28" s="70" t="s">
        <v>14</v>
      </c>
      <c r="O28" s="99"/>
      <c r="P28" s="71" t="s">
        <v>341</v>
      </c>
      <c r="Q28" s="99"/>
      <c r="R28" s="99"/>
      <c r="S28" s="137"/>
    </row>
    <row r="29" spans="1:19" ht="15.75" x14ac:dyDescent="0.2">
      <c r="A29" s="127"/>
      <c r="B29" s="131"/>
      <c r="C29" s="132"/>
      <c r="D29" s="70" t="s">
        <v>342</v>
      </c>
      <c r="E29" s="70" t="s">
        <v>343</v>
      </c>
      <c r="F29" s="70" t="s">
        <v>344</v>
      </c>
      <c r="G29" s="70" t="s">
        <v>345</v>
      </c>
      <c r="H29" s="70" t="s">
        <v>346</v>
      </c>
      <c r="I29" s="70" t="s">
        <v>347</v>
      </c>
      <c r="J29" s="70" t="s">
        <v>348</v>
      </c>
      <c r="K29" s="70" t="s">
        <v>349</v>
      </c>
      <c r="L29" s="70" t="s">
        <v>350</v>
      </c>
      <c r="M29" s="70" t="s">
        <v>351</v>
      </c>
      <c r="N29" s="70" t="s">
        <v>352</v>
      </c>
      <c r="O29" s="99"/>
      <c r="P29" s="71" t="s">
        <v>353</v>
      </c>
      <c r="Q29" s="99"/>
      <c r="R29" s="99"/>
      <c r="S29" s="137"/>
    </row>
    <row r="30" spans="1:19" ht="15.75" x14ac:dyDescent="0.2">
      <c r="A30" s="127"/>
      <c r="B30" s="131"/>
      <c r="C30" s="132"/>
      <c r="D30" s="70" t="s">
        <v>14</v>
      </c>
      <c r="E30" s="70" t="s">
        <v>14</v>
      </c>
      <c r="F30" s="70" t="s">
        <v>14</v>
      </c>
      <c r="G30" s="70" t="s">
        <v>14</v>
      </c>
      <c r="H30" s="70" t="s">
        <v>14</v>
      </c>
      <c r="I30" s="70" t="s">
        <v>14</v>
      </c>
      <c r="J30" s="70" t="s">
        <v>14</v>
      </c>
      <c r="K30" s="70" t="s">
        <v>14</v>
      </c>
      <c r="L30" s="70" t="s">
        <v>14</v>
      </c>
      <c r="M30" s="70" t="s">
        <v>14</v>
      </c>
      <c r="N30" s="70" t="s">
        <v>14</v>
      </c>
      <c r="O30" s="99"/>
      <c r="P30" s="71" t="s">
        <v>354</v>
      </c>
      <c r="Q30" s="99"/>
      <c r="R30" s="99"/>
      <c r="S30" s="137"/>
    </row>
    <row r="31" spans="1:19" ht="15.75" x14ac:dyDescent="0.2">
      <c r="A31" s="127"/>
      <c r="B31" s="131"/>
      <c r="C31" s="132"/>
      <c r="D31" s="70" t="s">
        <v>14</v>
      </c>
      <c r="E31" s="70" t="s">
        <v>14</v>
      </c>
      <c r="F31" s="70" t="s">
        <v>14</v>
      </c>
      <c r="G31" s="70" t="s">
        <v>14</v>
      </c>
      <c r="H31" s="70" t="s">
        <v>14</v>
      </c>
      <c r="I31" s="70" t="s">
        <v>14</v>
      </c>
      <c r="J31" s="70" t="s">
        <v>14</v>
      </c>
      <c r="K31" s="70" t="s">
        <v>14</v>
      </c>
      <c r="L31" s="70" t="s">
        <v>14</v>
      </c>
      <c r="M31" s="70" t="s">
        <v>14</v>
      </c>
      <c r="N31" s="70" t="s">
        <v>14</v>
      </c>
      <c r="O31" s="99"/>
      <c r="P31" s="71" t="s">
        <v>355</v>
      </c>
      <c r="Q31" s="99"/>
      <c r="R31" s="99"/>
      <c r="S31" s="137"/>
    </row>
    <row r="32" spans="1:19" ht="15.75" x14ac:dyDescent="0.2">
      <c r="A32" s="127"/>
      <c r="B32" s="131"/>
      <c r="C32" s="132"/>
      <c r="D32" s="70" t="s">
        <v>14</v>
      </c>
      <c r="E32" s="70" t="s">
        <v>14</v>
      </c>
      <c r="F32" s="70" t="s">
        <v>14</v>
      </c>
      <c r="G32" s="70" t="s">
        <v>14</v>
      </c>
      <c r="H32" s="70" t="s">
        <v>14</v>
      </c>
      <c r="I32" s="70" t="s">
        <v>14</v>
      </c>
      <c r="J32" s="70" t="s">
        <v>14</v>
      </c>
      <c r="K32" s="70" t="s">
        <v>14</v>
      </c>
      <c r="L32" s="70" t="s">
        <v>14</v>
      </c>
      <c r="M32" s="70" t="s">
        <v>14</v>
      </c>
      <c r="N32" s="70" t="s">
        <v>14</v>
      </c>
      <c r="O32" s="99"/>
      <c r="P32" s="71" t="s">
        <v>356</v>
      </c>
      <c r="Q32" s="99"/>
      <c r="R32" s="99"/>
      <c r="S32" s="137"/>
    </row>
    <row r="33" spans="1:20" ht="15.75" x14ac:dyDescent="0.2">
      <c r="A33" s="127"/>
      <c r="B33" s="131"/>
      <c r="C33" s="132"/>
      <c r="D33" s="70" t="s">
        <v>357</v>
      </c>
      <c r="E33" s="70" t="s">
        <v>358</v>
      </c>
      <c r="F33" s="70" t="s">
        <v>359</v>
      </c>
      <c r="G33" s="70" t="s">
        <v>360</v>
      </c>
      <c r="H33" s="70" t="s">
        <v>361</v>
      </c>
      <c r="I33" s="70" t="s">
        <v>362</v>
      </c>
      <c r="J33" s="70" t="s">
        <v>363</v>
      </c>
      <c r="K33" s="70" t="s">
        <v>364</v>
      </c>
      <c r="L33" s="70" t="s">
        <v>365</v>
      </c>
      <c r="M33" s="70" t="s">
        <v>366</v>
      </c>
      <c r="N33" s="70" t="s">
        <v>367</v>
      </c>
      <c r="O33" s="99"/>
      <c r="P33" s="71" t="s">
        <v>368</v>
      </c>
      <c r="Q33" s="99"/>
      <c r="R33" s="99"/>
      <c r="S33" s="137"/>
    </row>
    <row r="34" spans="1:20" ht="15.75" x14ac:dyDescent="0.2">
      <c r="A34" s="127"/>
      <c r="B34" s="131"/>
      <c r="C34" s="132"/>
      <c r="D34" s="70" t="s">
        <v>369</v>
      </c>
      <c r="E34" s="70" t="s">
        <v>370</v>
      </c>
      <c r="F34" s="70" t="s">
        <v>371</v>
      </c>
      <c r="G34" s="70" t="s">
        <v>372</v>
      </c>
      <c r="H34" s="70" t="s">
        <v>373</v>
      </c>
      <c r="I34" s="70" t="s">
        <v>374</v>
      </c>
      <c r="J34" s="70" t="s">
        <v>375</v>
      </c>
      <c r="K34" s="70" t="s">
        <v>376</v>
      </c>
      <c r="L34" s="70" t="s">
        <v>377</v>
      </c>
      <c r="M34" s="70" t="s">
        <v>378</v>
      </c>
      <c r="N34" s="70" t="s">
        <v>379</v>
      </c>
      <c r="O34" s="99"/>
      <c r="P34" s="71" t="s">
        <v>380</v>
      </c>
      <c r="Q34" s="99"/>
      <c r="R34" s="99"/>
      <c r="S34" s="137"/>
    </row>
    <row r="35" spans="1:20" ht="15.75" x14ac:dyDescent="0.2">
      <c r="A35" s="128"/>
      <c r="B35" s="133"/>
      <c r="C35" s="134"/>
      <c r="D35" s="70" t="s">
        <v>381</v>
      </c>
      <c r="E35" s="70" t="s">
        <v>382</v>
      </c>
      <c r="F35" s="70" t="s">
        <v>383</v>
      </c>
      <c r="G35" s="70" t="s">
        <v>384</v>
      </c>
      <c r="H35" s="70" t="s">
        <v>385</v>
      </c>
      <c r="I35" s="70" t="s">
        <v>386</v>
      </c>
      <c r="J35" s="70" t="s">
        <v>387</v>
      </c>
      <c r="K35" s="70" t="s">
        <v>388</v>
      </c>
      <c r="L35" s="70" t="s">
        <v>389</v>
      </c>
      <c r="M35" s="70" t="s">
        <v>390</v>
      </c>
      <c r="N35" s="70" t="s">
        <v>391</v>
      </c>
      <c r="O35" s="100"/>
      <c r="P35" s="71" t="s">
        <v>392</v>
      </c>
      <c r="Q35" s="100"/>
      <c r="R35" s="100"/>
      <c r="S35" s="138"/>
    </row>
    <row r="36" spans="1:20" ht="19.5" x14ac:dyDescent="0.2">
      <c r="A36" s="104" t="s">
        <v>393</v>
      </c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6"/>
    </row>
    <row r="37" spans="1:20" x14ac:dyDescent="0.2">
      <c r="A37" s="140" t="s">
        <v>15</v>
      </c>
      <c r="B37" s="107" t="s">
        <v>4</v>
      </c>
      <c r="C37" s="107" t="s">
        <v>13</v>
      </c>
      <c r="D37" s="108" t="s">
        <v>6</v>
      </c>
      <c r="E37" s="109"/>
      <c r="F37" s="109"/>
      <c r="G37" s="109"/>
      <c r="H37" s="109"/>
      <c r="I37" s="109"/>
      <c r="J37" s="109"/>
      <c r="K37" s="109"/>
      <c r="L37" s="109"/>
      <c r="M37" s="109"/>
      <c r="N37" s="110"/>
      <c r="O37" s="111" t="s">
        <v>5</v>
      </c>
      <c r="P37" s="113" t="s">
        <v>10</v>
      </c>
      <c r="Q37" s="113" t="s">
        <v>11</v>
      </c>
      <c r="R37" s="113"/>
      <c r="S37" s="125"/>
    </row>
    <row r="38" spans="1:20" ht="21" x14ac:dyDescent="0.2">
      <c r="A38" s="140"/>
      <c r="B38" s="107"/>
      <c r="C38" s="107"/>
      <c r="D38" s="53" t="s">
        <v>61</v>
      </c>
      <c r="E38" s="53" t="s">
        <v>54</v>
      </c>
      <c r="F38" s="53" t="s">
        <v>55</v>
      </c>
      <c r="G38" s="53" t="s">
        <v>56</v>
      </c>
      <c r="H38" s="53" t="s">
        <v>57</v>
      </c>
      <c r="I38" s="53" t="s">
        <v>58</v>
      </c>
      <c r="J38" s="53" t="s">
        <v>59</v>
      </c>
      <c r="K38" s="53" t="s">
        <v>60</v>
      </c>
      <c r="L38" s="53" t="s">
        <v>106</v>
      </c>
      <c r="M38" s="53" t="s">
        <v>107</v>
      </c>
      <c r="N38" s="53" t="s">
        <v>108</v>
      </c>
      <c r="O38" s="112"/>
      <c r="P38" s="113"/>
      <c r="Q38" s="66" t="s">
        <v>0</v>
      </c>
      <c r="R38" s="66" t="s">
        <v>9</v>
      </c>
      <c r="S38" s="67" t="s">
        <v>1</v>
      </c>
    </row>
    <row r="39" spans="1:20" ht="15" x14ac:dyDescent="0.2">
      <c r="A39" s="76">
        <v>598046</v>
      </c>
      <c r="B39" s="64"/>
      <c r="C39" s="64"/>
      <c r="D39" s="69">
        <v>3399</v>
      </c>
      <c r="E39" s="64">
        <v>3301</v>
      </c>
      <c r="F39" s="64">
        <v>3302</v>
      </c>
      <c r="G39" s="64">
        <v>3303</v>
      </c>
      <c r="H39" s="64">
        <v>3304</v>
      </c>
      <c r="I39" s="64">
        <v>3305</v>
      </c>
      <c r="J39" s="64">
        <v>3306</v>
      </c>
      <c r="K39" s="64">
        <v>3307</v>
      </c>
      <c r="L39" s="64">
        <v>3308</v>
      </c>
      <c r="M39" s="64">
        <v>3309</v>
      </c>
      <c r="N39" s="64">
        <v>3310</v>
      </c>
      <c r="O39" s="55" t="str">
        <f>VLOOKUP(A39,[2]PEÇAS!$A$15:$Q$150,14,FALSE)</f>
        <v>CABECEIRA SUP PTA DESL ANTARES 789X36X45MM + COR</v>
      </c>
      <c r="P39" s="98">
        <v>1</v>
      </c>
      <c r="Q39" s="98">
        <f>VLOOKUP(A39,[2]PEÇAS!$A$15:$Q$150,15,FALSE)</f>
        <v>789</v>
      </c>
      <c r="R39" s="98">
        <f>VLOOKUP(A39,[2]PEÇAS!$A$15:$Q$150,16,FALSE)</f>
        <v>36</v>
      </c>
      <c r="S39" s="136">
        <f>VLOOKUP(A39,[2]PEÇAS!$A$15:$Q$150,17,FALSE)</f>
        <v>45</v>
      </c>
    </row>
    <row r="40" spans="1:20" x14ac:dyDescent="0.2">
      <c r="A40" s="61"/>
      <c r="B40" s="64">
        <f>A39</f>
        <v>598046</v>
      </c>
      <c r="C40" s="55"/>
      <c r="D40" s="64">
        <v>3399</v>
      </c>
      <c r="E40" s="64">
        <v>3300</v>
      </c>
      <c r="F40" s="64">
        <v>3300</v>
      </c>
      <c r="G40" s="64">
        <v>3300</v>
      </c>
      <c r="H40" s="64">
        <v>3300</v>
      </c>
      <c r="I40" s="64">
        <v>3300</v>
      </c>
      <c r="J40" s="64">
        <v>3300</v>
      </c>
      <c r="K40" s="64">
        <v>3300</v>
      </c>
      <c r="L40" s="64">
        <v>3300</v>
      </c>
      <c r="M40" s="64">
        <v>3300</v>
      </c>
      <c r="N40" s="64">
        <v>3300</v>
      </c>
      <c r="O40" s="55" t="str">
        <f>SUBSTITUTE(O39,"+ COR", "- NATURAL")</f>
        <v>CABECEIRA SUP PTA DESL ANTARES 789X36X45MM - NATURAL</v>
      </c>
      <c r="P40" s="100"/>
      <c r="Q40" s="100"/>
      <c r="R40" s="100"/>
      <c r="S40" s="138"/>
      <c r="T40">
        <f>Q39-R5</f>
        <v>-11</v>
      </c>
    </row>
    <row r="41" spans="1:20" x14ac:dyDescent="0.2">
      <c r="A41" s="56"/>
      <c r="B41" s="46"/>
      <c r="C41" s="46">
        <v>1020186</v>
      </c>
      <c r="D41" s="46" t="s">
        <v>14</v>
      </c>
      <c r="E41" s="46" t="s">
        <v>14</v>
      </c>
      <c r="F41" s="46" t="s">
        <v>14</v>
      </c>
      <c r="G41" s="46" t="s">
        <v>14</v>
      </c>
      <c r="H41" s="46" t="s">
        <v>14</v>
      </c>
      <c r="I41" s="46" t="s">
        <v>14</v>
      </c>
      <c r="J41" s="46" t="s">
        <v>14</v>
      </c>
      <c r="K41" s="46" t="s">
        <v>14</v>
      </c>
      <c r="L41" s="46" t="s">
        <v>14</v>
      </c>
      <c r="M41" s="46" t="s">
        <v>14</v>
      </c>
      <c r="N41" s="46" t="s">
        <v>14</v>
      </c>
      <c r="O41" s="47" t="s">
        <v>394</v>
      </c>
      <c r="P41" s="54"/>
      <c r="Q41" s="54"/>
      <c r="R41" s="54"/>
      <c r="S41" s="57"/>
    </row>
    <row r="42" spans="1:20" x14ac:dyDescent="0.2">
      <c r="A42" s="56"/>
      <c r="B42" s="46">
        <v>598099</v>
      </c>
      <c r="C42" s="46"/>
      <c r="D42" s="48" t="s">
        <v>14</v>
      </c>
      <c r="E42" s="48" t="s">
        <v>16</v>
      </c>
      <c r="F42" s="48" t="s">
        <v>17</v>
      </c>
      <c r="G42" s="48" t="s">
        <v>18</v>
      </c>
      <c r="H42" s="48" t="s">
        <v>30</v>
      </c>
      <c r="I42" s="48" t="s">
        <v>2</v>
      </c>
      <c r="J42" s="48" t="s">
        <v>31</v>
      </c>
      <c r="K42" s="48" t="s">
        <v>32</v>
      </c>
      <c r="L42" s="48" t="s">
        <v>64</v>
      </c>
      <c r="M42" s="48" t="s">
        <v>33</v>
      </c>
      <c r="N42" s="48" t="s">
        <v>395</v>
      </c>
      <c r="O42" s="47" t="str">
        <f>VLOOKUP(B42,[2]PEÇAS!$A$6:$Q$12,14,FALSE)</f>
        <v>PINTURA PL ALUM SUPERIOR ATRIA/ANTARES + COR</v>
      </c>
      <c r="P42" s="46"/>
      <c r="Q42" s="46" t="s">
        <v>19</v>
      </c>
      <c r="R42" s="4"/>
      <c r="S42" s="50"/>
    </row>
    <row r="43" spans="1:20" x14ac:dyDescent="0.2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7"/>
    </row>
    <row r="44" spans="1:20" ht="15" x14ac:dyDescent="0.2">
      <c r="A44" s="76">
        <v>598054</v>
      </c>
      <c r="B44" s="64"/>
      <c r="C44" s="64"/>
      <c r="D44" s="69">
        <v>3399</v>
      </c>
      <c r="E44" s="64">
        <v>3301</v>
      </c>
      <c r="F44" s="64">
        <v>3302</v>
      </c>
      <c r="G44" s="64">
        <v>3303</v>
      </c>
      <c r="H44" s="64">
        <v>3304</v>
      </c>
      <c r="I44" s="64">
        <v>3305</v>
      </c>
      <c r="J44" s="64">
        <v>3306</v>
      </c>
      <c r="K44" s="64">
        <v>3307</v>
      </c>
      <c r="L44" s="64">
        <v>3308</v>
      </c>
      <c r="M44" s="64">
        <v>3309</v>
      </c>
      <c r="N44" s="64">
        <v>3310</v>
      </c>
      <c r="O44" s="55" t="str">
        <f>VLOOKUP(A44,[2]PEÇAS!$A$15:$Q$150,14,FALSE)</f>
        <v>CABECEIRA INF PTA DESL ANTARES 789X36X45MM + COR</v>
      </c>
      <c r="P44" s="98">
        <v>1</v>
      </c>
      <c r="Q44" s="98">
        <f>VLOOKUP(A44,[2]PEÇAS!$A$15:$Q$150,15,FALSE)</f>
        <v>789</v>
      </c>
      <c r="R44" s="98">
        <f>VLOOKUP(A44,[2]PEÇAS!$A$15:$Q$150,16,FALSE)</f>
        <v>36</v>
      </c>
      <c r="S44" s="136">
        <f>VLOOKUP(A44,[2]PEÇAS!$A$15:$Q$150,17,FALSE)</f>
        <v>45</v>
      </c>
    </row>
    <row r="45" spans="1:20" x14ac:dyDescent="0.2">
      <c r="A45" s="61"/>
      <c r="B45" s="64">
        <f>A44</f>
        <v>598054</v>
      </c>
      <c r="C45" s="55"/>
      <c r="D45" s="64">
        <v>3399</v>
      </c>
      <c r="E45" s="64">
        <v>3300</v>
      </c>
      <c r="F45" s="64">
        <v>3300</v>
      </c>
      <c r="G45" s="64">
        <v>3300</v>
      </c>
      <c r="H45" s="64">
        <v>3300</v>
      </c>
      <c r="I45" s="64">
        <v>3300</v>
      </c>
      <c r="J45" s="64">
        <v>3300</v>
      </c>
      <c r="K45" s="64">
        <v>3300</v>
      </c>
      <c r="L45" s="64">
        <v>3300</v>
      </c>
      <c r="M45" s="64">
        <v>3300</v>
      </c>
      <c r="N45" s="64">
        <v>3300</v>
      </c>
      <c r="O45" s="55" t="str">
        <f>SUBSTITUTE(O44,"+ COR", "- NATURAL")</f>
        <v>CABECEIRA INF PTA DESL ANTARES 789X36X45MM - NATURAL</v>
      </c>
      <c r="P45" s="100"/>
      <c r="Q45" s="100"/>
      <c r="R45" s="100"/>
      <c r="S45" s="138"/>
    </row>
    <row r="46" spans="1:20" x14ac:dyDescent="0.2">
      <c r="A46" s="56"/>
      <c r="B46" s="46"/>
      <c r="C46" s="46">
        <v>1020187</v>
      </c>
      <c r="D46" s="46" t="s">
        <v>14</v>
      </c>
      <c r="E46" s="46" t="s">
        <v>14</v>
      </c>
      <c r="F46" s="46" t="s">
        <v>14</v>
      </c>
      <c r="G46" s="46" t="s">
        <v>14</v>
      </c>
      <c r="H46" s="46" t="s">
        <v>14</v>
      </c>
      <c r="I46" s="46" t="s">
        <v>14</v>
      </c>
      <c r="J46" s="46" t="s">
        <v>14</v>
      </c>
      <c r="K46" s="46" t="s">
        <v>14</v>
      </c>
      <c r="L46" s="46" t="s">
        <v>14</v>
      </c>
      <c r="M46" s="46" t="s">
        <v>14</v>
      </c>
      <c r="N46" s="46" t="s">
        <v>14</v>
      </c>
      <c r="O46" s="47" t="s">
        <v>396</v>
      </c>
      <c r="P46" s="54"/>
      <c r="Q46" s="54"/>
      <c r="R46" s="54"/>
      <c r="S46" s="57"/>
    </row>
    <row r="47" spans="1:20" x14ac:dyDescent="0.2">
      <c r="A47" s="56"/>
      <c r="B47" s="46">
        <v>598098</v>
      </c>
      <c r="C47" s="46"/>
      <c r="D47" s="48" t="s">
        <v>14</v>
      </c>
      <c r="E47" s="48" t="s">
        <v>16</v>
      </c>
      <c r="F47" s="48" t="s">
        <v>17</v>
      </c>
      <c r="G47" s="48" t="s">
        <v>18</v>
      </c>
      <c r="H47" s="48" t="s">
        <v>30</v>
      </c>
      <c r="I47" s="48" t="s">
        <v>2</v>
      </c>
      <c r="J47" s="48" t="s">
        <v>31</v>
      </c>
      <c r="K47" s="48" t="s">
        <v>32</v>
      </c>
      <c r="L47" s="48" t="s">
        <v>64</v>
      </c>
      <c r="M47" s="48" t="s">
        <v>33</v>
      </c>
      <c r="N47" s="48" t="s">
        <v>395</v>
      </c>
      <c r="O47" s="47" t="str">
        <f>VLOOKUP(B47,[2]PEÇAS!$A$6:$Q$12,14,FALSE)</f>
        <v>PINTURA PL ALUM INFERIOR ATRIA/ANTARES + COR</v>
      </c>
      <c r="P47" s="46"/>
      <c r="Q47" s="46" t="s">
        <v>19</v>
      </c>
      <c r="R47" s="4"/>
      <c r="S47" s="50"/>
    </row>
    <row r="48" spans="1:20" x14ac:dyDescent="0.2">
      <c r="A48" s="58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7"/>
    </row>
    <row r="49" spans="1:19" ht="15" x14ac:dyDescent="0.2">
      <c r="A49" s="76">
        <v>598062</v>
      </c>
      <c r="B49" s="64"/>
      <c r="C49" s="64"/>
      <c r="D49" s="69">
        <v>3399</v>
      </c>
      <c r="E49" s="64">
        <v>3301</v>
      </c>
      <c r="F49" s="64">
        <v>3302</v>
      </c>
      <c r="G49" s="64">
        <v>3303</v>
      </c>
      <c r="H49" s="64">
        <v>3304</v>
      </c>
      <c r="I49" s="64">
        <v>3305</v>
      </c>
      <c r="J49" s="64">
        <v>3306</v>
      </c>
      <c r="K49" s="64">
        <v>3307</v>
      </c>
      <c r="L49" s="64">
        <v>3308</v>
      </c>
      <c r="M49" s="64">
        <v>3309</v>
      </c>
      <c r="N49" s="64">
        <v>3310</v>
      </c>
      <c r="O49" s="55" t="str">
        <f>VLOOKUP(A49,[2]PEÇAS!$A$15:$Q$150,14,FALSE)</f>
        <v>LATERAL DIR/ESQ PTA DESL ANTARES 1800X36X45MM + COR</v>
      </c>
      <c r="P49" s="98">
        <v>1</v>
      </c>
      <c r="Q49" s="98">
        <f>VLOOKUP(A49,[2]PEÇAS!$A$15:$Q$150,15,FALSE)</f>
        <v>1800</v>
      </c>
      <c r="R49" s="98">
        <f>VLOOKUP(A49,[2]PEÇAS!$A$15:$Q$150,16,FALSE)</f>
        <v>20</v>
      </c>
      <c r="S49" s="136">
        <f>VLOOKUP(A49,[2]PEÇAS!$A$15:$Q$150,17,FALSE)</f>
        <v>45</v>
      </c>
    </row>
    <row r="50" spans="1:19" x14ac:dyDescent="0.2">
      <c r="A50" s="61"/>
      <c r="B50" s="64">
        <f>A49</f>
        <v>598062</v>
      </c>
      <c r="C50" s="55"/>
      <c r="D50" s="64">
        <v>3399</v>
      </c>
      <c r="E50" s="64">
        <v>3300</v>
      </c>
      <c r="F50" s="64">
        <v>3300</v>
      </c>
      <c r="G50" s="64">
        <v>3300</v>
      </c>
      <c r="H50" s="64">
        <v>3300</v>
      </c>
      <c r="I50" s="64">
        <v>3300</v>
      </c>
      <c r="J50" s="64">
        <v>3300</v>
      </c>
      <c r="K50" s="64">
        <v>3300</v>
      </c>
      <c r="L50" s="64">
        <v>3300</v>
      </c>
      <c r="M50" s="64">
        <v>3300</v>
      </c>
      <c r="N50" s="64">
        <v>3300</v>
      </c>
      <c r="O50" s="55" t="str">
        <f>SUBSTITUTE(O49,"+ COR", "- NATURAL")</f>
        <v>LATERAL DIR/ESQ PTA DESL ANTARES 1800X36X45MM - NATURAL</v>
      </c>
      <c r="P50" s="100"/>
      <c r="Q50" s="100"/>
      <c r="R50" s="100"/>
      <c r="S50" s="138"/>
    </row>
    <row r="51" spans="1:19" x14ac:dyDescent="0.2">
      <c r="A51" s="56"/>
      <c r="B51" s="46"/>
      <c r="C51" s="46">
        <v>1020185</v>
      </c>
      <c r="D51" s="46" t="s">
        <v>14</v>
      </c>
      <c r="E51" s="46" t="s">
        <v>14</v>
      </c>
      <c r="F51" s="46" t="s">
        <v>14</v>
      </c>
      <c r="G51" s="46" t="s">
        <v>14</v>
      </c>
      <c r="H51" s="46" t="s">
        <v>14</v>
      </c>
      <c r="I51" s="46" t="s">
        <v>14</v>
      </c>
      <c r="J51" s="46" t="s">
        <v>14</v>
      </c>
      <c r="K51" s="46" t="s">
        <v>14</v>
      </c>
      <c r="L51" s="46" t="s">
        <v>14</v>
      </c>
      <c r="M51" s="46" t="s">
        <v>14</v>
      </c>
      <c r="N51" s="46" t="s">
        <v>14</v>
      </c>
      <c r="O51" s="47" t="s">
        <v>397</v>
      </c>
      <c r="P51" s="54"/>
      <c r="Q51" s="54"/>
      <c r="R51" s="54"/>
      <c r="S51" s="57"/>
    </row>
    <row r="52" spans="1:19" x14ac:dyDescent="0.2">
      <c r="A52" s="56"/>
      <c r="B52" s="46">
        <v>598097</v>
      </c>
      <c r="C52" s="46"/>
      <c r="D52" s="48" t="s">
        <v>14</v>
      </c>
      <c r="E52" s="48" t="s">
        <v>16</v>
      </c>
      <c r="F52" s="48" t="s">
        <v>17</v>
      </c>
      <c r="G52" s="48" t="s">
        <v>18</v>
      </c>
      <c r="H52" s="48" t="s">
        <v>30</v>
      </c>
      <c r="I52" s="48" t="s">
        <v>2</v>
      </c>
      <c r="J52" s="48" t="s">
        <v>31</v>
      </c>
      <c r="K52" s="48" t="s">
        <v>32</v>
      </c>
      <c r="L52" s="48" t="s">
        <v>64</v>
      </c>
      <c r="M52" s="48" t="s">
        <v>33</v>
      </c>
      <c r="N52" s="48" t="s">
        <v>395</v>
      </c>
      <c r="O52" s="47" t="str">
        <f>VLOOKUP(B52,[2]PEÇAS!$A$6:$Q$12,14,FALSE)</f>
        <v>PINTURA PL ALUM LATERAL ATRIA/ANTARES + COR</v>
      </c>
      <c r="P52" s="46"/>
      <c r="Q52" s="46" t="s">
        <v>19</v>
      </c>
      <c r="R52" s="4"/>
      <c r="S52" s="50"/>
    </row>
    <row r="53" spans="1:19" x14ac:dyDescent="0.2">
      <c r="A53" s="58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7"/>
    </row>
    <row r="54" spans="1:19" ht="15" x14ac:dyDescent="0.2">
      <c r="A54" s="76">
        <v>598082</v>
      </c>
      <c r="B54" s="64"/>
      <c r="C54" s="64"/>
      <c r="D54" s="69">
        <v>3399</v>
      </c>
      <c r="E54" s="64">
        <v>3301</v>
      </c>
      <c r="F54" s="64">
        <v>3302</v>
      </c>
      <c r="G54" s="64">
        <v>3303</v>
      </c>
      <c r="H54" s="64">
        <v>3304</v>
      </c>
      <c r="I54" s="64">
        <v>3305</v>
      </c>
      <c r="J54" s="64">
        <v>3306</v>
      </c>
      <c r="K54" s="64">
        <v>3307</v>
      </c>
      <c r="L54" s="64">
        <v>3308</v>
      </c>
      <c r="M54" s="64">
        <v>3309</v>
      </c>
      <c r="N54" s="64">
        <v>3310</v>
      </c>
      <c r="O54" s="55" t="str">
        <f>VLOOKUP(A54,[2]PEÇAS!$A$12:$Q$112,14,FALSE)</f>
        <v>LATERAL DIR PTA DESL ANTARES PUX/FECH 1800X36X45MM + COR</v>
      </c>
      <c r="P54" s="98">
        <v>1</v>
      </c>
      <c r="Q54" s="98">
        <f>VLOOKUP(A54,[2]PEÇAS!$A$12:$Q$112,15,FALSE)</f>
        <v>1800</v>
      </c>
      <c r="R54" s="98">
        <f>VLOOKUP(A54,[2]PEÇAS!$A$12:$Q$112,16,FALSE)</f>
        <v>20</v>
      </c>
      <c r="S54" s="136">
        <f>VLOOKUP(A54,[2]PEÇAS!$A$12:$Q$112,17,FALSE)</f>
        <v>45</v>
      </c>
    </row>
    <row r="55" spans="1:19" x14ac:dyDescent="0.2">
      <c r="A55" s="61"/>
      <c r="B55" s="64">
        <f>A54</f>
        <v>598082</v>
      </c>
      <c r="C55" s="55"/>
      <c r="D55" s="64">
        <v>3399</v>
      </c>
      <c r="E55" s="64">
        <v>3300</v>
      </c>
      <c r="F55" s="64">
        <v>3300</v>
      </c>
      <c r="G55" s="64">
        <v>3300</v>
      </c>
      <c r="H55" s="64">
        <v>3300</v>
      </c>
      <c r="I55" s="64">
        <v>3300</v>
      </c>
      <c r="J55" s="64">
        <v>3300</v>
      </c>
      <c r="K55" s="64">
        <v>3300</v>
      </c>
      <c r="L55" s="64">
        <v>3300</v>
      </c>
      <c r="M55" s="64">
        <v>3300</v>
      </c>
      <c r="N55" s="64">
        <v>3300</v>
      </c>
      <c r="O55" s="55" t="str">
        <f>SUBSTITUTE(O54,"+ COR", "- NATURAL")</f>
        <v>LATERAL DIR PTA DESL ANTARES PUX/FECH 1800X36X45MM - NATURAL</v>
      </c>
      <c r="P55" s="100"/>
      <c r="Q55" s="100"/>
      <c r="R55" s="100"/>
      <c r="S55" s="138"/>
    </row>
    <row r="56" spans="1:19" x14ac:dyDescent="0.2">
      <c r="A56" s="56"/>
      <c r="B56" s="46"/>
      <c r="C56" s="46">
        <v>1020182</v>
      </c>
      <c r="D56" s="46" t="s">
        <v>14</v>
      </c>
      <c r="E56" s="46" t="s">
        <v>14</v>
      </c>
      <c r="F56" s="46" t="s">
        <v>14</v>
      </c>
      <c r="G56" s="46" t="s">
        <v>14</v>
      </c>
      <c r="H56" s="46" t="s">
        <v>14</v>
      </c>
      <c r="I56" s="46" t="s">
        <v>14</v>
      </c>
      <c r="J56" s="46" t="s">
        <v>14</v>
      </c>
      <c r="K56" s="46" t="s">
        <v>14</v>
      </c>
      <c r="L56" s="46" t="s">
        <v>14</v>
      </c>
      <c r="M56" s="46" t="s">
        <v>14</v>
      </c>
      <c r="N56" s="46" t="s">
        <v>14</v>
      </c>
      <c r="O56" s="47" t="s">
        <v>398</v>
      </c>
      <c r="P56" s="54"/>
      <c r="Q56" s="54"/>
      <c r="R56" s="54"/>
      <c r="S56" s="57"/>
    </row>
    <row r="57" spans="1:19" x14ac:dyDescent="0.2">
      <c r="A57" s="56"/>
      <c r="B57" s="46">
        <v>598097</v>
      </c>
      <c r="C57" s="46"/>
      <c r="D57" s="48" t="s">
        <v>14</v>
      </c>
      <c r="E57" s="48" t="s">
        <v>16</v>
      </c>
      <c r="F57" s="48" t="s">
        <v>17</v>
      </c>
      <c r="G57" s="48" t="s">
        <v>18</v>
      </c>
      <c r="H57" s="48" t="s">
        <v>30</v>
      </c>
      <c r="I57" s="48" t="s">
        <v>2</v>
      </c>
      <c r="J57" s="48" t="s">
        <v>31</v>
      </c>
      <c r="K57" s="48" t="s">
        <v>32</v>
      </c>
      <c r="L57" s="48" t="s">
        <v>64</v>
      </c>
      <c r="M57" s="48" t="s">
        <v>33</v>
      </c>
      <c r="N57" s="48" t="s">
        <v>395</v>
      </c>
      <c r="O57" s="47" t="str">
        <f>VLOOKUP(B57,[2]PEÇAS!$A$6:$Q$9,14,FALSE)</f>
        <v>PINTURA PL ALUM LATERAL ATRIA/ANTARES + COR</v>
      </c>
      <c r="P57" s="46"/>
      <c r="Q57" s="46" t="s">
        <v>19</v>
      </c>
      <c r="R57" s="4"/>
      <c r="S57" s="50"/>
    </row>
    <row r="58" spans="1:19" x14ac:dyDescent="0.2">
      <c r="A58" s="58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7"/>
    </row>
    <row r="59" spans="1:19" ht="15" x14ac:dyDescent="0.2">
      <c r="A59" s="77">
        <v>598093</v>
      </c>
      <c r="B59" s="64"/>
      <c r="C59" s="64"/>
      <c r="D59" s="72" t="s">
        <v>411</v>
      </c>
      <c r="E59" s="64">
        <v>3301</v>
      </c>
      <c r="F59" s="64">
        <v>3302</v>
      </c>
      <c r="G59" s="64">
        <v>3303</v>
      </c>
      <c r="H59" s="64">
        <v>3304</v>
      </c>
      <c r="I59" s="64">
        <v>3305</v>
      </c>
      <c r="J59" s="64">
        <v>3306</v>
      </c>
      <c r="K59" s="64">
        <v>3307</v>
      </c>
      <c r="L59" s="64">
        <v>3308</v>
      </c>
      <c r="M59" s="64">
        <v>3309</v>
      </c>
      <c r="N59" s="64">
        <v>3310</v>
      </c>
      <c r="O59" s="27" t="s">
        <v>399</v>
      </c>
      <c r="P59" s="64">
        <v>1</v>
      </c>
      <c r="Q59" s="64">
        <v>168</v>
      </c>
      <c r="R59" s="64">
        <v>86</v>
      </c>
      <c r="S59" s="68">
        <v>45</v>
      </c>
    </row>
    <row r="60" spans="1:19" ht="15" x14ac:dyDescent="0.2">
      <c r="A60" s="77"/>
      <c r="B60" s="64"/>
      <c r="C60" s="64">
        <v>1010276</v>
      </c>
      <c r="D60" s="72" t="s">
        <v>14</v>
      </c>
      <c r="E60" s="64" t="s">
        <v>14</v>
      </c>
      <c r="F60" s="64" t="s">
        <v>14</v>
      </c>
      <c r="G60" s="64" t="s">
        <v>14</v>
      </c>
      <c r="H60" s="64" t="s">
        <v>14</v>
      </c>
      <c r="I60" s="64" t="s">
        <v>14</v>
      </c>
      <c r="J60" s="64" t="s">
        <v>14</v>
      </c>
      <c r="K60" s="64" t="s">
        <v>14</v>
      </c>
      <c r="L60" s="64" t="s">
        <v>14</v>
      </c>
      <c r="M60" s="64" t="s">
        <v>14</v>
      </c>
      <c r="N60" s="64" t="s">
        <v>14</v>
      </c>
      <c r="O60" s="27" t="s">
        <v>400</v>
      </c>
      <c r="P60" s="64">
        <v>1</v>
      </c>
      <c r="Q60" s="64"/>
      <c r="R60" s="64"/>
      <c r="S60" s="68"/>
    </row>
    <row r="61" spans="1:19" x14ac:dyDescent="0.2">
      <c r="A61" s="56"/>
      <c r="B61" s="46">
        <v>598096</v>
      </c>
      <c r="C61" s="46"/>
      <c r="D61" s="48" t="s">
        <v>14</v>
      </c>
      <c r="E61" s="48" t="s">
        <v>16</v>
      </c>
      <c r="F61" s="48" t="s">
        <v>17</v>
      </c>
      <c r="G61" s="48" t="s">
        <v>18</v>
      </c>
      <c r="H61" s="48" t="s">
        <v>30</v>
      </c>
      <c r="I61" s="48" t="s">
        <v>2</v>
      </c>
      <c r="J61" s="48" t="s">
        <v>31</v>
      </c>
      <c r="K61" s="48" t="s">
        <v>32</v>
      </c>
      <c r="L61" s="48" t="s">
        <v>64</v>
      </c>
      <c r="M61" s="48" t="s">
        <v>33</v>
      </c>
      <c r="N61" s="48" t="s">
        <v>395</v>
      </c>
      <c r="O61" s="47" t="str">
        <f>VLOOKUP(B61,[2]PEÇAS!$A$6:$Q$9,14,FALSE)</f>
        <v>PINTURA PUX INDUS + COR</v>
      </c>
      <c r="P61" s="46"/>
      <c r="Q61" s="46" t="s">
        <v>19</v>
      </c>
      <c r="R61" s="4"/>
      <c r="S61" s="50"/>
    </row>
    <row r="62" spans="1:19" x14ac:dyDescent="0.2">
      <c r="A62" s="58"/>
      <c r="B62" s="48" t="s">
        <v>14</v>
      </c>
      <c r="C62" s="48" t="s">
        <v>14</v>
      </c>
      <c r="D62" s="48" t="s">
        <v>14</v>
      </c>
      <c r="E62" s="48" t="s">
        <v>14</v>
      </c>
      <c r="F62" s="48" t="s">
        <v>14</v>
      </c>
      <c r="G62" s="48" t="s">
        <v>14</v>
      </c>
      <c r="H62" s="48" t="s">
        <v>14</v>
      </c>
      <c r="I62" s="48" t="s">
        <v>14</v>
      </c>
      <c r="J62" s="48" t="s">
        <v>14</v>
      </c>
      <c r="K62" s="48" t="s">
        <v>14</v>
      </c>
      <c r="L62" s="48" t="s">
        <v>14</v>
      </c>
      <c r="M62" s="48" t="s">
        <v>14</v>
      </c>
      <c r="N62" s="48" t="s">
        <v>14</v>
      </c>
      <c r="O62" s="54"/>
      <c r="P62" s="54"/>
      <c r="Q62" s="54"/>
      <c r="R62" s="54"/>
      <c r="S62" s="57"/>
    </row>
    <row r="63" spans="1:19" x14ac:dyDescent="0.2">
      <c r="A63" s="58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7"/>
    </row>
    <row r="64" spans="1:19" x14ac:dyDescent="0.2">
      <c r="A64" s="49"/>
      <c r="B64" s="5"/>
      <c r="C64" s="4"/>
      <c r="D64" s="5">
        <v>1010286</v>
      </c>
      <c r="E64" s="5">
        <v>1010286</v>
      </c>
      <c r="F64" s="5">
        <v>1010286</v>
      </c>
      <c r="G64" s="5">
        <v>1010286</v>
      </c>
      <c r="H64" s="5">
        <v>1010286</v>
      </c>
      <c r="I64" s="5">
        <v>1010286</v>
      </c>
      <c r="J64" s="5">
        <v>1010286</v>
      </c>
      <c r="K64" s="5">
        <v>1010286</v>
      </c>
      <c r="L64" s="5">
        <v>1010286</v>
      </c>
      <c r="M64" s="5">
        <v>1010286</v>
      </c>
      <c r="N64" s="5">
        <v>1010286</v>
      </c>
      <c r="O64" s="4" t="s">
        <v>401</v>
      </c>
      <c r="P64" s="5">
        <v>8</v>
      </c>
      <c r="Q64" s="5" t="s">
        <v>42</v>
      </c>
      <c r="R64" s="4"/>
      <c r="S64" s="50"/>
    </row>
    <row r="65" spans="1:19" x14ac:dyDescent="0.2">
      <c r="A65" s="49"/>
      <c r="B65" s="5"/>
      <c r="C65" s="5"/>
      <c r="D65" s="5">
        <v>1010287</v>
      </c>
      <c r="E65" s="5">
        <v>1010287</v>
      </c>
      <c r="F65" s="73">
        <v>1010288</v>
      </c>
      <c r="G65" s="5">
        <v>1010287</v>
      </c>
      <c r="H65" s="73">
        <v>1010288</v>
      </c>
      <c r="I65" s="73">
        <v>1010288</v>
      </c>
      <c r="J65" s="5">
        <v>1010287</v>
      </c>
      <c r="K65" s="5">
        <v>1010287</v>
      </c>
      <c r="L65" s="73">
        <v>1010288</v>
      </c>
      <c r="M65" s="5">
        <v>1010287</v>
      </c>
      <c r="N65" s="5">
        <v>1010287</v>
      </c>
      <c r="O65" s="4" t="s">
        <v>402</v>
      </c>
      <c r="P65" s="5">
        <v>4</v>
      </c>
      <c r="Q65" s="5" t="s">
        <v>42</v>
      </c>
      <c r="R65" s="4"/>
      <c r="S65" s="50"/>
    </row>
    <row r="66" spans="1:19" x14ac:dyDescent="0.2">
      <c r="A66" s="49"/>
      <c r="B66" s="5"/>
      <c r="C66" s="5"/>
      <c r="D66" s="5">
        <v>1020145</v>
      </c>
      <c r="E66" s="5">
        <v>1020145</v>
      </c>
      <c r="F66" s="5">
        <v>1020145</v>
      </c>
      <c r="G66" s="5">
        <v>1020145</v>
      </c>
      <c r="H66" s="5">
        <v>1020145</v>
      </c>
      <c r="I66" s="5">
        <v>1020145</v>
      </c>
      <c r="J66" s="5">
        <v>1020145</v>
      </c>
      <c r="K66" s="5">
        <v>1020145</v>
      </c>
      <c r="L66" s="5">
        <v>1020145</v>
      </c>
      <c r="M66" s="5">
        <v>1020145</v>
      </c>
      <c r="N66" s="5">
        <v>1020145</v>
      </c>
      <c r="O66" s="4" t="s">
        <v>407</v>
      </c>
      <c r="P66" s="5" t="s">
        <v>408</v>
      </c>
      <c r="Q66" s="5" t="s">
        <v>19</v>
      </c>
      <c r="R66" s="4"/>
      <c r="S66" s="50"/>
    </row>
    <row r="67" spans="1:19" x14ac:dyDescent="0.2">
      <c r="A67" s="49"/>
      <c r="B67" s="5"/>
      <c r="C67" s="4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4"/>
      <c r="P67" s="5"/>
      <c r="Q67" s="18"/>
      <c r="R67" s="4"/>
      <c r="S67" s="50"/>
    </row>
    <row r="68" spans="1:19" ht="15" x14ac:dyDescent="0.2">
      <c r="A68" s="143" t="s">
        <v>403</v>
      </c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144"/>
    </row>
    <row r="69" spans="1:19" ht="25.5" x14ac:dyDescent="0.2">
      <c r="A69" s="51" t="s">
        <v>40</v>
      </c>
      <c r="B69" s="65" t="s">
        <v>36</v>
      </c>
      <c r="C69" s="65" t="s">
        <v>37</v>
      </c>
      <c r="D69" s="149"/>
      <c r="E69" s="150"/>
      <c r="F69" s="150"/>
      <c r="G69" s="150"/>
      <c r="H69" s="150"/>
      <c r="I69" s="150"/>
      <c r="J69" s="150"/>
      <c r="K69" s="150"/>
      <c r="L69" s="150"/>
      <c r="M69" s="150"/>
      <c r="N69" s="151"/>
      <c r="O69" s="66" t="s">
        <v>5</v>
      </c>
      <c r="P69" s="66" t="s">
        <v>38</v>
      </c>
      <c r="Q69" s="149" t="s">
        <v>39</v>
      </c>
      <c r="R69" s="150"/>
      <c r="S69" s="152"/>
    </row>
    <row r="70" spans="1:19" x14ac:dyDescent="0.2">
      <c r="A70" s="140" t="s">
        <v>404</v>
      </c>
      <c r="B70" s="146">
        <f>VLOOKUP(CONCATENATE("PAINEL BP PUX ",Q70,"X",R70,"X",S70," + COR"),[2]BP!$A$5:$AI$166,6,FALSE)</f>
        <v>777500</v>
      </c>
      <c r="C70" s="74">
        <v>307</v>
      </c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27" t="str">
        <f t="shared" ref="O70:O75" si="0">CONCATENATE("PAINEL BP ",P5," ",Q$70,"X",R$70,"X",S$70)</f>
        <v>PAINEL BP MINERALE 1744X776X18</v>
      </c>
      <c r="P70" s="107">
        <v>1</v>
      </c>
      <c r="Q70" s="107">
        <f>Q5-56</f>
        <v>1744</v>
      </c>
      <c r="R70" s="107">
        <f>R5-24</f>
        <v>776</v>
      </c>
      <c r="S70" s="141">
        <v>18</v>
      </c>
    </row>
    <row r="71" spans="1:19" x14ac:dyDescent="0.2">
      <c r="A71" s="140"/>
      <c r="B71" s="146"/>
      <c r="C71" s="74">
        <v>302</v>
      </c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27" t="str">
        <f t="shared" si="0"/>
        <v>PAINEL BP PRISMA 1744X776X18</v>
      </c>
      <c r="P71" s="107"/>
      <c r="Q71" s="107"/>
      <c r="R71" s="107"/>
      <c r="S71" s="141"/>
    </row>
    <row r="72" spans="1:19" x14ac:dyDescent="0.2">
      <c r="A72" s="140"/>
      <c r="B72" s="146"/>
      <c r="C72" s="74">
        <v>308</v>
      </c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27" t="str">
        <f t="shared" si="0"/>
        <v>PAINEL BP STONE 1744X776X18</v>
      </c>
      <c r="P72" s="107"/>
      <c r="Q72" s="107"/>
      <c r="R72" s="107"/>
      <c r="S72" s="141"/>
    </row>
    <row r="73" spans="1:19" x14ac:dyDescent="0.2">
      <c r="A73" s="140"/>
      <c r="B73" s="146"/>
      <c r="C73" s="74">
        <v>309</v>
      </c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27" t="str">
        <f t="shared" si="0"/>
        <v>PAINEL BP CREMMA 1744X776X18</v>
      </c>
      <c r="P73" s="107"/>
      <c r="Q73" s="107"/>
      <c r="R73" s="107"/>
      <c r="S73" s="141"/>
    </row>
    <row r="74" spans="1:19" x14ac:dyDescent="0.2">
      <c r="A74" s="140"/>
      <c r="B74" s="146"/>
      <c r="C74" s="74">
        <v>316</v>
      </c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27" t="str">
        <f t="shared" si="0"/>
        <v>PAINEL BP AMBER 1744X776X18</v>
      </c>
      <c r="P74" s="107"/>
      <c r="Q74" s="107"/>
      <c r="R74" s="107"/>
      <c r="S74" s="141"/>
    </row>
    <row r="75" spans="1:19" x14ac:dyDescent="0.2">
      <c r="A75" s="140"/>
      <c r="B75" s="146"/>
      <c r="C75" s="74">
        <v>318</v>
      </c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27" t="str">
        <f t="shared" si="0"/>
        <v>PAINEL BP BAROCCO 1744X776X18</v>
      </c>
      <c r="P75" s="107"/>
      <c r="Q75" s="107"/>
      <c r="R75" s="107"/>
      <c r="S75" s="141"/>
    </row>
    <row r="76" spans="1:19" x14ac:dyDescent="0.2">
      <c r="A76" s="140"/>
      <c r="B76" s="146"/>
      <c r="C76" s="74" t="s">
        <v>14</v>
      </c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27" t="s">
        <v>14</v>
      </c>
      <c r="P76" s="107"/>
      <c r="Q76" s="107"/>
      <c r="R76" s="107"/>
      <c r="S76" s="141"/>
    </row>
    <row r="77" spans="1:19" x14ac:dyDescent="0.2">
      <c r="A77" s="140"/>
      <c r="B77" s="146"/>
      <c r="C77" s="74" t="s">
        <v>14</v>
      </c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27" t="s">
        <v>14</v>
      </c>
      <c r="P77" s="107"/>
      <c r="Q77" s="107"/>
      <c r="R77" s="107"/>
      <c r="S77" s="141"/>
    </row>
    <row r="78" spans="1:19" x14ac:dyDescent="0.2">
      <c r="A78" s="140"/>
      <c r="B78" s="146"/>
      <c r="C78" s="74" t="s">
        <v>14</v>
      </c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27" t="s">
        <v>14</v>
      </c>
      <c r="P78" s="107"/>
      <c r="Q78" s="107"/>
      <c r="R78" s="107"/>
      <c r="S78" s="141"/>
    </row>
    <row r="79" spans="1:19" x14ac:dyDescent="0.2">
      <c r="A79" s="140"/>
      <c r="B79" s="146"/>
      <c r="C79" s="74">
        <v>724</v>
      </c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27" t="str">
        <f t="shared" ref="O79:O86" si="1">CONCATENATE("PAINEL BP ",P14," ",Q$70,"X",R$70,"X",S$70)</f>
        <v>PAINEL BP GARDEN 1744X776X18</v>
      </c>
      <c r="P79" s="107"/>
      <c r="Q79" s="107"/>
      <c r="R79" s="107"/>
      <c r="S79" s="141"/>
    </row>
    <row r="80" spans="1:19" x14ac:dyDescent="0.2">
      <c r="A80" s="140"/>
      <c r="B80" s="146"/>
      <c r="C80" s="74">
        <v>911</v>
      </c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27" t="str">
        <f t="shared" si="1"/>
        <v>PAINEL BP OURO PRETO 1744X776X18</v>
      </c>
      <c r="P80" s="107"/>
      <c r="Q80" s="107"/>
      <c r="R80" s="107"/>
      <c r="S80" s="141"/>
    </row>
    <row r="81" spans="1:19" x14ac:dyDescent="0.2">
      <c r="A81" s="140"/>
      <c r="B81" s="146"/>
      <c r="C81" s="74">
        <v>480</v>
      </c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27" t="str">
        <f t="shared" si="1"/>
        <v>PAINEL BP OURO BRANCO 1744X776X18</v>
      </c>
      <c r="P81" s="107"/>
      <c r="Q81" s="107"/>
      <c r="R81" s="107"/>
      <c r="S81" s="141"/>
    </row>
    <row r="82" spans="1:19" x14ac:dyDescent="0.2">
      <c r="A82" s="140"/>
      <c r="B82" s="146"/>
      <c r="C82" s="74">
        <v>501</v>
      </c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27" t="str">
        <f t="shared" si="1"/>
        <v>PAINEL BP LINUM 1744X776X18</v>
      </c>
      <c r="P82" s="107"/>
      <c r="Q82" s="107"/>
      <c r="R82" s="107"/>
      <c r="S82" s="141"/>
    </row>
    <row r="83" spans="1:19" x14ac:dyDescent="0.2">
      <c r="A83" s="140"/>
      <c r="B83" s="146"/>
      <c r="C83" s="74">
        <v>450</v>
      </c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27" t="str">
        <f t="shared" si="1"/>
        <v>PAINEL BP CYDONIA 1744X776X18</v>
      </c>
      <c r="P83" s="107"/>
      <c r="Q83" s="107"/>
      <c r="R83" s="107"/>
      <c r="S83" s="141"/>
    </row>
    <row r="84" spans="1:19" x14ac:dyDescent="0.2">
      <c r="A84" s="140"/>
      <c r="B84" s="146"/>
      <c r="C84" s="74">
        <v>304</v>
      </c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27" t="str">
        <f t="shared" si="1"/>
        <v>PAINEL BP CARBO 1744X776X18</v>
      </c>
      <c r="P84" s="107"/>
      <c r="Q84" s="107"/>
      <c r="R84" s="107"/>
      <c r="S84" s="141"/>
    </row>
    <row r="85" spans="1:19" x14ac:dyDescent="0.2">
      <c r="A85" s="140"/>
      <c r="B85" s="146"/>
      <c r="C85" s="74">
        <v>421</v>
      </c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27" t="str">
        <f t="shared" si="1"/>
        <v>PAINEL BP BLEND 1744X776X18</v>
      </c>
      <c r="P85" s="107"/>
      <c r="Q85" s="107"/>
      <c r="R85" s="107"/>
      <c r="S85" s="141"/>
    </row>
    <row r="86" spans="1:19" x14ac:dyDescent="0.2">
      <c r="A86" s="140"/>
      <c r="B86" s="146"/>
      <c r="C86" s="74">
        <v>422</v>
      </c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27" t="str">
        <f t="shared" si="1"/>
        <v>PAINEL BP TAIGA 1744X776X18</v>
      </c>
      <c r="P86" s="107"/>
      <c r="Q86" s="107"/>
      <c r="R86" s="107"/>
      <c r="S86" s="141"/>
    </row>
    <row r="87" spans="1:19" x14ac:dyDescent="0.2">
      <c r="A87" s="140"/>
      <c r="B87" s="146"/>
      <c r="C87" s="74" t="s">
        <v>14</v>
      </c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27" t="s">
        <v>14</v>
      </c>
      <c r="P87" s="107"/>
      <c r="Q87" s="107"/>
      <c r="R87" s="107"/>
      <c r="S87" s="141"/>
    </row>
    <row r="88" spans="1:19" x14ac:dyDescent="0.2">
      <c r="A88" s="140"/>
      <c r="B88" s="146"/>
      <c r="C88" s="74">
        <v>495</v>
      </c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27" t="str">
        <f>CONCATENATE("PAINEL BP ",P23," ",Q$70,"X",R$70,"X",S$70)</f>
        <v>PAINEL BP MALBEC SINCRO 1744X776X18</v>
      </c>
      <c r="P88" s="107"/>
      <c r="Q88" s="107"/>
      <c r="R88" s="107"/>
      <c r="S88" s="141"/>
    </row>
    <row r="89" spans="1:19" x14ac:dyDescent="0.2">
      <c r="A89" s="140"/>
      <c r="B89" s="146"/>
      <c r="C89" s="74">
        <v>502</v>
      </c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27" t="str">
        <f>CONCATENATE("PAINEL BP ",P24," ",Q$70,"X",R$70,"X",S$70)</f>
        <v>PAINEL BP FOREST 1744X776X18</v>
      </c>
      <c r="P89" s="107"/>
      <c r="Q89" s="107"/>
      <c r="R89" s="107"/>
      <c r="S89" s="141"/>
    </row>
    <row r="90" spans="1:19" x14ac:dyDescent="0.2">
      <c r="A90" s="140"/>
      <c r="B90" s="146"/>
      <c r="C90" s="74">
        <v>305</v>
      </c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27" t="str">
        <f>CONCATENATE("PAINEL BP ",P25," ",Q$70,"X",R$70,"X",S$70)</f>
        <v>PAINEL BP LEBLON 1744X776X18</v>
      </c>
      <c r="P90" s="107"/>
      <c r="Q90" s="107"/>
      <c r="R90" s="107"/>
      <c r="S90" s="141"/>
    </row>
    <row r="91" spans="1:19" x14ac:dyDescent="0.2">
      <c r="A91" s="140"/>
      <c r="B91" s="146"/>
      <c r="C91" s="74">
        <v>306</v>
      </c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27" t="str">
        <f>CONCATENATE("PAINEL BP ",P26," ",Q$70,"X",R$70,"X",S$70)</f>
        <v>PAINEL BP DOURO 1744X776X18</v>
      </c>
      <c r="P91" s="107"/>
      <c r="Q91" s="107"/>
      <c r="R91" s="107"/>
      <c r="S91" s="141"/>
    </row>
    <row r="92" spans="1:19" x14ac:dyDescent="0.2">
      <c r="A92" s="140"/>
      <c r="B92" s="146"/>
      <c r="C92" s="74">
        <v>730</v>
      </c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27" t="str">
        <f>CONCATENATE("PAINEL BP ",P27," ",Q$70,"X",R$70,"X",S$70)</f>
        <v>PAINEL BP CANELA 1744X776X18</v>
      </c>
      <c r="P92" s="107"/>
      <c r="Q92" s="107"/>
      <c r="R92" s="107"/>
      <c r="S92" s="141"/>
    </row>
    <row r="93" spans="1:19" s="2" customFormat="1" ht="15" x14ac:dyDescent="0.2">
      <c r="A93" s="140"/>
      <c r="B93" s="146"/>
      <c r="C93" s="74" t="s">
        <v>14</v>
      </c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27" t="s">
        <v>14</v>
      </c>
      <c r="P93" s="107"/>
      <c r="Q93" s="107"/>
      <c r="R93" s="107"/>
      <c r="S93" s="141"/>
    </row>
    <row r="94" spans="1:19" x14ac:dyDescent="0.2">
      <c r="A94" s="140"/>
      <c r="B94" s="146"/>
      <c r="C94" s="74">
        <v>748</v>
      </c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27" t="str">
        <f>CONCATENATE("PAINEL BP ",P29," ",Q$70,"X",R$70,"X",S$70)</f>
        <v>PAINEL BP PECAN 1744X776X18</v>
      </c>
      <c r="P94" s="107"/>
      <c r="Q94" s="107"/>
      <c r="R94" s="107"/>
      <c r="S94" s="141"/>
    </row>
    <row r="95" spans="1:19" x14ac:dyDescent="0.2">
      <c r="A95" s="140"/>
      <c r="B95" s="146"/>
      <c r="C95" s="74" t="s">
        <v>14</v>
      </c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27" t="s">
        <v>14</v>
      </c>
      <c r="P95" s="107"/>
      <c r="Q95" s="107"/>
      <c r="R95" s="107"/>
      <c r="S95" s="141"/>
    </row>
    <row r="96" spans="1:19" x14ac:dyDescent="0.2">
      <c r="A96" s="140"/>
      <c r="B96" s="146"/>
      <c r="C96" s="74" t="s">
        <v>14</v>
      </c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27" t="s">
        <v>14</v>
      </c>
      <c r="P96" s="107"/>
      <c r="Q96" s="107"/>
      <c r="R96" s="107"/>
      <c r="S96" s="141"/>
    </row>
    <row r="97" spans="1:19" x14ac:dyDescent="0.2">
      <c r="A97" s="140"/>
      <c r="B97" s="146"/>
      <c r="C97" s="74" t="s">
        <v>14</v>
      </c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27" t="s">
        <v>14</v>
      </c>
      <c r="P97" s="107"/>
      <c r="Q97" s="107"/>
      <c r="R97" s="107"/>
      <c r="S97" s="141"/>
    </row>
    <row r="98" spans="1:19" x14ac:dyDescent="0.2">
      <c r="A98" s="140"/>
      <c r="B98" s="146"/>
      <c r="C98" s="74">
        <v>722</v>
      </c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27" t="str">
        <f>CONCATENATE("PAINEL BP ",P33," ",Q$70,"X",R$70,"X",S$70)</f>
        <v>PAINEL BP ROCA 1744X776X18</v>
      </c>
      <c r="P98" s="107"/>
      <c r="Q98" s="107"/>
      <c r="R98" s="107"/>
      <c r="S98" s="141"/>
    </row>
    <row r="99" spans="1:19" x14ac:dyDescent="0.2">
      <c r="A99" s="140"/>
      <c r="B99" s="146"/>
      <c r="C99" s="74">
        <v>723</v>
      </c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27" t="str">
        <f>CONCATENATE("PAINEL BP ",P34," ",Q$70,"X",R$70,"X",S$70)</f>
        <v>PAINEL BP WALNUT 1744X776X18</v>
      </c>
      <c r="P99" s="107"/>
      <c r="Q99" s="107"/>
      <c r="R99" s="107"/>
      <c r="S99" s="141"/>
    </row>
    <row r="100" spans="1:19" ht="13.5" thickBot="1" x14ac:dyDescent="0.25">
      <c r="A100" s="145"/>
      <c r="B100" s="147"/>
      <c r="C100" s="78">
        <v>725</v>
      </c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52" t="str">
        <f>CONCATENATE("PAINEL BP ",P35," ",Q$70,"X",R$70,"X",S$70)</f>
        <v>PAINEL BP PANDORA 1744X776X18</v>
      </c>
      <c r="P100" s="148"/>
      <c r="Q100" s="148"/>
      <c r="R100" s="148"/>
      <c r="S100" s="142"/>
    </row>
  </sheetData>
  <mergeCells count="47">
    <mergeCell ref="R39:R40"/>
    <mergeCell ref="S39:S40"/>
    <mergeCell ref="D69:N69"/>
    <mergeCell ref="Q69:S69"/>
    <mergeCell ref="P49:P50"/>
    <mergeCell ref="Q49:Q50"/>
    <mergeCell ref="R49:R50"/>
    <mergeCell ref="S49:S50"/>
    <mergeCell ref="R44:R45"/>
    <mergeCell ref="S44:S45"/>
    <mergeCell ref="S70:S100"/>
    <mergeCell ref="A68:S68"/>
    <mergeCell ref="P54:P55"/>
    <mergeCell ref="Q54:Q55"/>
    <mergeCell ref="R54:R55"/>
    <mergeCell ref="S54:S55"/>
    <mergeCell ref="A70:A100"/>
    <mergeCell ref="B70:B100"/>
    <mergeCell ref="P70:P100"/>
    <mergeCell ref="Q70:Q100"/>
    <mergeCell ref="R70:R100"/>
    <mergeCell ref="P37:P38"/>
    <mergeCell ref="P44:P45"/>
    <mergeCell ref="Q44:Q45"/>
    <mergeCell ref="A3:A4"/>
    <mergeCell ref="B3:C4"/>
    <mergeCell ref="A37:A38"/>
    <mergeCell ref="B37:B38"/>
    <mergeCell ref="C37:C38"/>
    <mergeCell ref="P39:P40"/>
    <mergeCell ref="Q39:Q40"/>
    <mergeCell ref="A1:S1"/>
    <mergeCell ref="A2:S2"/>
    <mergeCell ref="Q37:S37"/>
    <mergeCell ref="A5:A35"/>
    <mergeCell ref="B5:C35"/>
    <mergeCell ref="O5:O35"/>
    <mergeCell ref="Q5:Q35"/>
    <mergeCell ref="R5:R35"/>
    <mergeCell ref="D3:N3"/>
    <mergeCell ref="O3:O4"/>
    <mergeCell ref="P3:P4"/>
    <mergeCell ref="Q3:S3"/>
    <mergeCell ref="S5:S35"/>
    <mergeCell ref="A36:S36"/>
    <mergeCell ref="D37:N37"/>
    <mergeCell ref="O37:O3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B4B5-3654-43D4-9FF0-B05CA1DF6DFE}">
  <sheetPr codeName="Planilha16"/>
  <dimension ref="A1:AA507"/>
  <sheetViews>
    <sheetView showGridLines="0" zoomScaleNormal="100" workbookViewId="0">
      <selection sqref="A1:X1048576"/>
    </sheetView>
  </sheetViews>
  <sheetFormatPr defaultColWidth="12" defaultRowHeight="12.75" x14ac:dyDescent="0.2"/>
  <cols>
    <col min="1" max="1" width="6.42578125" style="38" bestFit="1" customWidth="1"/>
    <col min="2" max="2" width="14.42578125" style="37" bestFit="1" customWidth="1"/>
    <col min="3" max="3" width="7.28515625" style="38" bestFit="1" customWidth="1"/>
    <col min="4" max="4" width="14.28515625" style="45" bestFit="1" customWidth="1"/>
    <col min="5" max="5" width="6.28515625" style="38" bestFit="1" customWidth="1"/>
    <col min="6" max="6" width="6.42578125" style="38" bestFit="1" customWidth="1"/>
    <col min="7" max="8" width="7" style="38" bestFit="1" customWidth="1"/>
    <col min="9" max="9" width="6.28515625" style="38" bestFit="1" customWidth="1"/>
    <col min="10" max="10" width="6.5703125" style="38" bestFit="1" customWidth="1"/>
    <col min="11" max="11" width="6.7109375" style="38" bestFit="1" customWidth="1"/>
    <col min="12" max="12" width="7" style="38" bestFit="1" customWidth="1"/>
    <col min="13" max="14" width="10.85546875" style="38" bestFit="1" customWidth="1"/>
    <col min="15" max="15" width="6.42578125" style="38" bestFit="1" customWidth="1"/>
    <col min="16" max="16" width="7" style="38" bestFit="1" customWidth="1"/>
    <col min="17" max="17" width="7.140625" style="38" bestFit="1" customWidth="1"/>
    <col min="18" max="18" width="7.28515625" style="38" bestFit="1" customWidth="1"/>
    <col min="19" max="19" width="6.5703125" style="38" bestFit="1" customWidth="1"/>
    <col min="20" max="20" width="6.28515625" style="38" bestFit="1" customWidth="1"/>
    <col min="21" max="21" width="7" style="38" bestFit="1" customWidth="1"/>
    <col min="22" max="22" width="5.5703125" style="38" bestFit="1" customWidth="1"/>
    <col min="23" max="24" width="6.5703125" style="38" bestFit="1" customWidth="1"/>
    <col min="25" max="25" width="7" style="37" bestFit="1" customWidth="1"/>
    <col min="26" max="26" width="8" bestFit="1" customWidth="1"/>
    <col min="27" max="27" width="7" bestFit="1" customWidth="1"/>
    <col min="28" max="28" width="7.85546875" customWidth="1"/>
    <col min="29" max="29" width="13.28515625" bestFit="1" customWidth="1"/>
    <col min="30" max="30" width="7.85546875" customWidth="1"/>
    <col min="31" max="31" width="4.7109375" customWidth="1"/>
  </cols>
  <sheetData>
    <row r="1" spans="1:27" x14ac:dyDescent="0.2">
      <c r="A1" s="38" t="s">
        <v>76</v>
      </c>
      <c r="B1" s="37" t="s">
        <v>77</v>
      </c>
      <c r="C1" s="38" t="s">
        <v>78</v>
      </c>
      <c r="D1" s="45" t="s">
        <v>79</v>
      </c>
      <c r="E1" s="38" t="s">
        <v>80</v>
      </c>
      <c r="F1" s="38" t="s">
        <v>81</v>
      </c>
      <c r="G1" s="38" t="s">
        <v>82</v>
      </c>
      <c r="H1" s="38" t="s">
        <v>83</v>
      </c>
      <c r="I1" s="38" t="s">
        <v>84</v>
      </c>
      <c r="J1" s="38" t="s">
        <v>85</v>
      </c>
      <c r="K1" s="38" t="s">
        <v>86</v>
      </c>
      <c r="L1" s="38" t="s">
        <v>87</v>
      </c>
      <c r="M1" s="38" t="s">
        <v>88</v>
      </c>
      <c r="N1" s="38" t="s">
        <v>89</v>
      </c>
      <c r="O1" s="38" t="s">
        <v>90</v>
      </c>
      <c r="P1" s="38" t="s">
        <v>91</v>
      </c>
      <c r="Q1" s="38" t="s">
        <v>92</v>
      </c>
      <c r="R1" s="38" t="s">
        <v>93</v>
      </c>
      <c r="S1" s="38" t="s">
        <v>94</v>
      </c>
      <c r="T1" s="38" t="s">
        <v>95</v>
      </c>
      <c r="U1" s="38" t="s">
        <v>96</v>
      </c>
      <c r="V1" s="38" t="s">
        <v>97</v>
      </c>
      <c r="W1" s="38" t="s">
        <v>98</v>
      </c>
      <c r="X1" s="38" t="s">
        <v>99</v>
      </c>
      <c r="Y1" s="81">
        <v>5</v>
      </c>
      <c r="Z1" s="82">
        <v>4</v>
      </c>
    </row>
    <row r="2" spans="1:27" x14ac:dyDescent="0.2">
      <c r="A2" s="38">
        <v>1</v>
      </c>
      <c r="B2" s="37">
        <v>9292003300307</v>
      </c>
      <c r="C2" s="38">
        <v>10</v>
      </c>
      <c r="D2" s="45" t="s">
        <v>405</v>
      </c>
      <c r="F2" s="38" t="s">
        <v>100</v>
      </c>
      <c r="G2" s="38">
        <v>0</v>
      </c>
      <c r="H2" s="38">
        <v>100</v>
      </c>
      <c r="K2" s="38">
        <v>1</v>
      </c>
      <c r="L2" s="38" t="s">
        <v>101</v>
      </c>
      <c r="M2" s="38" t="s">
        <v>406</v>
      </c>
      <c r="N2" s="38" t="s">
        <v>102</v>
      </c>
      <c r="P2" s="38">
        <v>0</v>
      </c>
      <c r="U2" s="38">
        <v>4</v>
      </c>
      <c r="V2" s="38">
        <v>1</v>
      </c>
      <c r="W2" s="38" t="s">
        <v>103</v>
      </c>
      <c r="X2" s="38">
        <v>0</v>
      </c>
      <c r="AA2" s="45"/>
    </row>
    <row r="3" spans="1:27" x14ac:dyDescent="0.2">
      <c r="A3" s="38">
        <v>1</v>
      </c>
      <c r="B3" s="37">
        <v>9292003300307</v>
      </c>
      <c r="C3" s="38">
        <v>20</v>
      </c>
      <c r="D3" s="45">
        <v>5701603300307</v>
      </c>
      <c r="F3" s="38" t="s">
        <v>100</v>
      </c>
      <c r="G3" s="38">
        <v>0</v>
      </c>
      <c r="H3" s="38">
        <v>100</v>
      </c>
      <c r="K3" s="38">
        <v>1</v>
      </c>
      <c r="L3" s="38" t="s">
        <v>101</v>
      </c>
      <c r="M3" s="38" t="s">
        <v>406</v>
      </c>
      <c r="N3" s="38" t="s">
        <v>102</v>
      </c>
      <c r="P3" s="38">
        <v>0</v>
      </c>
      <c r="U3" s="38">
        <v>4</v>
      </c>
      <c r="V3" s="38">
        <v>1</v>
      </c>
      <c r="W3" s="38" t="s">
        <v>103</v>
      </c>
      <c r="X3" s="38">
        <v>0</v>
      </c>
      <c r="AA3" s="45"/>
    </row>
    <row r="4" spans="1:27" x14ac:dyDescent="0.2">
      <c r="A4" s="38">
        <v>1</v>
      </c>
      <c r="B4" s="37">
        <v>9292003301307</v>
      </c>
      <c r="C4" s="38">
        <v>10</v>
      </c>
      <c r="D4" s="45" t="s">
        <v>405</v>
      </c>
      <c r="F4" s="38" t="s">
        <v>100</v>
      </c>
      <c r="G4" s="38">
        <v>0</v>
      </c>
      <c r="H4" s="38">
        <v>100</v>
      </c>
      <c r="K4" s="38">
        <v>1</v>
      </c>
      <c r="L4" s="38" t="s">
        <v>101</v>
      </c>
      <c r="M4" s="38" t="s">
        <v>406</v>
      </c>
      <c r="N4" s="38" t="s">
        <v>102</v>
      </c>
      <c r="P4" s="38">
        <v>0</v>
      </c>
      <c r="U4" s="38">
        <v>4</v>
      </c>
      <c r="V4" s="38">
        <v>1</v>
      </c>
      <c r="W4" s="38" t="s">
        <v>103</v>
      </c>
      <c r="X4" s="38">
        <v>0</v>
      </c>
      <c r="AA4" s="45"/>
    </row>
    <row r="5" spans="1:27" x14ac:dyDescent="0.2">
      <c r="A5" s="38">
        <v>1</v>
      </c>
      <c r="B5" s="37">
        <v>9292003301307</v>
      </c>
      <c r="C5" s="38">
        <v>20</v>
      </c>
      <c r="D5" s="45">
        <v>5701603301307</v>
      </c>
      <c r="F5" s="38" t="s">
        <v>100</v>
      </c>
      <c r="G5" s="38">
        <v>0</v>
      </c>
      <c r="H5" s="38">
        <v>100</v>
      </c>
      <c r="K5" s="38">
        <v>1</v>
      </c>
      <c r="L5" s="38" t="s">
        <v>101</v>
      </c>
      <c r="M5" s="38" t="s">
        <v>406</v>
      </c>
      <c r="N5" s="38" t="s">
        <v>102</v>
      </c>
      <c r="P5" s="38">
        <v>0</v>
      </c>
      <c r="U5" s="38">
        <v>4</v>
      </c>
      <c r="V5" s="38">
        <v>1</v>
      </c>
      <c r="W5" s="38" t="s">
        <v>103</v>
      </c>
      <c r="X5" s="38">
        <v>0</v>
      </c>
      <c r="AA5" s="45"/>
    </row>
    <row r="6" spans="1:27" x14ac:dyDescent="0.2">
      <c r="A6" s="38">
        <v>1</v>
      </c>
      <c r="B6" s="37">
        <v>9292003302307</v>
      </c>
      <c r="C6" s="38">
        <v>10</v>
      </c>
      <c r="D6" s="45" t="s">
        <v>405</v>
      </c>
      <c r="F6" s="38" t="s">
        <v>100</v>
      </c>
      <c r="G6" s="38">
        <v>0</v>
      </c>
      <c r="H6" s="38">
        <v>100</v>
      </c>
      <c r="K6" s="38">
        <v>1</v>
      </c>
      <c r="L6" s="38" t="s">
        <v>101</v>
      </c>
      <c r="M6" s="38" t="s">
        <v>406</v>
      </c>
      <c r="N6" s="38" t="s">
        <v>102</v>
      </c>
      <c r="P6" s="38">
        <v>0</v>
      </c>
      <c r="U6" s="38">
        <v>4</v>
      </c>
      <c r="V6" s="38">
        <v>1</v>
      </c>
      <c r="W6" s="38" t="s">
        <v>103</v>
      </c>
      <c r="X6" s="38">
        <v>0</v>
      </c>
      <c r="AA6" s="45"/>
    </row>
    <row r="7" spans="1:27" x14ac:dyDescent="0.2">
      <c r="A7" s="38">
        <v>1</v>
      </c>
      <c r="B7" s="37">
        <v>9292003302307</v>
      </c>
      <c r="C7" s="38">
        <v>20</v>
      </c>
      <c r="D7" s="45">
        <v>5701603302307</v>
      </c>
      <c r="F7" s="38" t="s">
        <v>100</v>
      </c>
      <c r="G7" s="38">
        <v>0</v>
      </c>
      <c r="H7" s="38">
        <v>100</v>
      </c>
      <c r="K7" s="38">
        <v>1</v>
      </c>
      <c r="L7" s="38" t="s">
        <v>101</v>
      </c>
      <c r="M7" s="38" t="s">
        <v>406</v>
      </c>
      <c r="N7" s="38" t="s">
        <v>102</v>
      </c>
      <c r="P7" s="38">
        <v>0</v>
      </c>
      <c r="U7" s="38">
        <v>4</v>
      </c>
      <c r="V7" s="38">
        <v>1</v>
      </c>
      <c r="W7" s="38" t="s">
        <v>103</v>
      </c>
      <c r="X7" s="38">
        <v>0</v>
      </c>
      <c r="AA7" s="45"/>
    </row>
    <row r="8" spans="1:27" x14ac:dyDescent="0.2">
      <c r="A8" s="38">
        <v>1</v>
      </c>
      <c r="B8" s="37">
        <v>9292003303307</v>
      </c>
      <c r="C8" s="38">
        <v>10</v>
      </c>
      <c r="D8" s="45" t="s">
        <v>405</v>
      </c>
      <c r="F8" s="38" t="s">
        <v>100</v>
      </c>
      <c r="G8" s="38">
        <v>0</v>
      </c>
      <c r="H8" s="38">
        <v>100</v>
      </c>
      <c r="K8" s="38">
        <v>1</v>
      </c>
      <c r="L8" s="38" t="s">
        <v>101</v>
      </c>
      <c r="M8" s="38" t="s">
        <v>406</v>
      </c>
      <c r="N8" s="38" t="s">
        <v>102</v>
      </c>
      <c r="P8" s="38">
        <v>0</v>
      </c>
      <c r="U8" s="38">
        <v>4</v>
      </c>
      <c r="V8" s="38">
        <v>1</v>
      </c>
      <c r="W8" s="38" t="s">
        <v>103</v>
      </c>
      <c r="X8" s="38">
        <v>0</v>
      </c>
      <c r="AA8" s="45"/>
    </row>
    <row r="9" spans="1:27" x14ac:dyDescent="0.2">
      <c r="A9" s="38">
        <v>1</v>
      </c>
      <c r="B9" s="37">
        <v>9292003303307</v>
      </c>
      <c r="C9" s="38">
        <v>20</v>
      </c>
      <c r="D9" s="45">
        <v>5701603303307</v>
      </c>
      <c r="F9" s="38" t="s">
        <v>100</v>
      </c>
      <c r="G9" s="38">
        <v>0</v>
      </c>
      <c r="H9" s="38">
        <v>100</v>
      </c>
      <c r="K9" s="38">
        <v>1</v>
      </c>
      <c r="L9" s="38" t="s">
        <v>101</v>
      </c>
      <c r="M9" s="38" t="s">
        <v>406</v>
      </c>
      <c r="N9" s="38" t="s">
        <v>102</v>
      </c>
      <c r="P9" s="38">
        <v>0</v>
      </c>
      <c r="U9" s="38">
        <v>4</v>
      </c>
      <c r="V9" s="38">
        <v>1</v>
      </c>
      <c r="W9" s="38" t="s">
        <v>103</v>
      </c>
      <c r="X9" s="38">
        <v>0</v>
      </c>
      <c r="AA9" s="45"/>
    </row>
    <row r="10" spans="1:27" x14ac:dyDescent="0.2">
      <c r="A10" s="38">
        <v>1</v>
      </c>
      <c r="B10" s="37">
        <v>9292003304307</v>
      </c>
      <c r="C10" s="38">
        <v>10</v>
      </c>
      <c r="D10" s="45" t="s">
        <v>405</v>
      </c>
      <c r="F10" s="38" t="s">
        <v>100</v>
      </c>
      <c r="G10" s="38">
        <v>0</v>
      </c>
      <c r="H10" s="38">
        <v>100</v>
      </c>
      <c r="K10" s="38">
        <v>1</v>
      </c>
      <c r="L10" s="38" t="s">
        <v>101</v>
      </c>
      <c r="M10" s="38" t="s">
        <v>406</v>
      </c>
      <c r="N10" s="38" t="s">
        <v>102</v>
      </c>
      <c r="P10" s="38">
        <v>0</v>
      </c>
      <c r="U10" s="38">
        <v>4</v>
      </c>
      <c r="V10" s="38">
        <v>1</v>
      </c>
      <c r="W10" s="38" t="s">
        <v>103</v>
      </c>
      <c r="X10" s="38">
        <v>0</v>
      </c>
      <c r="AA10" s="45"/>
    </row>
    <row r="11" spans="1:27" x14ac:dyDescent="0.2">
      <c r="A11" s="38">
        <v>1</v>
      </c>
      <c r="B11" s="37">
        <v>9292003304307</v>
      </c>
      <c r="C11" s="38">
        <v>20</v>
      </c>
      <c r="D11" s="45">
        <v>5701603304307</v>
      </c>
      <c r="F11" s="38" t="s">
        <v>100</v>
      </c>
      <c r="G11" s="38">
        <v>0</v>
      </c>
      <c r="H11" s="38">
        <v>100</v>
      </c>
      <c r="K11" s="38">
        <v>1</v>
      </c>
      <c r="L11" s="38" t="s">
        <v>101</v>
      </c>
      <c r="M11" s="38" t="s">
        <v>406</v>
      </c>
      <c r="N11" s="38" t="s">
        <v>102</v>
      </c>
      <c r="P11" s="38">
        <v>0</v>
      </c>
      <c r="U11" s="38">
        <v>4</v>
      </c>
      <c r="V11" s="38">
        <v>1</v>
      </c>
      <c r="W11" s="38" t="s">
        <v>103</v>
      </c>
      <c r="X11" s="38">
        <v>0</v>
      </c>
      <c r="AA11" s="45"/>
    </row>
    <row r="12" spans="1:27" x14ac:dyDescent="0.2">
      <c r="A12" s="38">
        <v>1</v>
      </c>
      <c r="B12" s="37">
        <v>9292003305307</v>
      </c>
      <c r="C12" s="38">
        <v>10</v>
      </c>
      <c r="D12" s="45" t="s">
        <v>405</v>
      </c>
      <c r="F12" s="38" t="s">
        <v>100</v>
      </c>
      <c r="G12" s="38">
        <v>0</v>
      </c>
      <c r="H12" s="38">
        <v>100</v>
      </c>
      <c r="K12" s="38">
        <v>1</v>
      </c>
      <c r="L12" s="38" t="s">
        <v>101</v>
      </c>
      <c r="M12" s="38" t="s">
        <v>406</v>
      </c>
      <c r="N12" s="38" t="s">
        <v>102</v>
      </c>
      <c r="P12" s="38">
        <v>0</v>
      </c>
      <c r="U12" s="38">
        <v>4</v>
      </c>
      <c r="V12" s="38">
        <v>1</v>
      </c>
      <c r="W12" s="38" t="s">
        <v>103</v>
      </c>
      <c r="X12" s="38">
        <v>0</v>
      </c>
      <c r="AA12" s="45"/>
    </row>
    <row r="13" spans="1:27" x14ac:dyDescent="0.2">
      <c r="A13" s="38">
        <v>1</v>
      </c>
      <c r="B13" s="37">
        <v>9292003305307</v>
      </c>
      <c r="C13" s="38">
        <v>20</v>
      </c>
      <c r="D13" s="45">
        <v>5701603305307</v>
      </c>
      <c r="F13" s="38" t="s">
        <v>100</v>
      </c>
      <c r="G13" s="38">
        <v>0</v>
      </c>
      <c r="H13" s="38">
        <v>100</v>
      </c>
      <c r="K13" s="38">
        <v>1</v>
      </c>
      <c r="L13" s="38" t="s">
        <v>101</v>
      </c>
      <c r="M13" s="38" t="s">
        <v>406</v>
      </c>
      <c r="N13" s="38" t="s">
        <v>102</v>
      </c>
      <c r="P13" s="38">
        <v>0</v>
      </c>
      <c r="U13" s="38">
        <v>4</v>
      </c>
      <c r="V13" s="38">
        <v>1</v>
      </c>
      <c r="W13" s="38" t="s">
        <v>103</v>
      </c>
      <c r="X13" s="38">
        <v>0</v>
      </c>
      <c r="AA13" s="45"/>
    </row>
    <row r="14" spans="1:27" x14ac:dyDescent="0.2">
      <c r="A14" s="38">
        <v>1</v>
      </c>
      <c r="B14" s="37">
        <v>9292003306307</v>
      </c>
      <c r="C14" s="38">
        <v>10</v>
      </c>
      <c r="D14" s="45" t="s">
        <v>405</v>
      </c>
      <c r="F14" s="38" t="s">
        <v>100</v>
      </c>
      <c r="G14" s="38">
        <v>0</v>
      </c>
      <c r="H14" s="38">
        <v>100</v>
      </c>
      <c r="K14" s="38">
        <v>1</v>
      </c>
      <c r="L14" s="38" t="s">
        <v>101</v>
      </c>
      <c r="M14" s="38" t="s">
        <v>406</v>
      </c>
      <c r="N14" s="38" t="s">
        <v>102</v>
      </c>
      <c r="P14" s="38">
        <v>0</v>
      </c>
      <c r="U14" s="38">
        <v>4</v>
      </c>
      <c r="V14" s="38">
        <v>1</v>
      </c>
      <c r="W14" s="38" t="s">
        <v>103</v>
      </c>
      <c r="X14" s="38">
        <v>0</v>
      </c>
      <c r="AA14" s="45"/>
    </row>
    <row r="15" spans="1:27" x14ac:dyDescent="0.2">
      <c r="A15" s="38">
        <v>1</v>
      </c>
      <c r="B15" s="37">
        <v>9292003306307</v>
      </c>
      <c r="C15" s="38">
        <v>20</v>
      </c>
      <c r="D15" s="45">
        <v>5701603306307</v>
      </c>
      <c r="F15" s="38" t="s">
        <v>100</v>
      </c>
      <c r="G15" s="38">
        <v>0</v>
      </c>
      <c r="H15" s="38">
        <v>100</v>
      </c>
      <c r="K15" s="38">
        <v>1</v>
      </c>
      <c r="L15" s="38" t="s">
        <v>101</v>
      </c>
      <c r="M15" s="38" t="s">
        <v>406</v>
      </c>
      <c r="N15" s="38" t="s">
        <v>102</v>
      </c>
      <c r="P15" s="38">
        <v>0</v>
      </c>
      <c r="U15" s="38">
        <v>4</v>
      </c>
      <c r="V15" s="38">
        <v>1</v>
      </c>
      <c r="W15" s="38" t="s">
        <v>103</v>
      </c>
      <c r="X15" s="38">
        <v>0</v>
      </c>
      <c r="AA15" s="45"/>
    </row>
    <row r="16" spans="1:27" x14ac:dyDescent="0.2">
      <c r="A16" s="38">
        <v>1</v>
      </c>
      <c r="B16" s="37">
        <v>9292003307307</v>
      </c>
      <c r="C16" s="38">
        <v>10</v>
      </c>
      <c r="D16" s="45" t="s">
        <v>405</v>
      </c>
      <c r="F16" s="38" t="s">
        <v>100</v>
      </c>
      <c r="G16" s="38">
        <v>0</v>
      </c>
      <c r="H16" s="38">
        <v>100</v>
      </c>
      <c r="K16" s="38">
        <v>1</v>
      </c>
      <c r="L16" s="38" t="s">
        <v>101</v>
      </c>
      <c r="M16" s="38" t="s">
        <v>406</v>
      </c>
      <c r="N16" s="38" t="s">
        <v>102</v>
      </c>
      <c r="P16" s="38">
        <v>0</v>
      </c>
      <c r="U16" s="38">
        <v>4</v>
      </c>
      <c r="V16" s="38">
        <v>1</v>
      </c>
      <c r="W16" s="38" t="s">
        <v>103</v>
      </c>
      <c r="X16" s="38">
        <v>0</v>
      </c>
      <c r="AA16" s="45"/>
    </row>
    <row r="17" spans="1:27" x14ac:dyDescent="0.2">
      <c r="A17" s="38">
        <v>1</v>
      </c>
      <c r="B17" s="37">
        <v>9292003307307</v>
      </c>
      <c r="C17" s="38">
        <v>20</v>
      </c>
      <c r="D17" s="45">
        <v>5701603307307</v>
      </c>
      <c r="F17" s="38" t="s">
        <v>100</v>
      </c>
      <c r="G17" s="38">
        <v>0</v>
      </c>
      <c r="H17" s="38">
        <v>100</v>
      </c>
      <c r="K17" s="38">
        <v>1</v>
      </c>
      <c r="L17" s="38" t="s">
        <v>101</v>
      </c>
      <c r="M17" s="38" t="s">
        <v>406</v>
      </c>
      <c r="N17" s="38" t="s">
        <v>102</v>
      </c>
      <c r="P17" s="38">
        <v>0</v>
      </c>
      <c r="U17" s="38">
        <v>4</v>
      </c>
      <c r="V17" s="38">
        <v>1</v>
      </c>
      <c r="W17" s="38" t="s">
        <v>103</v>
      </c>
      <c r="X17" s="38">
        <v>0</v>
      </c>
      <c r="AA17" s="45"/>
    </row>
    <row r="18" spans="1:27" x14ac:dyDescent="0.2">
      <c r="A18" s="38">
        <v>1</v>
      </c>
      <c r="B18" s="37">
        <v>9292003308307</v>
      </c>
      <c r="C18" s="38">
        <v>10</v>
      </c>
      <c r="D18" s="45" t="s">
        <v>405</v>
      </c>
      <c r="F18" s="38" t="s">
        <v>100</v>
      </c>
      <c r="G18" s="38">
        <v>0</v>
      </c>
      <c r="H18" s="38">
        <v>100</v>
      </c>
      <c r="K18" s="38">
        <v>1</v>
      </c>
      <c r="L18" s="38" t="s">
        <v>101</v>
      </c>
      <c r="M18" s="38" t="s">
        <v>406</v>
      </c>
      <c r="N18" s="38" t="s">
        <v>102</v>
      </c>
      <c r="P18" s="38">
        <v>0</v>
      </c>
      <c r="U18" s="38">
        <v>4</v>
      </c>
      <c r="V18" s="38">
        <v>1</v>
      </c>
      <c r="W18" s="38" t="s">
        <v>103</v>
      </c>
      <c r="X18" s="38">
        <v>0</v>
      </c>
      <c r="AA18" s="45"/>
    </row>
    <row r="19" spans="1:27" x14ac:dyDescent="0.2">
      <c r="A19" s="38">
        <v>1</v>
      </c>
      <c r="B19" s="37">
        <v>9292003308307</v>
      </c>
      <c r="C19" s="38">
        <v>20</v>
      </c>
      <c r="D19" s="45">
        <v>5701603308307</v>
      </c>
      <c r="F19" s="38" t="s">
        <v>100</v>
      </c>
      <c r="G19" s="38">
        <v>0</v>
      </c>
      <c r="H19" s="38">
        <v>100</v>
      </c>
      <c r="K19" s="38">
        <v>1</v>
      </c>
      <c r="L19" s="38" t="s">
        <v>101</v>
      </c>
      <c r="M19" s="38" t="s">
        <v>406</v>
      </c>
      <c r="N19" s="38" t="s">
        <v>102</v>
      </c>
      <c r="P19" s="38">
        <v>0</v>
      </c>
      <c r="U19" s="38">
        <v>4</v>
      </c>
      <c r="V19" s="38">
        <v>1</v>
      </c>
      <c r="W19" s="38" t="s">
        <v>103</v>
      </c>
      <c r="X19" s="38">
        <v>0</v>
      </c>
      <c r="AA19" s="45"/>
    </row>
    <row r="20" spans="1:27" x14ac:dyDescent="0.2">
      <c r="A20" s="38">
        <v>1</v>
      </c>
      <c r="B20" s="37">
        <v>9292003309307</v>
      </c>
      <c r="C20" s="38">
        <v>10</v>
      </c>
      <c r="D20" s="45" t="s">
        <v>405</v>
      </c>
      <c r="F20" s="38" t="s">
        <v>100</v>
      </c>
      <c r="G20" s="38">
        <v>0</v>
      </c>
      <c r="H20" s="38">
        <v>100</v>
      </c>
      <c r="K20" s="38">
        <v>1</v>
      </c>
      <c r="L20" s="38" t="s">
        <v>101</v>
      </c>
      <c r="M20" s="38" t="s">
        <v>406</v>
      </c>
      <c r="N20" s="38" t="s">
        <v>102</v>
      </c>
      <c r="P20" s="38">
        <v>0</v>
      </c>
      <c r="U20" s="38">
        <v>4</v>
      </c>
      <c r="V20" s="38">
        <v>1</v>
      </c>
      <c r="W20" s="38" t="s">
        <v>103</v>
      </c>
      <c r="X20" s="38">
        <v>0</v>
      </c>
      <c r="AA20" s="45"/>
    </row>
    <row r="21" spans="1:27" x14ac:dyDescent="0.2">
      <c r="A21" s="38">
        <v>1</v>
      </c>
      <c r="B21" s="37">
        <v>9292003309307</v>
      </c>
      <c r="C21" s="38">
        <v>20</v>
      </c>
      <c r="D21" s="45">
        <v>5701603309307</v>
      </c>
      <c r="F21" s="38" t="s">
        <v>100</v>
      </c>
      <c r="G21" s="38">
        <v>0</v>
      </c>
      <c r="H21" s="38">
        <v>100</v>
      </c>
      <c r="K21" s="38">
        <v>1</v>
      </c>
      <c r="L21" s="38" t="s">
        <v>101</v>
      </c>
      <c r="M21" s="38" t="s">
        <v>406</v>
      </c>
      <c r="N21" s="38" t="s">
        <v>102</v>
      </c>
      <c r="P21" s="38">
        <v>0</v>
      </c>
      <c r="U21" s="38">
        <v>4</v>
      </c>
      <c r="V21" s="38">
        <v>1</v>
      </c>
      <c r="W21" s="38" t="s">
        <v>103</v>
      </c>
      <c r="X21" s="38">
        <v>0</v>
      </c>
      <c r="AA21" s="45"/>
    </row>
    <row r="22" spans="1:27" x14ac:dyDescent="0.2">
      <c r="A22" s="38">
        <v>1</v>
      </c>
      <c r="B22" s="37">
        <v>9292003310307</v>
      </c>
      <c r="C22" s="38">
        <v>10</v>
      </c>
      <c r="D22" s="45" t="s">
        <v>405</v>
      </c>
      <c r="F22" s="38" t="s">
        <v>100</v>
      </c>
      <c r="G22" s="38">
        <v>0</v>
      </c>
      <c r="H22" s="38">
        <v>100</v>
      </c>
      <c r="K22" s="38">
        <v>1</v>
      </c>
      <c r="L22" s="38" t="s">
        <v>101</v>
      </c>
      <c r="M22" s="38" t="s">
        <v>406</v>
      </c>
      <c r="N22" s="38" t="s">
        <v>102</v>
      </c>
      <c r="P22" s="38">
        <v>0</v>
      </c>
      <c r="U22" s="38">
        <v>4</v>
      </c>
      <c r="V22" s="38">
        <v>1</v>
      </c>
      <c r="W22" s="38" t="s">
        <v>103</v>
      </c>
      <c r="X22" s="38">
        <v>0</v>
      </c>
      <c r="AA22" s="45"/>
    </row>
    <row r="23" spans="1:27" x14ac:dyDescent="0.2">
      <c r="A23" s="38">
        <v>1</v>
      </c>
      <c r="B23" s="37">
        <v>9292003310307</v>
      </c>
      <c r="C23" s="38">
        <v>20</v>
      </c>
      <c r="D23" s="45">
        <v>5701603310307</v>
      </c>
      <c r="F23" s="38" t="s">
        <v>100</v>
      </c>
      <c r="G23" s="38">
        <v>0</v>
      </c>
      <c r="H23" s="38">
        <v>100</v>
      </c>
      <c r="K23" s="38">
        <v>1</v>
      </c>
      <c r="L23" s="38" t="s">
        <v>101</v>
      </c>
      <c r="M23" s="38" t="s">
        <v>406</v>
      </c>
      <c r="N23" s="38" t="s">
        <v>102</v>
      </c>
      <c r="P23" s="38">
        <v>0</v>
      </c>
      <c r="U23" s="38">
        <v>4</v>
      </c>
      <c r="V23" s="38">
        <v>1</v>
      </c>
      <c r="W23" s="38" t="s">
        <v>103</v>
      </c>
      <c r="X23" s="38">
        <v>0</v>
      </c>
      <c r="AA23" s="45"/>
    </row>
    <row r="24" spans="1:27" x14ac:dyDescent="0.2">
      <c r="A24" s="38">
        <v>1</v>
      </c>
      <c r="B24" s="37">
        <v>9292003300302</v>
      </c>
      <c r="C24" s="38">
        <v>10</v>
      </c>
      <c r="D24" s="45" t="s">
        <v>405</v>
      </c>
      <c r="F24" s="38" t="s">
        <v>100</v>
      </c>
      <c r="G24" s="38">
        <v>0</v>
      </c>
      <c r="H24" s="38">
        <v>100</v>
      </c>
      <c r="K24" s="38">
        <v>1</v>
      </c>
      <c r="L24" s="38" t="s">
        <v>101</v>
      </c>
      <c r="M24" s="38" t="s">
        <v>406</v>
      </c>
      <c r="N24" s="38" t="s">
        <v>102</v>
      </c>
      <c r="P24" s="38">
        <v>0</v>
      </c>
      <c r="U24" s="38">
        <v>4</v>
      </c>
      <c r="V24" s="38">
        <v>1</v>
      </c>
      <c r="W24" s="38" t="s">
        <v>103</v>
      </c>
      <c r="X24" s="38">
        <v>0</v>
      </c>
      <c r="AA24" s="45"/>
    </row>
    <row r="25" spans="1:27" x14ac:dyDescent="0.2">
      <c r="A25" s="38">
        <v>1</v>
      </c>
      <c r="B25" s="37">
        <v>9292003300302</v>
      </c>
      <c r="C25" s="38">
        <v>20</v>
      </c>
      <c r="D25" s="45">
        <v>5701603300302</v>
      </c>
      <c r="F25" s="38" t="s">
        <v>100</v>
      </c>
      <c r="G25" s="38">
        <v>0</v>
      </c>
      <c r="H25" s="38">
        <v>100</v>
      </c>
      <c r="K25" s="38">
        <v>1</v>
      </c>
      <c r="L25" s="38" t="s">
        <v>101</v>
      </c>
      <c r="M25" s="38" t="s">
        <v>406</v>
      </c>
      <c r="N25" s="38" t="s">
        <v>102</v>
      </c>
      <c r="P25" s="38">
        <v>0</v>
      </c>
      <c r="U25" s="38">
        <v>4</v>
      </c>
      <c r="V25" s="38">
        <v>1</v>
      </c>
      <c r="W25" s="38" t="s">
        <v>103</v>
      </c>
      <c r="X25" s="38">
        <v>0</v>
      </c>
      <c r="AA25" s="45"/>
    </row>
    <row r="26" spans="1:27" x14ac:dyDescent="0.2">
      <c r="A26" s="38">
        <v>1</v>
      </c>
      <c r="B26" s="37">
        <v>9292003301302</v>
      </c>
      <c r="C26" s="38">
        <v>10</v>
      </c>
      <c r="D26" s="45" t="s">
        <v>405</v>
      </c>
      <c r="F26" s="38" t="s">
        <v>100</v>
      </c>
      <c r="G26" s="38">
        <v>0</v>
      </c>
      <c r="H26" s="38">
        <v>100</v>
      </c>
      <c r="K26" s="38">
        <v>1</v>
      </c>
      <c r="L26" s="38" t="s">
        <v>101</v>
      </c>
      <c r="M26" s="38" t="s">
        <v>406</v>
      </c>
      <c r="N26" s="38" t="s">
        <v>102</v>
      </c>
      <c r="P26" s="38">
        <v>0</v>
      </c>
      <c r="U26" s="38">
        <v>4</v>
      </c>
      <c r="V26" s="38">
        <v>1</v>
      </c>
      <c r="W26" s="38" t="s">
        <v>103</v>
      </c>
      <c r="X26" s="38">
        <v>0</v>
      </c>
      <c r="AA26" s="45"/>
    </row>
    <row r="27" spans="1:27" x14ac:dyDescent="0.2">
      <c r="A27" s="38">
        <v>1</v>
      </c>
      <c r="B27" s="37">
        <v>9292003301302</v>
      </c>
      <c r="C27" s="38">
        <v>20</v>
      </c>
      <c r="D27" s="45">
        <v>5701603301302</v>
      </c>
      <c r="F27" s="38" t="s">
        <v>100</v>
      </c>
      <c r="G27" s="38">
        <v>0</v>
      </c>
      <c r="H27" s="38">
        <v>100</v>
      </c>
      <c r="K27" s="38">
        <v>1</v>
      </c>
      <c r="L27" s="38" t="s">
        <v>101</v>
      </c>
      <c r="M27" s="38" t="s">
        <v>406</v>
      </c>
      <c r="N27" s="38" t="s">
        <v>102</v>
      </c>
      <c r="P27" s="38">
        <v>0</v>
      </c>
      <c r="U27" s="38">
        <v>4</v>
      </c>
      <c r="V27" s="38">
        <v>1</v>
      </c>
      <c r="W27" s="38" t="s">
        <v>103</v>
      </c>
      <c r="X27" s="38">
        <v>0</v>
      </c>
      <c r="AA27" s="45"/>
    </row>
    <row r="28" spans="1:27" x14ac:dyDescent="0.2">
      <c r="A28" s="38">
        <v>1</v>
      </c>
      <c r="B28" s="37">
        <v>9292003302302</v>
      </c>
      <c r="C28" s="38">
        <v>10</v>
      </c>
      <c r="D28" s="45" t="s">
        <v>405</v>
      </c>
      <c r="F28" s="38" t="s">
        <v>100</v>
      </c>
      <c r="G28" s="38">
        <v>0</v>
      </c>
      <c r="H28" s="38">
        <v>100</v>
      </c>
      <c r="K28" s="38">
        <v>1</v>
      </c>
      <c r="L28" s="38" t="s">
        <v>101</v>
      </c>
      <c r="M28" s="38" t="s">
        <v>406</v>
      </c>
      <c r="N28" s="38" t="s">
        <v>102</v>
      </c>
      <c r="P28" s="38">
        <v>0</v>
      </c>
      <c r="U28" s="38">
        <v>4</v>
      </c>
      <c r="V28" s="38">
        <v>1</v>
      </c>
      <c r="W28" s="38" t="s">
        <v>103</v>
      </c>
      <c r="X28" s="38">
        <v>0</v>
      </c>
      <c r="AA28" s="45"/>
    </row>
    <row r="29" spans="1:27" x14ac:dyDescent="0.2">
      <c r="A29" s="38">
        <v>1</v>
      </c>
      <c r="B29" s="37">
        <v>9292003302302</v>
      </c>
      <c r="C29" s="38">
        <v>20</v>
      </c>
      <c r="D29" s="45">
        <v>5701603302302</v>
      </c>
      <c r="F29" s="38" t="s">
        <v>100</v>
      </c>
      <c r="G29" s="38">
        <v>0</v>
      </c>
      <c r="H29" s="38">
        <v>100</v>
      </c>
      <c r="K29" s="38">
        <v>1</v>
      </c>
      <c r="L29" s="38" t="s">
        <v>101</v>
      </c>
      <c r="M29" s="38" t="s">
        <v>406</v>
      </c>
      <c r="N29" s="38" t="s">
        <v>102</v>
      </c>
      <c r="P29" s="38">
        <v>0</v>
      </c>
      <c r="U29" s="38">
        <v>4</v>
      </c>
      <c r="V29" s="38">
        <v>1</v>
      </c>
      <c r="W29" s="38" t="s">
        <v>103</v>
      </c>
      <c r="X29" s="38">
        <v>0</v>
      </c>
      <c r="AA29" s="45"/>
    </row>
    <row r="30" spans="1:27" x14ac:dyDescent="0.2">
      <c r="A30" s="38">
        <v>1</v>
      </c>
      <c r="B30" s="37">
        <v>9292003303302</v>
      </c>
      <c r="C30" s="38">
        <v>10</v>
      </c>
      <c r="D30" s="45" t="s">
        <v>405</v>
      </c>
      <c r="F30" s="38" t="s">
        <v>100</v>
      </c>
      <c r="G30" s="38">
        <v>0</v>
      </c>
      <c r="H30" s="38">
        <v>100</v>
      </c>
      <c r="K30" s="38">
        <v>1</v>
      </c>
      <c r="L30" s="38" t="s">
        <v>101</v>
      </c>
      <c r="M30" s="38" t="s">
        <v>406</v>
      </c>
      <c r="N30" s="38" t="s">
        <v>102</v>
      </c>
      <c r="P30" s="38">
        <v>0</v>
      </c>
      <c r="U30" s="38">
        <v>4</v>
      </c>
      <c r="V30" s="38">
        <v>1</v>
      </c>
      <c r="W30" s="38" t="s">
        <v>103</v>
      </c>
      <c r="X30" s="38">
        <v>0</v>
      </c>
      <c r="AA30" s="45"/>
    </row>
    <row r="31" spans="1:27" x14ac:dyDescent="0.2">
      <c r="A31" s="38">
        <v>1</v>
      </c>
      <c r="B31" s="37">
        <v>9292003303302</v>
      </c>
      <c r="C31" s="38">
        <v>20</v>
      </c>
      <c r="D31" s="45">
        <v>5701603303302</v>
      </c>
      <c r="F31" s="38" t="s">
        <v>100</v>
      </c>
      <c r="G31" s="38">
        <v>0</v>
      </c>
      <c r="H31" s="38">
        <v>100</v>
      </c>
      <c r="K31" s="38">
        <v>1</v>
      </c>
      <c r="L31" s="38" t="s">
        <v>101</v>
      </c>
      <c r="M31" s="38" t="s">
        <v>406</v>
      </c>
      <c r="N31" s="38" t="s">
        <v>102</v>
      </c>
      <c r="P31" s="38">
        <v>0</v>
      </c>
      <c r="U31" s="38">
        <v>4</v>
      </c>
      <c r="V31" s="38">
        <v>1</v>
      </c>
      <c r="W31" s="38" t="s">
        <v>103</v>
      </c>
      <c r="X31" s="38">
        <v>0</v>
      </c>
      <c r="AA31" s="45"/>
    </row>
    <row r="32" spans="1:27" x14ac:dyDescent="0.2">
      <c r="A32" s="38">
        <v>1</v>
      </c>
      <c r="B32" s="37">
        <v>9292003304302</v>
      </c>
      <c r="C32" s="38">
        <v>10</v>
      </c>
      <c r="D32" s="45" t="s">
        <v>405</v>
      </c>
      <c r="F32" s="38" t="s">
        <v>100</v>
      </c>
      <c r="G32" s="38">
        <v>0</v>
      </c>
      <c r="H32" s="38">
        <v>100</v>
      </c>
      <c r="K32" s="38">
        <v>1</v>
      </c>
      <c r="L32" s="38" t="s">
        <v>101</v>
      </c>
      <c r="M32" s="38" t="s">
        <v>406</v>
      </c>
      <c r="N32" s="38" t="s">
        <v>102</v>
      </c>
      <c r="P32" s="38">
        <v>0</v>
      </c>
      <c r="U32" s="38">
        <v>4</v>
      </c>
      <c r="V32" s="38">
        <v>1</v>
      </c>
      <c r="W32" s="38" t="s">
        <v>103</v>
      </c>
      <c r="X32" s="38">
        <v>0</v>
      </c>
      <c r="AA32" s="45"/>
    </row>
    <row r="33" spans="1:27" x14ac:dyDescent="0.2">
      <c r="A33" s="38">
        <v>1</v>
      </c>
      <c r="B33" s="37">
        <v>9292003304302</v>
      </c>
      <c r="C33" s="38">
        <v>20</v>
      </c>
      <c r="D33" s="45">
        <v>5701603304302</v>
      </c>
      <c r="F33" s="38" t="s">
        <v>100</v>
      </c>
      <c r="G33" s="38">
        <v>0</v>
      </c>
      <c r="H33" s="38">
        <v>100</v>
      </c>
      <c r="K33" s="38">
        <v>1</v>
      </c>
      <c r="L33" s="38" t="s">
        <v>101</v>
      </c>
      <c r="M33" s="38" t="s">
        <v>406</v>
      </c>
      <c r="N33" s="38" t="s">
        <v>102</v>
      </c>
      <c r="P33" s="38">
        <v>0</v>
      </c>
      <c r="U33" s="38">
        <v>4</v>
      </c>
      <c r="V33" s="38">
        <v>1</v>
      </c>
      <c r="W33" s="38" t="s">
        <v>103</v>
      </c>
      <c r="X33" s="38">
        <v>0</v>
      </c>
      <c r="AA33" s="45"/>
    </row>
    <row r="34" spans="1:27" x14ac:dyDescent="0.2">
      <c r="A34" s="38">
        <v>1</v>
      </c>
      <c r="B34" s="37">
        <v>9292003305302</v>
      </c>
      <c r="C34" s="38">
        <v>10</v>
      </c>
      <c r="D34" s="45" t="s">
        <v>405</v>
      </c>
      <c r="F34" s="38" t="s">
        <v>100</v>
      </c>
      <c r="G34" s="38">
        <v>0</v>
      </c>
      <c r="H34" s="38">
        <v>100</v>
      </c>
      <c r="K34" s="38">
        <v>1</v>
      </c>
      <c r="L34" s="38" t="s">
        <v>101</v>
      </c>
      <c r="M34" s="38" t="s">
        <v>406</v>
      </c>
      <c r="N34" s="38" t="s">
        <v>102</v>
      </c>
      <c r="P34" s="38">
        <v>0</v>
      </c>
      <c r="U34" s="38">
        <v>4</v>
      </c>
      <c r="V34" s="38">
        <v>1</v>
      </c>
      <c r="W34" s="38" t="s">
        <v>103</v>
      </c>
      <c r="X34" s="38">
        <v>0</v>
      </c>
      <c r="AA34" s="45"/>
    </row>
    <row r="35" spans="1:27" x14ac:dyDescent="0.2">
      <c r="A35" s="38">
        <v>1</v>
      </c>
      <c r="B35" s="37">
        <v>9292003305302</v>
      </c>
      <c r="C35" s="38">
        <v>20</v>
      </c>
      <c r="D35" s="45">
        <v>5701603305302</v>
      </c>
      <c r="F35" s="38" t="s">
        <v>100</v>
      </c>
      <c r="G35" s="38">
        <v>0</v>
      </c>
      <c r="H35" s="38">
        <v>100</v>
      </c>
      <c r="K35" s="38">
        <v>1</v>
      </c>
      <c r="L35" s="38" t="s">
        <v>101</v>
      </c>
      <c r="M35" s="38" t="s">
        <v>406</v>
      </c>
      <c r="N35" s="38" t="s">
        <v>102</v>
      </c>
      <c r="P35" s="38">
        <v>0</v>
      </c>
      <c r="U35" s="38">
        <v>4</v>
      </c>
      <c r="V35" s="38">
        <v>1</v>
      </c>
      <c r="W35" s="38" t="s">
        <v>103</v>
      </c>
      <c r="X35" s="38">
        <v>0</v>
      </c>
      <c r="AA35" s="45"/>
    </row>
    <row r="36" spans="1:27" x14ac:dyDescent="0.2">
      <c r="A36" s="38">
        <v>1</v>
      </c>
      <c r="B36" s="37">
        <v>9292003306302</v>
      </c>
      <c r="C36" s="38">
        <v>10</v>
      </c>
      <c r="D36" s="45" t="s">
        <v>405</v>
      </c>
      <c r="F36" s="38" t="s">
        <v>100</v>
      </c>
      <c r="G36" s="38">
        <v>0</v>
      </c>
      <c r="H36" s="38">
        <v>100</v>
      </c>
      <c r="K36" s="38">
        <v>1</v>
      </c>
      <c r="L36" s="38" t="s">
        <v>101</v>
      </c>
      <c r="M36" s="38" t="s">
        <v>406</v>
      </c>
      <c r="N36" s="38" t="s">
        <v>102</v>
      </c>
      <c r="P36" s="38">
        <v>0</v>
      </c>
      <c r="U36" s="38">
        <v>4</v>
      </c>
      <c r="V36" s="38">
        <v>1</v>
      </c>
      <c r="W36" s="38" t="s">
        <v>103</v>
      </c>
      <c r="X36" s="38">
        <v>0</v>
      </c>
      <c r="AA36" s="45"/>
    </row>
    <row r="37" spans="1:27" x14ac:dyDescent="0.2">
      <c r="A37" s="38">
        <v>1</v>
      </c>
      <c r="B37" s="37">
        <v>9292003306302</v>
      </c>
      <c r="C37" s="38">
        <v>20</v>
      </c>
      <c r="D37" s="45">
        <v>5701603306302</v>
      </c>
      <c r="F37" s="38" t="s">
        <v>100</v>
      </c>
      <c r="G37" s="38">
        <v>0</v>
      </c>
      <c r="H37" s="38">
        <v>100</v>
      </c>
      <c r="K37" s="38">
        <v>1</v>
      </c>
      <c r="L37" s="38" t="s">
        <v>101</v>
      </c>
      <c r="M37" s="38" t="s">
        <v>406</v>
      </c>
      <c r="N37" s="38" t="s">
        <v>102</v>
      </c>
      <c r="P37" s="38">
        <v>0</v>
      </c>
      <c r="U37" s="38">
        <v>4</v>
      </c>
      <c r="V37" s="38">
        <v>1</v>
      </c>
      <c r="W37" s="38" t="s">
        <v>103</v>
      </c>
      <c r="X37" s="38">
        <v>0</v>
      </c>
      <c r="AA37" s="45"/>
    </row>
    <row r="38" spans="1:27" x14ac:dyDescent="0.2">
      <c r="A38" s="38">
        <v>1</v>
      </c>
      <c r="B38" s="37">
        <v>9292003307302</v>
      </c>
      <c r="C38" s="38">
        <v>10</v>
      </c>
      <c r="D38" s="45" t="s">
        <v>405</v>
      </c>
      <c r="F38" s="38" t="s">
        <v>100</v>
      </c>
      <c r="G38" s="38">
        <v>0</v>
      </c>
      <c r="H38" s="38">
        <v>100</v>
      </c>
      <c r="K38" s="38">
        <v>1</v>
      </c>
      <c r="L38" s="38" t="s">
        <v>101</v>
      </c>
      <c r="M38" s="38" t="s">
        <v>406</v>
      </c>
      <c r="N38" s="38" t="s">
        <v>102</v>
      </c>
      <c r="P38" s="38">
        <v>0</v>
      </c>
      <c r="U38" s="38">
        <v>4</v>
      </c>
      <c r="V38" s="38">
        <v>1</v>
      </c>
      <c r="W38" s="38" t="s">
        <v>103</v>
      </c>
      <c r="X38" s="38">
        <v>0</v>
      </c>
      <c r="AA38" s="45"/>
    </row>
    <row r="39" spans="1:27" x14ac:dyDescent="0.2">
      <c r="A39" s="38">
        <v>1</v>
      </c>
      <c r="B39" s="37">
        <v>9292003307302</v>
      </c>
      <c r="C39" s="38">
        <v>20</v>
      </c>
      <c r="D39" s="45">
        <v>5701603307302</v>
      </c>
      <c r="F39" s="38" t="s">
        <v>100</v>
      </c>
      <c r="G39" s="38">
        <v>0</v>
      </c>
      <c r="H39" s="38">
        <v>100</v>
      </c>
      <c r="K39" s="38">
        <v>1</v>
      </c>
      <c r="L39" s="38" t="s">
        <v>101</v>
      </c>
      <c r="M39" s="38" t="s">
        <v>406</v>
      </c>
      <c r="N39" s="38" t="s">
        <v>102</v>
      </c>
      <c r="P39" s="38">
        <v>0</v>
      </c>
      <c r="U39" s="38">
        <v>4</v>
      </c>
      <c r="V39" s="38">
        <v>1</v>
      </c>
      <c r="W39" s="38" t="s">
        <v>103</v>
      </c>
      <c r="X39" s="38">
        <v>0</v>
      </c>
      <c r="AA39" s="45"/>
    </row>
    <row r="40" spans="1:27" x14ac:dyDescent="0.2">
      <c r="A40" s="38">
        <v>1</v>
      </c>
      <c r="B40" s="37">
        <v>9292003308302</v>
      </c>
      <c r="C40" s="38">
        <v>10</v>
      </c>
      <c r="D40" s="45" t="s">
        <v>405</v>
      </c>
      <c r="F40" s="38" t="s">
        <v>100</v>
      </c>
      <c r="G40" s="38">
        <v>0</v>
      </c>
      <c r="H40" s="38">
        <v>100</v>
      </c>
      <c r="K40" s="38">
        <v>1</v>
      </c>
      <c r="L40" s="38" t="s">
        <v>101</v>
      </c>
      <c r="M40" s="38" t="s">
        <v>406</v>
      </c>
      <c r="N40" s="38" t="s">
        <v>102</v>
      </c>
      <c r="P40" s="38">
        <v>0</v>
      </c>
      <c r="U40" s="38">
        <v>4</v>
      </c>
      <c r="V40" s="38">
        <v>1</v>
      </c>
      <c r="W40" s="38" t="s">
        <v>103</v>
      </c>
      <c r="X40" s="38">
        <v>0</v>
      </c>
      <c r="AA40" s="45"/>
    </row>
    <row r="41" spans="1:27" x14ac:dyDescent="0.2">
      <c r="A41" s="38">
        <v>1</v>
      </c>
      <c r="B41" s="37">
        <v>9292003308302</v>
      </c>
      <c r="C41" s="38">
        <v>20</v>
      </c>
      <c r="D41" s="45">
        <v>5701603308302</v>
      </c>
      <c r="F41" s="38" t="s">
        <v>100</v>
      </c>
      <c r="G41" s="38">
        <v>0</v>
      </c>
      <c r="H41" s="38">
        <v>100</v>
      </c>
      <c r="K41" s="38">
        <v>1</v>
      </c>
      <c r="L41" s="38" t="s">
        <v>101</v>
      </c>
      <c r="M41" s="38" t="s">
        <v>406</v>
      </c>
      <c r="N41" s="38" t="s">
        <v>102</v>
      </c>
      <c r="P41" s="38">
        <v>0</v>
      </c>
      <c r="U41" s="38">
        <v>4</v>
      </c>
      <c r="V41" s="38">
        <v>1</v>
      </c>
      <c r="W41" s="38" t="s">
        <v>103</v>
      </c>
      <c r="X41" s="38">
        <v>0</v>
      </c>
      <c r="AA41" s="45"/>
    </row>
    <row r="42" spans="1:27" x14ac:dyDescent="0.2">
      <c r="A42" s="38">
        <v>1</v>
      </c>
      <c r="B42" s="37">
        <v>9292003309302</v>
      </c>
      <c r="C42" s="38">
        <v>10</v>
      </c>
      <c r="D42" s="45" t="s">
        <v>405</v>
      </c>
      <c r="F42" s="38" t="s">
        <v>100</v>
      </c>
      <c r="G42" s="38">
        <v>0</v>
      </c>
      <c r="H42" s="38">
        <v>100</v>
      </c>
      <c r="K42" s="38">
        <v>1</v>
      </c>
      <c r="L42" s="38" t="s">
        <v>101</v>
      </c>
      <c r="M42" s="38" t="s">
        <v>406</v>
      </c>
      <c r="N42" s="38" t="s">
        <v>102</v>
      </c>
      <c r="P42" s="38">
        <v>0</v>
      </c>
      <c r="U42" s="38">
        <v>4</v>
      </c>
      <c r="V42" s="38">
        <v>1</v>
      </c>
      <c r="W42" s="38" t="s">
        <v>103</v>
      </c>
      <c r="X42" s="38">
        <v>0</v>
      </c>
      <c r="AA42" s="45"/>
    </row>
    <row r="43" spans="1:27" x14ac:dyDescent="0.2">
      <c r="A43" s="38">
        <v>1</v>
      </c>
      <c r="B43" s="37">
        <v>9292003309302</v>
      </c>
      <c r="C43" s="38">
        <v>20</v>
      </c>
      <c r="D43" s="45">
        <v>5701603309302</v>
      </c>
      <c r="F43" s="38" t="s">
        <v>100</v>
      </c>
      <c r="G43" s="38">
        <v>0</v>
      </c>
      <c r="H43" s="38">
        <v>100</v>
      </c>
      <c r="K43" s="38">
        <v>1</v>
      </c>
      <c r="L43" s="38" t="s">
        <v>101</v>
      </c>
      <c r="M43" s="38" t="s">
        <v>406</v>
      </c>
      <c r="N43" s="38" t="s">
        <v>102</v>
      </c>
      <c r="P43" s="38">
        <v>0</v>
      </c>
      <c r="U43" s="38">
        <v>4</v>
      </c>
      <c r="V43" s="38">
        <v>1</v>
      </c>
      <c r="W43" s="38" t="s">
        <v>103</v>
      </c>
      <c r="X43" s="38">
        <v>0</v>
      </c>
      <c r="AA43" s="45"/>
    </row>
    <row r="44" spans="1:27" x14ac:dyDescent="0.2">
      <c r="A44" s="38">
        <v>1</v>
      </c>
      <c r="B44" s="37">
        <v>9292003310302</v>
      </c>
      <c r="C44" s="38">
        <v>10</v>
      </c>
      <c r="D44" s="45" t="s">
        <v>405</v>
      </c>
      <c r="F44" s="38" t="s">
        <v>100</v>
      </c>
      <c r="G44" s="38">
        <v>0</v>
      </c>
      <c r="H44" s="38">
        <v>100</v>
      </c>
      <c r="K44" s="38">
        <v>1</v>
      </c>
      <c r="L44" s="38" t="s">
        <v>101</v>
      </c>
      <c r="M44" s="38" t="s">
        <v>406</v>
      </c>
      <c r="N44" s="38" t="s">
        <v>102</v>
      </c>
      <c r="P44" s="38">
        <v>0</v>
      </c>
      <c r="U44" s="38">
        <v>4</v>
      </c>
      <c r="V44" s="38">
        <v>1</v>
      </c>
      <c r="W44" s="38" t="s">
        <v>103</v>
      </c>
      <c r="X44" s="38">
        <v>0</v>
      </c>
      <c r="AA44" s="45"/>
    </row>
    <row r="45" spans="1:27" x14ac:dyDescent="0.2">
      <c r="A45" s="38">
        <v>1</v>
      </c>
      <c r="B45" s="37">
        <v>9292003310302</v>
      </c>
      <c r="C45" s="38">
        <v>20</v>
      </c>
      <c r="D45" s="45">
        <v>5701603310302</v>
      </c>
      <c r="F45" s="38" t="s">
        <v>100</v>
      </c>
      <c r="G45" s="38">
        <v>0</v>
      </c>
      <c r="H45" s="38">
        <v>100</v>
      </c>
      <c r="K45" s="38">
        <v>1</v>
      </c>
      <c r="L45" s="38" t="s">
        <v>101</v>
      </c>
      <c r="M45" s="38" t="s">
        <v>406</v>
      </c>
      <c r="N45" s="38" t="s">
        <v>102</v>
      </c>
      <c r="P45" s="38">
        <v>0</v>
      </c>
      <c r="U45" s="38">
        <v>4</v>
      </c>
      <c r="V45" s="38">
        <v>1</v>
      </c>
      <c r="W45" s="38" t="s">
        <v>103</v>
      </c>
      <c r="X45" s="38">
        <v>0</v>
      </c>
      <c r="AA45" s="45"/>
    </row>
    <row r="46" spans="1:27" x14ac:dyDescent="0.2">
      <c r="A46" s="38">
        <v>1</v>
      </c>
      <c r="B46" s="37">
        <v>9292003300308</v>
      </c>
      <c r="C46" s="38">
        <v>10</v>
      </c>
      <c r="D46" s="45" t="s">
        <v>405</v>
      </c>
      <c r="F46" s="38" t="s">
        <v>100</v>
      </c>
      <c r="G46" s="38">
        <v>0</v>
      </c>
      <c r="H46" s="38">
        <v>100</v>
      </c>
      <c r="K46" s="38">
        <v>1</v>
      </c>
      <c r="L46" s="38" t="s">
        <v>101</v>
      </c>
      <c r="M46" s="38" t="s">
        <v>406</v>
      </c>
      <c r="N46" s="38" t="s">
        <v>102</v>
      </c>
      <c r="P46" s="38">
        <v>0</v>
      </c>
      <c r="U46" s="38">
        <v>4</v>
      </c>
      <c r="V46" s="38">
        <v>1</v>
      </c>
      <c r="W46" s="38" t="s">
        <v>103</v>
      </c>
      <c r="X46" s="38">
        <v>0</v>
      </c>
      <c r="AA46" s="45"/>
    </row>
    <row r="47" spans="1:27" x14ac:dyDescent="0.2">
      <c r="A47" s="38">
        <v>1</v>
      </c>
      <c r="B47" s="37">
        <v>9292003300308</v>
      </c>
      <c r="C47" s="38">
        <v>20</v>
      </c>
      <c r="D47" s="45">
        <v>5701603300308</v>
      </c>
      <c r="F47" s="38" t="s">
        <v>100</v>
      </c>
      <c r="G47" s="38">
        <v>0</v>
      </c>
      <c r="H47" s="38">
        <v>100</v>
      </c>
      <c r="K47" s="38">
        <v>1</v>
      </c>
      <c r="L47" s="38" t="s">
        <v>101</v>
      </c>
      <c r="M47" s="38" t="s">
        <v>406</v>
      </c>
      <c r="N47" s="38" t="s">
        <v>102</v>
      </c>
      <c r="P47" s="38">
        <v>0</v>
      </c>
      <c r="U47" s="38">
        <v>4</v>
      </c>
      <c r="V47" s="38">
        <v>1</v>
      </c>
      <c r="W47" s="38" t="s">
        <v>103</v>
      </c>
      <c r="X47" s="38">
        <v>0</v>
      </c>
      <c r="AA47" s="45"/>
    </row>
    <row r="48" spans="1:27" x14ac:dyDescent="0.2">
      <c r="A48" s="38">
        <v>1</v>
      </c>
      <c r="B48" s="37">
        <v>9292003301308</v>
      </c>
      <c r="C48" s="38">
        <v>10</v>
      </c>
      <c r="D48" s="45" t="s">
        <v>405</v>
      </c>
      <c r="F48" s="38" t="s">
        <v>100</v>
      </c>
      <c r="G48" s="38">
        <v>0</v>
      </c>
      <c r="H48" s="38">
        <v>100</v>
      </c>
      <c r="K48" s="38">
        <v>1</v>
      </c>
      <c r="L48" s="38" t="s">
        <v>101</v>
      </c>
      <c r="M48" s="38" t="s">
        <v>406</v>
      </c>
      <c r="N48" s="38" t="s">
        <v>102</v>
      </c>
      <c r="P48" s="38">
        <v>0</v>
      </c>
      <c r="U48" s="38">
        <v>4</v>
      </c>
      <c r="V48" s="38">
        <v>1</v>
      </c>
      <c r="W48" s="38" t="s">
        <v>103</v>
      </c>
      <c r="X48" s="38">
        <v>0</v>
      </c>
      <c r="AA48" s="45"/>
    </row>
    <row r="49" spans="1:27" x14ac:dyDescent="0.2">
      <c r="A49" s="38">
        <v>1</v>
      </c>
      <c r="B49" s="37">
        <v>9292003301308</v>
      </c>
      <c r="C49" s="38">
        <v>20</v>
      </c>
      <c r="D49" s="45">
        <v>5701603301308</v>
      </c>
      <c r="F49" s="38" t="s">
        <v>100</v>
      </c>
      <c r="G49" s="38">
        <v>0</v>
      </c>
      <c r="H49" s="38">
        <v>100</v>
      </c>
      <c r="K49" s="38">
        <v>1</v>
      </c>
      <c r="L49" s="38" t="s">
        <v>101</v>
      </c>
      <c r="M49" s="38" t="s">
        <v>406</v>
      </c>
      <c r="N49" s="38" t="s">
        <v>102</v>
      </c>
      <c r="P49" s="38">
        <v>0</v>
      </c>
      <c r="U49" s="38">
        <v>4</v>
      </c>
      <c r="V49" s="38">
        <v>1</v>
      </c>
      <c r="W49" s="38" t="s">
        <v>103</v>
      </c>
      <c r="X49" s="38">
        <v>0</v>
      </c>
      <c r="AA49" s="45"/>
    </row>
    <row r="50" spans="1:27" x14ac:dyDescent="0.2">
      <c r="A50" s="38">
        <v>1</v>
      </c>
      <c r="B50" s="37">
        <v>9292003302308</v>
      </c>
      <c r="C50" s="38">
        <v>10</v>
      </c>
      <c r="D50" s="45" t="s">
        <v>405</v>
      </c>
      <c r="F50" s="38" t="s">
        <v>100</v>
      </c>
      <c r="G50" s="38">
        <v>0</v>
      </c>
      <c r="H50" s="38">
        <v>100</v>
      </c>
      <c r="K50" s="38">
        <v>1</v>
      </c>
      <c r="L50" s="38" t="s">
        <v>101</v>
      </c>
      <c r="M50" s="38" t="s">
        <v>406</v>
      </c>
      <c r="N50" s="38" t="s">
        <v>102</v>
      </c>
      <c r="P50" s="38">
        <v>0</v>
      </c>
      <c r="U50" s="38">
        <v>4</v>
      </c>
      <c r="V50" s="38">
        <v>1</v>
      </c>
      <c r="W50" s="38" t="s">
        <v>103</v>
      </c>
      <c r="X50" s="38">
        <v>0</v>
      </c>
      <c r="AA50" s="45"/>
    </row>
    <row r="51" spans="1:27" x14ac:dyDescent="0.2">
      <c r="A51" s="38">
        <v>1</v>
      </c>
      <c r="B51" s="37">
        <v>9292003302308</v>
      </c>
      <c r="C51" s="38">
        <v>20</v>
      </c>
      <c r="D51" s="45">
        <v>5701603302308</v>
      </c>
      <c r="F51" s="38" t="s">
        <v>100</v>
      </c>
      <c r="G51" s="38">
        <v>0</v>
      </c>
      <c r="H51" s="38">
        <v>100</v>
      </c>
      <c r="K51" s="38">
        <v>1</v>
      </c>
      <c r="L51" s="38" t="s">
        <v>101</v>
      </c>
      <c r="M51" s="38" t="s">
        <v>406</v>
      </c>
      <c r="N51" s="38" t="s">
        <v>102</v>
      </c>
      <c r="P51" s="38">
        <v>0</v>
      </c>
      <c r="U51" s="38">
        <v>4</v>
      </c>
      <c r="V51" s="38">
        <v>1</v>
      </c>
      <c r="W51" s="38" t="s">
        <v>103</v>
      </c>
      <c r="X51" s="38">
        <v>0</v>
      </c>
      <c r="AA51" s="45"/>
    </row>
    <row r="52" spans="1:27" x14ac:dyDescent="0.2">
      <c r="A52" s="38">
        <v>1</v>
      </c>
      <c r="B52" s="37">
        <v>9292003303308</v>
      </c>
      <c r="C52" s="38">
        <v>10</v>
      </c>
      <c r="D52" s="45" t="s">
        <v>405</v>
      </c>
      <c r="F52" s="38" t="s">
        <v>100</v>
      </c>
      <c r="G52" s="38">
        <v>0</v>
      </c>
      <c r="H52" s="38">
        <v>100</v>
      </c>
      <c r="K52" s="38">
        <v>1</v>
      </c>
      <c r="L52" s="38" t="s">
        <v>101</v>
      </c>
      <c r="M52" s="38" t="s">
        <v>406</v>
      </c>
      <c r="N52" s="38" t="s">
        <v>102</v>
      </c>
      <c r="P52" s="38">
        <v>0</v>
      </c>
      <c r="U52" s="38">
        <v>4</v>
      </c>
      <c r="V52" s="38">
        <v>1</v>
      </c>
      <c r="W52" s="38" t="s">
        <v>103</v>
      </c>
      <c r="X52" s="38">
        <v>0</v>
      </c>
      <c r="AA52" s="45"/>
    </row>
    <row r="53" spans="1:27" x14ac:dyDescent="0.2">
      <c r="A53" s="38">
        <v>1</v>
      </c>
      <c r="B53" s="37">
        <v>9292003303308</v>
      </c>
      <c r="C53" s="38">
        <v>20</v>
      </c>
      <c r="D53" s="45">
        <v>5701603303308</v>
      </c>
      <c r="F53" s="38" t="s">
        <v>100</v>
      </c>
      <c r="G53" s="38">
        <v>0</v>
      </c>
      <c r="H53" s="38">
        <v>100</v>
      </c>
      <c r="K53" s="38">
        <v>1</v>
      </c>
      <c r="L53" s="38" t="s">
        <v>101</v>
      </c>
      <c r="M53" s="38" t="s">
        <v>406</v>
      </c>
      <c r="N53" s="38" t="s">
        <v>102</v>
      </c>
      <c r="P53" s="38">
        <v>0</v>
      </c>
      <c r="U53" s="38">
        <v>4</v>
      </c>
      <c r="V53" s="38">
        <v>1</v>
      </c>
      <c r="W53" s="38" t="s">
        <v>103</v>
      </c>
      <c r="X53" s="38">
        <v>0</v>
      </c>
      <c r="AA53" s="45"/>
    </row>
    <row r="54" spans="1:27" x14ac:dyDescent="0.2">
      <c r="A54" s="38">
        <v>1</v>
      </c>
      <c r="B54" s="37">
        <v>9292003304308</v>
      </c>
      <c r="C54" s="38">
        <v>10</v>
      </c>
      <c r="D54" s="45" t="s">
        <v>405</v>
      </c>
      <c r="F54" s="38" t="s">
        <v>100</v>
      </c>
      <c r="G54" s="38">
        <v>0</v>
      </c>
      <c r="H54" s="38">
        <v>100</v>
      </c>
      <c r="K54" s="38">
        <v>1</v>
      </c>
      <c r="L54" s="38" t="s">
        <v>101</v>
      </c>
      <c r="M54" s="38" t="s">
        <v>406</v>
      </c>
      <c r="N54" s="38" t="s">
        <v>102</v>
      </c>
      <c r="P54" s="38">
        <v>0</v>
      </c>
      <c r="U54" s="38">
        <v>4</v>
      </c>
      <c r="V54" s="38">
        <v>1</v>
      </c>
      <c r="W54" s="38" t="s">
        <v>103</v>
      </c>
      <c r="X54" s="38">
        <v>0</v>
      </c>
      <c r="AA54" s="45"/>
    </row>
    <row r="55" spans="1:27" x14ac:dyDescent="0.2">
      <c r="A55" s="38">
        <v>1</v>
      </c>
      <c r="B55" s="37">
        <v>9292003304308</v>
      </c>
      <c r="C55" s="38">
        <v>20</v>
      </c>
      <c r="D55" s="45">
        <v>5701603304308</v>
      </c>
      <c r="F55" s="38" t="s">
        <v>100</v>
      </c>
      <c r="G55" s="38">
        <v>0</v>
      </c>
      <c r="H55" s="38">
        <v>100</v>
      </c>
      <c r="K55" s="38">
        <v>1</v>
      </c>
      <c r="L55" s="38" t="s">
        <v>101</v>
      </c>
      <c r="M55" s="38" t="s">
        <v>406</v>
      </c>
      <c r="N55" s="38" t="s">
        <v>102</v>
      </c>
      <c r="P55" s="38">
        <v>0</v>
      </c>
      <c r="U55" s="38">
        <v>4</v>
      </c>
      <c r="V55" s="38">
        <v>1</v>
      </c>
      <c r="W55" s="38" t="s">
        <v>103</v>
      </c>
      <c r="X55" s="38">
        <v>0</v>
      </c>
      <c r="AA55" s="45"/>
    </row>
    <row r="56" spans="1:27" x14ac:dyDescent="0.2">
      <c r="A56" s="38">
        <v>1</v>
      </c>
      <c r="B56" s="37">
        <v>9292003305308</v>
      </c>
      <c r="C56" s="38">
        <v>10</v>
      </c>
      <c r="D56" s="45" t="s">
        <v>405</v>
      </c>
      <c r="F56" s="38" t="s">
        <v>100</v>
      </c>
      <c r="G56" s="38">
        <v>0</v>
      </c>
      <c r="H56" s="38">
        <v>100</v>
      </c>
      <c r="K56" s="38">
        <v>1</v>
      </c>
      <c r="L56" s="38" t="s">
        <v>101</v>
      </c>
      <c r="M56" s="38" t="s">
        <v>406</v>
      </c>
      <c r="N56" s="38" t="s">
        <v>102</v>
      </c>
      <c r="P56" s="38">
        <v>0</v>
      </c>
      <c r="U56" s="38">
        <v>4</v>
      </c>
      <c r="V56" s="38">
        <v>1</v>
      </c>
      <c r="W56" s="38" t="s">
        <v>103</v>
      </c>
      <c r="X56" s="38">
        <v>0</v>
      </c>
      <c r="AA56" s="45"/>
    </row>
    <row r="57" spans="1:27" x14ac:dyDescent="0.2">
      <c r="A57" s="38">
        <v>1</v>
      </c>
      <c r="B57" s="37">
        <v>9292003305308</v>
      </c>
      <c r="C57" s="38">
        <v>20</v>
      </c>
      <c r="D57" s="45">
        <v>5701603305308</v>
      </c>
      <c r="F57" s="38" t="s">
        <v>100</v>
      </c>
      <c r="G57" s="38">
        <v>0</v>
      </c>
      <c r="H57" s="38">
        <v>100</v>
      </c>
      <c r="K57" s="38">
        <v>1</v>
      </c>
      <c r="L57" s="38" t="s">
        <v>101</v>
      </c>
      <c r="M57" s="38" t="s">
        <v>406</v>
      </c>
      <c r="N57" s="38" t="s">
        <v>102</v>
      </c>
      <c r="P57" s="38">
        <v>0</v>
      </c>
      <c r="U57" s="38">
        <v>4</v>
      </c>
      <c r="V57" s="38">
        <v>1</v>
      </c>
      <c r="W57" s="38" t="s">
        <v>103</v>
      </c>
      <c r="X57" s="38">
        <v>0</v>
      </c>
      <c r="AA57" s="45"/>
    </row>
    <row r="58" spans="1:27" x14ac:dyDescent="0.2">
      <c r="A58" s="38">
        <v>1</v>
      </c>
      <c r="B58" s="37">
        <v>9292003306308</v>
      </c>
      <c r="C58" s="38">
        <v>10</v>
      </c>
      <c r="D58" s="45" t="s">
        <v>405</v>
      </c>
      <c r="F58" s="38" t="s">
        <v>100</v>
      </c>
      <c r="G58" s="38">
        <v>0</v>
      </c>
      <c r="H58" s="38">
        <v>100</v>
      </c>
      <c r="K58" s="38">
        <v>1</v>
      </c>
      <c r="L58" s="38" t="s">
        <v>101</v>
      </c>
      <c r="M58" s="38" t="s">
        <v>406</v>
      </c>
      <c r="N58" s="38" t="s">
        <v>102</v>
      </c>
      <c r="P58" s="38">
        <v>0</v>
      </c>
      <c r="U58" s="38">
        <v>4</v>
      </c>
      <c r="V58" s="38">
        <v>1</v>
      </c>
      <c r="W58" s="38" t="s">
        <v>103</v>
      </c>
      <c r="X58" s="38">
        <v>0</v>
      </c>
      <c r="AA58" s="45"/>
    </row>
    <row r="59" spans="1:27" x14ac:dyDescent="0.2">
      <c r="A59" s="38">
        <v>1</v>
      </c>
      <c r="B59" s="37">
        <v>9292003306308</v>
      </c>
      <c r="C59" s="38">
        <v>20</v>
      </c>
      <c r="D59" s="45">
        <v>5701603306308</v>
      </c>
      <c r="F59" s="38" t="s">
        <v>100</v>
      </c>
      <c r="G59" s="38">
        <v>0</v>
      </c>
      <c r="H59" s="38">
        <v>100</v>
      </c>
      <c r="K59" s="38">
        <v>1</v>
      </c>
      <c r="L59" s="38" t="s">
        <v>101</v>
      </c>
      <c r="M59" s="38" t="s">
        <v>406</v>
      </c>
      <c r="N59" s="38" t="s">
        <v>102</v>
      </c>
      <c r="P59" s="38">
        <v>0</v>
      </c>
      <c r="U59" s="38">
        <v>4</v>
      </c>
      <c r="V59" s="38">
        <v>1</v>
      </c>
      <c r="W59" s="38" t="s">
        <v>103</v>
      </c>
      <c r="X59" s="38">
        <v>0</v>
      </c>
      <c r="AA59" s="45"/>
    </row>
    <row r="60" spans="1:27" x14ac:dyDescent="0.2">
      <c r="A60" s="38">
        <v>1</v>
      </c>
      <c r="B60" s="37">
        <v>9292003307308</v>
      </c>
      <c r="C60" s="38">
        <v>10</v>
      </c>
      <c r="D60" s="45" t="s">
        <v>405</v>
      </c>
      <c r="F60" s="38" t="s">
        <v>100</v>
      </c>
      <c r="G60" s="38">
        <v>0</v>
      </c>
      <c r="H60" s="38">
        <v>100</v>
      </c>
      <c r="K60" s="38">
        <v>1</v>
      </c>
      <c r="L60" s="38" t="s">
        <v>101</v>
      </c>
      <c r="M60" s="38" t="s">
        <v>406</v>
      </c>
      <c r="N60" s="38" t="s">
        <v>102</v>
      </c>
      <c r="P60" s="38">
        <v>0</v>
      </c>
      <c r="U60" s="38">
        <v>4</v>
      </c>
      <c r="V60" s="38">
        <v>1</v>
      </c>
      <c r="W60" s="38" t="s">
        <v>103</v>
      </c>
      <c r="X60" s="38">
        <v>0</v>
      </c>
      <c r="AA60" s="45"/>
    </row>
    <row r="61" spans="1:27" x14ac:dyDescent="0.2">
      <c r="A61" s="38">
        <v>1</v>
      </c>
      <c r="B61" s="37">
        <v>9292003307308</v>
      </c>
      <c r="C61" s="38">
        <v>20</v>
      </c>
      <c r="D61" s="45">
        <v>5701603307308</v>
      </c>
      <c r="F61" s="38" t="s">
        <v>100</v>
      </c>
      <c r="G61" s="38">
        <v>0</v>
      </c>
      <c r="H61" s="38">
        <v>100</v>
      </c>
      <c r="K61" s="38">
        <v>1</v>
      </c>
      <c r="L61" s="38" t="s">
        <v>101</v>
      </c>
      <c r="M61" s="38" t="s">
        <v>406</v>
      </c>
      <c r="N61" s="38" t="s">
        <v>102</v>
      </c>
      <c r="P61" s="38">
        <v>0</v>
      </c>
      <c r="U61" s="38">
        <v>4</v>
      </c>
      <c r="V61" s="38">
        <v>1</v>
      </c>
      <c r="W61" s="38" t="s">
        <v>103</v>
      </c>
      <c r="X61" s="38">
        <v>0</v>
      </c>
      <c r="AA61" s="45"/>
    </row>
    <row r="62" spans="1:27" x14ac:dyDescent="0.2">
      <c r="A62" s="38">
        <v>1</v>
      </c>
      <c r="B62" s="37">
        <v>9292003308308</v>
      </c>
      <c r="C62" s="38">
        <v>10</v>
      </c>
      <c r="D62" s="45" t="s">
        <v>405</v>
      </c>
      <c r="F62" s="38" t="s">
        <v>100</v>
      </c>
      <c r="G62" s="38">
        <v>0</v>
      </c>
      <c r="H62" s="38">
        <v>100</v>
      </c>
      <c r="K62" s="38">
        <v>1</v>
      </c>
      <c r="L62" s="38" t="s">
        <v>101</v>
      </c>
      <c r="M62" s="38" t="s">
        <v>406</v>
      </c>
      <c r="N62" s="38" t="s">
        <v>102</v>
      </c>
      <c r="P62" s="38">
        <v>0</v>
      </c>
      <c r="U62" s="38">
        <v>4</v>
      </c>
      <c r="V62" s="38">
        <v>1</v>
      </c>
      <c r="W62" s="38" t="s">
        <v>103</v>
      </c>
      <c r="X62" s="38">
        <v>0</v>
      </c>
      <c r="AA62" s="45"/>
    </row>
    <row r="63" spans="1:27" x14ac:dyDescent="0.2">
      <c r="A63" s="38">
        <v>1</v>
      </c>
      <c r="B63" s="37">
        <v>9292003308308</v>
      </c>
      <c r="C63" s="38">
        <v>20</v>
      </c>
      <c r="D63" s="45">
        <v>5701603308308</v>
      </c>
      <c r="F63" s="38" t="s">
        <v>100</v>
      </c>
      <c r="G63" s="38">
        <v>0</v>
      </c>
      <c r="H63" s="38">
        <v>100</v>
      </c>
      <c r="K63" s="38">
        <v>1</v>
      </c>
      <c r="L63" s="38" t="s">
        <v>101</v>
      </c>
      <c r="M63" s="38" t="s">
        <v>406</v>
      </c>
      <c r="N63" s="38" t="s">
        <v>102</v>
      </c>
      <c r="P63" s="38">
        <v>0</v>
      </c>
      <c r="U63" s="38">
        <v>4</v>
      </c>
      <c r="V63" s="38">
        <v>1</v>
      </c>
      <c r="W63" s="38" t="s">
        <v>103</v>
      </c>
      <c r="X63" s="38">
        <v>0</v>
      </c>
      <c r="AA63" s="45"/>
    </row>
    <row r="64" spans="1:27" x14ac:dyDescent="0.2">
      <c r="A64" s="38">
        <v>1</v>
      </c>
      <c r="B64" s="37">
        <v>9292003309308</v>
      </c>
      <c r="C64" s="38">
        <v>10</v>
      </c>
      <c r="D64" s="45" t="s">
        <v>405</v>
      </c>
      <c r="F64" s="38" t="s">
        <v>100</v>
      </c>
      <c r="G64" s="38">
        <v>0</v>
      </c>
      <c r="H64" s="38">
        <v>100</v>
      </c>
      <c r="K64" s="38">
        <v>1</v>
      </c>
      <c r="L64" s="38" t="s">
        <v>101</v>
      </c>
      <c r="M64" s="38" t="s">
        <v>406</v>
      </c>
      <c r="N64" s="38" t="s">
        <v>102</v>
      </c>
      <c r="P64" s="38">
        <v>0</v>
      </c>
      <c r="U64" s="38">
        <v>4</v>
      </c>
      <c r="V64" s="38">
        <v>1</v>
      </c>
      <c r="W64" s="38" t="s">
        <v>103</v>
      </c>
      <c r="X64" s="38">
        <v>0</v>
      </c>
      <c r="AA64" s="45"/>
    </row>
    <row r="65" spans="1:27" x14ac:dyDescent="0.2">
      <c r="A65" s="38">
        <v>1</v>
      </c>
      <c r="B65" s="37">
        <v>9292003309308</v>
      </c>
      <c r="C65" s="38">
        <v>20</v>
      </c>
      <c r="D65" s="45">
        <v>5701603309308</v>
      </c>
      <c r="F65" s="38" t="s">
        <v>100</v>
      </c>
      <c r="G65" s="38">
        <v>0</v>
      </c>
      <c r="H65" s="38">
        <v>100</v>
      </c>
      <c r="K65" s="38">
        <v>1</v>
      </c>
      <c r="L65" s="38" t="s">
        <v>101</v>
      </c>
      <c r="M65" s="38" t="s">
        <v>406</v>
      </c>
      <c r="N65" s="38" t="s">
        <v>102</v>
      </c>
      <c r="P65" s="38">
        <v>0</v>
      </c>
      <c r="U65" s="38">
        <v>4</v>
      </c>
      <c r="V65" s="38">
        <v>1</v>
      </c>
      <c r="W65" s="38" t="s">
        <v>103</v>
      </c>
      <c r="X65" s="38">
        <v>0</v>
      </c>
      <c r="AA65" s="45"/>
    </row>
    <row r="66" spans="1:27" x14ac:dyDescent="0.2">
      <c r="A66" s="38">
        <v>1</v>
      </c>
      <c r="B66" s="37">
        <v>9292003310308</v>
      </c>
      <c r="C66" s="38">
        <v>10</v>
      </c>
      <c r="D66" s="45" t="s">
        <v>405</v>
      </c>
      <c r="F66" s="38" t="s">
        <v>100</v>
      </c>
      <c r="G66" s="38">
        <v>0</v>
      </c>
      <c r="H66" s="38">
        <v>100</v>
      </c>
      <c r="K66" s="38">
        <v>1</v>
      </c>
      <c r="L66" s="38" t="s">
        <v>101</v>
      </c>
      <c r="M66" s="38" t="s">
        <v>406</v>
      </c>
      <c r="N66" s="38" t="s">
        <v>102</v>
      </c>
      <c r="P66" s="38">
        <v>0</v>
      </c>
      <c r="U66" s="38">
        <v>4</v>
      </c>
      <c r="V66" s="38">
        <v>1</v>
      </c>
      <c r="W66" s="38" t="s">
        <v>103</v>
      </c>
      <c r="X66" s="38">
        <v>0</v>
      </c>
      <c r="AA66" s="45"/>
    </row>
    <row r="67" spans="1:27" x14ac:dyDescent="0.2">
      <c r="A67" s="38">
        <v>1</v>
      </c>
      <c r="B67" s="37">
        <v>9292003310308</v>
      </c>
      <c r="C67" s="38">
        <v>20</v>
      </c>
      <c r="D67" s="45">
        <v>5701603310308</v>
      </c>
      <c r="F67" s="38" t="s">
        <v>100</v>
      </c>
      <c r="G67" s="38">
        <v>0</v>
      </c>
      <c r="H67" s="38">
        <v>100</v>
      </c>
      <c r="K67" s="38">
        <v>1</v>
      </c>
      <c r="L67" s="38" t="s">
        <v>101</v>
      </c>
      <c r="M67" s="38" t="s">
        <v>406</v>
      </c>
      <c r="N67" s="38" t="s">
        <v>102</v>
      </c>
      <c r="P67" s="38">
        <v>0</v>
      </c>
      <c r="U67" s="38">
        <v>4</v>
      </c>
      <c r="V67" s="38">
        <v>1</v>
      </c>
      <c r="W67" s="38" t="s">
        <v>103</v>
      </c>
      <c r="X67" s="38">
        <v>0</v>
      </c>
      <c r="AA67" s="45"/>
    </row>
    <row r="68" spans="1:27" x14ac:dyDescent="0.2">
      <c r="A68" s="38">
        <v>1</v>
      </c>
      <c r="B68" s="37">
        <v>9292003300309</v>
      </c>
      <c r="C68" s="38">
        <v>10</v>
      </c>
      <c r="D68" s="45" t="s">
        <v>405</v>
      </c>
      <c r="F68" s="38" t="s">
        <v>100</v>
      </c>
      <c r="G68" s="38">
        <v>0</v>
      </c>
      <c r="H68" s="38">
        <v>100</v>
      </c>
      <c r="K68" s="38">
        <v>1</v>
      </c>
      <c r="L68" s="38" t="s">
        <v>101</v>
      </c>
      <c r="M68" s="38" t="s">
        <v>406</v>
      </c>
      <c r="N68" s="38" t="s">
        <v>102</v>
      </c>
      <c r="P68" s="38">
        <v>0</v>
      </c>
      <c r="U68" s="38">
        <v>4</v>
      </c>
      <c r="V68" s="38">
        <v>1</v>
      </c>
      <c r="W68" s="38" t="s">
        <v>103</v>
      </c>
      <c r="X68" s="38">
        <v>0</v>
      </c>
      <c r="AA68" s="45"/>
    </row>
    <row r="69" spans="1:27" x14ac:dyDescent="0.2">
      <c r="A69" s="38">
        <v>1</v>
      </c>
      <c r="B69" s="37">
        <v>9292003300309</v>
      </c>
      <c r="C69" s="38">
        <v>20</v>
      </c>
      <c r="D69" s="45">
        <v>5701603300309</v>
      </c>
      <c r="F69" s="38" t="s">
        <v>100</v>
      </c>
      <c r="G69" s="38">
        <v>0</v>
      </c>
      <c r="H69" s="38">
        <v>100</v>
      </c>
      <c r="K69" s="38">
        <v>1</v>
      </c>
      <c r="L69" s="38" t="s">
        <v>101</v>
      </c>
      <c r="M69" s="38" t="s">
        <v>406</v>
      </c>
      <c r="N69" s="38" t="s">
        <v>102</v>
      </c>
      <c r="P69" s="38">
        <v>0</v>
      </c>
      <c r="U69" s="38">
        <v>4</v>
      </c>
      <c r="V69" s="38">
        <v>1</v>
      </c>
      <c r="W69" s="38" t="s">
        <v>103</v>
      </c>
      <c r="X69" s="38">
        <v>0</v>
      </c>
      <c r="AA69" s="45"/>
    </row>
    <row r="70" spans="1:27" x14ac:dyDescent="0.2">
      <c r="A70" s="38">
        <v>1</v>
      </c>
      <c r="B70" s="37">
        <v>9292003301309</v>
      </c>
      <c r="C70" s="38">
        <v>10</v>
      </c>
      <c r="D70" s="45" t="s">
        <v>405</v>
      </c>
      <c r="F70" s="38" t="s">
        <v>100</v>
      </c>
      <c r="G70" s="38">
        <v>0</v>
      </c>
      <c r="H70" s="38">
        <v>100</v>
      </c>
      <c r="K70" s="38">
        <v>1</v>
      </c>
      <c r="L70" s="38" t="s">
        <v>101</v>
      </c>
      <c r="M70" s="38" t="s">
        <v>406</v>
      </c>
      <c r="N70" s="38" t="s">
        <v>102</v>
      </c>
      <c r="P70" s="38">
        <v>0</v>
      </c>
      <c r="U70" s="38">
        <v>4</v>
      </c>
      <c r="V70" s="38">
        <v>1</v>
      </c>
      <c r="W70" s="38" t="s">
        <v>103</v>
      </c>
      <c r="X70" s="38">
        <v>0</v>
      </c>
      <c r="AA70" s="45"/>
    </row>
    <row r="71" spans="1:27" x14ac:dyDescent="0.2">
      <c r="A71" s="38">
        <v>1</v>
      </c>
      <c r="B71" s="37">
        <v>9292003301309</v>
      </c>
      <c r="C71" s="38">
        <v>20</v>
      </c>
      <c r="D71" s="45">
        <v>5701603301309</v>
      </c>
      <c r="F71" s="38" t="s">
        <v>100</v>
      </c>
      <c r="G71" s="38">
        <v>0</v>
      </c>
      <c r="H71" s="38">
        <v>100</v>
      </c>
      <c r="K71" s="38">
        <v>1</v>
      </c>
      <c r="L71" s="38" t="s">
        <v>101</v>
      </c>
      <c r="M71" s="38" t="s">
        <v>406</v>
      </c>
      <c r="N71" s="38" t="s">
        <v>102</v>
      </c>
      <c r="P71" s="38">
        <v>0</v>
      </c>
      <c r="U71" s="38">
        <v>4</v>
      </c>
      <c r="V71" s="38">
        <v>1</v>
      </c>
      <c r="W71" s="38" t="s">
        <v>103</v>
      </c>
      <c r="X71" s="38">
        <v>0</v>
      </c>
      <c r="AA71" s="45"/>
    </row>
    <row r="72" spans="1:27" x14ac:dyDescent="0.2">
      <c r="A72" s="38">
        <v>1</v>
      </c>
      <c r="B72" s="37">
        <v>9292003302309</v>
      </c>
      <c r="C72" s="38">
        <v>10</v>
      </c>
      <c r="D72" s="45" t="s">
        <v>405</v>
      </c>
      <c r="F72" s="38" t="s">
        <v>100</v>
      </c>
      <c r="G72" s="38">
        <v>0</v>
      </c>
      <c r="H72" s="38">
        <v>100</v>
      </c>
      <c r="K72" s="38">
        <v>1</v>
      </c>
      <c r="L72" s="38" t="s">
        <v>101</v>
      </c>
      <c r="M72" s="38" t="s">
        <v>406</v>
      </c>
      <c r="N72" s="38" t="s">
        <v>102</v>
      </c>
      <c r="P72" s="38">
        <v>0</v>
      </c>
      <c r="U72" s="38">
        <v>4</v>
      </c>
      <c r="V72" s="38">
        <v>1</v>
      </c>
      <c r="W72" s="38" t="s">
        <v>103</v>
      </c>
      <c r="X72" s="38">
        <v>0</v>
      </c>
      <c r="AA72" s="45"/>
    </row>
    <row r="73" spans="1:27" x14ac:dyDescent="0.2">
      <c r="A73" s="38">
        <v>1</v>
      </c>
      <c r="B73" s="37">
        <v>9292003302309</v>
      </c>
      <c r="C73" s="38">
        <v>20</v>
      </c>
      <c r="D73" s="45">
        <v>5701603302309</v>
      </c>
      <c r="F73" s="38" t="s">
        <v>100</v>
      </c>
      <c r="G73" s="38">
        <v>0</v>
      </c>
      <c r="H73" s="38">
        <v>100</v>
      </c>
      <c r="K73" s="38">
        <v>1</v>
      </c>
      <c r="L73" s="38" t="s">
        <v>101</v>
      </c>
      <c r="M73" s="38" t="s">
        <v>406</v>
      </c>
      <c r="N73" s="38" t="s">
        <v>102</v>
      </c>
      <c r="P73" s="38">
        <v>0</v>
      </c>
      <c r="U73" s="38">
        <v>4</v>
      </c>
      <c r="V73" s="38">
        <v>1</v>
      </c>
      <c r="W73" s="38" t="s">
        <v>103</v>
      </c>
      <c r="X73" s="38">
        <v>0</v>
      </c>
      <c r="AA73" s="45"/>
    </row>
    <row r="74" spans="1:27" x14ac:dyDescent="0.2">
      <c r="A74" s="38">
        <v>1</v>
      </c>
      <c r="B74" s="37">
        <v>9292003303309</v>
      </c>
      <c r="C74" s="38">
        <v>10</v>
      </c>
      <c r="D74" s="45" t="s">
        <v>405</v>
      </c>
      <c r="F74" s="38" t="s">
        <v>100</v>
      </c>
      <c r="G74" s="38">
        <v>0</v>
      </c>
      <c r="H74" s="38">
        <v>100</v>
      </c>
      <c r="K74" s="38">
        <v>1</v>
      </c>
      <c r="L74" s="38" t="s">
        <v>101</v>
      </c>
      <c r="M74" s="38" t="s">
        <v>406</v>
      </c>
      <c r="N74" s="38" t="s">
        <v>102</v>
      </c>
      <c r="P74" s="38">
        <v>0</v>
      </c>
      <c r="U74" s="38">
        <v>4</v>
      </c>
      <c r="V74" s="38">
        <v>1</v>
      </c>
      <c r="W74" s="38" t="s">
        <v>103</v>
      </c>
      <c r="X74" s="38">
        <v>0</v>
      </c>
      <c r="AA74" s="45"/>
    </row>
    <row r="75" spans="1:27" x14ac:dyDescent="0.2">
      <c r="A75" s="38">
        <v>1</v>
      </c>
      <c r="B75" s="37">
        <v>9292003303309</v>
      </c>
      <c r="C75" s="38">
        <v>20</v>
      </c>
      <c r="D75" s="45">
        <v>5701603303309</v>
      </c>
      <c r="F75" s="38" t="s">
        <v>100</v>
      </c>
      <c r="G75" s="38">
        <v>0</v>
      </c>
      <c r="H75" s="38">
        <v>100</v>
      </c>
      <c r="K75" s="38">
        <v>1</v>
      </c>
      <c r="L75" s="38" t="s">
        <v>101</v>
      </c>
      <c r="M75" s="38" t="s">
        <v>406</v>
      </c>
      <c r="N75" s="38" t="s">
        <v>102</v>
      </c>
      <c r="P75" s="38">
        <v>0</v>
      </c>
      <c r="U75" s="38">
        <v>4</v>
      </c>
      <c r="V75" s="38">
        <v>1</v>
      </c>
      <c r="W75" s="38" t="s">
        <v>103</v>
      </c>
      <c r="X75" s="38">
        <v>0</v>
      </c>
      <c r="AA75" s="45"/>
    </row>
    <row r="76" spans="1:27" x14ac:dyDescent="0.2">
      <c r="A76" s="38">
        <v>1</v>
      </c>
      <c r="B76" s="37">
        <v>9292003304309</v>
      </c>
      <c r="C76" s="38">
        <v>10</v>
      </c>
      <c r="D76" s="45" t="s">
        <v>405</v>
      </c>
      <c r="F76" s="38" t="s">
        <v>100</v>
      </c>
      <c r="G76" s="38">
        <v>0</v>
      </c>
      <c r="H76" s="38">
        <v>100</v>
      </c>
      <c r="K76" s="38">
        <v>1</v>
      </c>
      <c r="L76" s="38" t="s">
        <v>101</v>
      </c>
      <c r="M76" s="38" t="s">
        <v>406</v>
      </c>
      <c r="N76" s="38" t="s">
        <v>102</v>
      </c>
      <c r="P76" s="38">
        <v>0</v>
      </c>
      <c r="U76" s="38">
        <v>4</v>
      </c>
      <c r="V76" s="38">
        <v>1</v>
      </c>
      <c r="W76" s="38" t="s">
        <v>103</v>
      </c>
      <c r="X76" s="38">
        <v>0</v>
      </c>
      <c r="AA76" s="45"/>
    </row>
    <row r="77" spans="1:27" x14ac:dyDescent="0.2">
      <c r="A77" s="38">
        <v>1</v>
      </c>
      <c r="B77" s="37">
        <v>9292003304309</v>
      </c>
      <c r="C77" s="38">
        <v>20</v>
      </c>
      <c r="D77" s="45">
        <v>5701603304309</v>
      </c>
      <c r="F77" s="38" t="s">
        <v>100</v>
      </c>
      <c r="G77" s="38">
        <v>0</v>
      </c>
      <c r="H77" s="38">
        <v>100</v>
      </c>
      <c r="K77" s="38">
        <v>1</v>
      </c>
      <c r="L77" s="38" t="s">
        <v>101</v>
      </c>
      <c r="M77" s="38" t="s">
        <v>406</v>
      </c>
      <c r="N77" s="38" t="s">
        <v>102</v>
      </c>
      <c r="P77" s="38">
        <v>0</v>
      </c>
      <c r="U77" s="38">
        <v>4</v>
      </c>
      <c r="V77" s="38">
        <v>1</v>
      </c>
      <c r="W77" s="38" t="s">
        <v>103</v>
      </c>
      <c r="X77" s="38">
        <v>0</v>
      </c>
      <c r="AA77" s="45"/>
    </row>
    <row r="78" spans="1:27" x14ac:dyDescent="0.2">
      <c r="A78" s="38">
        <v>1</v>
      </c>
      <c r="B78" s="37">
        <v>9292003305309</v>
      </c>
      <c r="C78" s="38">
        <v>10</v>
      </c>
      <c r="D78" s="45" t="s">
        <v>405</v>
      </c>
      <c r="F78" s="38" t="s">
        <v>100</v>
      </c>
      <c r="G78" s="38">
        <v>0</v>
      </c>
      <c r="H78" s="38">
        <v>100</v>
      </c>
      <c r="K78" s="38">
        <v>1</v>
      </c>
      <c r="L78" s="38" t="s">
        <v>101</v>
      </c>
      <c r="M78" s="38" t="s">
        <v>406</v>
      </c>
      <c r="N78" s="38" t="s">
        <v>102</v>
      </c>
      <c r="P78" s="38">
        <v>0</v>
      </c>
      <c r="U78" s="38">
        <v>4</v>
      </c>
      <c r="V78" s="38">
        <v>1</v>
      </c>
      <c r="W78" s="38" t="s">
        <v>103</v>
      </c>
      <c r="X78" s="38">
        <v>0</v>
      </c>
      <c r="AA78" s="45"/>
    </row>
    <row r="79" spans="1:27" x14ac:dyDescent="0.2">
      <c r="A79" s="38">
        <v>1</v>
      </c>
      <c r="B79" s="37">
        <v>9292003305309</v>
      </c>
      <c r="C79" s="38">
        <v>20</v>
      </c>
      <c r="D79" s="45">
        <v>5701603305309</v>
      </c>
      <c r="F79" s="38" t="s">
        <v>100</v>
      </c>
      <c r="G79" s="38">
        <v>0</v>
      </c>
      <c r="H79" s="38">
        <v>100</v>
      </c>
      <c r="K79" s="38">
        <v>1</v>
      </c>
      <c r="L79" s="38" t="s">
        <v>101</v>
      </c>
      <c r="M79" s="38" t="s">
        <v>406</v>
      </c>
      <c r="N79" s="38" t="s">
        <v>102</v>
      </c>
      <c r="P79" s="38">
        <v>0</v>
      </c>
      <c r="U79" s="38">
        <v>4</v>
      </c>
      <c r="V79" s="38">
        <v>1</v>
      </c>
      <c r="W79" s="38" t="s">
        <v>103</v>
      </c>
      <c r="X79" s="38">
        <v>0</v>
      </c>
      <c r="AA79" s="45"/>
    </row>
    <row r="80" spans="1:27" x14ac:dyDescent="0.2">
      <c r="A80" s="38">
        <v>1</v>
      </c>
      <c r="B80" s="37">
        <v>9292003306309</v>
      </c>
      <c r="C80" s="38">
        <v>10</v>
      </c>
      <c r="D80" s="45" t="s">
        <v>405</v>
      </c>
      <c r="F80" s="38" t="s">
        <v>100</v>
      </c>
      <c r="G80" s="38">
        <v>0</v>
      </c>
      <c r="H80" s="38">
        <v>100</v>
      </c>
      <c r="K80" s="38">
        <v>1</v>
      </c>
      <c r="L80" s="38" t="s">
        <v>101</v>
      </c>
      <c r="M80" s="38" t="s">
        <v>406</v>
      </c>
      <c r="N80" s="38" t="s">
        <v>102</v>
      </c>
      <c r="P80" s="38">
        <v>0</v>
      </c>
      <c r="U80" s="38">
        <v>4</v>
      </c>
      <c r="V80" s="38">
        <v>1</v>
      </c>
      <c r="W80" s="38" t="s">
        <v>103</v>
      </c>
      <c r="X80" s="38">
        <v>0</v>
      </c>
      <c r="AA80" s="45"/>
    </row>
    <row r="81" spans="1:27" x14ac:dyDescent="0.2">
      <c r="A81" s="38">
        <v>1</v>
      </c>
      <c r="B81" s="37">
        <v>9292003306309</v>
      </c>
      <c r="C81" s="38">
        <v>20</v>
      </c>
      <c r="D81" s="45">
        <v>5701603306309</v>
      </c>
      <c r="F81" s="38" t="s">
        <v>100</v>
      </c>
      <c r="G81" s="38">
        <v>0</v>
      </c>
      <c r="H81" s="38">
        <v>100</v>
      </c>
      <c r="K81" s="38">
        <v>1</v>
      </c>
      <c r="L81" s="38" t="s">
        <v>101</v>
      </c>
      <c r="M81" s="38" t="s">
        <v>406</v>
      </c>
      <c r="N81" s="38" t="s">
        <v>102</v>
      </c>
      <c r="P81" s="38">
        <v>0</v>
      </c>
      <c r="U81" s="38">
        <v>4</v>
      </c>
      <c r="V81" s="38">
        <v>1</v>
      </c>
      <c r="W81" s="38" t="s">
        <v>103</v>
      </c>
      <c r="X81" s="38">
        <v>0</v>
      </c>
      <c r="AA81" s="45"/>
    </row>
    <row r="82" spans="1:27" x14ac:dyDescent="0.2">
      <c r="A82" s="38">
        <v>1</v>
      </c>
      <c r="B82" s="37">
        <v>9292003307309</v>
      </c>
      <c r="C82" s="38">
        <v>10</v>
      </c>
      <c r="D82" s="45" t="s">
        <v>405</v>
      </c>
      <c r="F82" s="38" t="s">
        <v>100</v>
      </c>
      <c r="G82" s="38">
        <v>0</v>
      </c>
      <c r="H82" s="38">
        <v>100</v>
      </c>
      <c r="K82" s="38">
        <v>1</v>
      </c>
      <c r="L82" s="38" t="s">
        <v>101</v>
      </c>
      <c r="M82" s="38" t="s">
        <v>406</v>
      </c>
      <c r="N82" s="38" t="s">
        <v>102</v>
      </c>
      <c r="P82" s="38">
        <v>0</v>
      </c>
      <c r="U82" s="38">
        <v>4</v>
      </c>
      <c r="V82" s="38">
        <v>1</v>
      </c>
      <c r="W82" s="38" t="s">
        <v>103</v>
      </c>
      <c r="X82" s="38">
        <v>0</v>
      </c>
      <c r="AA82" s="45"/>
    </row>
    <row r="83" spans="1:27" x14ac:dyDescent="0.2">
      <c r="A83" s="38">
        <v>1</v>
      </c>
      <c r="B83" s="37">
        <v>9292003307309</v>
      </c>
      <c r="C83" s="38">
        <v>20</v>
      </c>
      <c r="D83" s="45">
        <v>5701603307309</v>
      </c>
      <c r="F83" s="38" t="s">
        <v>100</v>
      </c>
      <c r="G83" s="38">
        <v>0</v>
      </c>
      <c r="H83" s="38">
        <v>100</v>
      </c>
      <c r="K83" s="38">
        <v>1</v>
      </c>
      <c r="L83" s="38" t="s">
        <v>101</v>
      </c>
      <c r="M83" s="38" t="s">
        <v>406</v>
      </c>
      <c r="N83" s="38" t="s">
        <v>102</v>
      </c>
      <c r="P83" s="38">
        <v>0</v>
      </c>
      <c r="U83" s="38">
        <v>4</v>
      </c>
      <c r="V83" s="38">
        <v>1</v>
      </c>
      <c r="W83" s="38" t="s">
        <v>103</v>
      </c>
      <c r="X83" s="38">
        <v>0</v>
      </c>
      <c r="AA83" s="45"/>
    </row>
    <row r="84" spans="1:27" x14ac:dyDescent="0.2">
      <c r="A84" s="38">
        <v>1</v>
      </c>
      <c r="B84" s="37">
        <v>9292003308309</v>
      </c>
      <c r="C84" s="38">
        <v>10</v>
      </c>
      <c r="D84" s="45" t="s">
        <v>405</v>
      </c>
      <c r="F84" s="38" t="s">
        <v>100</v>
      </c>
      <c r="G84" s="38">
        <v>0</v>
      </c>
      <c r="H84" s="38">
        <v>100</v>
      </c>
      <c r="K84" s="38">
        <v>1</v>
      </c>
      <c r="L84" s="38" t="s">
        <v>101</v>
      </c>
      <c r="M84" s="38" t="s">
        <v>406</v>
      </c>
      <c r="N84" s="38" t="s">
        <v>102</v>
      </c>
      <c r="P84" s="38">
        <v>0</v>
      </c>
      <c r="U84" s="38">
        <v>4</v>
      </c>
      <c r="V84" s="38">
        <v>1</v>
      </c>
      <c r="W84" s="38" t="s">
        <v>103</v>
      </c>
      <c r="X84" s="38">
        <v>0</v>
      </c>
      <c r="AA84" s="45"/>
    </row>
    <row r="85" spans="1:27" x14ac:dyDescent="0.2">
      <c r="A85" s="38">
        <v>1</v>
      </c>
      <c r="B85" s="37">
        <v>9292003308309</v>
      </c>
      <c r="C85" s="38">
        <v>20</v>
      </c>
      <c r="D85" s="45">
        <v>5701603308309</v>
      </c>
      <c r="F85" s="38" t="s">
        <v>100</v>
      </c>
      <c r="G85" s="38">
        <v>0</v>
      </c>
      <c r="H85" s="38">
        <v>100</v>
      </c>
      <c r="K85" s="38">
        <v>1</v>
      </c>
      <c r="L85" s="38" t="s">
        <v>101</v>
      </c>
      <c r="M85" s="38" t="s">
        <v>406</v>
      </c>
      <c r="N85" s="38" t="s">
        <v>102</v>
      </c>
      <c r="P85" s="38">
        <v>0</v>
      </c>
      <c r="U85" s="38">
        <v>4</v>
      </c>
      <c r="V85" s="38">
        <v>1</v>
      </c>
      <c r="W85" s="38" t="s">
        <v>103</v>
      </c>
      <c r="X85" s="38">
        <v>0</v>
      </c>
      <c r="AA85" s="45"/>
    </row>
    <row r="86" spans="1:27" x14ac:dyDescent="0.2">
      <c r="A86" s="38">
        <v>1</v>
      </c>
      <c r="B86" s="37">
        <v>9292003309309</v>
      </c>
      <c r="C86" s="38">
        <v>10</v>
      </c>
      <c r="D86" s="45" t="s">
        <v>405</v>
      </c>
      <c r="F86" s="38" t="s">
        <v>100</v>
      </c>
      <c r="G86" s="38">
        <v>0</v>
      </c>
      <c r="H86" s="38">
        <v>100</v>
      </c>
      <c r="K86" s="38">
        <v>1</v>
      </c>
      <c r="L86" s="38" t="s">
        <v>101</v>
      </c>
      <c r="M86" s="38" t="s">
        <v>406</v>
      </c>
      <c r="N86" s="38" t="s">
        <v>102</v>
      </c>
      <c r="P86" s="38">
        <v>0</v>
      </c>
      <c r="U86" s="38">
        <v>4</v>
      </c>
      <c r="V86" s="38">
        <v>1</v>
      </c>
      <c r="W86" s="38" t="s">
        <v>103</v>
      </c>
      <c r="X86" s="38">
        <v>0</v>
      </c>
      <c r="AA86" s="45"/>
    </row>
    <row r="87" spans="1:27" x14ac:dyDescent="0.2">
      <c r="A87" s="38">
        <v>1</v>
      </c>
      <c r="B87" s="37">
        <v>9292003309309</v>
      </c>
      <c r="C87" s="38">
        <v>20</v>
      </c>
      <c r="D87" s="45">
        <v>5701603309309</v>
      </c>
      <c r="F87" s="38" t="s">
        <v>100</v>
      </c>
      <c r="G87" s="38">
        <v>0</v>
      </c>
      <c r="H87" s="38">
        <v>100</v>
      </c>
      <c r="K87" s="38">
        <v>1</v>
      </c>
      <c r="L87" s="38" t="s">
        <v>101</v>
      </c>
      <c r="M87" s="38" t="s">
        <v>406</v>
      </c>
      <c r="N87" s="38" t="s">
        <v>102</v>
      </c>
      <c r="P87" s="38">
        <v>0</v>
      </c>
      <c r="U87" s="38">
        <v>4</v>
      </c>
      <c r="V87" s="38">
        <v>1</v>
      </c>
      <c r="W87" s="38" t="s">
        <v>103</v>
      </c>
      <c r="X87" s="38">
        <v>0</v>
      </c>
      <c r="AA87" s="45"/>
    </row>
    <row r="88" spans="1:27" x14ac:dyDescent="0.2">
      <c r="A88" s="38">
        <v>1</v>
      </c>
      <c r="B88" s="37">
        <v>9292003310309</v>
      </c>
      <c r="C88" s="38">
        <v>10</v>
      </c>
      <c r="D88" s="45" t="s">
        <v>405</v>
      </c>
      <c r="F88" s="38" t="s">
        <v>100</v>
      </c>
      <c r="G88" s="38">
        <v>0</v>
      </c>
      <c r="H88" s="38">
        <v>100</v>
      </c>
      <c r="K88" s="38">
        <v>1</v>
      </c>
      <c r="L88" s="38" t="s">
        <v>101</v>
      </c>
      <c r="M88" s="38" t="s">
        <v>406</v>
      </c>
      <c r="N88" s="38" t="s">
        <v>102</v>
      </c>
      <c r="P88" s="38">
        <v>0</v>
      </c>
      <c r="U88" s="38">
        <v>4</v>
      </c>
      <c r="V88" s="38">
        <v>1</v>
      </c>
      <c r="W88" s="38" t="s">
        <v>103</v>
      </c>
      <c r="X88" s="38">
        <v>0</v>
      </c>
      <c r="AA88" s="45"/>
    </row>
    <row r="89" spans="1:27" x14ac:dyDescent="0.2">
      <c r="A89" s="38">
        <v>1</v>
      </c>
      <c r="B89" s="37">
        <v>9292003310309</v>
      </c>
      <c r="C89" s="38">
        <v>20</v>
      </c>
      <c r="D89" s="45">
        <v>5701603310309</v>
      </c>
      <c r="F89" s="38" t="s">
        <v>100</v>
      </c>
      <c r="G89" s="38">
        <v>0</v>
      </c>
      <c r="H89" s="38">
        <v>100</v>
      </c>
      <c r="K89" s="38">
        <v>1</v>
      </c>
      <c r="L89" s="38" t="s">
        <v>101</v>
      </c>
      <c r="M89" s="38" t="s">
        <v>406</v>
      </c>
      <c r="N89" s="38" t="s">
        <v>102</v>
      </c>
      <c r="P89" s="38">
        <v>0</v>
      </c>
      <c r="U89" s="38">
        <v>4</v>
      </c>
      <c r="V89" s="38">
        <v>1</v>
      </c>
      <c r="W89" s="38" t="s">
        <v>103</v>
      </c>
      <c r="X89" s="38">
        <v>0</v>
      </c>
      <c r="AA89" s="45"/>
    </row>
    <row r="90" spans="1:27" x14ac:dyDescent="0.2">
      <c r="A90" s="38">
        <v>1</v>
      </c>
      <c r="B90" s="37">
        <v>9292003300316</v>
      </c>
      <c r="C90" s="38">
        <v>10</v>
      </c>
      <c r="D90" s="45" t="s">
        <v>405</v>
      </c>
      <c r="F90" s="38" t="s">
        <v>100</v>
      </c>
      <c r="G90" s="38">
        <v>0</v>
      </c>
      <c r="H90" s="38">
        <v>100</v>
      </c>
      <c r="K90" s="38">
        <v>1</v>
      </c>
      <c r="L90" s="38" t="s">
        <v>101</v>
      </c>
      <c r="M90" s="38" t="s">
        <v>406</v>
      </c>
      <c r="N90" s="38" t="s">
        <v>102</v>
      </c>
      <c r="P90" s="38">
        <v>0</v>
      </c>
      <c r="U90" s="38">
        <v>4</v>
      </c>
      <c r="V90" s="38">
        <v>1</v>
      </c>
      <c r="W90" s="38" t="s">
        <v>103</v>
      </c>
      <c r="X90" s="38">
        <v>0</v>
      </c>
      <c r="AA90" s="45"/>
    </row>
    <row r="91" spans="1:27" x14ac:dyDescent="0.2">
      <c r="A91" s="38">
        <v>1</v>
      </c>
      <c r="B91" s="37">
        <v>9292003300316</v>
      </c>
      <c r="C91" s="38">
        <v>20</v>
      </c>
      <c r="D91" s="45">
        <v>5701603300316</v>
      </c>
      <c r="F91" s="38" t="s">
        <v>100</v>
      </c>
      <c r="G91" s="38">
        <v>0</v>
      </c>
      <c r="H91" s="38">
        <v>100</v>
      </c>
      <c r="K91" s="38">
        <v>1</v>
      </c>
      <c r="L91" s="38" t="s">
        <v>101</v>
      </c>
      <c r="M91" s="38" t="s">
        <v>406</v>
      </c>
      <c r="N91" s="38" t="s">
        <v>102</v>
      </c>
      <c r="P91" s="38">
        <v>0</v>
      </c>
      <c r="U91" s="38">
        <v>4</v>
      </c>
      <c r="V91" s="38">
        <v>1</v>
      </c>
      <c r="W91" s="38" t="s">
        <v>103</v>
      </c>
      <c r="X91" s="38">
        <v>0</v>
      </c>
      <c r="AA91" s="45"/>
    </row>
    <row r="92" spans="1:27" x14ac:dyDescent="0.2">
      <c r="A92" s="38">
        <v>1</v>
      </c>
      <c r="B92" s="37">
        <v>9292003301316</v>
      </c>
      <c r="C92" s="38">
        <v>10</v>
      </c>
      <c r="D92" s="45" t="s">
        <v>405</v>
      </c>
      <c r="F92" s="38" t="s">
        <v>100</v>
      </c>
      <c r="G92" s="38">
        <v>0</v>
      </c>
      <c r="H92" s="38">
        <v>100</v>
      </c>
      <c r="K92" s="38">
        <v>1</v>
      </c>
      <c r="L92" s="38" t="s">
        <v>101</v>
      </c>
      <c r="M92" s="38" t="s">
        <v>406</v>
      </c>
      <c r="N92" s="38" t="s">
        <v>102</v>
      </c>
      <c r="P92" s="38">
        <v>0</v>
      </c>
      <c r="U92" s="38">
        <v>4</v>
      </c>
      <c r="V92" s="38">
        <v>1</v>
      </c>
      <c r="W92" s="38" t="s">
        <v>103</v>
      </c>
      <c r="X92" s="38">
        <v>0</v>
      </c>
      <c r="AA92" s="45"/>
    </row>
    <row r="93" spans="1:27" x14ac:dyDescent="0.2">
      <c r="A93" s="38">
        <v>1</v>
      </c>
      <c r="B93" s="37">
        <v>9292003301316</v>
      </c>
      <c r="C93" s="38">
        <v>20</v>
      </c>
      <c r="D93" s="45">
        <v>5701603301316</v>
      </c>
      <c r="F93" s="38" t="s">
        <v>100</v>
      </c>
      <c r="G93" s="38">
        <v>0</v>
      </c>
      <c r="H93" s="38">
        <v>100</v>
      </c>
      <c r="K93" s="38">
        <v>1</v>
      </c>
      <c r="L93" s="38" t="s">
        <v>101</v>
      </c>
      <c r="M93" s="38" t="s">
        <v>406</v>
      </c>
      <c r="N93" s="38" t="s">
        <v>102</v>
      </c>
      <c r="P93" s="38">
        <v>0</v>
      </c>
      <c r="U93" s="38">
        <v>4</v>
      </c>
      <c r="V93" s="38">
        <v>1</v>
      </c>
      <c r="W93" s="38" t="s">
        <v>103</v>
      </c>
      <c r="X93" s="38">
        <v>0</v>
      </c>
      <c r="AA93" s="45"/>
    </row>
    <row r="94" spans="1:27" x14ac:dyDescent="0.2">
      <c r="A94" s="38">
        <v>1</v>
      </c>
      <c r="B94" s="37">
        <v>9292003302316</v>
      </c>
      <c r="C94" s="38">
        <v>10</v>
      </c>
      <c r="D94" s="45" t="s">
        <v>405</v>
      </c>
      <c r="F94" s="38" t="s">
        <v>100</v>
      </c>
      <c r="G94" s="38">
        <v>0</v>
      </c>
      <c r="H94" s="38">
        <v>100</v>
      </c>
      <c r="K94" s="38">
        <v>1</v>
      </c>
      <c r="L94" s="38" t="s">
        <v>101</v>
      </c>
      <c r="M94" s="38" t="s">
        <v>406</v>
      </c>
      <c r="N94" s="38" t="s">
        <v>102</v>
      </c>
      <c r="P94" s="38">
        <v>0</v>
      </c>
      <c r="U94" s="38">
        <v>4</v>
      </c>
      <c r="V94" s="38">
        <v>1</v>
      </c>
      <c r="W94" s="38" t="s">
        <v>103</v>
      </c>
      <c r="X94" s="38">
        <v>0</v>
      </c>
      <c r="AA94" s="45"/>
    </row>
    <row r="95" spans="1:27" x14ac:dyDescent="0.2">
      <c r="A95" s="38">
        <v>1</v>
      </c>
      <c r="B95" s="37">
        <v>9292003302316</v>
      </c>
      <c r="C95" s="38">
        <v>20</v>
      </c>
      <c r="D95" s="45">
        <v>5701603302316</v>
      </c>
      <c r="F95" s="38" t="s">
        <v>100</v>
      </c>
      <c r="G95" s="38">
        <v>0</v>
      </c>
      <c r="H95" s="38">
        <v>100</v>
      </c>
      <c r="K95" s="38">
        <v>1</v>
      </c>
      <c r="L95" s="38" t="s">
        <v>101</v>
      </c>
      <c r="M95" s="38" t="s">
        <v>406</v>
      </c>
      <c r="N95" s="38" t="s">
        <v>102</v>
      </c>
      <c r="P95" s="38">
        <v>0</v>
      </c>
      <c r="U95" s="38">
        <v>4</v>
      </c>
      <c r="V95" s="38">
        <v>1</v>
      </c>
      <c r="W95" s="38" t="s">
        <v>103</v>
      </c>
      <c r="X95" s="38">
        <v>0</v>
      </c>
      <c r="AA95" s="45"/>
    </row>
    <row r="96" spans="1:27" x14ac:dyDescent="0.2">
      <c r="A96" s="38">
        <v>1</v>
      </c>
      <c r="B96" s="37">
        <v>9292003303316</v>
      </c>
      <c r="C96" s="38">
        <v>10</v>
      </c>
      <c r="D96" s="45" t="s">
        <v>405</v>
      </c>
      <c r="F96" s="38" t="s">
        <v>100</v>
      </c>
      <c r="G96" s="38">
        <v>0</v>
      </c>
      <c r="H96" s="38">
        <v>100</v>
      </c>
      <c r="K96" s="38">
        <v>1</v>
      </c>
      <c r="L96" s="38" t="s">
        <v>101</v>
      </c>
      <c r="M96" s="38" t="s">
        <v>406</v>
      </c>
      <c r="N96" s="38" t="s">
        <v>102</v>
      </c>
      <c r="P96" s="38">
        <v>0</v>
      </c>
      <c r="U96" s="38">
        <v>4</v>
      </c>
      <c r="V96" s="38">
        <v>1</v>
      </c>
      <c r="W96" s="38" t="s">
        <v>103</v>
      </c>
      <c r="X96" s="38">
        <v>0</v>
      </c>
      <c r="AA96" s="45"/>
    </row>
    <row r="97" spans="1:27" x14ac:dyDescent="0.2">
      <c r="A97" s="38">
        <v>1</v>
      </c>
      <c r="B97" s="37">
        <v>9292003303316</v>
      </c>
      <c r="C97" s="38">
        <v>20</v>
      </c>
      <c r="D97" s="45">
        <v>5701603303316</v>
      </c>
      <c r="F97" s="38" t="s">
        <v>100</v>
      </c>
      <c r="G97" s="38">
        <v>0</v>
      </c>
      <c r="H97" s="38">
        <v>100</v>
      </c>
      <c r="K97" s="38">
        <v>1</v>
      </c>
      <c r="L97" s="38" t="s">
        <v>101</v>
      </c>
      <c r="M97" s="38" t="s">
        <v>406</v>
      </c>
      <c r="N97" s="38" t="s">
        <v>102</v>
      </c>
      <c r="P97" s="38">
        <v>0</v>
      </c>
      <c r="U97" s="38">
        <v>4</v>
      </c>
      <c r="V97" s="38">
        <v>1</v>
      </c>
      <c r="W97" s="38" t="s">
        <v>103</v>
      </c>
      <c r="X97" s="38">
        <v>0</v>
      </c>
      <c r="AA97" s="45"/>
    </row>
    <row r="98" spans="1:27" x14ac:dyDescent="0.2">
      <c r="A98" s="38">
        <v>1</v>
      </c>
      <c r="B98" s="37">
        <v>9292003304316</v>
      </c>
      <c r="C98" s="38">
        <v>10</v>
      </c>
      <c r="D98" s="45" t="s">
        <v>405</v>
      </c>
      <c r="F98" s="38" t="s">
        <v>100</v>
      </c>
      <c r="G98" s="38">
        <v>0</v>
      </c>
      <c r="H98" s="38">
        <v>100</v>
      </c>
      <c r="K98" s="38">
        <v>1</v>
      </c>
      <c r="L98" s="38" t="s">
        <v>101</v>
      </c>
      <c r="M98" s="38" t="s">
        <v>406</v>
      </c>
      <c r="N98" s="38" t="s">
        <v>102</v>
      </c>
      <c r="P98" s="38">
        <v>0</v>
      </c>
      <c r="U98" s="38">
        <v>4</v>
      </c>
      <c r="V98" s="38">
        <v>1</v>
      </c>
      <c r="W98" s="38" t="s">
        <v>103</v>
      </c>
      <c r="X98" s="38">
        <v>0</v>
      </c>
      <c r="AA98" s="45"/>
    </row>
    <row r="99" spans="1:27" x14ac:dyDescent="0.2">
      <c r="A99" s="38">
        <v>1</v>
      </c>
      <c r="B99" s="37">
        <v>9292003304316</v>
      </c>
      <c r="C99" s="38">
        <v>20</v>
      </c>
      <c r="D99" s="45">
        <v>5701603304316</v>
      </c>
      <c r="F99" s="38" t="s">
        <v>100</v>
      </c>
      <c r="G99" s="38">
        <v>0</v>
      </c>
      <c r="H99" s="38">
        <v>100</v>
      </c>
      <c r="K99" s="38">
        <v>1</v>
      </c>
      <c r="L99" s="38" t="s">
        <v>101</v>
      </c>
      <c r="M99" s="38" t="s">
        <v>406</v>
      </c>
      <c r="N99" s="38" t="s">
        <v>102</v>
      </c>
      <c r="P99" s="38">
        <v>0</v>
      </c>
      <c r="U99" s="38">
        <v>4</v>
      </c>
      <c r="V99" s="38">
        <v>1</v>
      </c>
      <c r="W99" s="38" t="s">
        <v>103</v>
      </c>
      <c r="X99" s="38">
        <v>0</v>
      </c>
      <c r="AA99" s="45"/>
    </row>
    <row r="100" spans="1:27" x14ac:dyDescent="0.2">
      <c r="A100" s="38">
        <v>1</v>
      </c>
      <c r="B100" s="37">
        <v>9292003305316</v>
      </c>
      <c r="C100" s="38">
        <v>10</v>
      </c>
      <c r="D100" s="45" t="s">
        <v>405</v>
      </c>
      <c r="F100" s="38" t="s">
        <v>100</v>
      </c>
      <c r="G100" s="38">
        <v>0</v>
      </c>
      <c r="H100" s="38">
        <v>100</v>
      </c>
      <c r="K100" s="38">
        <v>1</v>
      </c>
      <c r="L100" s="38" t="s">
        <v>101</v>
      </c>
      <c r="M100" s="38" t="s">
        <v>406</v>
      </c>
      <c r="N100" s="38" t="s">
        <v>102</v>
      </c>
      <c r="P100" s="38">
        <v>0</v>
      </c>
      <c r="U100" s="38">
        <v>4</v>
      </c>
      <c r="V100" s="38">
        <v>1</v>
      </c>
      <c r="W100" s="38" t="s">
        <v>103</v>
      </c>
      <c r="X100" s="38">
        <v>0</v>
      </c>
      <c r="AA100" s="45"/>
    </row>
    <row r="101" spans="1:27" x14ac:dyDescent="0.2">
      <c r="A101" s="38">
        <v>1</v>
      </c>
      <c r="B101" s="37">
        <v>9292003305316</v>
      </c>
      <c r="C101" s="38">
        <v>20</v>
      </c>
      <c r="D101" s="45">
        <v>5701603305316</v>
      </c>
      <c r="F101" s="38" t="s">
        <v>100</v>
      </c>
      <c r="G101" s="38">
        <v>0</v>
      </c>
      <c r="H101" s="38">
        <v>100</v>
      </c>
      <c r="K101" s="38">
        <v>1</v>
      </c>
      <c r="L101" s="38" t="s">
        <v>101</v>
      </c>
      <c r="M101" s="38" t="s">
        <v>406</v>
      </c>
      <c r="N101" s="38" t="s">
        <v>102</v>
      </c>
      <c r="P101" s="38">
        <v>0</v>
      </c>
      <c r="U101" s="38">
        <v>4</v>
      </c>
      <c r="V101" s="38">
        <v>1</v>
      </c>
      <c r="W101" s="38" t="s">
        <v>103</v>
      </c>
      <c r="X101" s="38">
        <v>0</v>
      </c>
      <c r="AA101" s="45"/>
    </row>
    <row r="102" spans="1:27" x14ac:dyDescent="0.2">
      <c r="A102" s="38">
        <v>1</v>
      </c>
      <c r="B102" s="37">
        <v>9292003306316</v>
      </c>
      <c r="C102" s="38">
        <v>10</v>
      </c>
      <c r="D102" s="45" t="s">
        <v>405</v>
      </c>
      <c r="F102" s="38" t="s">
        <v>100</v>
      </c>
      <c r="G102" s="38">
        <v>0</v>
      </c>
      <c r="H102" s="38">
        <v>100</v>
      </c>
      <c r="K102" s="38">
        <v>1</v>
      </c>
      <c r="L102" s="38" t="s">
        <v>101</v>
      </c>
      <c r="M102" s="38" t="s">
        <v>406</v>
      </c>
      <c r="N102" s="38" t="s">
        <v>102</v>
      </c>
      <c r="P102" s="38">
        <v>0</v>
      </c>
      <c r="U102" s="38">
        <v>4</v>
      </c>
      <c r="V102" s="38">
        <v>1</v>
      </c>
      <c r="W102" s="38" t="s">
        <v>103</v>
      </c>
      <c r="X102" s="38">
        <v>0</v>
      </c>
      <c r="AA102" s="45"/>
    </row>
    <row r="103" spans="1:27" x14ac:dyDescent="0.2">
      <c r="A103" s="38">
        <v>1</v>
      </c>
      <c r="B103" s="37">
        <v>9292003306316</v>
      </c>
      <c r="C103" s="38">
        <v>20</v>
      </c>
      <c r="D103" s="45">
        <v>5701603306316</v>
      </c>
      <c r="F103" s="38" t="s">
        <v>100</v>
      </c>
      <c r="G103" s="38">
        <v>0</v>
      </c>
      <c r="H103" s="38">
        <v>100</v>
      </c>
      <c r="K103" s="38">
        <v>1</v>
      </c>
      <c r="L103" s="38" t="s">
        <v>101</v>
      </c>
      <c r="M103" s="38" t="s">
        <v>406</v>
      </c>
      <c r="N103" s="38" t="s">
        <v>102</v>
      </c>
      <c r="P103" s="38">
        <v>0</v>
      </c>
      <c r="U103" s="38">
        <v>4</v>
      </c>
      <c r="V103" s="38">
        <v>1</v>
      </c>
      <c r="W103" s="38" t="s">
        <v>103</v>
      </c>
      <c r="X103" s="38">
        <v>0</v>
      </c>
      <c r="AA103" s="45"/>
    </row>
    <row r="104" spans="1:27" x14ac:dyDescent="0.2">
      <c r="A104" s="38">
        <v>1</v>
      </c>
      <c r="B104" s="37">
        <v>9292003307316</v>
      </c>
      <c r="C104" s="38">
        <v>10</v>
      </c>
      <c r="D104" s="45" t="s">
        <v>405</v>
      </c>
      <c r="F104" s="38" t="s">
        <v>100</v>
      </c>
      <c r="G104" s="38">
        <v>0</v>
      </c>
      <c r="H104" s="38">
        <v>100</v>
      </c>
      <c r="K104" s="38">
        <v>1</v>
      </c>
      <c r="L104" s="38" t="s">
        <v>101</v>
      </c>
      <c r="M104" s="38" t="s">
        <v>406</v>
      </c>
      <c r="N104" s="38" t="s">
        <v>102</v>
      </c>
      <c r="P104" s="38">
        <v>0</v>
      </c>
      <c r="U104" s="38">
        <v>4</v>
      </c>
      <c r="V104" s="38">
        <v>1</v>
      </c>
      <c r="W104" s="38" t="s">
        <v>103</v>
      </c>
      <c r="X104" s="38">
        <v>0</v>
      </c>
      <c r="AA104" s="45"/>
    </row>
    <row r="105" spans="1:27" x14ac:dyDescent="0.2">
      <c r="A105" s="38">
        <v>1</v>
      </c>
      <c r="B105" s="37">
        <v>9292003307316</v>
      </c>
      <c r="C105" s="38">
        <v>20</v>
      </c>
      <c r="D105" s="45">
        <v>5701603307316</v>
      </c>
      <c r="F105" s="38" t="s">
        <v>100</v>
      </c>
      <c r="G105" s="38">
        <v>0</v>
      </c>
      <c r="H105" s="38">
        <v>100</v>
      </c>
      <c r="K105" s="38">
        <v>1</v>
      </c>
      <c r="L105" s="38" t="s">
        <v>101</v>
      </c>
      <c r="M105" s="38" t="s">
        <v>406</v>
      </c>
      <c r="N105" s="38" t="s">
        <v>102</v>
      </c>
      <c r="P105" s="38">
        <v>0</v>
      </c>
      <c r="U105" s="38">
        <v>4</v>
      </c>
      <c r="V105" s="38">
        <v>1</v>
      </c>
      <c r="W105" s="38" t="s">
        <v>103</v>
      </c>
      <c r="X105" s="38">
        <v>0</v>
      </c>
      <c r="AA105" s="45"/>
    </row>
    <row r="106" spans="1:27" x14ac:dyDescent="0.2">
      <c r="A106" s="38">
        <v>1</v>
      </c>
      <c r="B106" s="37">
        <v>9292003308316</v>
      </c>
      <c r="C106" s="38">
        <v>10</v>
      </c>
      <c r="D106" s="45" t="s">
        <v>405</v>
      </c>
      <c r="F106" s="38" t="s">
        <v>100</v>
      </c>
      <c r="G106" s="38">
        <v>0</v>
      </c>
      <c r="H106" s="38">
        <v>100</v>
      </c>
      <c r="K106" s="38">
        <v>1</v>
      </c>
      <c r="L106" s="38" t="s">
        <v>101</v>
      </c>
      <c r="M106" s="38" t="s">
        <v>406</v>
      </c>
      <c r="N106" s="38" t="s">
        <v>102</v>
      </c>
      <c r="P106" s="38">
        <v>0</v>
      </c>
      <c r="U106" s="38">
        <v>4</v>
      </c>
      <c r="V106" s="38">
        <v>1</v>
      </c>
      <c r="W106" s="38" t="s">
        <v>103</v>
      </c>
      <c r="X106" s="38">
        <v>0</v>
      </c>
      <c r="AA106" s="45"/>
    </row>
    <row r="107" spans="1:27" x14ac:dyDescent="0.2">
      <c r="A107" s="38">
        <v>1</v>
      </c>
      <c r="B107" s="37">
        <v>9292003308316</v>
      </c>
      <c r="C107" s="38">
        <v>20</v>
      </c>
      <c r="D107" s="45">
        <v>5701603308316</v>
      </c>
      <c r="F107" s="38" t="s">
        <v>100</v>
      </c>
      <c r="G107" s="38">
        <v>0</v>
      </c>
      <c r="H107" s="38">
        <v>100</v>
      </c>
      <c r="K107" s="38">
        <v>1</v>
      </c>
      <c r="L107" s="38" t="s">
        <v>101</v>
      </c>
      <c r="M107" s="38" t="s">
        <v>406</v>
      </c>
      <c r="N107" s="38" t="s">
        <v>102</v>
      </c>
      <c r="P107" s="38">
        <v>0</v>
      </c>
      <c r="U107" s="38">
        <v>4</v>
      </c>
      <c r="V107" s="38">
        <v>1</v>
      </c>
      <c r="W107" s="38" t="s">
        <v>103</v>
      </c>
      <c r="X107" s="38">
        <v>0</v>
      </c>
      <c r="AA107" s="45"/>
    </row>
    <row r="108" spans="1:27" x14ac:dyDescent="0.2">
      <c r="A108" s="38">
        <v>1</v>
      </c>
      <c r="B108" s="37">
        <v>9292003309316</v>
      </c>
      <c r="C108" s="38">
        <v>10</v>
      </c>
      <c r="D108" s="45" t="s">
        <v>405</v>
      </c>
      <c r="F108" s="38" t="s">
        <v>100</v>
      </c>
      <c r="G108" s="38">
        <v>0</v>
      </c>
      <c r="H108" s="38">
        <v>100</v>
      </c>
      <c r="K108" s="38">
        <v>1</v>
      </c>
      <c r="L108" s="38" t="s">
        <v>101</v>
      </c>
      <c r="M108" s="38" t="s">
        <v>406</v>
      </c>
      <c r="N108" s="38" t="s">
        <v>102</v>
      </c>
      <c r="P108" s="38">
        <v>0</v>
      </c>
      <c r="U108" s="38">
        <v>4</v>
      </c>
      <c r="V108" s="38">
        <v>1</v>
      </c>
      <c r="W108" s="38" t="s">
        <v>103</v>
      </c>
      <c r="X108" s="38">
        <v>0</v>
      </c>
      <c r="AA108" s="45"/>
    </row>
    <row r="109" spans="1:27" x14ac:dyDescent="0.2">
      <c r="A109" s="38">
        <v>1</v>
      </c>
      <c r="B109" s="37">
        <v>9292003309316</v>
      </c>
      <c r="C109" s="38">
        <v>20</v>
      </c>
      <c r="D109" s="45">
        <v>5701603309316</v>
      </c>
      <c r="F109" s="38" t="s">
        <v>100</v>
      </c>
      <c r="G109" s="38">
        <v>0</v>
      </c>
      <c r="H109" s="38">
        <v>100</v>
      </c>
      <c r="K109" s="38">
        <v>1</v>
      </c>
      <c r="L109" s="38" t="s">
        <v>101</v>
      </c>
      <c r="M109" s="38" t="s">
        <v>406</v>
      </c>
      <c r="N109" s="38" t="s">
        <v>102</v>
      </c>
      <c r="P109" s="38">
        <v>0</v>
      </c>
      <c r="U109" s="38">
        <v>4</v>
      </c>
      <c r="V109" s="38">
        <v>1</v>
      </c>
      <c r="W109" s="38" t="s">
        <v>103</v>
      </c>
      <c r="X109" s="38">
        <v>0</v>
      </c>
      <c r="AA109" s="45"/>
    </row>
    <row r="110" spans="1:27" x14ac:dyDescent="0.2">
      <c r="A110" s="38">
        <v>1</v>
      </c>
      <c r="B110" s="37">
        <v>9292003310316</v>
      </c>
      <c r="C110" s="38">
        <v>10</v>
      </c>
      <c r="D110" s="45" t="s">
        <v>405</v>
      </c>
      <c r="F110" s="38" t="s">
        <v>100</v>
      </c>
      <c r="G110" s="38">
        <v>0</v>
      </c>
      <c r="H110" s="38">
        <v>100</v>
      </c>
      <c r="K110" s="38">
        <v>1</v>
      </c>
      <c r="L110" s="38" t="s">
        <v>101</v>
      </c>
      <c r="M110" s="38" t="s">
        <v>406</v>
      </c>
      <c r="N110" s="38" t="s">
        <v>102</v>
      </c>
      <c r="P110" s="38">
        <v>0</v>
      </c>
      <c r="U110" s="38">
        <v>4</v>
      </c>
      <c r="V110" s="38">
        <v>1</v>
      </c>
      <c r="W110" s="38" t="s">
        <v>103</v>
      </c>
      <c r="X110" s="38">
        <v>0</v>
      </c>
      <c r="AA110" s="45"/>
    </row>
    <row r="111" spans="1:27" x14ac:dyDescent="0.2">
      <c r="A111" s="38">
        <v>1</v>
      </c>
      <c r="B111" s="37">
        <v>9292003310316</v>
      </c>
      <c r="C111" s="38">
        <v>20</v>
      </c>
      <c r="D111" s="45">
        <v>5701603310316</v>
      </c>
      <c r="F111" s="38" t="s">
        <v>100</v>
      </c>
      <c r="G111" s="38">
        <v>0</v>
      </c>
      <c r="H111" s="38">
        <v>100</v>
      </c>
      <c r="K111" s="38">
        <v>1</v>
      </c>
      <c r="L111" s="38" t="s">
        <v>101</v>
      </c>
      <c r="M111" s="38" t="s">
        <v>406</v>
      </c>
      <c r="N111" s="38" t="s">
        <v>102</v>
      </c>
      <c r="P111" s="38">
        <v>0</v>
      </c>
      <c r="U111" s="38">
        <v>4</v>
      </c>
      <c r="V111" s="38">
        <v>1</v>
      </c>
      <c r="W111" s="38" t="s">
        <v>103</v>
      </c>
      <c r="X111" s="38">
        <v>0</v>
      </c>
      <c r="AA111" s="45"/>
    </row>
    <row r="112" spans="1:27" x14ac:dyDescent="0.2">
      <c r="A112" s="38">
        <v>1</v>
      </c>
      <c r="B112" s="37">
        <v>9292003300318</v>
      </c>
      <c r="C112" s="38">
        <v>10</v>
      </c>
      <c r="D112" s="45" t="s">
        <v>405</v>
      </c>
      <c r="F112" s="38" t="s">
        <v>100</v>
      </c>
      <c r="G112" s="38">
        <v>0</v>
      </c>
      <c r="H112" s="38">
        <v>100</v>
      </c>
      <c r="K112" s="38">
        <v>1</v>
      </c>
      <c r="L112" s="38" t="s">
        <v>101</v>
      </c>
      <c r="M112" s="38" t="s">
        <v>406</v>
      </c>
      <c r="N112" s="38" t="s">
        <v>102</v>
      </c>
      <c r="P112" s="38">
        <v>0</v>
      </c>
      <c r="U112" s="38">
        <v>4</v>
      </c>
      <c r="V112" s="38">
        <v>1</v>
      </c>
      <c r="W112" s="38" t="s">
        <v>103</v>
      </c>
      <c r="X112" s="38">
        <v>0</v>
      </c>
      <c r="AA112" s="45"/>
    </row>
    <row r="113" spans="1:27" x14ac:dyDescent="0.2">
      <c r="A113" s="38">
        <v>1</v>
      </c>
      <c r="B113" s="37">
        <v>9292003300318</v>
      </c>
      <c r="C113" s="38">
        <v>20</v>
      </c>
      <c r="D113" s="45">
        <v>5701603300318</v>
      </c>
      <c r="F113" s="38" t="s">
        <v>100</v>
      </c>
      <c r="G113" s="38">
        <v>0</v>
      </c>
      <c r="H113" s="38">
        <v>100</v>
      </c>
      <c r="K113" s="38">
        <v>1</v>
      </c>
      <c r="L113" s="38" t="s">
        <v>101</v>
      </c>
      <c r="M113" s="38" t="s">
        <v>406</v>
      </c>
      <c r="N113" s="38" t="s">
        <v>102</v>
      </c>
      <c r="P113" s="38">
        <v>0</v>
      </c>
      <c r="U113" s="38">
        <v>4</v>
      </c>
      <c r="V113" s="38">
        <v>1</v>
      </c>
      <c r="W113" s="38" t="s">
        <v>103</v>
      </c>
      <c r="X113" s="38">
        <v>0</v>
      </c>
      <c r="AA113" s="45"/>
    </row>
    <row r="114" spans="1:27" x14ac:dyDescent="0.2">
      <c r="A114" s="38">
        <v>1</v>
      </c>
      <c r="B114" s="37">
        <v>9292003301318</v>
      </c>
      <c r="C114" s="38">
        <v>10</v>
      </c>
      <c r="D114" s="45" t="s">
        <v>405</v>
      </c>
      <c r="F114" s="38" t="s">
        <v>100</v>
      </c>
      <c r="G114" s="38">
        <v>0</v>
      </c>
      <c r="H114" s="38">
        <v>100</v>
      </c>
      <c r="K114" s="38">
        <v>1</v>
      </c>
      <c r="L114" s="38" t="s">
        <v>101</v>
      </c>
      <c r="M114" s="38" t="s">
        <v>406</v>
      </c>
      <c r="N114" s="38" t="s">
        <v>102</v>
      </c>
      <c r="P114" s="38">
        <v>0</v>
      </c>
      <c r="U114" s="38">
        <v>4</v>
      </c>
      <c r="V114" s="38">
        <v>1</v>
      </c>
      <c r="W114" s="38" t="s">
        <v>103</v>
      </c>
      <c r="X114" s="38">
        <v>0</v>
      </c>
      <c r="AA114" s="45"/>
    </row>
    <row r="115" spans="1:27" x14ac:dyDescent="0.2">
      <c r="A115" s="38">
        <v>1</v>
      </c>
      <c r="B115" s="37">
        <v>9292003301318</v>
      </c>
      <c r="C115" s="38">
        <v>20</v>
      </c>
      <c r="D115" s="45">
        <v>5701603301318</v>
      </c>
      <c r="F115" s="38" t="s">
        <v>100</v>
      </c>
      <c r="G115" s="38">
        <v>0</v>
      </c>
      <c r="H115" s="38">
        <v>100</v>
      </c>
      <c r="K115" s="38">
        <v>1</v>
      </c>
      <c r="L115" s="38" t="s">
        <v>101</v>
      </c>
      <c r="M115" s="38" t="s">
        <v>406</v>
      </c>
      <c r="N115" s="38" t="s">
        <v>102</v>
      </c>
      <c r="P115" s="38">
        <v>0</v>
      </c>
      <c r="U115" s="38">
        <v>4</v>
      </c>
      <c r="V115" s="38">
        <v>1</v>
      </c>
      <c r="W115" s="38" t="s">
        <v>103</v>
      </c>
      <c r="X115" s="38">
        <v>0</v>
      </c>
      <c r="AA115" s="45"/>
    </row>
    <row r="116" spans="1:27" x14ac:dyDescent="0.2">
      <c r="A116" s="38">
        <v>1</v>
      </c>
      <c r="B116" s="37">
        <v>9292003302318</v>
      </c>
      <c r="C116" s="38">
        <v>10</v>
      </c>
      <c r="D116" s="45" t="s">
        <v>405</v>
      </c>
      <c r="F116" s="38" t="s">
        <v>100</v>
      </c>
      <c r="G116" s="38">
        <v>0</v>
      </c>
      <c r="H116" s="38">
        <v>100</v>
      </c>
      <c r="K116" s="38">
        <v>1</v>
      </c>
      <c r="L116" s="38" t="s">
        <v>101</v>
      </c>
      <c r="M116" s="38" t="s">
        <v>406</v>
      </c>
      <c r="N116" s="38" t="s">
        <v>102</v>
      </c>
      <c r="P116" s="38">
        <v>0</v>
      </c>
      <c r="U116" s="38">
        <v>4</v>
      </c>
      <c r="V116" s="38">
        <v>1</v>
      </c>
      <c r="W116" s="38" t="s">
        <v>103</v>
      </c>
      <c r="X116" s="38">
        <v>0</v>
      </c>
      <c r="AA116" s="45"/>
    </row>
    <row r="117" spans="1:27" x14ac:dyDescent="0.2">
      <c r="A117" s="38">
        <v>1</v>
      </c>
      <c r="B117" s="37">
        <v>9292003302318</v>
      </c>
      <c r="C117" s="38">
        <v>20</v>
      </c>
      <c r="D117" s="45">
        <v>5701603302318</v>
      </c>
      <c r="F117" s="38" t="s">
        <v>100</v>
      </c>
      <c r="G117" s="38">
        <v>0</v>
      </c>
      <c r="H117" s="38">
        <v>100</v>
      </c>
      <c r="K117" s="38">
        <v>1</v>
      </c>
      <c r="L117" s="38" t="s">
        <v>101</v>
      </c>
      <c r="M117" s="38" t="s">
        <v>406</v>
      </c>
      <c r="N117" s="38" t="s">
        <v>102</v>
      </c>
      <c r="P117" s="38">
        <v>0</v>
      </c>
      <c r="U117" s="38">
        <v>4</v>
      </c>
      <c r="V117" s="38">
        <v>1</v>
      </c>
      <c r="W117" s="38" t="s">
        <v>103</v>
      </c>
      <c r="X117" s="38">
        <v>0</v>
      </c>
      <c r="AA117" s="45"/>
    </row>
    <row r="118" spans="1:27" x14ac:dyDescent="0.2">
      <c r="A118" s="38">
        <v>1</v>
      </c>
      <c r="B118" s="37">
        <v>9292003303318</v>
      </c>
      <c r="C118" s="38">
        <v>10</v>
      </c>
      <c r="D118" s="45" t="s">
        <v>405</v>
      </c>
      <c r="F118" s="38" t="s">
        <v>100</v>
      </c>
      <c r="G118" s="38">
        <v>0</v>
      </c>
      <c r="H118" s="38">
        <v>100</v>
      </c>
      <c r="K118" s="38">
        <v>1</v>
      </c>
      <c r="L118" s="38" t="s">
        <v>101</v>
      </c>
      <c r="M118" s="38" t="s">
        <v>406</v>
      </c>
      <c r="N118" s="38" t="s">
        <v>102</v>
      </c>
      <c r="P118" s="38">
        <v>0</v>
      </c>
      <c r="U118" s="38">
        <v>4</v>
      </c>
      <c r="V118" s="38">
        <v>1</v>
      </c>
      <c r="W118" s="38" t="s">
        <v>103</v>
      </c>
      <c r="X118" s="38">
        <v>0</v>
      </c>
      <c r="AA118" s="45"/>
    </row>
    <row r="119" spans="1:27" x14ac:dyDescent="0.2">
      <c r="A119" s="38">
        <v>1</v>
      </c>
      <c r="B119" s="37">
        <v>9292003303318</v>
      </c>
      <c r="C119" s="38">
        <v>20</v>
      </c>
      <c r="D119" s="45">
        <v>5701603303318</v>
      </c>
      <c r="F119" s="38" t="s">
        <v>100</v>
      </c>
      <c r="G119" s="38">
        <v>0</v>
      </c>
      <c r="H119" s="38">
        <v>100</v>
      </c>
      <c r="K119" s="38">
        <v>1</v>
      </c>
      <c r="L119" s="38" t="s">
        <v>101</v>
      </c>
      <c r="M119" s="38" t="s">
        <v>406</v>
      </c>
      <c r="N119" s="38" t="s">
        <v>102</v>
      </c>
      <c r="P119" s="38">
        <v>0</v>
      </c>
      <c r="U119" s="38">
        <v>4</v>
      </c>
      <c r="V119" s="38">
        <v>1</v>
      </c>
      <c r="W119" s="38" t="s">
        <v>103</v>
      </c>
      <c r="X119" s="38">
        <v>0</v>
      </c>
      <c r="AA119" s="45"/>
    </row>
    <row r="120" spans="1:27" x14ac:dyDescent="0.2">
      <c r="A120" s="38">
        <v>1</v>
      </c>
      <c r="B120" s="37">
        <v>9292003304318</v>
      </c>
      <c r="C120" s="38">
        <v>10</v>
      </c>
      <c r="D120" s="45" t="s">
        <v>405</v>
      </c>
      <c r="F120" s="38" t="s">
        <v>100</v>
      </c>
      <c r="G120" s="38">
        <v>0</v>
      </c>
      <c r="H120" s="38">
        <v>100</v>
      </c>
      <c r="K120" s="38">
        <v>1</v>
      </c>
      <c r="L120" s="38" t="s">
        <v>101</v>
      </c>
      <c r="M120" s="38" t="s">
        <v>406</v>
      </c>
      <c r="N120" s="38" t="s">
        <v>102</v>
      </c>
      <c r="P120" s="38">
        <v>0</v>
      </c>
      <c r="U120" s="38">
        <v>4</v>
      </c>
      <c r="V120" s="38">
        <v>1</v>
      </c>
      <c r="W120" s="38" t="s">
        <v>103</v>
      </c>
      <c r="X120" s="38">
        <v>0</v>
      </c>
      <c r="AA120" s="45"/>
    </row>
    <row r="121" spans="1:27" x14ac:dyDescent="0.2">
      <c r="A121" s="38">
        <v>1</v>
      </c>
      <c r="B121" s="37">
        <v>9292003304318</v>
      </c>
      <c r="C121" s="38">
        <v>20</v>
      </c>
      <c r="D121" s="45">
        <v>5701603304318</v>
      </c>
      <c r="F121" s="38" t="s">
        <v>100</v>
      </c>
      <c r="G121" s="38">
        <v>0</v>
      </c>
      <c r="H121" s="38">
        <v>100</v>
      </c>
      <c r="K121" s="38">
        <v>1</v>
      </c>
      <c r="L121" s="38" t="s">
        <v>101</v>
      </c>
      <c r="M121" s="38" t="s">
        <v>406</v>
      </c>
      <c r="N121" s="38" t="s">
        <v>102</v>
      </c>
      <c r="P121" s="38">
        <v>0</v>
      </c>
      <c r="U121" s="38">
        <v>4</v>
      </c>
      <c r="V121" s="38">
        <v>1</v>
      </c>
      <c r="W121" s="38" t="s">
        <v>103</v>
      </c>
      <c r="X121" s="38">
        <v>0</v>
      </c>
      <c r="AA121" s="45"/>
    </row>
    <row r="122" spans="1:27" x14ac:dyDescent="0.2">
      <c r="A122" s="38">
        <v>1</v>
      </c>
      <c r="B122" s="37">
        <v>9292003305318</v>
      </c>
      <c r="C122" s="38">
        <v>10</v>
      </c>
      <c r="D122" s="45" t="s">
        <v>405</v>
      </c>
      <c r="F122" s="38" t="s">
        <v>100</v>
      </c>
      <c r="G122" s="38">
        <v>0</v>
      </c>
      <c r="H122" s="38">
        <v>100</v>
      </c>
      <c r="K122" s="38">
        <v>1</v>
      </c>
      <c r="L122" s="38" t="s">
        <v>101</v>
      </c>
      <c r="M122" s="38" t="s">
        <v>406</v>
      </c>
      <c r="N122" s="38" t="s">
        <v>102</v>
      </c>
      <c r="P122" s="38">
        <v>0</v>
      </c>
      <c r="U122" s="38">
        <v>4</v>
      </c>
      <c r="V122" s="38">
        <v>1</v>
      </c>
      <c r="W122" s="38" t="s">
        <v>103</v>
      </c>
      <c r="X122" s="38">
        <v>0</v>
      </c>
      <c r="AA122" s="45"/>
    </row>
    <row r="123" spans="1:27" x14ac:dyDescent="0.2">
      <c r="A123" s="38">
        <v>1</v>
      </c>
      <c r="B123" s="37">
        <v>9292003305318</v>
      </c>
      <c r="C123" s="38">
        <v>20</v>
      </c>
      <c r="D123" s="45">
        <v>5701603305318</v>
      </c>
      <c r="F123" s="38" t="s">
        <v>100</v>
      </c>
      <c r="G123" s="38">
        <v>0</v>
      </c>
      <c r="H123" s="38">
        <v>100</v>
      </c>
      <c r="K123" s="38">
        <v>1</v>
      </c>
      <c r="L123" s="38" t="s">
        <v>101</v>
      </c>
      <c r="M123" s="38" t="s">
        <v>406</v>
      </c>
      <c r="N123" s="38" t="s">
        <v>102</v>
      </c>
      <c r="P123" s="38">
        <v>0</v>
      </c>
      <c r="U123" s="38">
        <v>4</v>
      </c>
      <c r="V123" s="38">
        <v>1</v>
      </c>
      <c r="W123" s="38" t="s">
        <v>103</v>
      </c>
      <c r="X123" s="38">
        <v>0</v>
      </c>
      <c r="AA123" s="45"/>
    </row>
    <row r="124" spans="1:27" x14ac:dyDescent="0.2">
      <c r="A124" s="38">
        <v>1</v>
      </c>
      <c r="B124" s="37">
        <v>9292003306318</v>
      </c>
      <c r="C124" s="38">
        <v>10</v>
      </c>
      <c r="D124" s="45" t="s">
        <v>405</v>
      </c>
      <c r="F124" s="38" t="s">
        <v>100</v>
      </c>
      <c r="G124" s="38">
        <v>0</v>
      </c>
      <c r="H124" s="38">
        <v>100</v>
      </c>
      <c r="K124" s="38">
        <v>1</v>
      </c>
      <c r="L124" s="38" t="s">
        <v>101</v>
      </c>
      <c r="M124" s="38" t="s">
        <v>406</v>
      </c>
      <c r="N124" s="38" t="s">
        <v>102</v>
      </c>
      <c r="P124" s="38">
        <v>0</v>
      </c>
      <c r="U124" s="38">
        <v>4</v>
      </c>
      <c r="V124" s="38">
        <v>1</v>
      </c>
      <c r="W124" s="38" t="s">
        <v>103</v>
      </c>
      <c r="X124" s="38">
        <v>0</v>
      </c>
      <c r="AA124" s="45"/>
    </row>
    <row r="125" spans="1:27" x14ac:dyDescent="0.2">
      <c r="A125" s="38">
        <v>1</v>
      </c>
      <c r="B125" s="37">
        <v>9292003306318</v>
      </c>
      <c r="C125" s="38">
        <v>20</v>
      </c>
      <c r="D125" s="45">
        <v>5701603306318</v>
      </c>
      <c r="F125" s="38" t="s">
        <v>100</v>
      </c>
      <c r="G125" s="38">
        <v>0</v>
      </c>
      <c r="H125" s="38">
        <v>100</v>
      </c>
      <c r="K125" s="38">
        <v>1</v>
      </c>
      <c r="L125" s="38" t="s">
        <v>101</v>
      </c>
      <c r="M125" s="38" t="s">
        <v>406</v>
      </c>
      <c r="N125" s="38" t="s">
        <v>102</v>
      </c>
      <c r="P125" s="38">
        <v>0</v>
      </c>
      <c r="U125" s="38">
        <v>4</v>
      </c>
      <c r="V125" s="38">
        <v>1</v>
      </c>
      <c r="W125" s="38" t="s">
        <v>103</v>
      </c>
      <c r="X125" s="38">
        <v>0</v>
      </c>
      <c r="AA125" s="45"/>
    </row>
    <row r="126" spans="1:27" x14ac:dyDescent="0.2">
      <c r="A126" s="38">
        <v>1</v>
      </c>
      <c r="B126" s="37">
        <v>9292003307318</v>
      </c>
      <c r="C126" s="38">
        <v>10</v>
      </c>
      <c r="D126" s="45" t="s">
        <v>405</v>
      </c>
      <c r="F126" s="38" t="s">
        <v>100</v>
      </c>
      <c r="G126" s="38">
        <v>0</v>
      </c>
      <c r="H126" s="38">
        <v>100</v>
      </c>
      <c r="K126" s="38">
        <v>1</v>
      </c>
      <c r="L126" s="38" t="s">
        <v>101</v>
      </c>
      <c r="M126" s="38" t="s">
        <v>406</v>
      </c>
      <c r="N126" s="38" t="s">
        <v>102</v>
      </c>
      <c r="P126" s="38">
        <v>0</v>
      </c>
      <c r="U126" s="38">
        <v>4</v>
      </c>
      <c r="V126" s="38">
        <v>1</v>
      </c>
      <c r="W126" s="38" t="s">
        <v>103</v>
      </c>
      <c r="X126" s="38">
        <v>0</v>
      </c>
      <c r="AA126" s="45"/>
    </row>
    <row r="127" spans="1:27" x14ac:dyDescent="0.2">
      <c r="A127" s="38">
        <v>1</v>
      </c>
      <c r="B127" s="37">
        <v>9292003307318</v>
      </c>
      <c r="C127" s="38">
        <v>20</v>
      </c>
      <c r="D127" s="45">
        <v>5701603307318</v>
      </c>
      <c r="F127" s="38" t="s">
        <v>100</v>
      </c>
      <c r="G127" s="38">
        <v>0</v>
      </c>
      <c r="H127" s="38">
        <v>100</v>
      </c>
      <c r="K127" s="38">
        <v>1</v>
      </c>
      <c r="L127" s="38" t="s">
        <v>101</v>
      </c>
      <c r="M127" s="38" t="s">
        <v>406</v>
      </c>
      <c r="N127" s="38" t="s">
        <v>102</v>
      </c>
      <c r="P127" s="38">
        <v>0</v>
      </c>
      <c r="U127" s="38">
        <v>4</v>
      </c>
      <c r="V127" s="38">
        <v>1</v>
      </c>
      <c r="W127" s="38" t="s">
        <v>103</v>
      </c>
      <c r="X127" s="38">
        <v>0</v>
      </c>
      <c r="AA127" s="45"/>
    </row>
    <row r="128" spans="1:27" x14ac:dyDescent="0.2">
      <c r="A128" s="38">
        <v>1</v>
      </c>
      <c r="B128" s="37">
        <v>9292003308318</v>
      </c>
      <c r="C128" s="38">
        <v>10</v>
      </c>
      <c r="D128" s="45" t="s">
        <v>405</v>
      </c>
      <c r="F128" s="38" t="s">
        <v>100</v>
      </c>
      <c r="G128" s="38">
        <v>0</v>
      </c>
      <c r="H128" s="38">
        <v>100</v>
      </c>
      <c r="K128" s="38">
        <v>1</v>
      </c>
      <c r="L128" s="38" t="s">
        <v>101</v>
      </c>
      <c r="M128" s="38" t="s">
        <v>406</v>
      </c>
      <c r="N128" s="38" t="s">
        <v>102</v>
      </c>
      <c r="P128" s="38">
        <v>0</v>
      </c>
      <c r="U128" s="38">
        <v>4</v>
      </c>
      <c r="V128" s="38">
        <v>1</v>
      </c>
      <c r="W128" s="38" t="s">
        <v>103</v>
      </c>
      <c r="X128" s="38">
        <v>0</v>
      </c>
      <c r="AA128" s="45"/>
    </row>
    <row r="129" spans="1:27" x14ac:dyDescent="0.2">
      <c r="A129" s="38">
        <v>1</v>
      </c>
      <c r="B129" s="37">
        <v>9292003308318</v>
      </c>
      <c r="C129" s="38">
        <v>20</v>
      </c>
      <c r="D129" s="45">
        <v>5701603308318</v>
      </c>
      <c r="F129" s="38" t="s">
        <v>100</v>
      </c>
      <c r="G129" s="38">
        <v>0</v>
      </c>
      <c r="H129" s="38">
        <v>100</v>
      </c>
      <c r="K129" s="38">
        <v>1</v>
      </c>
      <c r="L129" s="38" t="s">
        <v>101</v>
      </c>
      <c r="M129" s="38" t="s">
        <v>406</v>
      </c>
      <c r="N129" s="38" t="s">
        <v>102</v>
      </c>
      <c r="P129" s="38">
        <v>0</v>
      </c>
      <c r="U129" s="38">
        <v>4</v>
      </c>
      <c r="V129" s="38">
        <v>1</v>
      </c>
      <c r="W129" s="38" t="s">
        <v>103</v>
      </c>
      <c r="X129" s="38">
        <v>0</v>
      </c>
      <c r="AA129" s="45"/>
    </row>
    <row r="130" spans="1:27" x14ac:dyDescent="0.2">
      <c r="A130" s="38">
        <v>1</v>
      </c>
      <c r="B130" s="37">
        <v>9292003309318</v>
      </c>
      <c r="C130" s="38">
        <v>10</v>
      </c>
      <c r="D130" s="45" t="s">
        <v>405</v>
      </c>
      <c r="F130" s="38" t="s">
        <v>100</v>
      </c>
      <c r="G130" s="38">
        <v>0</v>
      </c>
      <c r="H130" s="38">
        <v>100</v>
      </c>
      <c r="K130" s="38">
        <v>1</v>
      </c>
      <c r="L130" s="38" t="s">
        <v>101</v>
      </c>
      <c r="M130" s="38" t="s">
        <v>406</v>
      </c>
      <c r="N130" s="38" t="s">
        <v>102</v>
      </c>
      <c r="P130" s="38">
        <v>0</v>
      </c>
      <c r="U130" s="38">
        <v>4</v>
      </c>
      <c r="V130" s="38">
        <v>1</v>
      </c>
      <c r="W130" s="38" t="s">
        <v>103</v>
      </c>
      <c r="X130" s="38">
        <v>0</v>
      </c>
      <c r="AA130" s="45"/>
    </row>
    <row r="131" spans="1:27" x14ac:dyDescent="0.2">
      <c r="A131" s="38">
        <v>1</v>
      </c>
      <c r="B131" s="37">
        <v>9292003309318</v>
      </c>
      <c r="C131" s="38">
        <v>20</v>
      </c>
      <c r="D131" s="45">
        <v>5701603309318</v>
      </c>
      <c r="F131" s="38" t="s">
        <v>100</v>
      </c>
      <c r="G131" s="38">
        <v>0</v>
      </c>
      <c r="H131" s="38">
        <v>100</v>
      </c>
      <c r="K131" s="38">
        <v>1</v>
      </c>
      <c r="L131" s="38" t="s">
        <v>101</v>
      </c>
      <c r="M131" s="38" t="s">
        <v>406</v>
      </c>
      <c r="N131" s="38" t="s">
        <v>102</v>
      </c>
      <c r="P131" s="38">
        <v>0</v>
      </c>
      <c r="U131" s="38">
        <v>4</v>
      </c>
      <c r="V131" s="38">
        <v>1</v>
      </c>
      <c r="W131" s="38" t="s">
        <v>103</v>
      </c>
      <c r="X131" s="38">
        <v>0</v>
      </c>
      <c r="AA131" s="45"/>
    </row>
    <row r="132" spans="1:27" x14ac:dyDescent="0.2">
      <c r="A132" s="38">
        <v>1</v>
      </c>
      <c r="B132" s="37">
        <v>9292003310318</v>
      </c>
      <c r="C132" s="38">
        <v>10</v>
      </c>
      <c r="D132" s="45" t="s">
        <v>405</v>
      </c>
      <c r="F132" s="38" t="s">
        <v>100</v>
      </c>
      <c r="G132" s="38">
        <v>0</v>
      </c>
      <c r="H132" s="38">
        <v>100</v>
      </c>
      <c r="K132" s="38">
        <v>1</v>
      </c>
      <c r="L132" s="38" t="s">
        <v>101</v>
      </c>
      <c r="M132" s="38" t="s">
        <v>406</v>
      </c>
      <c r="N132" s="38" t="s">
        <v>102</v>
      </c>
      <c r="P132" s="38">
        <v>0</v>
      </c>
      <c r="U132" s="38">
        <v>4</v>
      </c>
      <c r="V132" s="38">
        <v>1</v>
      </c>
      <c r="W132" s="38" t="s">
        <v>103</v>
      </c>
      <c r="X132" s="38">
        <v>0</v>
      </c>
      <c r="AA132" s="45"/>
    </row>
    <row r="133" spans="1:27" x14ac:dyDescent="0.2">
      <c r="A133" s="38">
        <v>1</v>
      </c>
      <c r="B133" s="37">
        <v>9292003310318</v>
      </c>
      <c r="C133" s="38">
        <v>20</v>
      </c>
      <c r="D133" s="45">
        <v>5701603310318</v>
      </c>
      <c r="F133" s="38" t="s">
        <v>100</v>
      </c>
      <c r="G133" s="38">
        <v>0</v>
      </c>
      <c r="H133" s="38">
        <v>100</v>
      </c>
      <c r="K133" s="38">
        <v>1</v>
      </c>
      <c r="L133" s="38" t="s">
        <v>101</v>
      </c>
      <c r="M133" s="38" t="s">
        <v>406</v>
      </c>
      <c r="N133" s="38" t="s">
        <v>102</v>
      </c>
      <c r="P133" s="38">
        <v>0</v>
      </c>
      <c r="U133" s="38">
        <v>4</v>
      </c>
      <c r="V133" s="38">
        <v>1</v>
      </c>
      <c r="W133" s="38" t="s">
        <v>103</v>
      </c>
      <c r="X133" s="38">
        <v>0</v>
      </c>
      <c r="AA133" s="45"/>
    </row>
    <row r="134" spans="1:27" x14ac:dyDescent="0.2">
      <c r="A134" s="38">
        <v>1</v>
      </c>
      <c r="B134" s="37">
        <v>9292003300724</v>
      </c>
      <c r="C134" s="38">
        <v>10</v>
      </c>
      <c r="D134" s="45" t="s">
        <v>405</v>
      </c>
      <c r="F134" s="38" t="s">
        <v>100</v>
      </c>
      <c r="G134" s="38">
        <v>0</v>
      </c>
      <c r="H134" s="38">
        <v>100</v>
      </c>
      <c r="K134" s="38">
        <v>1</v>
      </c>
      <c r="L134" s="38" t="s">
        <v>101</v>
      </c>
      <c r="M134" s="38" t="s">
        <v>406</v>
      </c>
      <c r="N134" s="38" t="s">
        <v>102</v>
      </c>
      <c r="P134" s="38">
        <v>0</v>
      </c>
      <c r="U134" s="38">
        <v>4</v>
      </c>
      <c r="V134" s="38">
        <v>1</v>
      </c>
      <c r="W134" s="38" t="s">
        <v>103</v>
      </c>
      <c r="X134" s="38">
        <v>0</v>
      </c>
      <c r="AA134" s="45"/>
    </row>
    <row r="135" spans="1:27" x14ac:dyDescent="0.2">
      <c r="A135" s="38">
        <v>1</v>
      </c>
      <c r="B135" s="37">
        <v>9292003300724</v>
      </c>
      <c r="C135" s="38">
        <v>20</v>
      </c>
      <c r="D135" s="45">
        <v>5701603300724</v>
      </c>
      <c r="F135" s="38" t="s">
        <v>100</v>
      </c>
      <c r="G135" s="38">
        <v>0</v>
      </c>
      <c r="H135" s="38">
        <v>100</v>
      </c>
      <c r="K135" s="38">
        <v>1</v>
      </c>
      <c r="L135" s="38" t="s">
        <v>101</v>
      </c>
      <c r="M135" s="38" t="s">
        <v>406</v>
      </c>
      <c r="N135" s="38" t="s">
        <v>102</v>
      </c>
      <c r="P135" s="38">
        <v>0</v>
      </c>
      <c r="U135" s="38">
        <v>4</v>
      </c>
      <c r="V135" s="38">
        <v>1</v>
      </c>
      <c r="W135" s="38" t="s">
        <v>103</v>
      </c>
      <c r="X135" s="38">
        <v>0</v>
      </c>
      <c r="AA135" s="45"/>
    </row>
    <row r="136" spans="1:27" x14ac:dyDescent="0.2">
      <c r="A136" s="38">
        <v>1</v>
      </c>
      <c r="B136" s="37">
        <v>9292003301724</v>
      </c>
      <c r="C136" s="38">
        <v>10</v>
      </c>
      <c r="D136" s="45" t="s">
        <v>405</v>
      </c>
      <c r="F136" s="38" t="s">
        <v>100</v>
      </c>
      <c r="G136" s="38">
        <v>0</v>
      </c>
      <c r="H136" s="38">
        <v>100</v>
      </c>
      <c r="K136" s="38">
        <v>1</v>
      </c>
      <c r="L136" s="38" t="s">
        <v>101</v>
      </c>
      <c r="M136" s="38" t="s">
        <v>406</v>
      </c>
      <c r="N136" s="38" t="s">
        <v>102</v>
      </c>
      <c r="P136" s="38">
        <v>0</v>
      </c>
      <c r="U136" s="38">
        <v>4</v>
      </c>
      <c r="V136" s="38">
        <v>1</v>
      </c>
      <c r="W136" s="38" t="s">
        <v>103</v>
      </c>
      <c r="X136" s="38">
        <v>0</v>
      </c>
      <c r="AA136" s="45"/>
    </row>
    <row r="137" spans="1:27" x14ac:dyDescent="0.2">
      <c r="A137" s="38">
        <v>1</v>
      </c>
      <c r="B137" s="37">
        <v>9292003301724</v>
      </c>
      <c r="C137" s="38">
        <v>20</v>
      </c>
      <c r="D137" s="45">
        <v>5701603301724</v>
      </c>
      <c r="F137" s="38" t="s">
        <v>100</v>
      </c>
      <c r="G137" s="38">
        <v>0</v>
      </c>
      <c r="H137" s="38">
        <v>100</v>
      </c>
      <c r="K137" s="38">
        <v>1</v>
      </c>
      <c r="L137" s="38" t="s">
        <v>101</v>
      </c>
      <c r="M137" s="38" t="s">
        <v>406</v>
      </c>
      <c r="N137" s="38" t="s">
        <v>102</v>
      </c>
      <c r="P137" s="38">
        <v>0</v>
      </c>
      <c r="U137" s="38">
        <v>4</v>
      </c>
      <c r="V137" s="38">
        <v>1</v>
      </c>
      <c r="W137" s="38" t="s">
        <v>103</v>
      </c>
      <c r="X137" s="38">
        <v>0</v>
      </c>
      <c r="AA137" s="45"/>
    </row>
    <row r="138" spans="1:27" x14ac:dyDescent="0.2">
      <c r="A138" s="38">
        <v>1</v>
      </c>
      <c r="B138" s="37">
        <v>9292003302724</v>
      </c>
      <c r="C138" s="38">
        <v>10</v>
      </c>
      <c r="D138" s="45" t="s">
        <v>405</v>
      </c>
      <c r="F138" s="38" t="s">
        <v>100</v>
      </c>
      <c r="G138" s="38">
        <v>0</v>
      </c>
      <c r="H138" s="38">
        <v>100</v>
      </c>
      <c r="K138" s="38">
        <v>1</v>
      </c>
      <c r="L138" s="38" t="s">
        <v>101</v>
      </c>
      <c r="M138" s="38" t="s">
        <v>406</v>
      </c>
      <c r="N138" s="38" t="s">
        <v>102</v>
      </c>
      <c r="P138" s="38">
        <v>0</v>
      </c>
      <c r="U138" s="38">
        <v>4</v>
      </c>
      <c r="V138" s="38">
        <v>1</v>
      </c>
      <c r="W138" s="38" t="s">
        <v>103</v>
      </c>
      <c r="X138" s="38">
        <v>0</v>
      </c>
      <c r="AA138" s="45"/>
    </row>
    <row r="139" spans="1:27" x14ac:dyDescent="0.2">
      <c r="A139" s="38">
        <v>1</v>
      </c>
      <c r="B139" s="37">
        <v>9292003302724</v>
      </c>
      <c r="C139" s="38">
        <v>20</v>
      </c>
      <c r="D139" s="45">
        <v>5701603302724</v>
      </c>
      <c r="F139" s="38" t="s">
        <v>100</v>
      </c>
      <c r="G139" s="38">
        <v>0</v>
      </c>
      <c r="H139" s="38">
        <v>100</v>
      </c>
      <c r="K139" s="38">
        <v>1</v>
      </c>
      <c r="L139" s="38" t="s">
        <v>101</v>
      </c>
      <c r="M139" s="38" t="s">
        <v>406</v>
      </c>
      <c r="N139" s="38" t="s">
        <v>102</v>
      </c>
      <c r="P139" s="38">
        <v>0</v>
      </c>
      <c r="U139" s="38">
        <v>4</v>
      </c>
      <c r="V139" s="38">
        <v>1</v>
      </c>
      <c r="W139" s="38" t="s">
        <v>103</v>
      </c>
      <c r="X139" s="38">
        <v>0</v>
      </c>
      <c r="AA139" s="45"/>
    </row>
    <row r="140" spans="1:27" x14ac:dyDescent="0.2">
      <c r="A140" s="38">
        <v>1</v>
      </c>
      <c r="B140" s="37">
        <v>9292003303724</v>
      </c>
      <c r="C140" s="38">
        <v>10</v>
      </c>
      <c r="D140" s="45" t="s">
        <v>405</v>
      </c>
      <c r="F140" s="38" t="s">
        <v>100</v>
      </c>
      <c r="G140" s="38">
        <v>0</v>
      </c>
      <c r="H140" s="38">
        <v>100</v>
      </c>
      <c r="K140" s="38">
        <v>1</v>
      </c>
      <c r="L140" s="38" t="s">
        <v>101</v>
      </c>
      <c r="M140" s="38" t="s">
        <v>406</v>
      </c>
      <c r="N140" s="38" t="s">
        <v>102</v>
      </c>
      <c r="P140" s="38">
        <v>0</v>
      </c>
      <c r="U140" s="38">
        <v>4</v>
      </c>
      <c r="V140" s="38">
        <v>1</v>
      </c>
      <c r="W140" s="38" t="s">
        <v>103</v>
      </c>
      <c r="X140" s="38">
        <v>0</v>
      </c>
      <c r="AA140" s="45"/>
    </row>
    <row r="141" spans="1:27" x14ac:dyDescent="0.2">
      <c r="A141" s="38">
        <v>1</v>
      </c>
      <c r="B141" s="37">
        <v>9292003303724</v>
      </c>
      <c r="C141" s="38">
        <v>20</v>
      </c>
      <c r="D141" s="45">
        <v>5701603303724</v>
      </c>
      <c r="F141" s="38" t="s">
        <v>100</v>
      </c>
      <c r="G141" s="38">
        <v>0</v>
      </c>
      <c r="H141" s="38">
        <v>100</v>
      </c>
      <c r="K141" s="38">
        <v>1</v>
      </c>
      <c r="L141" s="38" t="s">
        <v>101</v>
      </c>
      <c r="M141" s="38" t="s">
        <v>406</v>
      </c>
      <c r="N141" s="38" t="s">
        <v>102</v>
      </c>
      <c r="P141" s="38">
        <v>0</v>
      </c>
      <c r="U141" s="38">
        <v>4</v>
      </c>
      <c r="V141" s="38">
        <v>1</v>
      </c>
      <c r="W141" s="38" t="s">
        <v>103</v>
      </c>
      <c r="X141" s="38">
        <v>0</v>
      </c>
      <c r="AA141" s="45"/>
    </row>
    <row r="142" spans="1:27" x14ac:dyDescent="0.2">
      <c r="A142" s="38">
        <v>1</v>
      </c>
      <c r="B142" s="37">
        <v>9292003304724</v>
      </c>
      <c r="C142" s="38">
        <v>10</v>
      </c>
      <c r="D142" s="45" t="s">
        <v>405</v>
      </c>
      <c r="F142" s="38" t="s">
        <v>100</v>
      </c>
      <c r="G142" s="38">
        <v>0</v>
      </c>
      <c r="H142" s="38">
        <v>100</v>
      </c>
      <c r="K142" s="38">
        <v>1</v>
      </c>
      <c r="L142" s="38" t="s">
        <v>101</v>
      </c>
      <c r="M142" s="38" t="s">
        <v>406</v>
      </c>
      <c r="N142" s="38" t="s">
        <v>102</v>
      </c>
      <c r="P142" s="38">
        <v>0</v>
      </c>
      <c r="U142" s="38">
        <v>4</v>
      </c>
      <c r="V142" s="38">
        <v>1</v>
      </c>
      <c r="W142" s="38" t="s">
        <v>103</v>
      </c>
      <c r="X142" s="38">
        <v>0</v>
      </c>
      <c r="AA142" s="45"/>
    </row>
    <row r="143" spans="1:27" x14ac:dyDescent="0.2">
      <c r="A143" s="38">
        <v>1</v>
      </c>
      <c r="B143" s="37">
        <v>9292003304724</v>
      </c>
      <c r="C143" s="38">
        <v>20</v>
      </c>
      <c r="D143" s="45">
        <v>5701603304724</v>
      </c>
      <c r="F143" s="38" t="s">
        <v>100</v>
      </c>
      <c r="G143" s="38">
        <v>0</v>
      </c>
      <c r="H143" s="38">
        <v>100</v>
      </c>
      <c r="K143" s="38">
        <v>1</v>
      </c>
      <c r="L143" s="38" t="s">
        <v>101</v>
      </c>
      <c r="M143" s="38" t="s">
        <v>406</v>
      </c>
      <c r="N143" s="38" t="s">
        <v>102</v>
      </c>
      <c r="P143" s="38">
        <v>0</v>
      </c>
      <c r="U143" s="38">
        <v>4</v>
      </c>
      <c r="V143" s="38">
        <v>1</v>
      </c>
      <c r="W143" s="38" t="s">
        <v>103</v>
      </c>
      <c r="X143" s="38">
        <v>0</v>
      </c>
      <c r="AA143" s="45"/>
    </row>
    <row r="144" spans="1:27" x14ac:dyDescent="0.2">
      <c r="A144" s="38">
        <v>1</v>
      </c>
      <c r="B144" s="37">
        <v>9292003305724</v>
      </c>
      <c r="C144" s="38">
        <v>10</v>
      </c>
      <c r="D144" s="45" t="s">
        <v>405</v>
      </c>
      <c r="F144" s="38" t="s">
        <v>100</v>
      </c>
      <c r="G144" s="38">
        <v>0</v>
      </c>
      <c r="H144" s="38">
        <v>100</v>
      </c>
      <c r="K144" s="38">
        <v>1</v>
      </c>
      <c r="L144" s="38" t="s">
        <v>101</v>
      </c>
      <c r="M144" s="38" t="s">
        <v>406</v>
      </c>
      <c r="N144" s="38" t="s">
        <v>102</v>
      </c>
      <c r="P144" s="38">
        <v>0</v>
      </c>
      <c r="U144" s="38">
        <v>4</v>
      </c>
      <c r="V144" s="38">
        <v>1</v>
      </c>
      <c r="W144" s="38" t="s">
        <v>103</v>
      </c>
      <c r="X144" s="38">
        <v>0</v>
      </c>
      <c r="AA144" s="45"/>
    </row>
    <row r="145" spans="1:27" x14ac:dyDescent="0.2">
      <c r="A145" s="38">
        <v>1</v>
      </c>
      <c r="B145" s="37">
        <v>9292003305724</v>
      </c>
      <c r="C145" s="38">
        <v>20</v>
      </c>
      <c r="D145" s="45">
        <v>5701603305724</v>
      </c>
      <c r="F145" s="38" t="s">
        <v>100</v>
      </c>
      <c r="G145" s="38">
        <v>0</v>
      </c>
      <c r="H145" s="38">
        <v>100</v>
      </c>
      <c r="K145" s="38">
        <v>1</v>
      </c>
      <c r="L145" s="38" t="s">
        <v>101</v>
      </c>
      <c r="M145" s="38" t="s">
        <v>406</v>
      </c>
      <c r="N145" s="38" t="s">
        <v>102</v>
      </c>
      <c r="P145" s="38">
        <v>0</v>
      </c>
      <c r="U145" s="38">
        <v>4</v>
      </c>
      <c r="V145" s="38">
        <v>1</v>
      </c>
      <c r="W145" s="38" t="s">
        <v>103</v>
      </c>
      <c r="X145" s="38">
        <v>0</v>
      </c>
      <c r="AA145" s="45"/>
    </row>
    <row r="146" spans="1:27" x14ac:dyDescent="0.2">
      <c r="A146" s="38">
        <v>1</v>
      </c>
      <c r="B146" s="37">
        <v>9292003306724</v>
      </c>
      <c r="C146" s="38">
        <v>10</v>
      </c>
      <c r="D146" s="45" t="s">
        <v>405</v>
      </c>
      <c r="F146" s="38" t="s">
        <v>100</v>
      </c>
      <c r="G146" s="38">
        <v>0</v>
      </c>
      <c r="H146" s="38">
        <v>100</v>
      </c>
      <c r="K146" s="38">
        <v>1</v>
      </c>
      <c r="L146" s="38" t="s">
        <v>101</v>
      </c>
      <c r="M146" s="38" t="s">
        <v>406</v>
      </c>
      <c r="N146" s="38" t="s">
        <v>102</v>
      </c>
      <c r="P146" s="38">
        <v>0</v>
      </c>
      <c r="U146" s="38">
        <v>4</v>
      </c>
      <c r="V146" s="38">
        <v>1</v>
      </c>
      <c r="W146" s="38" t="s">
        <v>103</v>
      </c>
      <c r="X146" s="38">
        <v>0</v>
      </c>
      <c r="AA146" s="45"/>
    </row>
    <row r="147" spans="1:27" x14ac:dyDescent="0.2">
      <c r="A147" s="38">
        <v>1</v>
      </c>
      <c r="B147" s="37">
        <v>9292003306724</v>
      </c>
      <c r="C147" s="38">
        <v>20</v>
      </c>
      <c r="D147" s="45">
        <v>5701603306724</v>
      </c>
      <c r="F147" s="38" t="s">
        <v>100</v>
      </c>
      <c r="G147" s="38">
        <v>0</v>
      </c>
      <c r="H147" s="38">
        <v>100</v>
      </c>
      <c r="K147" s="38">
        <v>1</v>
      </c>
      <c r="L147" s="38" t="s">
        <v>101</v>
      </c>
      <c r="M147" s="38" t="s">
        <v>406</v>
      </c>
      <c r="N147" s="38" t="s">
        <v>102</v>
      </c>
      <c r="P147" s="38">
        <v>0</v>
      </c>
      <c r="U147" s="38">
        <v>4</v>
      </c>
      <c r="V147" s="38">
        <v>1</v>
      </c>
      <c r="W147" s="38" t="s">
        <v>103</v>
      </c>
      <c r="X147" s="38">
        <v>0</v>
      </c>
      <c r="AA147" s="45"/>
    </row>
    <row r="148" spans="1:27" x14ac:dyDescent="0.2">
      <c r="A148" s="38">
        <v>1</v>
      </c>
      <c r="B148" s="37">
        <v>9292003307724</v>
      </c>
      <c r="C148" s="38">
        <v>10</v>
      </c>
      <c r="D148" s="45" t="s">
        <v>405</v>
      </c>
      <c r="F148" s="38" t="s">
        <v>100</v>
      </c>
      <c r="G148" s="38">
        <v>0</v>
      </c>
      <c r="H148" s="38">
        <v>100</v>
      </c>
      <c r="K148" s="38">
        <v>1</v>
      </c>
      <c r="L148" s="38" t="s">
        <v>101</v>
      </c>
      <c r="M148" s="38" t="s">
        <v>406</v>
      </c>
      <c r="N148" s="38" t="s">
        <v>102</v>
      </c>
      <c r="P148" s="38">
        <v>0</v>
      </c>
      <c r="U148" s="38">
        <v>4</v>
      </c>
      <c r="V148" s="38">
        <v>1</v>
      </c>
      <c r="W148" s="38" t="s">
        <v>103</v>
      </c>
      <c r="X148" s="38">
        <v>0</v>
      </c>
      <c r="AA148" s="45"/>
    </row>
    <row r="149" spans="1:27" x14ac:dyDescent="0.2">
      <c r="A149" s="38">
        <v>1</v>
      </c>
      <c r="B149" s="37">
        <v>9292003307724</v>
      </c>
      <c r="C149" s="38">
        <v>20</v>
      </c>
      <c r="D149" s="45">
        <v>5701603307724</v>
      </c>
      <c r="F149" s="38" t="s">
        <v>100</v>
      </c>
      <c r="G149" s="38">
        <v>0</v>
      </c>
      <c r="H149" s="38">
        <v>100</v>
      </c>
      <c r="K149" s="38">
        <v>1</v>
      </c>
      <c r="L149" s="38" t="s">
        <v>101</v>
      </c>
      <c r="M149" s="38" t="s">
        <v>406</v>
      </c>
      <c r="N149" s="38" t="s">
        <v>102</v>
      </c>
      <c r="P149" s="38">
        <v>0</v>
      </c>
      <c r="U149" s="38">
        <v>4</v>
      </c>
      <c r="V149" s="38">
        <v>1</v>
      </c>
      <c r="W149" s="38" t="s">
        <v>103</v>
      </c>
      <c r="X149" s="38">
        <v>0</v>
      </c>
      <c r="AA149" s="45"/>
    </row>
    <row r="150" spans="1:27" x14ac:dyDescent="0.2">
      <c r="A150" s="38">
        <v>1</v>
      </c>
      <c r="B150" s="37">
        <v>9292003308724</v>
      </c>
      <c r="C150" s="38">
        <v>10</v>
      </c>
      <c r="D150" s="45" t="s">
        <v>405</v>
      </c>
      <c r="F150" s="38" t="s">
        <v>100</v>
      </c>
      <c r="G150" s="38">
        <v>0</v>
      </c>
      <c r="H150" s="38">
        <v>100</v>
      </c>
      <c r="K150" s="38">
        <v>1</v>
      </c>
      <c r="L150" s="38" t="s">
        <v>101</v>
      </c>
      <c r="M150" s="38" t="s">
        <v>406</v>
      </c>
      <c r="N150" s="38" t="s">
        <v>102</v>
      </c>
      <c r="P150" s="38">
        <v>0</v>
      </c>
      <c r="U150" s="38">
        <v>4</v>
      </c>
      <c r="V150" s="38">
        <v>1</v>
      </c>
      <c r="W150" s="38" t="s">
        <v>103</v>
      </c>
      <c r="X150" s="38">
        <v>0</v>
      </c>
      <c r="AA150" s="45"/>
    </row>
    <row r="151" spans="1:27" x14ac:dyDescent="0.2">
      <c r="A151" s="38">
        <v>1</v>
      </c>
      <c r="B151" s="37">
        <v>9292003308724</v>
      </c>
      <c r="C151" s="38">
        <v>20</v>
      </c>
      <c r="D151" s="45">
        <v>5701603308724</v>
      </c>
      <c r="F151" s="38" t="s">
        <v>100</v>
      </c>
      <c r="G151" s="38">
        <v>0</v>
      </c>
      <c r="H151" s="38">
        <v>100</v>
      </c>
      <c r="K151" s="38">
        <v>1</v>
      </c>
      <c r="L151" s="38" t="s">
        <v>101</v>
      </c>
      <c r="M151" s="38" t="s">
        <v>406</v>
      </c>
      <c r="N151" s="38" t="s">
        <v>102</v>
      </c>
      <c r="P151" s="38">
        <v>0</v>
      </c>
      <c r="U151" s="38">
        <v>4</v>
      </c>
      <c r="V151" s="38">
        <v>1</v>
      </c>
      <c r="W151" s="38" t="s">
        <v>103</v>
      </c>
      <c r="X151" s="38">
        <v>0</v>
      </c>
      <c r="AA151" s="45"/>
    </row>
    <row r="152" spans="1:27" x14ac:dyDescent="0.2">
      <c r="A152" s="38">
        <v>1</v>
      </c>
      <c r="B152" s="37">
        <v>9292003309724</v>
      </c>
      <c r="C152" s="38">
        <v>10</v>
      </c>
      <c r="D152" s="45" t="s">
        <v>405</v>
      </c>
      <c r="F152" s="38" t="s">
        <v>100</v>
      </c>
      <c r="G152" s="38">
        <v>0</v>
      </c>
      <c r="H152" s="38">
        <v>100</v>
      </c>
      <c r="K152" s="38">
        <v>1</v>
      </c>
      <c r="L152" s="38" t="s">
        <v>101</v>
      </c>
      <c r="M152" s="38" t="s">
        <v>406</v>
      </c>
      <c r="N152" s="38" t="s">
        <v>102</v>
      </c>
      <c r="P152" s="38">
        <v>0</v>
      </c>
      <c r="U152" s="38">
        <v>4</v>
      </c>
      <c r="V152" s="38">
        <v>1</v>
      </c>
      <c r="W152" s="38" t="s">
        <v>103</v>
      </c>
      <c r="X152" s="38">
        <v>0</v>
      </c>
      <c r="AA152" s="45"/>
    </row>
    <row r="153" spans="1:27" x14ac:dyDescent="0.2">
      <c r="A153" s="38">
        <v>1</v>
      </c>
      <c r="B153" s="37">
        <v>9292003309724</v>
      </c>
      <c r="C153" s="38">
        <v>20</v>
      </c>
      <c r="D153" s="45">
        <v>5701603309724</v>
      </c>
      <c r="F153" s="38" t="s">
        <v>100</v>
      </c>
      <c r="G153" s="38">
        <v>0</v>
      </c>
      <c r="H153" s="38">
        <v>100</v>
      </c>
      <c r="K153" s="38">
        <v>1</v>
      </c>
      <c r="L153" s="38" t="s">
        <v>101</v>
      </c>
      <c r="M153" s="38" t="s">
        <v>406</v>
      </c>
      <c r="N153" s="38" t="s">
        <v>102</v>
      </c>
      <c r="P153" s="38">
        <v>0</v>
      </c>
      <c r="U153" s="38">
        <v>4</v>
      </c>
      <c r="V153" s="38">
        <v>1</v>
      </c>
      <c r="W153" s="38" t="s">
        <v>103</v>
      </c>
      <c r="X153" s="38">
        <v>0</v>
      </c>
      <c r="AA153" s="45"/>
    </row>
    <row r="154" spans="1:27" x14ac:dyDescent="0.2">
      <c r="A154" s="38">
        <v>1</v>
      </c>
      <c r="B154" s="37">
        <v>9292003310724</v>
      </c>
      <c r="C154" s="38">
        <v>10</v>
      </c>
      <c r="D154" s="45" t="s">
        <v>405</v>
      </c>
      <c r="F154" s="38" t="s">
        <v>100</v>
      </c>
      <c r="G154" s="38">
        <v>0</v>
      </c>
      <c r="H154" s="38">
        <v>100</v>
      </c>
      <c r="K154" s="38">
        <v>1</v>
      </c>
      <c r="L154" s="38" t="s">
        <v>101</v>
      </c>
      <c r="M154" s="38" t="s">
        <v>406</v>
      </c>
      <c r="N154" s="38" t="s">
        <v>102</v>
      </c>
      <c r="P154" s="38">
        <v>0</v>
      </c>
      <c r="U154" s="38">
        <v>4</v>
      </c>
      <c r="V154" s="38">
        <v>1</v>
      </c>
      <c r="W154" s="38" t="s">
        <v>103</v>
      </c>
      <c r="X154" s="38">
        <v>0</v>
      </c>
      <c r="AA154" s="45"/>
    </row>
    <row r="155" spans="1:27" x14ac:dyDescent="0.2">
      <c r="A155" s="38">
        <v>1</v>
      </c>
      <c r="B155" s="37">
        <v>9292003310724</v>
      </c>
      <c r="C155" s="38">
        <v>20</v>
      </c>
      <c r="D155" s="45">
        <v>5701603310724</v>
      </c>
      <c r="F155" s="38" t="s">
        <v>100</v>
      </c>
      <c r="G155" s="38">
        <v>0</v>
      </c>
      <c r="H155" s="38">
        <v>100</v>
      </c>
      <c r="K155" s="38">
        <v>1</v>
      </c>
      <c r="L155" s="38" t="s">
        <v>101</v>
      </c>
      <c r="M155" s="38" t="s">
        <v>406</v>
      </c>
      <c r="N155" s="38" t="s">
        <v>102</v>
      </c>
      <c r="P155" s="38">
        <v>0</v>
      </c>
      <c r="U155" s="38">
        <v>4</v>
      </c>
      <c r="V155" s="38">
        <v>1</v>
      </c>
      <c r="W155" s="38" t="s">
        <v>103</v>
      </c>
      <c r="X155" s="38">
        <v>0</v>
      </c>
      <c r="AA155" s="45"/>
    </row>
    <row r="156" spans="1:27" x14ac:dyDescent="0.2">
      <c r="A156" s="38">
        <v>1</v>
      </c>
      <c r="B156" s="37">
        <v>9292003300911</v>
      </c>
      <c r="C156" s="38">
        <v>10</v>
      </c>
      <c r="D156" s="45" t="s">
        <v>405</v>
      </c>
      <c r="F156" s="38" t="s">
        <v>100</v>
      </c>
      <c r="G156" s="38">
        <v>0</v>
      </c>
      <c r="H156" s="38">
        <v>100</v>
      </c>
      <c r="K156" s="38">
        <v>1</v>
      </c>
      <c r="L156" s="38" t="s">
        <v>101</v>
      </c>
      <c r="M156" s="38" t="s">
        <v>406</v>
      </c>
      <c r="N156" s="38" t="s">
        <v>102</v>
      </c>
      <c r="P156" s="38">
        <v>0</v>
      </c>
      <c r="U156" s="38">
        <v>4</v>
      </c>
      <c r="V156" s="38">
        <v>1</v>
      </c>
      <c r="W156" s="38" t="s">
        <v>103</v>
      </c>
      <c r="X156" s="38">
        <v>0</v>
      </c>
      <c r="AA156" s="45"/>
    </row>
    <row r="157" spans="1:27" x14ac:dyDescent="0.2">
      <c r="A157" s="38">
        <v>1</v>
      </c>
      <c r="B157" s="37">
        <v>9292003300911</v>
      </c>
      <c r="C157" s="38">
        <v>20</v>
      </c>
      <c r="D157" s="45">
        <v>5701603300911</v>
      </c>
      <c r="F157" s="38" t="s">
        <v>100</v>
      </c>
      <c r="G157" s="38">
        <v>0</v>
      </c>
      <c r="H157" s="38">
        <v>100</v>
      </c>
      <c r="K157" s="38">
        <v>1</v>
      </c>
      <c r="L157" s="38" t="s">
        <v>101</v>
      </c>
      <c r="M157" s="38" t="s">
        <v>406</v>
      </c>
      <c r="N157" s="38" t="s">
        <v>102</v>
      </c>
      <c r="P157" s="38">
        <v>0</v>
      </c>
      <c r="U157" s="38">
        <v>4</v>
      </c>
      <c r="V157" s="38">
        <v>1</v>
      </c>
      <c r="W157" s="38" t="s">
        <v>103</v>
      </c>
      <c r="X157" s="38">
        <v>0</v>
      </c>
      <c r="AA157" s="45"/>
    </row>
    <row r="158" spans="1:27" x14ac:dyDescent="0.2">
      <c r="A158" s="38">
        <v>1</v>
      </c>
      <c r="B158" s="37">
        <v>9292003301911</v>
      </c>
      <c r="C158" s="38">
        <v>10</v>
      </c>
      <c r="D158" s="45" t="s">
        <v>405</v>
      </c>
      <c r="F158" s="38" t="s">
        <v>100</v>
      </c>
      <c r="G158" s="38">
        <v>0</v>
      </c>
      <c r="H158" s="38">
        <v>100</v>
      </c>
      <c r="K158" s="38">
        <v>1</v>
      </c>
      <c r="L158" s="38" t="s">
        <v>101</v>
      </c>
      <c r="M158" s="38" t="s">
        <v>406</v>
      </c>
      <c r="N158" s="38" t="s">
        <v>102</v>
      </c>
      <c r="P158" s="38">
        <v>0</v>
      </c>
      <c r="U158" s="38">
        <v>4</v>
      </c>
      <c r="V158" s="38">
        <v>1</v>
      </c>
      <c r="W158" s="38" t="s">
        <v>103</v>
      </c>
      <c r="X158" s="38">
        <v>0</v>
      </c>
      <c r="AA158" s="45"/>
    </row>
    <row r="159" spans="1:27" x14ac:dyDescent="0.2">
      <c r="A159" s="38">
        <v>1</v>
      </c>
      <c r="B159" s="37">
        <v>9292003301911</v>
      </c>
      <c r="C159" s="38">
        <v>20</v>
      </c>
      <c r="D159" s="45">
        <v>5701603301911</v>
      </c>
      <c r="F159" s="38" t="s">
        <v>100</v>
      </c>
      <c r="G159" s="38">
        <v>0</v>
      </c>
      <c r="H159" s="38">
        <v>100</v>
      </c>
      <c r="K159" s="38">
        <v>1</v>
      </c>
      <c r="L159" s="38" t="s">
        <v>101</v>
      </c>
      <c r="M159" s="38" t="s">
        <v>406</v>
      </c>
      <c r="N159" s="38" t="s">
        <v>102</v>
      </c>
      <c r="P159" s="38">
        <v>0</v>
      </c>
      <c r="U159" s="38">
        <v>4</v>
      </c>
      <c r="V159" s="38">
        <v>1</v>
      </c>
      <c r="W159" s="38" t="s">
        <v>103</v>
      </c>
      <c r="X159" s="38">
        <v>0</v>
      </c>
      <c r="AA159" s="45"/>
    </row>
    <row r="160" spans="1:27" x14ac:dyDescent="0.2">
      <c r="A160" s="38">
        <v>1</v>
      </c>
      <c r="B160" s="37">
        <v>9292003302911</v>
      </c>
      <c r="C160" s="38">
        <v>10</v>
      </c>
      <c r="D160" s="45" t="s">
        <v>405</v>
      </c>
      <c r="F160" s="38" t="s">
        <v>100</v>
      </c>
      <c r="G160" s="38">
        <v>0</v>
      </c>
      <c r="H160" s="38">
        <v>100</v>
      </c>
      <c r="K160" s="38">
        <v>1</v>
      </c>
      <c r="L160" s="38" t="s">
        <v>101</v>
      </c>
      <c r="M160" s="38" t="s">
        <v>406</v>
      </c>
      <c r="N160" s="38" t="s">
        <v>102</v>
      </c>
      <c r="P160" s="38">
        <v>0</v>
      </c>
      <c r="U160" s="38">
        <v>4</v>
      </c>
      <c r="V160" s="38">
        <v>1</v>
      </c>
      <c r="W160" s="38" t="s">
        <v>103</v>
      </c>
      <c r="X160" s="38">
        <v>0</v>
      </c>
      <c r="AA160" s="45"/>
    </row>
    <row r="161" spans="1:27" x14ac:dyDescent="0.2">
      <c r="A161" s="38">
        <v>1</v>
      </c>
      <c r="B161" s="37">
        <v>9292003302911</v>
      </c>
      <c r="C161" s="38">
        <v>20</v>
      </c>
      <c r="D161" s="45">
        <v>5701603302911</v>
      </c>
      <c r="F161" s="38" t="s">
        <v>100</v>
      </c>
      <c r="G161" s="38">
        <v>0</v>
      </c>
      <c r="H161" s="38">
        <v>100</v>
      </c>
      <c r="K161" s="38">
        <v>1</v>
      </c>
      <c r="L161" s="38" t="s">
        <v>101</v>
      </c>
      <c r="M161" s="38" t="s">
        <v>406</v>
      </c>
      <c r="N161" s="38" t="s">
        <v>102</v>
      </c>
      <c r="P161" s="38">
        <v>0</v>
      </c>
      <c r="U161" s="38">
        <v>4</v>
      </c>
      <c r="V161" s="38">
        <v>1</v>
      </c>
      <c r="W161" s="38" t="s">
        <v>103</v>
      </c>
      <c r="X161" s="38">
        <v>0</v>
      </c>
      <c r="AA161" s="45"/>
    </row>
    <row r="162" spans="1:27" x14ac:dyDescent="0.2">
      <c r="A162" s="38">
        <v>1</v>
      </c>
      <c r="B162" s="37">
        <v>9292003303911</v>
      </c>
      <c r="C162" s="38">
        <v>10</v>
      </c>
      <c r="D162" s="45" t="s">
        <v>405</v>
      </c>
      <c r="F162" s="38" t="s">
        <v>100</v>
      </c>
      <c r="G162" s="38">
        <v>0</v>
      </c>
      <c r="H162" s="38">
        <v>100</v>
      </c>
      <c r="K162" s="38">
        <v>1</v>
      </c>
      <c r="L162" s="38" t="s">
        <v>101</v>
      </c>
      <c r="M162" s="38" t="s">
        <v>406</v>
      </c>
      <c r="N162" s="38" t="s">
        <v>102</v>
      </c>
      <c r="P162" s="38">
        <v>0</v>
      </c>
      <c r="U162" s="38">
        <v>4</v>
      </c>
      <c r="V162" s="38">
        <v>1</v>
      </c>
      <c r="W162" s="38" t="s">
        <v>103</v>
      </c>
      <c r="X162" s="38">
        <v>0</v>
      </c>
      <c r="AA162" s="45"/>
    </row>
    <row r="163" spans="1:27" x14ac:dyDescent="0.2">
      <c r="A163" s="38">
        <v>1</v>
      </c>
      <c r="B163" s="37">
        <v>9292003303911</v>
      </c>
      <c r="C163" s="38">
        <v>20</v>
      </c>
      <c r="D163" s="45">
        <v>5701603303911</v>
      </c>
      <c r="F163" s="38" t="s">
        <v>100</v>
      </c>
      <c r="G163" s="38">
        <v>0</v>
      </c>
      <c r="H163" s="38">
        <v>100</v>
      </c>
      <c r="K163" s="38">
        <v>1</v>
      </c>
      <c r="L163" s="38" t="s">
        <v>101</v>
      </c>
      <c r="M163" s="38" t="s">
        <v>406</v>
      </c>
      <c r="N163" s="38" t="s">
        <v>102</v>
      </c>
      <c r="P163" s="38">
        <v>0</v>
      </c>
      <c r="U163" s="38">
        <v>4</v>
      </c>
      <c r="V163" s="38">
        <v>1</v>
      </c>
      <c r="W163" s="38" t="s">
        <v>103</v>
      </c>
      <c r="X163" s="38">
        <v>0</v>
      </c>
      <c r="AA163" s="45"/>
    </row>
    <row r="164" spans="1:27" x14ac:dyDescent="0.2">
      <c r="A164" s="38">
        <v>1</v>
      </c>
      <c r="B164" s="37">
        <v>9292003304911</v>
      </c>
      <c r="C164" s="38">
        <v>10</v>
      </c>
      <c r="D164" s="45" t="s">
        <v>405</v>
      </c>
      <c r="F164" s="38" t="s">
        <v>100</v>
      </c>
      <c r="G164" s="38">
        <v>0</v>
      </c>
      <c r="H164" s="38">
        <v>100</v>
      </c>
      <c r="K164" s="38">
        <v>1</v>
      </c>
      <c r="L164" s="38" t="s">
        <v>101</v>
      </c>
      <c r="M164" s="38" t="s">
        <v>406</v>
      </c>
      <c r="N164" s="38" t="s">
        <v>102</v>
      </c>
      <c r="P164" s="38">
        <v>0</v>
      </c>
      <c r="U164" s="38">
        <v>4</v>
      </c>
      <c r="V164" s="38">
        <v>1</v>
      </c>
      <c r="W164" s="38" t="s">
        <v>103</v>
      </c>
      <c r="X164" s="38">
        <v>0</v>
      </c>
      <c r="AA164" s="45"/>
    </row>
    <row r="165" spans="1:27" x14ac:dyDescent="0.2">
      <c r="A165" s="38">
        <v>1</v>
      </c>
      <c r="B165" s="37">
        <v>9292003304911</v>
      </c>
      <c r="C165" s="38">
        <v>20</v>
      </c>
      <c r="D165" s="45">
        <v>5701603304911</v>
      </c>
      <c r="F165" s="38" t="s">
        <v>100</v>
      </c>
      <c r="G165" s="38">
        <v>0</v>
      </c>
      <c r="H165" s="38">
        <v>100</v>
      </c>
      <c r="K165" s="38">
        <v>1</v>
      </c>
      <c r="L165" s="38" t="s">
        <v>101</v>
      </c>
      <c r="M165" s="38" t="s">
        <v>406</v>
      </c>
      <c r="N165" s="38" t="s">
        <v>102</v>
      </c>
      <c r="P165" s="38">
        <v>0</v>
      </c>
      <c r="U165" s="38">
        <v>4</v>
      </c>
      <c r="V165" s="38">
        <v>1</v>
      </c>
      <c r="W165" s="38" t="s">
        <v>103</v>
      </c>
      <c r="X165" s="38">
        <v>0</v>
      </c>
      <c r="AA165" s="45"/>
    </row>
    <row r="166" spans="1:27" x14ac:dyDescent="0.2">
      <c r="A166" s="38">
        <v>1</v>
      </c>
      <c r="B166" s="37">
        <v>9292003305911</v>
      </c>
      <c r="C166" s="38">
        <v>10</v>
      </c>
      <c r="D166" s="45" t="s">
        <v>405</v>
      </c>
      <c r="F166" s="38" t="s">
        <v>100</v>
      </c>
      <c r="G166" s="38">
        <v>0</v>
      </c>
      <c r="H166" s="38">
        <v>100</v>
      </c>
      <c r="K166" s="38">
        <v>1</v>
      </c>
      <c r="L166" s="38" t="s">
        <v>101</v>
      </c>
      <c r="M166" s="38" t="s">
        <v>406</v>
      </c>
      <c r="N166" s="38" t="s">
        <v>102</v>
      </c>
      <c r="P166" s="38">
        <v>0</v>
      </c>
      <c r="U166" s="38">
        <v>4</v>
      </c>
      <c r="V166" s="38">
        <v>1</v>
      </c>
      <c r="W166" s="38" t="s">
        <v>103</v>
      </c>
      <c r="X166" s="38">
        <v>0</v>
      </c>
      <c r="AA166" s="45"/>
    </row>
    <row r="167" spans="1:27" x14ac:dyDescent="0.2">
      <c r="A167" s="38">
        <v>1</v>
      </c>
      <c r="B167" s="37">
        <v>9292003305911</v>
      </c>
      <c r="C167" s="38">
        <v>20</v>
      </c>
      <c r="D167" s="45">
        <v>5701603305911</v>
      </c>
      <c r="F167" s="38" t="s">
        <v>100</v>
      </c>
      <c r="G167" s="38">
        <v>0</v>
      </c>
      <c r="H167" s="38">
        <v>100</v>
      </c>
      <c r="K167" s="38">
        <v>1</v>
      </c>
      <c r="L167" s="38" t="s">
        <v>101</v>
      </c>
      <c r="M167" s="38" t="s">
        <v>406</v>
      </c>
      <c r="N167" s="38" t="s">
        <v>102</v>
      </c>
      <c r="P167" s="38">
        <v>0</v>
      </c>
      <c r="U167" s="38">
        <v>4</v>
      </c>
      <c r="V167" s="38">
        <v>1</v>
      </c>
      <c r="W167" s="38" t="s">
        <v>103</v>
      </c>
      <c r="X167" s="38">
        <v>0</v>
      </c>
      <c r="AA167" s="45"/>
    </row>
    <row r="168" spans="1:27" x14ac:dyDescent="0.2">
      <c r="A168" s="38">
        <v>1</v>
      </c>
      <c r="B168" s="37">
        <v>9292003306911</v>
      </c>
      <c r="C168" s="38">
        <v>10</v>
      </c>
      <c r="D168" s="45" t="s">
        <v>405</v>
      </c>
      <c r="F168" s="38" t="s">
        <v>100</v>
      </c>
      <c r="G168" s="38">
        <v>0</v>
      </c>
      <c r="H168" s="38">
        <v>100</v>
      </c>
      <c r="K168" s="38">
        <v>1</v>
      </c>
      <c r="L168" s="38" t="s">
        <v>101</v>
      </c>
      <c r="M168" s="38" t="s">
        <v>406</v>
      </c>
      <c r="N168" s="38" t="s">
        <v>102</v>
      </c>
      <c r="P168" s="38">
        <v>0</v>
      </c>
      <c r="U168" s="38">
        <v>4</v>
      </c>
      <c r="V168" s="38">
        <v>1</v>
      </c>
      <c r="W168" s="38" t="s">
        <v>103</v>
      </c>
      <c r="X168" s="38">
        <v>0</v>
      </c>
      <c r="AA168" s="45"/>
    </row>
    <row r="169" spans="1:27" x14ac:dyDescent="0.2">
      <c r="A169" s="38">
        <v>1</v>
      </c>
      <c r="B169" s="37">
        <v>9292003306911</v>
      </c>
      <c r="C169" s="38">
        <v>20</v>
      </c>
      <c r="D169" s="45">
        <v>5701603306911</v>
      </c>
      <c r="F169" s="38" t="s">
        <v>100</v>
      </c>
      <c r="G169" s="38">
        <v>0</v>
      </c>
      <c r="H169" s="38">
        <v>100</v>
      </c>
      <c r="K169" s="38">
        <v>1</v>
      </c>
      <c r="L169" s="38" t="s">
        <v>101</v>
      </c>
      <c r="M169" s="38" t="s">
        <v>406</v>
      </c>
      <c r="N169" s="38" t="s">
        <v>102</v>
      </c>
      <c r="P169" s="38">
        <v>0</v>
      </c>
      <c r="U169" s="38">
        <v>4</v>
      </c>
      <c r="V169" s="38">
        <v>1</v>
      </c>
      <c r="W169" s="38" t="s">
        <v>103</v>
      </c>
      <c r="X169" s="38">
        <v>0</v>
      </c>
      <c r="AA169" s="45"/>
    </row>
    <row r="170" spans="1:27" x14ac:dyDescent="0.2">
      <c r="A170" s="38">
        <v>1</v>
      </c>
      <c r="B170" s="37">
        <v>9292003307911</v>
      </c>
      <c r="C170" s="38">
        <v>10</v>
      </c>
      <c r="D170" s="45" t="s">
        <v>405</v>
      </c>
      <c r="F170" s="38" t="s">
        <v>100</v>
      </c>
      <c r="G170" s="38">
        <v>0</v>
      </c>
      <c r="H170" s="38">
        <v>100</v>
      </c>
      <c r="K170" s="38">
        <v>1</v>
      </c>
      <c r="L170" s="38" t="s">
        <v>101</v>
      </c>
      <c r="M170" s="38" t="s">
        <v>406</v>
      </c>
      <c r="N170" s="38" t="s">
        <v>102</v>
      </c>
      <c r="P170" s="38">
        <v>0</v>
      </c>
      <c r="U170" s="38">
        <v>4</v>
      </c>
      <c r="V170" s="38">
        <v>1</v>
      </c>
      <c r="W170" s="38" t="s">
        <v>103</v>
      </c>
      <c r="X170" s="38">
        <v>0</v>
      </c>
      <c r="AA170" s="45"/>
    </row>
    <row r="171" spans="1:27" x14ac:dyDescent="0.2">
      <c r="A171" s="38">
        <v>1</v>
      </c>
      <c r="B171" s="37">
        <v>9292003307911</v>
      </c>
      <c r="C171" s="38">
        <v>20</v>
      </c>
      <c r="D171" s="45">
        <v>5701603307911</v>
      </c>
      <c r="F171" s="38" t="s">
        <v>100</v>
      </c>
      <c r="G171" s="38">
        <v>0</v>
      </c>
      <c r="H171" s="38">
        <v>100</v>
      </c>
      <c r="K171" s="38">
        <v>1</v>
      </c>
      <c r="L171" s="38" t="s">
        <v>101</v>
      </c>
      <c r="M171" s="38" t="s">
        <v>406</v>
      </c>
      <c r="N171" s="38" t="s">
        <v>102</v>
      </c>
      <c r="P171" s="38">
        <v>0</v>
      </c>
      <c r="U171" s="38">
        <v>4</v>
      </c>
      <c r="V171" s="38">
        <v>1</v>
      </c>
      <c r="W171" s="38" t="s">
        <v>103</v>
      </c>
      <c r="X171" s="38">
        <v>0</v>
      </c>
      <c r="AA171" s="45"/>
    </row>
    <row r="172" spans="1:27" x14ac:dyDescent="0.2">
      <c r="A172" s="38">
        <v>1</v>
      </c>
      <c r="B172" s="37">
        <v>9292003308911</v>
      </c>
      <c r="C172" s="38">
        <v>10</v>
      </c>
      <c r="D172" s="45" t="s">
        <v>405</v>
      </c>
      <c r="F172" s="38" t="s">
        <v>100</v>
      </c>
      <c r="G172" s="38">
        <v>0</v>
      </c>
      <c r="H172" s="38">
        <v>100</v>
      </c>
      <c r="K172" s="38">
        <v>1</v>
      </c>
      <c r="L172" s="38" t="s">
        <v>101</v>
      </c>
      <c r="M172" s="38" t="s">
        <v>406</v>
      </c>
      <c r="N172" s="38" t="s">
        <v>102</v>
      </c>
      <c r="P172" s="38">
        <v>0</v>
      </c>
      <c r="U172" s="38">
        <v>4</v>
      </c>
      <c r="V172" s="38">
        <v>1</v>
      </c>
      <c r="W172" s="38" t="s">
        <v>103</v>
      </c>
      <c r="X172" s="38">
        <v>0</v>
      </c>
      <c r="AA172" s="45"/>
    </row>
    <row r="173" spans="1:27" x14ac:dyDescent="0.2">
      <c r="A173" s="38">
        <v>1</v>
      </c>
      <c r="B173" s="37">
        <v>9292003308911</v>
      </c>
      <c r="C173" s="38">
        <v>20</v>
      </c>
      <c r="D173" s="45">
        <v>5701603308911</v>
      </c>
      <c r="F173" s="38" t="s">
        <v>100</v>
      </c>
      <c r="G173" s="38">
        <v>0</v>
      </c>
      <c r="H173" s="38">
        <v>100</v>
      </c>
      <c r="K173" s="38">
        <v>1</v>
      </c>
      <c r="L173" s="38" t="s">
        <v>101</v>
      </c>
      <c r="M173" s="38" t="s">
        <v>406</v>
      </c>
      <c r="N173" s="38" t="s">
        <v>102</v>
      </c>
      <c r="P173" s="38">
        <v>0</v>
      </c>
      <c r="U173" s="38">
        <v>4</v>
      </c>
      <c r="V173" s="38">
        <v>1</v>
      </c>
      <c r="W173" s="38" t="s">
        <v>103</v>
      </c>
      <c r="X173" s="38">
        <v>0</v>
      </c>
      <c r="AA173" s="45"/>
    </row>
    <row r="174" spans="1:27" x14ac:dyDescent="0.2">
      <c r="A174" s="38">
        <v>1</v>
      </c>
      <c r="B174" s="37">
        <v>9292003309911</v>
      </c>
      <c r="C174" s="38">
        <v>10</v>
      </c>
      <c r="D174" s="45" t="s">
        <v>405</v>
      </c>
      <c r="F174" s="38" t="s">
        <v>100</v>
      </c>
      <c r="G174" s="38">
        <v>0</v>
      </c>
      <c r="H174" s="38">
        <v>100</v>
      </c>
      <c r="K174" s="38">
        <v>1</v>
      </c>
      <c r="L174" s="38" t="s">
        <v>101</v>
      </c>
      <c r="M174" s="38" t="s">
        <v>406</v>
      </c>
      <c r="N174" s="38" t="s">
        <v>102</v>
      </c>
      <c r="P174" s="38">
        <v>0</v>
      </c>
      <c r="U174" s="38">
        <v>4</v>
      </c>
      <c r="V174" s="38">
        <v>1</v>
      </c>
      <c r="W174" s="38" t="s">
        <v>103</v>
      </c>
      <c r="X174" s="38">
        <v>0</v>
      </c>
      <c r="AA174" s="45"/>
    </row>
    <row r="175" spans="1:27" x14ac:dyDescent="0.2">
      <c r="A175" s="38">
        <v>1</v>
      </c>
      <c r="B175" s="37">
        <v>9292003309911</v>
      </c>
      <c r="C175" s="38">
        <v>20</v>
      </c>
      <c r="D175" s="45">
        <v>5701603309911</v>
      </c>
      <c r="F175" s="38" t="s">
        <v>100</v>
      </c>
      <c r="G175" s="38">
        <v>0</v>
      </c>
      <c r="H175" s="38">
        <v>100</v>
      </c>
      <c r="K175" s="38">
        <v>1</v>
      </c>
      <c r="L175" s="38" t="s">
        <v>101</v>
      </c>
      <c r="M175" s="38" t="s">
        <v>406</v>
      </c>
      <c r="N175" s="38" t="s">
        <v>102</v>
      </c>
      <c r="P175" s="38">
        <v>0</v>
      </c>
      <c r="U175" s="38">
        <v>4</v>
      </c>
      <c r="V175" s="38">
        <v>1</v>
      </c>
      <c r="W175" s="38" t="s">
        <v>103</v>
      </c>
      <c r="X175" s="38">
        <v>0</v>
      </c>
      <c r="AA175" s="45"/>
    </row>
    <row r="176" spans="1:27" x14ac:dyDescent="0.2">
      <c r="A176" s="38">
        <v>1</v>
      </c>
      <c r="B176" s="37">
        <v>9292003310911</v>
      </c>
      <c r="C176" s="38">
        <v>10</v>
      </c>
      <c r="D176" s="45" t="s">
        <v>405</v>
      </c>
      <c r="F176" s="38" t="s">
        <v>100</v>
      </c>
      <c r="G176" s="38">
        <v>0</v>
      </c>
      <c r="H176" s="38">
        <v>100</v>
      </c>
      <c r="K176" s="38">
        <v>1</v>
      </c>
      <c r="L176" s="38" t="s">
        <v>101</v>
      </c>
      <c r="M176" s="38" t="s">
        <v>406</v>
      </c>
      <c r="N176" s="38" t="s">
        <v>102</v>
      </c>
      <c r="P176" s="38">
        <v>0</v>
      </c>
      <c r="U176" s="38">
        <v>4</v>
      </c>
      <c r="V176" s="38">
        <v>1</v>
      </c>
      <c r="W176" s="38" t="s">
        <v>103</v>
      </c>
      <c r="X176" s="38">
        <v>0</v>
      </c>
      <c r="AA176" s="45"/>
    </row>
    <row r="177" spans="1:27" x14ac:dyDescent="0.2">
      <c r="A177" s="38">
        <v>1</v>
      </c>
      <c r="B177" s="37">
        <v>9292003310911</v>
      </c>
      <c r="C177" s="38">
        <v>20</v>
      </c>
      <c r="D177" s="45">
        <v>5701603310911</v>
      </c>
      <c r="F177" s="38" t="s">
        <v>100</v>
      </c>
      <c r="G177" s="38">
        <v>0</v>
      </c>
      <c r="H177" s="38">
        <v>100</v>
      </c>
      <c r="K177" s="38">
        <v>1</v>
      </c>
      <c r="L177" s="38" t="s">
        <v>101</v>
      </c>
      <c r="M177" s="38" t="s">
        <v>406</v>
      </c>
      <c r="N177" s="38" t="s">
        <v>102</v>
      </c>
      <c r="P177" s="38">
        <v>0</v>
      </c>
      <c r="U177" s="38">
        <v>4</v>
      </c>
      <c r="V177" s="38">
        <v>1</v>
      </c>
      <c r="W177" s="38" t="s">
        <v>103</v>
      </c>
      <c r="X177" s="38">
        <v>0</v>
      </c>
      <c r="AA177" s="45"/>
    </row>
    <row r="178" spans="1:27" x14ac:dyDescent="0.2">
      <c r="A178" s="38">
        <v>1</v>
      </c>
      <c r="B178" s="37">
        <v>9292003300480</v>
      </c>
      <c r="C178" s="38">
        <v>10</v>
      </c>
      <c r="D178" s="45" t="s">
        <v>405</v>
      </c>
      <c r="F178" s="38" t="s">
        <v>100</v>
      </c>
      <c r="G178" s="38">
        <v>0</v>
      </c>
      <c r="H178" s="38">
        <v>100</v>
      </c>
      <c r="K178" s="38">
        <v>1</v>
      </c>
      <c r="L178" s="38" t="s">
        <v>101</v>
      </c>
      <c r="M178" s="38" t="s">
        <v>406</v>
      </c>
      <c r="N178" s="38" t="s">
        <v>102</v>
      </c>
      <c r="P178" s="38">
        <v>0</v>
      </c>
      <c r="U178" s="38">
        <v>4</v>
      </c>
      <c r="V178" s="38">
        <v>1</v>
      </c>
      <c r="W178" s="38" t="s">
        <v>103</v>
      </c>
      <c r="X178" s="38">
        <v>0</v>
      </c>
      <c r="AA178" s="45"/>
    </row>
    <row r="179" spans="1:27" x14ac:dyDescent="0.2">
      <c r="A179" s="38">
        <v>1</v>
      </c>
      <c r="B179" s="37">
        <v>9292003300480</v>
      </c>
      <c r="C179" s="38">
        <v>20</v>
      </c>
      <c r="D179" s="45">
        <v>5701603300480</v>
      </c>
      <c r="F179" s="38" t="s">
        <v>100</v>
      </c>
      <c r="G179" s="38">
        <v>0</v>
      </c>
      <c r="H179" s="38">
        <v>100</v>
      </c>
      <c r="K179" s="38">
        <v>1</v>
      </c>
      <c r="L179" s="38" t="s">
        <v>101</v>
      </c>
      <c r="M179" s="38" t="s">
        <v>406</v>
      </c>
      <c r="N179" s="38" t="s">
        <v>102</v>
      </c>
      <c r="P179" s="38">
        <v>0</v>
      </c>
      <c r="U179" s="38">
        <v>4</v>
      </c>
      <c r="V179" s="38">
        <v>1</v>
      </c>
      <c r="W179" s="38" t="s">
        <v>103</v>
      </c>
      <c r="X179" s="38">
        <v>0</v>
      </c>
      <c r="AA179" s="45"/>
    </row>
    <row r="180" spans="1:27" x14ac:dyDescent="0.2">
      <c r="A180" s="38">
        <v>1</v>
      </c>
      <c r="B180" s="37">
        <v>9292003301480</v>
      </c>
      <c r="C180" s="38">
        <v>10</v>
      </c>
      <c r="D180" s="45" t="s">
        <v>405</v>
      </c>
      <c r="F180" s="38" t="s">
        <v>100</v>
      </c>
      <c r="G180" s="38">
        <v>0</v>
      </c>
      <c r="H180" s="38">
        <v>100</v>
      </c>
      <c r="K180" s="38">
        <v>1</v>
      </c>
      <c r="L180" s="38" t="s">
        <v>101</v>
      </c>
      <c r="M180" s="38" t="s">
        <v>406</v>
      </c>
      <c r="N180" s="38" t="s">
        <v>102</v>
      </c>
      <c r="P180" s="38">
        <v>0</v>
      </c>
      <c r="U180" s="38">
        <v>4</v>
      </c>
      <c r="V180" s="38">
        <v>1</v>
      </c>
      <c r="W180" s="38" t="s">
        <v>103</v>
      </c>
      <c r="X180" s="38">
        <v>0</v>
      </c>
      <c r="AA180" s="45"/>
    </row>
    <row r="181" spans="1:27" x14ac:dyDescent="0.2">
      <c r="A181" s="38">
        <v>1</v>
      </c>
      <c r="B181" s="37">
        <v>9292003301480</v>
      </c>
      <c r="C181" s="38">
        <v>20</v>
      </c>
      <c r="D181" s="45">
        <v>5701603301480</v>
      </c>
      <c r="F181" s="38" t="s">
        <v>100</v>
      </c>
      <c r="G181" s="38">
        <v>0</v>
      </c>
      <c r="H181" s="38">
        <v>100</v>
      </c>
      <c r="K181" s="38">
        <v>1</v>
      </c>
      <c r="L181" s="38" t="s">
        <v>101</v>
      </c>
      <c r="M181" s="38" t="s">
        <v>406</v>
      </c>
      <c r="N181" s="38" t="s">
        <v>102</v>
      </c>
      <c r="P181" s="38">
        <v>0</v>
      </c>
      <c r="U181" s="38">
        <v>4</v>
      </c>
      <c r="V181" s="38">
        <v>1</v>
      </c>
      <c r="W181" s="38" t="s">
        <v>103</v>
      </c>
      <c r="X181" s="38">
        <v>0</v>
      </c>
      <c r="AA181" s="45"/>
    </row>
    <row r="182" spans="1:27" x14ac:dyDescent="0.2">
      <c r="A182" s="38">
        <v>1</v>
      </c>
      <c r="B182" s="37">
        <v>9292003302480</v>
      </c>
      <c r="C182" s="38">
        <v>10</v>
      </c>
      <c r="D182" s="45" t="s">
        <v>405</v>
      </c>
      <c r="F182" s="38" t="s">
        <v>100</v>
      </c>
      <c r="G182" s="38">
        <v>0</v>
      </c>
      <c r="H182" s="38">
        <v>100</v>
      </c>
      <c r="K182" s="38">
        <v>1</v>
      </c>
      <c r="L182" s="38" t="s">
        <v>101</v>
      </c>
      <c r="M182" s="38" t="s">
        <v>406</v>
      </c>
      <c r="N182" s="38" t="s">
        <v>102</v>
      </c>
      <c r="P182" s="38">
        <v>0</v>
      </c>
      <c r="U182" s="38">
        <v>4</v>
      </c>
      <c r="V182" s="38">
        <v>1</v>
      </c>
      <c r="W182" s="38" t="s">
        <v>103</v>
      </c>
      <c r="X182" s="38">
        <v>0</v>
      </c>
      <c r="AA182" s="45"/>
    </row>
    <row r="183" spans="1:27" x14ac:dyDescent="0.2">
      <c r="A183" s="38">
        <v>1</v>
      </c>
      <c r="B183" s="37">
        <v>9292003302480</v>
      </c>
      <c r="C183" s="38">
        <v>20</v>
      </c>
      <c r="D183" s="45">
        <v>5701603302480</v>
      </c>
      <c r="F183" s="38" t="s">
        <v>100</v>
      </c>
      <c r="G183" s="38">
        <v>0</v>
      </c>
      <c r="H183" s="38">
        <v>100</v>
      </c>
      <c r="K183" s="38">
        <v>1</v>
      </c>
      <c r="L183" s="38" t="s">
        <v>101</v>
      </c>
      <c r="M183" s="38" t="s">
        <v>406</v>
      </c>
      <c r="N183" s="38" t="s">
        <v>102</v>
      </c>
      <c r="P183" s="38">
        <v>0</v>
      </c>
      <c r="U183" s="38">
        <v>4</v>
      </c>
      <c r="V183" s="38">
        <v>1</v>
      </c>
      <c r="W183" s="38" t="s">
        <v>103</v>
      </c>
      <c r="X183" s="38">
        <v>0</v>
      </c>
      <c r="AA183" s="45"/>
    </row>
    <row r="184" spans="1:27" x14ac:dyDescent="0.2">
      <c r="A184" s="38">
        <v>1</v>
      </c>
      <c r="B184" s="37">
        <v>9292003303480</v>
      </c>
      <c r="C184" s="38">
        <v>10</v>
      </c>
      <c r="D184" s="45" t="s">
        <v>405</v>
      </c>
      <c r="F184" s="38" t="s">
        <v>100</v>
      </c>
      <c r="G184" s="38">
        <v>0</v>
      </c>
      <c r="H184" s="38">
        <v>100</v>
      </c>
      <c r="K184" s="38">
        <v>1</v>
      </c>
      <c r="L184" s="38" t="s">
        <v>101</v>
      </c>
      <c r="M184" s="38" t="s">
        <v>406</v>
      </c>
      <c r="N184" s="38" t="s">
        <v>102</v>
      </c>
      <c r="P184" s="38">
        <v>0</v>
      </c>
      <c r="U184" s="38">
        <v>4</v>
      </c>
      <c r="V184" s="38">
        <v>1</v>
      </c>
      <c r="W184" s="38" t="s">
        <v>103</v>
      </c>
      <c r="X184" s="38">
        <v>0</v>
      </c>
      <c r="AA184" s="45"/>
    </row>
    <row r="185" spans="1:27" x14ac:dyDescent="0.2">
      <c r="A185" s="38">
        <v>1</v>
      </c>
      <c r="B185" s="37">
        <v>9292003303480</v>
      </c>
      <c r="C185" s="38">
        <v>20</v>
      </c>
      <c r="D185" s="45">
        <v>5701603303480</v>
      </c>
      <c r="F185" s="38" t="s">
        <v>100</v>
      </c>
      <c r="G185" s="38">
        <v>0</v>
      </c>
      <c r="H185" s="38">
        <v>100</v>
      </c>
      <c r="K185" s="38">
        <v>1</v>
      </c>
      <c r="L185" s="38" t="s">
        <v>101</v>
      </c>
      <c r="M185" s="38" t="s">
        <v>406</v>
      </c>
      <c r="N185" s="38" t="s">
        <v>102</v>
      </c>
      <c r="P185" s="38">
        <v>0</v>
      </c>
      <c r="U185" s="38">
        <v>4</v>
      </c>
      <c r="V185" s="38">
        <v>1</v>
      </c>
      <c r="W185" s="38" t="s">
        <v>103</v>
      </c>
      <c r="X185" s="38">
        <v>0</v>
      </c>
      <c r="AA185" s="45"/>
    </row>
    <row r="186" spans="1:27" x14ac:dyDescent="0.2">
      <c r="A186" s="38">
        <v>1</v>
      </c>
      <c r="B186" s="37">
        <v>9292003304480</v>
      </c>
      <c r="C186" s="38">
        <v>10</v>
      </c>
      <c r="D186" s="45" t="s">
        <v>405</v>
      </c>
      <c r="F186" s="38" t="s">
        <v>100</v>
      </c>
      <c r="G186" s="38">
        <v>0</v>
      </c>
      <c r="H186" s="38">
        <v>100</v>
      </c>
      <c r="K186" s="38">
        <v>1</v>
      </c>
      <c r="L186" s="38" t="s">
        <v>101</v>
      </c>
      <c r="M186" s="38" t="s">
        <v>406</v>
      </c>
      <c r="N186" s="38" t="s">
        <v>102</v>
      </c>
      <c r="P186" s="38">
        <v>0</v>
      </c>
      <c r="U186" s="38">
        <v>4</v>
      </c>
      <c r="V186" s="38">
        <v>1</v>
      </c>
      <c r="W186" s="38" t="s">
        <v>103</v>
      </c>
      <c r="X186" s="38">
        <v>0</v>
      </c>
      <c r="AA186" s="45"/>
    </row>
    <row r="187" spans="1:27" x14ac:dyDescent="0.2">
      <c r="A187" s="38">
        <v>1</v>
      </c>
      <c r="B187" s="37">
        <v>9292003304480</v>
      </c>
      <c r="C187" s="38">
        <v>20</v>
      </c>
      <c r="D187" s="45">
        <v>5701603304480</v>
      </c>
      <c r="F187" s="38" t="s">
        <v>100</v>
      </c>
      <c r="G187" s="38">
        <v>0</v>
      </c>
      <c r="H187" s="38">
        <v>100</v>
      </c>
      <c r="K187" s="38">
        <v>1</v>
      </c>
      <c r="L187" s="38" t="s">
        <v>101</v>
      </c>
      <c r="M187" s="38" t="s">
        <v>406</v>
      </c>
      <c r="N187" s="38" t="s">
        <v>102</v>
      </c>
      <c r="P187" s="38">
        <v>0</v>
      </c>
      <c r="U187" s="38">
        <v>4</v>
      </c>
      <c r="V187" s="38">
        <v>1</v>
      </c>
      <c r="W187" s="38" t="s">
        <v>103</v>
      </c>
      <c r="X187" s="38">
        <v>0</v>
      </c>
      <c r="AA187" s="45"/>
    </row>
    <row r="188" spans="1:27" x14ac:dyDescent="0.2">
      <c r="A188" s="38">
        <v>1</v>
      </c>
      <c r="B188" s="37">
        <v>9292003305480</v>
      </c>
      <c r="C188" s="38">
        <v>10</v>
      </c>
      <c r="D188" s="45" t="s">
        <v>405</v>
      </c>
      <c r="F188" s="38" t="s">
        <v>100</v>
      </c>
      <c r="G188" s="38">
        <v>0</v>
      </c>
      <c r="H188" s="38">
        <v>100</v>
      </c>
      <c r="K188" s="38">
        <v>1</v>
      </c>
      <c r="L188" s="38" t="s">
        <v>101</v>
      </c>
      <c r="M188" s="38" t="s">
        <v>406</v>
      </c>
      <c r="N188" s="38" t="s">
        <v>102</v>
      </c>
      <c r="P188" s="38">
        <v>0</v>
      </c>
      <c r="U188" s="38">
        <v>4</v>
      </c>
      <c r="V188" s="38">
        <v>1</v>
      </c>
      <c r="W188" s="38" t="s">
        <v>103</v>
      </c>
      <c r="X188" s="38">
        <v>0</v>
      </c>
      <c r="AA188" s="45"/>
    </row>
    <row r="189" spans="1:27" x14ac:dyDescent="0.2">
      <c r="A189" s="38">
        <v>1</v>
      </c>
      <c r="B189" s="37">
        <v>9292003305480</v>
      </c>
      <c r="C189" s="38">
        <v>20</v>
      </c>
      <c r="D189" s="45">
        <v>5701603305480</v>
      </c>
      <c r="F189" s="38" t="s">
        <v>100</v>
      </c>
      <c r="G189" s="38">
        <v>0</v>
      </c>
      <c r="H189" s="38">
        <v>100</v>
      </c>
      <c r="K189" s="38">
        <v>1</v>
      </c>
      <c r="L189" s="38" t="s">
        <v>101</v>
      </c>
      <c r="M189" s="38" t="s">
        <v>406</v>
      </c>
      <c r="N189" s="38" t="s">
        <v>102</v>
      </c>
      <c r="P189" s="38">
        <v>0</v>
      </c>
      <c r="U189" s="38">
        <v>4</v>
      </c>
      <c r="V189" s="38">
        <v>1</v>
      </c>
      <c r="W189" s="38" t="s">
        <v>103</v>
      </c>
      <c r="X189" s="38">
        <v>0</v>
      </c>
      <c r="AA189" s="45"/>
    </row>
    <row r="190" spans="1:27" x14ac:dyDescent="0.2">
      <c r="A190" s="38">
        <v>1</v>
      </c>
      <c r="B190" s="37">
        <v>9292003306480</v>
      </c>
      <c r="C190" s="38">
        <v>10</v>
      </c>
      <c r="D190" s="45" t="s">
        <v>405</v>
      </c>
      <c r="F190" s="38" t="s">
        <v>100</v>
      </c>
      <c r="G190" s="38">
        <v>0</v>
      </c>
      <c r="H190" s="38">
        <v>100</v>
      </c>
      <c r="K190" s="38">
        <v>1</v>
      </c>
      <c r="L190" s="38" t="s">
        <v>101</v>
      </c>
      <c r="M190" s="38" t="s">
        <v>406</v>
      </c>
      <c r="N190" s="38" t="s">
        <v>102</v>
      </c>
      <c r="P190" s="38">
        <v>0</v>
      </c>
      <c r="U190" s="38">
        <v>4</v>
      </c>
      <c r="V190" s="38">
        <v>1</v>
      </c>
      <c r="W190" s="38" t="s">
        <v>103</v>
      </c>
      <c r="X190" s="38">
        <v>0</v>
      </c>
      <c r="AA190" s="45"/>
    </row>
    <row r="191" spans="1:27" x14ac:dyDescent="0.2">
      <c r="A191" s="38">
        <v>1</v>
      </c>
      <c r="B191" s="37">
        <v>9292003306480</v>
      </c>
      <c r="C191" s="38">
        <v>20</v>
      </c>
      <c r="D191" s="45">
        <v>5701603306480</v>
      </c>
      <c r="F191" s="38" t="s">
        <v>100</v>
      </c>
      <c r="G191" s="38">
        <v>0</v>
      </c>
      <c r="H191" s="38">
        <v>100</v>
      </c>
      <c r="K191" s="38">
        <v>1</v>
      </c>
      <c r="L191" s="38" t="s">
        <v>101</v>
      </c>
      <c r="M191" s="38" t="s">
        <v>406</v>
      </c>
      <c r="N191" s="38" t="s">
        <v>102</v>
      </c>
      <c r="P191" s="38">
        <v>0</v>
      </c>
      <c r="U191" s="38">
        <v>4</v>
      </c>
      <c r="V191" s="38">
        <v>1</v>
      </c>
      <c r="W191" s="38" t="s">
        <v>103</v>
      </c>
      <c r="X191" s="38">
        <v>0</v>
      </c>
      <c r="AA191" s="45"/>
    </row>
    <row r="192" spans="1:27" x14ac:dyDescent="0.2">
      <c r="A192" s="38">
        <v>1</v>
      </c>
      <c r="B192" s="37">
        <v>9292003307480</v>
      </c>
      <c r="C192" s="38">
        <v>10</v>
      </c>
      <c r="D192" s="45" t="s">
        <v>405</v>
      </c>
      <c r="F192" s="38" t="s">
        <v>100</v>
      </c>
      <c r="G192" s="38">
        <v>0</v>
      </c>
      <c r="H192" s="38">
        <v>100</v>
      </c>
      <c r="K192" s="38">
        <v>1</v>
      </c>
      <c r="L192" s="38" t="s">
        <v>101</v>
      </c>
      <c r="M192" s="38" t="s">
        <v>406</v>
      </c>
      <c r="N192" s="38" t="s">
        <v>102</v>
      </c>
      <c r="P192" s="38">
        <v>0</v>
      </c>
      <c r="U192" s="38">
        <v>4</v>
      </c>
      <c r="V192" s="38">
        <v>1</v>
      </c>
      <c r="W192" s="38" t="s">
        <v>103</v>
      </c>
      <c r="X192" s="38">
        <v>0</v>
      </c>
      <c r="AA192" s="45"/>
    </row>
    <row r="193" spans="1:27" x14ac:dyDescent="0.2">
      <c r="A193" s="38">
        <v>1</v>
      </c>
      <c r="B193" s="37">
        <v>9292003307480</v>
      </c>
      <c r="C193" s="38">
        <v>20</v>
      </c>
      <c r="D193" s="45">
        <v>5701603307480</v>
      </c>
      <c r="F193" s="38" t="s">
        <v>100</v>
      </c>
      <c r="G193" s="38">
        <v>0</v>
      </c>
      <c r="H193" s="38">
        <v>100</v>
      </c>
      <c r="K193" s="38">
        <v>1</v>
      </c>
      <c r="L193" s="38" t="s">
        <v>101</v>
      </c>
      <c r="M193" s="38" t="s">
        <v>406</v>
      </c>
      <c r="N193" s="38" t="s">
        <v>102</v>
      </c>
      <c r="P193" s="38">
        <v>0</v>
      </c>
      <c r="U193" s="38">
        <v>4</v>
      </c>
      <c r="V193" s="38">
        <v>1</v>
      </c>
      <c r="W193" s="38" t="s">
        <v>103</v>
      </c>
      <c r="X193" s="38">
        <v>0</v>
      </c>
      <c r="AA193" s="45"/>
    </row>
    <row r="194" spans="1:27" x14ac:dyDescent="0.2">
      <c r="A194" s="38">
        <v>1</v>
      </c>
      <c r="B194" s="37">
        <v>9292003308480</v>
      </c>
      <c r="C194" s="38">
        <v>10</v>
      </c>
      <c r="D194" s="45" t="s">
        <v>405</v>
      </c>
      <c r="F194" s="38" t="s">
        <v>100</v>
      </c>
      <c r="G194" s="38">
        <v>0</v>
      </c>
      <c r="H194" s="38">
        <v>100</v>
      </c>
      <c r="K194" s="38">
        <v>1</v>
      </c>
      <c r="L194" s="38" t="s">
        <v>101</v>
      </c>
      <c r="M194" s="38" t="s">
        <v>406</v>
      </c>
      <c r="N194" s="38" t="s">
        <v>102</v>
      </c>
      <c r="P194" s="38">
        <v>0</v>
      </c>
      <c r="U194" s="38">
        <v>4</v>
      </c>
      <c r="V194" s="38">
        <v>1</v>
      </c>
      <c r="W194" s="38" t="s">
        <v>103</v>
      </c>
      <c r="X194" s="38">
        <v>0</v>
      </c>
      <c r="AA194" s="45"/>
    </row>
    <row r="195" spans="1:27" x14ac:dyDescent="0.2">
      <c r="A195" s="38">
        <v>1</v>
      </c>
      <c r="B195" s="37">
        <v>9292003308480</v>
      </c>
      <c r="C195" s="38">
        <v>20</v>
      </c>
      <c r="D195" s="45">
        <v>5701603308480</v>
      </c>
      <c r="F195" s="38" t="s">
        <v>100</v>
      </c>
      <c r="G195" s="38">
        <v>0</v>
      </c>
      <c r="H195" s="38">
        <v>100</v>
      </c>
      <c r="K195" s="38">
        <v>1</v>
      </c>
      <c r="L195" s="38" t="s">
        <v>101</v>
      </c>
      <c r="M195" s="38" t="s">
        <v>406</v>
      </c>
      <c r="N195" s="38" t="s">
        <v>102</v>
      </c>
      <c r="P195" s="38">
        <v>0</v>
      </c>
      <c r="U195" s="38">
        <v>4</v>
      </c>
      <c r="V195" s="38">
        <v>1</v>
      </c>
      <c r="W195" s="38" t="s">
        <v>103</v>
      </c>
      <c r="X195" s="38">
        <v>0</v>
      </c>
      <c r="AA195" s="45"/>
    </row>
    <row r="196" spans="1:27" x14ac:dyDescent="0.2">
      <c r="A196" s="38">
        <v>1</v>
      </c>
      <c r="B196" s="37">
        <v>9292003309480</v>
      </c>
      <c r="C196" s="38">
        <v>10</v>
      </c>
      <c r="D196" s="45" t="s">
        <v>405</v>
      </c>
      <c r="F196" s="38" t="s">
        <v>100</v>
      </c>
      <c r="G196" s="38">
        <v>0</v>
      </c>
      <c r="H196" s="38">
        <v>100</v>
      </c>
      <c r="K196" s="38">
        <v>1</v>
      </c>
      <c r="L196" s="38" t="s">
        <v>101</v>
      </c>
      <c r="M196" s="38" t="s">
        <v>406</v>
      </c>
      <c r="N196" s="38" t="s">
        <v>102</v>
      </c>
      <c r="P196" s="38">
        <v>0</v>
      </c>
      <c r="U196" s="38">
        <v>4</v>
      </c>
      <c r="V196" s="38">
        <v>1</v>
      </c>
      <c r="W196" s="38" t="s">
        <v>103</v>
      </c>
      <c r="X196" s="38">
        <v>0</v>
      </c>
      <c r="AA196" s="45"/>
    </row>
    <row r="197" spans="1:27" x14ac:dyDescent="0.2">
      <c r="A197" s="38">
        <v>1</v>
      </c>
      <c r="B197" s="37">
        <v>9292003309480</v>
      </c>
      <c r="C197" s="38">
        <v>20</v>
      </c>
      <c r="D197" s="45">
        <v>5701603309480</v>
      </c>
      <c r="F197" s="38" t="s">
        <v>100</v>
      </c>
      <c r="G197" s="38">
        <v>0</v>
      </c>
      <c r="H197" s="38">
        <v>100</v>
      </c>
      <c r="K197" s="38">
        <v>1</v>
      </c>
      <c r="L197" s="38" t="s">
        <v>101</v>
      </c>
      <c r="M197" s="38" t="s">
        <v>406</v>
      </c>
      <c r="N197" s="38" t="s">
        <v>102</v>
      </c>
      <c r="P197" s="38">
        <v>0</v>
      </c>
      <c r="U197" s="38">
        <v>4</v>
      </c>
      <c r="V197" s="38">
        <v>1</v>
      </c>
      <c r="W197" s="38" t="s">
        <v>103</v>
      </c>
      <c r="X197" s="38">
        <v>0</v>
      </c>
      <c r="AA197" s="45"/>
    </row>
    <row r="198" spans="1:27" x14ac:dyDescent="0.2">
      <c r="A198" s="38">
        <v>1</v>
      </c>
      <c r="B198" s="37">
        <v>9292003310480</v>
      </c>
      <c r="C198" s="38">
        <v>10</v>
      </c>
      <c r="D198" s="45" t="s">
        <v>405</v>
      </c>
      <c r="F198" s="38" t="s">
        <v>100</v>
      </c>
      <c r="G198" s="38">
        <v>0</v>
      </c>
      <c r="H198" s="38">
        <v>100</v>
      </c>
      <c r="K198" s="38">
        <v>1</v>
      </c>
      <c r="L198" s="38" t="s">
        <v>101</v>
      </c>
      <c r="M198" s="38" t="s">
        <v>406</v>
      </c>
      <c r="N198" s="38" t="s">
        <v>102</v>
      </c>
      <c r="P198" s="38">
        <v>0</v>
      </c>
      <c r="U198" s="38">
        <v>4</v>
      </c>
      <c r="V198" s="38">
        <v>1</v>
      </c>
      <c r="W198" s="38" t="s">
        <v>103</v>
      </c>
      <c r="X198" s="38">
        <v>0</v>
      </c>
      <c r="AA198" s="45"/>
    </row>
    <row r="199" spans="1:27" x14ac:dyDescent="0.2">
      <c r="A199" s="38">
        <v>1</v>
      </c>
      <c r="B199" s="37">
        <v>9292003310480</v>
      </c>
      <c r="C199" s="38">
        <v>20</v>
      </c>
      <c r="D199" s="45">
        <v>5701603310480</v>
      </c>
      <c r="F199" s="38" t="s">
        <v>100</v>
      </c>
      <c r="G199" s="38">
        <v>0</v>
      </c>
      <c r="H199" s="38">
        <v>100</v>
      </c>
      <c r="K199" s="38">
        <v>1</v>
      </c>
      <c r="L199" s="38" t="s">
        <v>101</v>
      </c>
      <c r="M199" s="38" t="s">
        <v>406</v>
      </c>
      <c r="N199" s="38" t="s">
        <v>102</v>
      </c>
      <c r="P199" s="38">
        <v>0</v>
      </c>
      <c r="U199" s="38">
        <v>4</v>
      </c>
      <c r="V199" s="38">
        <v>1</v>
      </c>
      <c r="W199" s="38" t="s">
        <v>103</v>
      </c>
      <c r="X199" s="38">
        <v>0</v>
      </c>
      <c r="AA199" s="45"/>
    </row>
    <row r="200" spans="1:27" x14ac:dyDescent="0.2">
      <c r="A200" s="38">
        <v>1</v>
      </c>
      <c r="B200" s="37">
        <v>9292003300501</v>
      </c>
      <c r="C200" s="38">
        <v>10</v>
      </c>
      <c r="D200" s="45" t="s">
        <v>405</v>
      </c>
      <c r="F200" s="38" t="s">
        <v>100</v>
      </c>
      <c r="G200" s="38">
        <v>0</v>
      </c>
      <c r="H200" s="38">
        <v>100</v>
      </c>
      <c r="K200" s="38">
        <v>1</v>
      </c>
      <c r="L200" s="38" t="s">
        <v>101</v>
      </c>
      <c r="M200" s="38" t="s">
        <v>406</v>
      </c>
      <c r="N200" s="38" t="s">
        <v>102</v>
      </c>
      <c r="P200" s="38">
        <v>0</v>
      </c>
      <c r="U200" s="38">
        <v>4</v>
      </c>
      <c r="V200" s="38">
        <v>1</v>
      </c>
      <c r="W200" s="38" t="s">
        <v>103</v>
      </c>
      <c r="X200" s="38">
        <v>0</v>
      </c>
      <c r="AA200" s="45"/>
    </row>
    <row r="201" spans="1:27" x14ac:dyDescent="0.2">
      <c r="A201" s="38">
        <v>1</v>
      </c>
      <c r="B201" s="37">
        <v>9292003300501</v>
      </c>
      <c r="C201" s="38">
        <v>20</v>
      </c>
      <c r="D201" s="45">
        <v>5701603300501</v>
      </c>
      <c r="F201" s="38" t="s">
        <v>100</v>
      </c>
      <c r="G201" s="38">
        <v>0</v>
      </c>
      <c r="H201" s="38">
        <v>100</v>
      </c>
      <c r="K201" s="38">
        <v>1</v>
      </c>
      <c r="L201" s="38" t="s">
        <v>101</v>
      </c>
      <c r="M201" s="38" t="s">
        <v>406</v>
      </c>
      <c r="N201" s="38" t="s">
        <v>102</v>
      </c>
      <c r="P201" s="38">
        <v>0</v>
      </c>
      <c r="U201" s="38">
        <v>4</v>
      </c>
      <c r="V201" s="38">
        <v>1</v>
      </c>
      <c r="W201" s="38" t="s">
        <v>103</v>
      </c>
      <c r="X201" s="38">
        <v>0</v>
      </c>
      <c r="AA201" s="45"/>
    </row>
    <row r="202" spans="1:27" x14ac:dyDescent="0.2">
      <c r="A202" s="38">
        <v>1</v>
      </c>
      <c r="B202" s="37">
        <v>9292003301501</v>
      </c>
      <c r="C202" s="38">
        <v>10</v>
      </c>
      <c r="D202" s="45" t="s">
        <v>405</v>
      </c>
      <c r="F202" s="38" t="s">
        <v>100</v>
      </c>
      <c r="G202" s="38">
        <v>0</v>
      </c>
      <c r="H202" s="38">
        <v>100</v>
      </c>
      <c r="K202" s="38">
        <v>1</v>
      </c>
      <c r="L202" s="38" t="s">
        <v>101</v>
      </c>
      <c r="M202" s="38" t="s">
        <v>406</v>
      </c>
      <c r="N202" s="38" t="s">
        <v>102</v>
      </c>
      <c r="P202" s="38">
        <v>0</v>
      </c>
      <c r="U202" s="38">
        <v>4</v>
      </c>
      <c r="V202" s="38">
        <v>1</v>
      </c>
      <c r="W202" s="38" t="s">
        <v>103</v>
      </c>
      <c r="X202" s="38">
        <v>0</v>
      </c>
      <c r="AA202" s="45"/>
    </row>
    <row r="203" spans="1:27" x14ac:dyDescent="0.2">
      <c r="A203" s="38">
        <v>1</v>
      </c>
      <c r="B203" s="37">
        <v>9292003301501</v>
      </c>
      <c r="C203" s="38">
        <v>20</v>
      </c>
      <c r="D203" s="45">
        <v>5701603301501</v>
      </c>
      <c r="F203" s="38" t="s">
        <v>100</v>
      </c>
      <c r="G203" s="38">
        <v>0</v>
      </c>
      <c r="H203" s="38">
        <v>100</v>
      </c>
      <c r="K203" s="38">
        <v>1</v>
      </c>
      <c r="L203" s="38" t="s">
        <v>101</v>
      </c>
      <c r="M203" s="38" t="s">
        <v>406</v>
      </c>
      <c r="N203" s="38" t="s">
        <v>102</v>
      </c>
      <c r="P203" s="38">
        <v>0</v>
      </c>
      <c r="U203" s="38">
        <v>4</v>
      </c>
      <c r="V203" s="38">
        <v>1</v>
      </c>
      <c r="W203" s="38" t="s">
        <v>103</v>
      </c>
      <c r="X203" s="38">
        <v>0</v>
      </c>
      <c r="AA203" s="45"/>
    </row>
    <row r="204" spans="1:27" x14ac:dyDescent="0.2">
      <c r="A204" s="38">
        <v>1</v>
      </c>
      <c r="B204" s="37">
        <v>9292003302501</v>
      </c>
      <c r="C204" s="38">
        <v>10</v>
      </c>
      <c r="D204" s="45" t="s">
        <v>405</v>
      </c>
      <c r="F204" s="38" t="s">
        <v>100</v>
      </c>
      <c r="G204" s="38">
        <v>0</v>
      </c>
      <c r="H204" s="38">
        <v>100</v>
      </c>
      <c r="K204" s="38">
        <v>1</v>
      </c>
      <c r="L204" s="38" t="s">
        <v>101</v>
      </c>
      <c r="M204" s="38" t="s">
        <v>406</v>
      </c>
      <c r="N204" s="38" t="s">
        <v>102</v>
      </c>
      <c r="P204" s="38">
        <v>0</v>
      </c>
      <c r="U204" s="38">
        <v>4</v>
      </c>
      <c r="V204" s="38">
        <v>1</v>
      </c>
      <c r="W204" s="38" t="s">
        <v>103</v>
      </c>
      <c r="X204" s="38">
        <v>0</v>
      </c>
      <c r="AA204" s="45"/>
    </row>
    <row r="205" spans="1:27" x14ac:dyDescent="0.2">
      <c r="A205" s="38">
        <v>1</v>
      </c>
      <c r="B205" s="37">
        <v>9292003302501</v>
      </c>
      <c r="C205" s="38">
        <v>20</v>
      </c>
      <c r="D205" s="45">
        <v>5701603302501</v>
      </c>
      <c r="F205" s="38" t="s">
        <v>100</v>
      </c>
      <c r="G205" s="38">
        <v>0</v>
      </c>
      <c r="H205" s="38">
        <v>100</v>
      </c>
      <c r="K205" s="38">
        <v>1</v>
      </c>
      <c r="L205" s="38" t="s">
        <v>101</v>
      </c>
      <c r="M205" s="38" t="s">
        <v>406</v>
      </c>
      <c r="N205" s="38" t="s">
        <v>102</v>
      </c>
      <c r="P205" s="38">
        <v>0</v>
      </c>
      <c r="U205" s="38">
        <v>4</v>
      </c>
      <c r="V205" s="38">
        <v>1</v>
      </c>
      <c r="W205" s="38" t="s">
        <v>103</v>
      </c>
      <c r="X205" s="38">
        <v>0</v>
      </c>
      <c r="AA205" s="45"/>
    </row>
    <row r="206" spans="1:27" x14ac:dyDescent="0.2">
      <c r="A206" s="38">
        <v>1</v>
      </c>
      <c r="B206" s="37">
        <v>9292003303501</v>
      </c>
      <c r="C206" s="38">
        <v>10</v>
      </c>
      <c r="D206" s="45" t="s">
        <v>405</v>
      </c>
      <c r="F206" s="38" t="s">
        <v>100</v>
      </c>
      <c r="G206" s="38">
        <v>0</v>
      </c>
      <c r="H206" s="38">
        <v>100</v>
      </c>
      <c r="K206" s="38">
        <v>1</v>
      </c>
      <c r="L206" s="38" t="s">
        <v>101</v>
      </c>
      <c r="M206" s="38" t="s">
        <v>406</v>
      </c>
      <c r="N206" s="38" t="s">
        <v>102</v>
      </c>
      <c r="P206" s="38">
        <v>0</v>
      </c>
      <c r="U206" s="38">
        <v>4</v>
      </c>
      <c r="V206" s="38">
        <v>1</v>
      </c>
      <c r="W206" s="38" t="s">
        <v>103</v>
      </c>
      <c r="X206" s="38">
        <v>0</v>
      </c>
      <c r="AA206" s="45"/>
    </row>
    <row r="207" spans="1:27" x14ac:dyDescent="0.2">
      <c r="A207" s="38">
        <v>1</v>
      </c>
      <c r="B207" s="37">
        <v>9292003303501</v>
      </c>
      <c r="C207" s="38">
        <v>20</v>
      </c>
      <c r="D207" s="45">
        <v>5701603303501</v>
      </c>
      <c r="F207" s="38" t="s">
        <v>100</v>
      </c>
      <c r="G207" s="38">
        <v>0</v>
      </c>
      <c r="H207" s="38">
        <v>100</v>
      </c>
      <c r="K207" s="38">
        <v>1</v>
      </c>
      <c r="L207" s="38" t="s">
        <v>101</v>
      </c>
      <c r="M207" s="38" t="s">
        <v>406</v>
      </c>
      <c r="N207" s="38" t="s">
        <v>102</v>
      </c>
      <c r="P207" s="38">
        <v>0</v>
      </c>
      <c r="U207" s="38">
        <v>4</v>
      </c>
      <c r="V207" s="38">
        <v>1</v>
      </c>
      <c r="W207" s="38" t="s">
        <v>103</v>
      </c>
      <c r="X207" s="38">
        <v>0</v>
      </c>
      <c r="AA207" s="45"/>
    </row>
    <row r="208" spans="1:27" x14ac:dyDescent="0.2">
      <c r="A208" s="38">
        <v>1</v>
      </c>
      <c r="B208" s="37">
        <v>9292003304501</v>
      </c>
      <c r="C208" s="38">
        <v>10</v>
      </c>
      <c r="D208" s="45" t="s">
        <v>405</v>
      </c>
      <c r="F208" s="38" t="s">
        <v>100</v>
      </c>
      <c r="G208" s="38">
        <v>0</v>
      </c>
      <c r="H208" s="38">
        <v>100</v>
      </c>
      <c r="K208" s="38">
        <v>1</v>
      </c>
      <c r="L208" s="38" t="s">
        <v>101</v>
      </c>
      <c r="M208" s="38" t="s">
        <v>406</v>
      </c>
      <c r="N208" s="38" t="s">
        <v>102</v>
      </c>
      <c r="P208" s="38">
        <v>0</v>
      </c>
      <c r="U208" s="38">
        <v>4</v>
      </c>
      <c r="V208" s="38">
        <v>1</v>
      </c>
      <c r="W208" s="38" t="s">
        <v>103</v>
      </c>
      <c r="X208" s="38">
        <v>0</v>
      </c>
      <c r="AA208" s="45"/>
    </row>
    <row r="209" spans="1:27" x14ac:dyDescent="0.2">
      <c r="A209" s="38">
        <v>1</v>
      </c>
      <c r="B209" s="37">
        <v>9292003304501</v>
      </c>
      <c r="C209" s="38">
        <v>20</v>
      </c>
      <c r="D209" s="45">
        <v>5701603304501</v>
      </c>
      <c r="F209" s="38" t="s">
        <v>100</v>
      </c>
      <c r="G209" s="38">
        <v>0</v>
      </c>
      <c r="H209" s="38">
        <v>100</v>
      </c>
      <c r="K209" s="38">
        <v>1</v>
      </c>
      <c r="L209" s="38" t="s">
        <v>101</v>
      </c>
      <c r="M209" s="38" t="s">
        <v>406</v>
      </c>
      <c r="N209" s="38" t="s">
        <v>102</v>
      </c>
      <c r="P209" s="38">
        <v>0</v>
      </c>
      <c r="U209" s="38">
        <v>4</v>
      </c>
      <c r="V209" s="38">
        <v>1</v>
      </c>
      <c r="W209" s="38" t="s">
        <v>103</v>
      </c>
      <c r="X209" s="38">
        <v>0</v>
      </c>
      <c r="AA209" s="45"/>
    </row>
    <row r="210" spans="1:27" x14ac:dyDescent="0.2">
      <c r="A210" s="38">
        <v>1</v>
      </c>
      <c r="B210" s="37">
        <v>9292003305501</v>
      </c>
      <c r="C210" s="38">
        <v>10</v>
      </c>
      <c r="D210" s="45" t="s">
        <v>405</v>
      </c>
      <c r="F210" s="38" t="s">
        <v>100</v>
      </c>
      <c r="G210" s="38">
        <v>0</v>
      </c>
      <c r="H210" s="38">
        <v>100</v>
      </c>
      <c r="K210" s="38">
        <v>1</v>
      </c>
      <c r="L210" s="38" t="s">
        <v>101</v>
      </c>
      <c r="M210" s="38" t="s">
        <v>406</v>
      </c>
      <c r="N210" s="38" t="s">
        <v>102</v>
      </c>
      <c r="P210" s="38">
        <v>0</v>
      </c>
      <c r="U210" s="38">
        <v>4</v>
      </c>
      <c r="V210" s="38">
        <v>1</v>
      </c>
      <c r="W210" s="38" t="s">
        <v>103</v>
      </c>
      <c r="X210" s="38">
        <v>0</v>
      </c>
      <c r="AA210" s="45"/>
    </row>
    <row r="211" spans="1:27" x14ac:dyDescent="0.2">
      <c r="A211" s="38">
        <v>1</v>
      </c>
      <c r="B211" s="37">
        <v>9292003305501</v>
      </c>
      <c r="C211" s="38">
        <v>20</v>
      </c>
      <c r="D211" s="45">
        <v>5701603305501</v>
      </c>
      <c r="F211" s="38" t="s">
        <v>100</v>
      </c>
      <c r="G211" s="38">
        <v>0</v>
      </c>
      <c r="H211" s="38">
        <v>100</v>
      </c>
      <c r="K211" s="38">
        <v>1</v>
      </c>
      <c r="L211" s="38" t="s">
        <v>101</v>
      </c>
      <c r="M211" s="38" t="s">
        <v>406</v>
      </c>
      <c r="N211" s="38" t="s">
        <v>102</v>
      </c>
      <c r="P211" s="38">
        <v>0</v>
      </c>
      <c r="U211" s="38">
        <v>4</v>
      </c>
      <c r="V211" s="38">
        <v>1</v>
      </c>
      <c r="W211" s="38" t="s">
        <v>103</v>
      </c>
      <c r="X211" s="38">
        <v>0</v>
      </c>
      <c r="AA211" s="45"/>
    </row>
    <row r="212" spans="1:27" x14ac:dyDescent="0.2">
      <c r="A212" s="38">
        <v>1</v>
      </c>
      <c r="B212" s="37">
        <v>9292003306501</v>
      </c>
      <c r="C212" s="38">
        <v>10</v>
      </c>
      <c r="D212" s="45" t="s">
        <v>405</v>
      </c>
      <c r="F212" s="38" t="s">
        <v>100</v>
      </c>
      <c r="G212" s="38">
        <v>0</v>
      </c>
      <c r="H212" s="38">
        <v>100</v>
      </c>
      <c r="K212" s="38">
        <v>1</v>
      </c>
      <c r="L212" s="38" t="s">
        <v>101</v>
      </c>
      <c r="M212" s="38" t="s">
        <v>406</v>
      </c>
      <c r="N212" s="38" t="s">
        <v>102</v>
      </c>
      <c r="P212" s="38">
        <v>0</v>
      </c>
      <c r="U212" s="38">
        <v>4</v>
      </c>
      <c r="V212" s="38">
        <v>1</v>
      </c>
      <c r="W212" s="38" t="s">
        <v>103</v>
      </c>
      <c r="X212" s="38">
        <v>0</v>
      </c>
      <c r="AA212" s="45"/>
    </row>
    <row r="213" spans="1:27" x14ac:dyDescent="0.2">
      <c r="A213" s="38">
        <v>1</v>
      </c>
      <c r="B213" s="37">
        <v>9292003306501</v>
      </c>
      <c r="C213" s="38">
        <v>20</v>
      </c>
      <c r="D213" s="45">
        <v>5701603306501</v>
      </c>
      <c r="F213" s="38" t="s">
        <v>100</v>
      </c>
      <c r="G213" s="38">
        <v>0</v>
      </c>
      <c r="H213" s="38">
        <v>100</v>
      </c>
      <c r="K213" s="38">
        <v>1</v>
      </c>
      <c r="L213" s="38" t="s">
        <v>101</v>
      </c>
      <c r="M213" s="38" t="s">
        <v>406</v>
      </c>
      <c r="N213" s="38" t="s">
        <v>102</v>
      </c>
      <c r="P213" s="38">
        <v>0</v>
      </c>
      <c r="U213" s="38">
        <v>4</v>
      </c>
      <c r="V213" s="38">
        <v>1</v>
      </c>
      <c r="W213" s="38" t="s">
        <v>103</v>
      </c>
      <c r="X213" s="38">
        <v>0</v>
      </c>
      <c r="AA213" s="45"/>
    </row>
    <row r="214" spans="1:27" x14ac:dyDescent="0.2">
      <c r="A214" s="38">
        <v>1</v>
      </c>
      <c r="B214" s="37">
        <v>9292003307501</v>
      </c>
      <c r="C214" s="38">
        <v>10</v>
      </c>
      <c r="D214" s="45" t="s">
        <v>405</v>
      </c>
      <c r="F214" s="38" t="s">
        <v>100</v>
      </c>
      <c r="G214" s="38">
        <v>0</v>
      </c>
      <c r="H214" s="38">
        <v>100</v>
      </c>
      <c r="K214" s="38">
        <v>1</v>
      </c>
      <c r="L214" s="38" t="s">
        <v>101</v>
      </c>
      <c r="M214" s="38" t="s">
        <v>406</v>
      </c>
      <c r="N214" s="38" t="s">
        <v>102</v>
      </c>
      <c r="P214" s="38">
        <v>0</v>
      </c>
      <c r="U214" s="38">
        <v>4</v>
      </c>
      <c r="V214" s="38">
        <v>1</v>
      </c>
      <c r="W214" s="38" t="s">
        <v>103</v>
      </c>
      <c r="X214" s="38">
        <v>0</v>
      </c>
      <c r="AA214" s="45"/>
    </row>
    <row r="215" spans="1:27" x14ac:dyDescent="0.2">
      <c r="A215" s="38">
        <v>1</v>
      </c>
      <c r="B215" s="37">
        <v>9292003307501</v>
      </c>
      <c r="C215" s="38">
        <v>20</v>
      </c>
      <c r="D215" s="45">
        <v>5701603307501</v>
      </c>
      <c r="F215" s="38" t="s">
        <v>100</v>
      </c>
      <c r="G215" s="38">
        <v>0</v>
      </c>
      <c r="H215" s="38">
        <v>100</v>
      </c>
      <c r="K215" s="38">
        <v>1</v>
      </c>
      <c r="L215" s="38" t="s">
        <v>101</v>
      </c>
      <c r="M215" s="38" t="s">
        <v>406</v>
      </c>
      <c r="N215" s="38" t="s">
        <v>102</v>
      </c>
      <c r="P215" s="38">
        <v>0</v>
      </c>
      <c r="U215" s="38">
        <v>4</v>
      </c>
      <c r="V215" s="38">
        <v>1</v>
      </c>
      <c r="W215" s="38" t="s">
        <v>103</v>
      </c>
      <c r="X215" s="38">
        <v>0</v>
      </c>
      <c r="AA215" s="45"/>
    </row>
    <row r="216" spans="1:27" x14ac:dyDescent="0.2">
      <c r="A216" s="38">
        <v>1</v>
      </c>
      <c r="B216" s="37">
        <v>9292003308501</v>
      </c>
      <c r="C216" s="38">
        <v>10</v>
      </c>
      <c r="D216" s="45" t="s">
        <v>405</v>
      </c>
      <c r="F216" s="38" t="s">
        <v>100</v>
      </c>
      <c r="G216" s="38">
        <v>0</v>
      </c>
      <c r="H216" s="38">
        <v>100</v>
      </c>
      <c r="K216" s="38">
        <v>1</v>
      </c>
      <c r="L216" s="38" t="s">
        <v>101</v>
      </c>
      <c r="M216" s="38" t="s">
        <v>406</v>
      </c>
      <c r="N216" s="38" t="s">
        <v>102</v>
      </c>
      <c r="P216" s="38">
        <v>0</v>
      </c>
      <c r="U216" s="38">
        <v>4</v>
      </c>
      <c r="V216" s="38">
        <v>1</v>
      </c>
      <c r="W216" s="38" t="s">
        <v>103</v>
      </c>
      <c r="X216" s="38">
        <v>0</v>
      </c>
      <c r="AA216" s="45"/>
    </row>
    <row r="217" spans="1:27" x14ac:dyDescent="0.2">
      <c r="A217" s="38">
        <v>1</v>
      </c>
      <c r="B217" s="37">
        <v>9292003308501</v>
      </c>
      <c r="C217" s="38">
        <v>20</v>
      </c>
      <c r="D217" s="45">
        <v>5701603308501</v>
      </c>
      <c r="F217" s="38" t="s">
        <v>100</v>
      </c>
      <c r="G217" s="38">
        <v>0</v>
      </c>
      <c r="H217" s="38">
        <v>100</v>
      </c>
      <c r="K217" s="38">
        <v>1</v>
      </c>
      <c r="L217" s="38" t="s">
        <v>101</v>
      </c>
      <c r="M217" s="38" t="s">
        <v>406</v>
      </c>
      <c r="N217" s="38" t="s">
        <v>102</v>
      </c>
      <c r="P217" s="38">
        <v>0</v>
      </c>
      <c r="U217" s="38">
        <v>4</v>
      </c>
      <c r="V217" s="38">
        <v>1</v>
      </c>
      <c r="W217" s="38" t="s">
        <v>103</v>
      </c>
      <c r="X217" s="38">
        <v>0</v>
      </c>
      <c r="AA217" s="45"/>
    </row>
    <row r="218" spans="1:27" x14ac:dyDescent="0.2">
      <c r="A218" s="38">
        <v>1</v>
      </c>
      <c r="B218" s="37">
        <v>9292003309501</v>
      </c>
      <c r="C218" s="38">
        <v>10</v>
      </c>
      <c r="D218" s="45" t="s">
        <v>405</v>
      </c>
      <c r="F218" s="38" t="s">
        <v>100</v>
      </c>
      <c r="G218" s="38">
        <v>0</v>
      </c>
      <c r="H218" s="38">
        <v>100</v>
      </c>
      <c r="K218" s="38">
        <v>1</v>
      </c>
      <c r="L218" s="38" t="s">
        <v>101</v>
      </c>
      <c r="M218" s="38" t="s">
        <v>406</v>
      </c>
      <c r="N218" s="38" t="s">
        <v>102</v>
      </c>
      <c r="P218" s="38">
        <v>0</v>
      </c>
      <c r="U218" s="38">
        <v>4</v>
      </c>
      <c r="V218" s="38">
        <v>1</v>
      </c>
      <c r="W218" s="38" t="s">
        <v>103</v>
      </c>
      <c r="X218" s="38">
        <v>0</v>
      </c>
      <c r="AA218" s="45"/>
    </row>
    <row r="219" spans="1:27" x14ac:dyDescent="0.2">
      <c r="A219" s="38">
        <v>1</v>
      </c>
      <c r="B219" s="37">
        <v>9292003309501</v>
      </c>
      <c r="C219" s="38">
        <v>20</v>
      </c>
      <c r="D219" s="45">
        <v>5701603309501</v>
      </c>
      <c r="F219" s="38" t="s">
        <v>100</v>
      </c>
      <c r="G219" s="38">
        <v>0</v>
      </c>
      <c r="H219" s="38">
        <v>100</v>
      </c>
      <c r="K219" s="38">
        <v>1</v>
      </c>
      <c r="L219" s="38" t="s">
        <v>101</v>
      </c>
      <c r="M219" s="38" t="s">
        <v>406</v>
      </c>
      <c r="N219" s="38" t="s">
        <v>102</v>
      </c>
      <c r="P219" s="38">
        <v>0</v>
      </c>
      <c r="U219" s="38">
        <v>4</v>
      </c>
      <c r="V219" s="38">
        <v>1</v>
      </c>
      <c r="W219" s="38" t="s">
        <v>103</v>
      </c>
      <c r="X219" s="38">
        <v>0</v>
      </c>
      <c r="AA219" s="45"/>
    </row>
    <row r="220" spans="1:27" x14ac:dyDescent="0.2">
      <c r="A220" s="38">
        <v>1</v>
      </c>
      <c r="B220" s="37">
        <v>9292003310501</v>
      </c>
      <c r="C220" s="38">
        <v>10</v>
      </c>
      <c r="D220" s="45" t="s">
        <v>405</v>
      </c>
      <c r="F220" s="38" t="s">
        <v>100</v>
      </c>
      <c r="G220" s="38">
        <v>0</v>
      </c>
      <c r="H220" s="38">
        <v>100</v>
      </c>
      <c r="K220" s="38">
        <v>1</v>
      </c>
      <c r="L220" s="38" t="s">
        <v>101</v>
      </c>
      <c r="M220" s="38" t="s">
        <v>406</v>
      </c>
      <c r="N220" s="38" t="s">
        <v>102</v>
      </c>
      <c r="P220" s="38">
        <v>0</v>
      </c>
      <c r="U220" s="38">
        <v>4</v>
      </c>
      <c r="V220" s="38">
        <v>1</v>
      </c>
      <c r="W220" s="38" t="s">
        <v>103</v>
      </c>
      <c r="X220" s="38">
        <v>0</v>
      </c>
      <c r="AA220" s="45"/>
    </row>
    <row r="221" spans="1:27" x14ac:dyDescent="0.2">
      <c r="A221" s="38">
        <v>1</v>
      </c>
      <c r="B221" s="37">
        <v>9292003310501</v>
      </c>
      <c r="C221" s="38">
        <v>20</v>
      </c>
      <c r="D221" s="45">
        <v>5701603310501</v>
      </c>
      <c r="F221" s="38" t="s">
        <v>100</v>
      </c>
      <c r="G221" s="38">
        <v>0</v>
      </c>
      <c r="H221" s="38">
        <v>100</v>
      </c>
      <c r="K221" s="38">
        <v>1</v>
      </c>
      <c r="L221" s="38" t="s">
        <v>101</v>
      </c>
      <c r="M221" s="38" t="s">
        <v>406</v>
      </c>
      <c r="N221" s="38" t="s">
        <v>102</v>
      </c>
      <c r="P221" s="38">
        <v>0</v>
      </c>
      <c r="U221" s="38">
        <v>4</v>
      </c>
      <c r="V221" s="38">
        <v>1</v>
      </c>
      <c r="W221" s="38" t="s">
        <v>103</v>
      </c>
      <c r="X221" s="38">
        <v>0</v>
      </c>
      <c r="AA221" s="45"/>
    </row>
    <row r="222" spans="1:27" x14ac:dyDescent="0.2">
      <c r="A222" s="38">
        <v>1</v>
      </c>
      <c r="B222" s="37">
        <v>9292003300450</v>
      </c>
      <c r="C222" s="38">
        <v>10</v>
      </c>
      <c r="D222" s="45" t="s">
        <v>405</v>
      </c>
      <c r="F222" s="38" t="s">
        <v>100</v>
      </c>
      <c r="G222" s="38">
        <v>0</v>
      </c>
      <c r="H222" s="38">
        <v>100</v>
      </c>
      <c r="K222" s="38">
        <v>1</v>
      </c>
      <c r="L222" s="38" t="s">
        <v>101</v>
      </c>
      <c r="M222" s="38" t="s">
        <v>406</v>
      </c>
      <c r="N222" s="38" t="s">
        <v>102</v>
      </c>
      <c r="P222" s="38">
        <v>0</v>
      </c>
      <c r="U222" s="38">
        <v>4</v>
      </c>
      <c r="V222" s="38">
        <v>1</v>
      </c>
      <c r="W222" s="38" t="s">
        <v>103</v>
      </c>
      <c r="X222" s="38">
        <v>0</v>
      </c>
      <c r="AA222" s="45"/>
    </row>
    <row r="223" spans="1:27" x14ac:dyDescent="0.2">
      <c r="A223" s="38">
        <v>1</v>
      </c>
      <c r="B223" s="37">
        <v>9292003300450</v>
      </c>
      <c r="C223" s="38">
        <v>20</v>
      </c>
      <c r="D223" s="45">
        <v>5701603300450</v>
      </c>
      <c r="F223" s="38" t="s">
        <v>100</v>
      </c>
      <c r="G223" s="38">
        <v>0</v>
      </c>
      <c r="H223" s="38">
        <v>100</v>
      </c>
      <c r="K223" s="38">
        <v>1</v>
      </c>
      <c r="L223" s="38" t="s">
        <v>101</v>
      </c>
      <c r="M223" s="38" t="s">
        <v>406</v>
      </c>
      <c r="N223" s="38" t="s">
        <v>102</v>
      </c>
      <c r="P223" s="38">
        <v>0</v>
      </c>
      <c r="U223" s="38">
        <v>4</v>
      </c>
      <c r="V223" s="38">
        <v>1</v>
      </c>
      <c r="W223" s="38" t="s">
        <v>103</v>
      </c>
      <c r="X223" s="38">
        <v>0</v>
      </c>
      <c r="AA223" s="45"/>
    </row>
    <row r="224" spans="1:27" x14ac:dyDescent="0.2">
      <c r="A224" s="38">
        <v>1</v>
      </c>
      <c r="B224" s="37">
        <v>9292003301450</v>
      </c>
      <c r="C224" s="38">
        <v>10</v>
      </c>
      <c r="D224" s="45" t="s">
        <v>405</v>
      </c>
      <c r="F224" s="38" t="s">
        <v>100</v>
      </c>
      <c r="G224" s="38">
        <v>0</v>
      </c>
      <c r="H224" s="38">
        <v>100</v>
      </c>
      <c r="K224" s="38">
        <v>1</v>
      </c>
      <c r="L224" s="38" t="s">
        <v>101</v>
      </c>
      <c r="M224" s="38" t="s">
        <v>406</v>
      </c>
      <c r="N224" s="38" t="s">
        <v>102</v>
      </c>
      <c r="P224" s="38">
        <v>0</v>
      </c>
      <c r="U224" s="38">
        <v>4</v>
      </c>
      <c r="V224" s="38">
        <v>1</v>
      </c>
      <c r="W224" s="38" t="s">
        <v>103</v>
      </c>
      <c r="X224" s="38">
        <v>0</v>
      </c>
      <c r="AA224" s="45"/>
    </row>
    <row r="225" spans="1:27" x14ac:dyDescent="0.2">
      <c r="A225" s="38">
        <v>1</v>
      </c>
      <c r="B225" s="37">
        <v>9292003301450</v>
      </c>
      <c r="C225" s="38">
        <v>20</v>
      </c>
      <c r="D225" s="45">
        <v>5701603301450</v>
      </c>
      <c r="F225" s="38" t="s">
        <v>100</v>
      </c>
      <c r="G225" s="38">
        <v>0</v>
      </c>
      <c r="H225" s="38">
        <v>100</v>
      </c>
      <c r="K225" s="38">
        <v>1</v>
      </c>
      <c r="L225" s="38" t="s">
        <v>101</v>
      </c>
      <c r="M225" s="38" t="s">
        <v>406</v>
      </c>
      <c r="N225" s="38" t="s">
        <v>102</v>
      </c>
      <c r="P225" s="38">
        <v>0</v>
      </c>
      <c r="U225" s="38">
        <v>4</v>
      </c>
      <c r="V225" s="38">
        <v>1</v>
      </c>
      <c r="W225" s="38" t="s">
        <v>103</v>
      </c>
      <c r="X225" s="38">
        <v>0</v>
      </c>
      <c r="AA225" s="45"/>
    </row>
    <row r="226" spans="1:27" x14ac:dyDescent="0.2">
      <c r="A226" s="38">
        <v>1</v>
      </c>
      <c r="B226" s="37">
        <v>9292003302450</v>
      </c>
      <c r="C226" s="38">
        <v>10</v>
      </c>
      <c r="D226" s="45" t="s">
        <v>405</v>
      </c>
      <c r="F226" s="38" t="s">
        <v>100</v>
      </c>
      <c r="G226" s="38">
        <v>0</v>
      </c>
      <c r="H226" s="38">
        <v>100</v>
      </c>
      <c r="K226" s="38">
        <v>1</v>
      </c>
      <c r="L226" s="38" t="s">
        <v>101</v>
      </c>
      <c r="M226" s="38" t="s">
        <v>406</v>
      </c>
      <c r="N226" s="38" t="s">
        <v>102</v>
      </c>
      <c r="P226" s="38">
        <v>0</v>
      </c>
      <c r="U226" s="38">
        <v>4</v>
      </c>
      <c r="V226" s="38">
        <v>1</v>
      </c>
      <c r="W226" s="38" t="s">
        <v>103</v>
      </c>
      <c r="X226" s="38">
        <v>0</v>
      </c>
      <c r="AA226" s="45"/>
    </row>
    <row r="227" spans="1:27" x14ac:dyDescent="0.2">
      <c r="A227" s="38">
        <v>1</v>
      </c>
      <c r="B227" s="37">
        <v>9292003302450</v>
      </c>
      <c r="C227" s="38">
        <v>20</v>
      </c>
      <c r="D227" s="45">
        <v>5701603302450</v>
      </c>
      <c r="F227" s="38" t="s">
        <v>100</v>
      </c>
      <c r="G227" s="38">
        <v>0</v>
      </c>
      <c r="H227" s="38">
        <v>100</v>
      </c>
      <c r="K227" s="38">
        <v>1</v>
      </c>
      <c r="L227" s="38" t="s">
        <v>101</v>
      </c>
      <c r="M227" s="38" t="s">
        <v>406</v>
      </c>
      <c r="N227" s="38" t="s">
        <v>102</v>
      </c>
      <c r="P227" s="38">
        <v>0</v>
      </c>
      <c r="U227" s="38">
        <v>4</v>
      </c>
      <c r="V227" s="38">
        <v>1</v>
      </c>
      <c r="W227" s="38" t="s">
        <v>103</v>
      </c>
      <c r="X227" s="38">
        <v>0</v>
      </c>
      <c r="AA227" s="45"/>
    </row>
    <row r="228" spans="1:27" x14ac:dyDescent="0.2">
      <c r="A228" s="38">
        <v>1</v>
      </c>
      <c r="B228" s="37">
        <v>9292003303450</v>
      </c>
      <c r="C228" s="38">
        <v>10</v>
      </c>
      <c r="D228" s="45" t="s">
        <v>405</v>
      </c>
      <c r="F228" s="38" t="s">
        <v>100</v>
      </c>
      <c r="G228" s="38">
        <v>0</v>
      </c>
      <c r="H228" s="38">
        <v>100</v>
      </c>
      <c r="K228" s="38">
        <v>1</v>
      </c>
      <c r="L228" s="38" t="s">
        <v>101</v>
      </c>
      <c r="M228" s="38" t="s">
        <v>406</v>
      </c>
      <c r="N228" s="38" t="s">
        <v>102</v>
      </c>
      <c r="P228" s="38">
        <v>0</v>
      </c>
      <c r="U228" s="38">
        <v>4</v>
      </c>
      <c r="V228" s="38">
        <v>1</v>
      </c>
      <c r="W228" s="38" t="s">
        <v>103</v>
      </c>
      <c r="X228" s="38">
        <v>0</v>
      </c>
      <c r="AA228" s="45"/>
    </row>
    <row r="229" spans="1:27" x14ac:dyDescent="0.2">
      <c r="A229" s="38">
        <v>1</v>
      </c>
      <c r="B229" s="37">
        <v>9292003303450</v>
      </c>
      <c r="C229" s="38">
        <v>20</v>
      </c>
      <c r="D229" s="45">
        <v>5701603303450</v>
      </c>
      <c r="F229" s="38" t="s">
        <v>100</v>
      </c>
      <c r="G229" s="38">
        <v>0</v>
      </c>
      <c r="H229" s="38">
        <v>100</v>
      </c>
      <c r="K229" s="38">
        <v>1</v>
      </c>
      <c r="L229" s="38" t="s">
        <v>101</v>
      </c>
      <c r="M229" s="38" t="s">
        <v>406</v>
      </c>
      <c r="N229" s="38" t="s">
        <v>102</v>
      </c>
      <c r="P229" s="38">
        <v>0</v>
      </c>
      <c r="U229" s="38">
        <v>4</v>
      </c>
      <c r="V229" s="38">
        <v>1</v>
      </c>
      <c r="W229" s="38" t="s">
        <v>103</v>
      </c>
      <c r="X229" s="38">
        <v>0</v>
      </c>
      <c r="AA229" s="45"/>
    </row>
    <row r="230" spans="1:27" x14ac:dyDescent="0.2">
      <c r="A230" s="38">
        <v>1</v>
      </c>
      <c r="B230" s="37">
        <v>9292003304450</v>
      </c>
      <c r="C230" s="38">
        <v>10</v>
      </c>
      <c r="D230" s="45" t="s">
        <v>405</v>
      </c>
      <c r="F230" s="38" t="s">
        <v>100</v>
      </c>
      <c r="G230" s="38">
        <v>0</v>
      </c>
      <c r="H230" s="38">
        <v>100</v>
      </c>
      <c r="K230" s="38">
        <v>1</v>
      </c>
      <c r="L230" s="38" t="s">
        <v>101</v>
      </c>
      <c r="M230" s="38" t="s">
        <v>406</v>
      </c>
      <c r="N230" s="38" t="s">
        <v>102</v>
      </c>
      <c r="P230" s="38">
        <v>0</v>
      </c>
      <c r="U230" s="38">
        <v>4</v>
      </c>
      <c r="V230" s="38">
        <v>1</v>
      </c>
      <c r="W230" s="38" t="s">
        <v>103</v>
      </c>
      <c r="X230" s="38">
        <v>0</v>
      </c>
      <c r="AA230" s="45"/>
    </row>
    <row r="231" spans="1:27" x14ac:dyDescent="0.2">
      <c r="A231" s="38">
        <v>1</v>
      </c>
      <c r="B231" s="37">
        <v>9292003304450</v>
      </c>
      <c r="C231" s="38">
        <v>20</v>
      </c>
      <c r="D231" s="45">
        <v>5701603304450</v>
      </c>
      <c r="F231" s="38" t="s">
        <v>100</v>
      </c>
      <c r="G231" s="38">
        <v>0</v>
      </c>
      <c r="H231" s="38">
        <v>100</v>
      </c>
      <c r="K231" s="38">
        <v>1</v>
      </c>
      <c r="L231" s="38" t="s">
        <v>101</v>
      </c>
      <c r="M231" s="38" t="s">
        <v>406</v>
      </c>
      <c r="N231" s="38" t="s">
        <v>102</v>
      </c>
      <c r="P231" s="38">
        <v>0</v>
      </c>
      <c r="U231" s="38">
        <v>4</v>
      </c>
      <c r="V231" s="38">
        <v>1</v>
      </c>
      <c r="W231" s="38" t="s">
        <v>103</v>
      </c>
      <c r="X231" s="38">
        <v>0</v>
      </c>
      <c r="AA231" s="45"/>
    </row>
    <row r="232" spans="1:27" x14ac:dyDescent="0.2">
      <c r="A232" s="38">
        <v>1</v>
      </c>
      <c r="B232" s="37">
        <v>9292003305450</v>
      </c>
      <c r="C232" s="38">
        <v>10</v>
      </c>
      <c r="D232" s="45" t="s">
        <v>405</v>
      </c>
      <c r="F232" s="38" t="s">
        <v>100</v>
      </c>
      <c r="G232" s="38">
        <v>0</v>
      </c>
      <c r="H232" s="38">
        <v>100</v>
      </c>
      <c r="K232" s="38">
        <v>1</v>
      </c>
      <c r="L232" s="38" t="s">
        <v>101</v>
      </c>
      <c r="M232" s="38" t="s">
        <v>406</v>
      </c>
      <c r="N232" s="38" t="s">
        <v>102</v>
      </c>
      <c r="P232" s="38">
        <v>0</v>
      </c>
      <c r="U232" s="38">
        <v>4</v>
      </c>
      <c r="V232" s="38">
        <v>1</v>
      </c>
      <c r="W232" s="38" t="s">
        <v>103</v>
      </c>
      <c r="X232" s="38">
        <v>0</v>
      </c>
      <c r="AA232" s="45"/>
    </row>
    <row r="233" spans="1:27" x14ac:dyDescent="0.2">
      <c r="A233" s="38">
        <v>1</v>
      </c>
      <c r="B233" s="37">
        <v>9292003305450</v>
      </c>
      <c r="C233" s="38">
        <v>20</v>
      </c>
      <c r="D233" s="45">
        <v>5701603305450</v>
      </c>
      <c r="F233" s="38" t="s">
        <v>100</v>
      </c>
      <c r="G233" s="38">
        <v>0</v>
      </c>
      <c r="H233" s="38">
        <v>100</v>
      </c>
      <c r="K233" s="38">
        <v>1</v>
      </c>
      <c r="L233" s="38" t="s">
        <v>101</v>
      </c>
      <c r="M233" s="38" t="s">
        <v>406</v>
      </c>
      <c r="N233" s="38" t="s">
        <v>102</v>
      </c>
      <c r="P233" s="38">
        <v>0</v>
      </c>
      <c r="U233" s="38">
        <v>4</v>
      </c>
      <c r="V233" s="38">
        <v>1</v>
      </c>
      <c r="W233" s="38" t="s">
        <v>103</v>
      </c>
      <c r="X233" s="38">
        <v>0</v>
      </c>
      <c r="AA233" s="45"/>
    </row>
    <row r="234" spans="1:27" x14ac:dyDescent="0.2">
      <c r="A234" s="38">
        <v>1</v>
      </c>
      <c r="B234" s="37">
        <v>9292003306450</v>
      </c>
      <c r="C234" s="38">
        <v>10</v>
      </c>
      <c r="D234" s="45" t="s">
        <v>405</v>
      </c>
      <c r="F234" s="38" t="s">
        <v>100</v>
      </c>
      <c r="G234" s="38">
        <v>0</v>
      </c>
      <c r="H234" s="38">
        <v>100</v>
      </c>
      <c r="K234" s="38">
        <v>1</v>
      </c>
      <c r="L234" s="38" t="s">
        <v>101</v>
      </c>
      <c r="M234" s="38" t="s">
        <v>406</v>
      </c>
      <c r="N234" s="38" t="s">
        <v>102</v>
      </c>
      <c r="P234" s="38">
        <v>0</v>
      </c>
      <c r="U234" s="38">
        <v>4</v>
      </c>
      <c r="V234" s="38">
        <v>1</v>
      </c>
      <c r="W234" s="38" t="s">
        <v>103</v>
      </c>
      <c r="X234" s="38">
        <v>0</v>
      </c>
      <c r="AA234" s="45"/>
    </row>
    <row r="235" spans="1:27" x14ac:dyDescent="0.2">
      <c r="A235" s="38">
        <v>1</v>
      </c>
      <c r="B235" s="37">
        <v>9292003306450</v>
      </c>
      <c r="C235" s="38">
        <v>20</v>
      </c>
      <c r="D235" s="45">
        <v>5701603306450</v>
      </c>
      <c r="F235" s="38" t="s">
        <v>100</v>
      </c>
      <c r="G235" s="38">
        <v>0</v>
      </c>
      <c r="H235" s="38">
        <v>100</v>
      </c>
      <c r="K235" s="38">
        <v>1</v>
      </c>
      <c r="L235" s="38" t="s">
        <v>101</v>
      </c>
      <c r="M235" s="38" t="s">
        <v>406</v>
      </c>
      <c r="N235" s="38" t="s">
        <v>102</v>
      </c>
      <c r="P235" s="38">
        <v>0</v>
      </c>
      <c r="U235" s="38">
        <v>4</v>
      </c>
      <c r="V235" s="38">
        <v>1</v>
      </c>
      <c r="W235" s="38" t="s">
        <v>103</v>
      </c>
      <c r="X235" s="38">
        <v>0</v>
      </c>
      <c r="AA235" s="45"/>
    </row>
    <row r="236" spans="1:27" x14ac:dyDescent="0.2">
      <c r="A236" s="38">
        <v>1</v>
      </c>
      <c r="B236" s="37">
        <v>9292003307450</v>
      </c>
      <c r="C236" s="38">
        <v>10</v>
      </c>
      <c r="D236" s="45" t="s">
        <v>405</v>
      </c>
      <c r="F236" s="38" t="s">
        <v>100</v>
      </c>
      <c r="G236" s="38">
        <v>0</v>
      </c>
      <c r="H236" s="38">
        <v>100</v>
      </c>
      <c r="K236" s="38">
        <v>1</v>
      </c>
      <c r="L236" s="38" t="s">
        <v>101</v>
      </c>
      <c r="M236" s="38" t="s">
        <v>406</v>
      </c>
      <c r="N236" s="38" t="s">
        <v>102</v>
      </c>
      <c r="P236" s="38">
        <v>0</v>
      </c>
      <c r="U236" s="38">
        <v>4</v>
      </c>
      <c r="V236" s="38">
        <v>1</v>
      </c>
      <c r="W236" s="38" t="s">
        <v>103</v>
      </c>
      <c r="X236" s="38">
        <v>0</v>
      </c>
      <c r="AA236" s="45"/>
    </row>
    <row r="237" spans="1:27" x14ac:dyDescent="0.2">
      <c r="A237" s="38">
        <v>1</v>
      </c>
      <c r="B237" s="37">
        <v>9292003307450</v>
      </c>
      <c r="C237" s="38">
        <v>20</v>
      </c>
      <c r="D237" s="45">
        <v>5701603307450</v>
      </c>
      <c r="F237" s="38" t="s">
        <v>100</v>
      </c>
      <c r="G237" s="38">
        <v>0</v>
      </c>
      <c r="H237" s="38">
        <v>100</v>
      </c>
      <c r="K237" s="38">
        <v>1</v>
      </c>
      <c r="L237" s="38" t="s">
        <v>101</v>
      </c>
      <c r="M237" s="38" t="s">
        <v>406</v>
      </c>
      <c r="N237" s="38" t="s">
        <v>102</v>
      </c>
      <c r="P237" s="38">
        <v>0</v>
      </c>
      <c r="U237" s="38">
        <v>4</v>
      </c>
      <c r="V237" s="38">
        <v>1</v>
      </c>
      <c r="W237" s="38" t="s">
        <v>103</v>
      </c>
      <c r="X237" s="38">
        <v>0</v>
      </c>
      <c r="AA237" s="45"/>
    </row>
    <row r="238" spans="1:27" x14ac:dyDescent="0.2">
      <c r="A238" s="38">
        <v>1</v>
      </c>
      <c r="B238" s="37">
        <v>9292003308450</v>
      </c>
      <c r="C238" s="38">
        <v>10</v>
      </c>
      <c r="D238" s="45" t="s">
        <v>405</v>
      </c>
      <c r="F238" s="38" t="s">
        <v>100</v>
      </c>
      <c r="G238" s="38">
        <v>0</v>
      </c>
      <c r="H238" s="38">
        <v>100</v>
      </c>
      <c r="K238" s="38">
        <v>1</v>
      </c>
      <c r="L238" s="38" t="s">
        <v>101</v>
      </c>
      <c r="M238" s="38" t="s">
        <v>406</v>
      </c>
      <c r="N238" s="38" t="s">
        <v>102</v>
      </c>
      <c r="P238" s="38">
        <v>0</v>
      </c>
      <c r="U238" s="38">
        <v>4</v>
      </c>
      <c r="V238" s="38">
        <v>1</v>
      </c>
      <c r="W238" s="38" t="s">
        <v>103</v>
      </c>
      <c r="X238" s="38">
        <v>0</v>
      </c>
      <c r="AA238" s="45"/>
    </row>
    <row r="239" spans="1:27" x14ac:dyDescent="0.2">
      <c r="A239" s="38">
        <v>1</v>
      </c>
      <c r="B239" s="37">
        <v>9292003308450</v>
      </c>
      <c r="C239" s="38">
        <v>20</v>
      </c>
      <c r="D239" s="45">
        <v>5701603308450</v>
      </c>
      <c r="F239" s="38" t="s">
        <v>100</v>
      </c>
      <c r="G239" s="38">
        <v>0</v>
      </c>
      <c r="H239" s="38">
        <v>100</v>
      </c>
      <c r="K239" s="38">
        <v>1</v>
      </c>
      <c r="L239" s="38" t="s">
        <v>101</v>
      </c>
      <c r="M239" s="38" t="s">
        <v>406</v>
      </c>
      <c r="N239" s="38" t="s">
        <v>102</v>
      </c>
      <c r="P239" s="38">
        <v>0</v>
      </c>
      <c r="U239" s="38">
        <v>4</v>
      </c>
      <c r="V239" s="38">
        <v>1</v>
      </c>
      <c r="W239" s="38" t="s">
        <v>103</v>
      </c>
      <c r="X239" s="38">
        <v>0</v>
      </c>
      <c r="AA239" s="45"/>
    </row>
    <row r="240" spans="1:27" x14ac:dyDescent="0.2">
      <c r="A240" s="38">
        <v>1</v>
      </c>
      <c r="B240" s="37">
        <v>9292003309450</v>
      </c>
      <c r="C240" s="38">
        <v>10</v>
      </c>
      <c r="D240" s="45" t="s">
        <v>405</v>
      </c>
      <c r="F240" s="38" t="s">
        <v>100</v>
      </c>
      <c r="G240" s="38">
        <v>0</v>
      </c>
      <c r="H240" s="38">
        <v>100</v>
      </c>
      <c r="K240" s="38">
        <v>1</v>
      </c>
      <c r="L240" s="38" t="s">
        <v>101</v>
      </c>
      <c r="M240" s="38" t="s">
        <v>406</v>
      </c>
      <c r="N240" s="38" t="s">
        <v>102</v>
      </c>
      <c r="P240" s="38">
        <v>0</v>
      </c>
      <c r="U240" s="38">
        <v>4</v>
      </c>
      <c r="V240" s="38">
        <v>1</v>
      </c>
      <c r="W240" s="38" t="s">
        <v>103</v>
      </c>
      <c r="X240" s="38">
        <v>0</v>
      </c>
      <c r="AA240" s="45"/>
    </row>
    <row r="241" spans="1:27" x14ac:dyDescent="0.2">
      <c r="A241" s="38">
        <v>1</v>
      </c>
      <c r="B241" s="37">
        <v>9292003309450</v>
      </c>
      <c r="C241" s="38">
        <v>20</v>
      </c>
      <c r="D241" s="45">
        <v>5701603309450</v>
      </c>
      <c r="F241" s="38" t="s">
        <v>100</v>
      </c>
      <c r="G241" s="38">
        <v>0</v>
      </c>
      <c r="H241" s="38">
        <v>100</v>
      </c>
      <c r="K241" s="38">
        <v>1</v>
      </c>
      <c r="L241" s="38" t="s">
        <v>101</v>
      </c>
      <c r="M241" s="38" t="s">
        <v>406</v>
      </c>
      <c r="N241" s="38" t="s">
        <v>102</v>
      </c>
      <c r="P241" s="38">
        <v>0</v>
      </c>
      <c r="U241" s="38">
        <v>4</v>
      </c>
      <c r="V241" s="38">
        <v>1</v>
      </c>
      <c r="W241" s="38" t="s">
        <v>103</v>
      </c>
      <c r="X241" s="38">
        <v>0</v>
      </c>
      <c r="AA241" s="45"/>
    </row>
    <row r="242" spans="1:27" x14ac:dyDescent="0.2">
      <c r="A242" s="38">
        <v>1</v>
      </c>
      <c r="B242" s="37">
        <v>9292003310450</v>
      </c>
      <c r="C242" s="38">
        <v>10</v>
      </c>
      <c r="D242" s="45" t="s">
        <v>405</v>
      </c>
      <c r="F242" s="38" t="s">
        <v>100</v>
      </c>
      <c r="G242" s="38">
        <v>0</v>
      </c>
      <c r="H242" s="38">
        <v>100</v>
      </c>
      <c r="K242" s="38">
        <v>1</v>
      </c>
      <c r="L242" s="38" t="s">
        <v>101</v>
      </c>
      <c r="M242" s="38" t="s">
        <v>406</v>
      </c>
      <c r="N242" s="38" t="s">
        <v>102</v>
      </c>
      <c r="P242" s="38">
        <v>0</v>
      </c>
      <c r="U242" s="38">
        <v>4</v>
      </c>
      <c r="V242" s="38">
        <v>1</v>
      </c>
      <c r="W242" s="38" t="s">
        <v>103</v>
      </c>
      <c r="X242" s="38">
        <v>0</v>
      </c>
      <c r="AA242" s="45"/>
    </row>
    <row r="243" spans="1:27" x14ac:dyDescent="0.2">
      <c r="A243" s="38">
        <v>1</v>
      </c>
      <c r="B243" s="37">
        <v>9292003310450</v>
      </c>
      <c r="C243" s="38">
        <v>20</v>
      </c>
      <c r="D243" s="45">
        <v>5701603310450</v>
      </c>
      <c r="F243" s="38" t="s">
        <v>100</v>
      </c>
      <c r="G243" s="38">
        <v>0</v>
      </c>
      <c r="H243" s="38">
        <v>100</v>
      </c>
      <c r="K243" s="38">
        <v>1</v>
      </c>
      <c r="L243" s="38" t="s">
        <v>101</v>
      </c>
      <c r="M243" s="38" t="s">
        <v>406</v>
      </c>
      <c r="N243" s="38" t="s">
        <v>102</v>
      </c>
      <c r="P243" s="38">
        <v>0</v>
      </c>
      <c r="U243" s="38">
        <v>4</v>
      </c>
      <c r="V243" s="38">
        <v>1</v>
      </c>
      <c r="W243" s="38" t="s">
        <v>103</v>
      </c>
      <c r="X243" s="38">
        <v>0</v>
      </c>
      <c r="AA243" s="45"/>
    </row>
    <row r="244" spans="1:27" x14ac:dyDescent="0.2">
      <c r="A244" s="38">
        <v>1</v>
      </c>
      <c r="B244" s="37">
        <v>9292003300304</v>
      </c>
      <c r="C244" s="38">
        <v>10</v>
      </c>
      <c r="D244" s="45" t="s">
        <v>405</v>
      </c>
      <c r="F244" s="38" t="s">
        <v>100</v>
      </c>
      <c r="G244" s="38">
        <v>0</v>
      </c>
      <c r="H244" s="38">
        <v>100</v>
      </c>
      <c r="K244" s="38">
        <v>1</v>
      </c>
      <c r="L244" s="38" t="s">
        <v>101</v>
      </c>
      <c r="M244" s="38" t="s">
        <v>406</v>
      </c>
      <c r="N244" s="38" t="s">
        <v>102</v>
      </c>
      <c r="P244" s="38">
        <v>0</v>
      </c>
      <c r="U244" s="38">
        <v>4</v>
      </c>
      <c r="V244" s="38">
        <v>1</v>
      </c>
      <c r="W244" s="38" t="s">
        <v>103</v>
      </c>
      <c r="X244" s="38">
        <v>0</v>
      </c>
      <c r="AA244" s="45"/>
    </row>
    <row r="245" spans="1:27" x14ac:dyDescent="0.2">
      <c r="A245" s="38">
        <v>1</v>
      </c>
      <c r="B245" s="37">
        <v>9292003300304</v>
      </c>
      <c r="C245" s="38">
        <v>20</v>
      </c>
      <c r="D245" s="45">
        <v>5701603300304</v>
      </c>
      <c r="F245" s="38" t="s">
        <v>100</v>
      </c>
      <c r="G245" s="38">
        <v>0</v>
      </c>
      <c r="H245" s="38">
        <v>100</v>
      </c>
      <c r="K245" s="38">
        <v>1</v>
      </c>
      <c r="L245" s="38" t="s">
        <v>101</v>
      </c>
      <c r="M245" s="38" t="s">
        <v>406</v>
      </c>
      <c r="N245" s="38" t="s">
        <v>102</v>
      </c>
      <c r="P245" s="38">
        <v>0</v>
      </c>
      <c r="U245" s="38">
        <v>4</v>
      </c>
      <c r="V245" s="38">
        <v>1</v>
      </c>
      <c r="W245" s="38" t="s">
        <v>103</v>
      </c>
      <c r="X245" s="38">
        <v>0</v>
      </c>
      <c r="AA245" s="45"/>
    </row>
    <row r="246" spans="1:27" x14ac:dyDescent="0.2">
      <c r="A246" s="38">
        <v>1</v>
      </c>
      <c r="B246" s="37">
        <v>9292003301304</v>
      </c>
      <c r="C246" s="38">
        <v>10</v>
      </c>
      <c r="D246" s="45" t="s">
        <v>405</v>
      </c>
      <c r="F246" s="38" t="s">
        <v>100</v>
      </c>
      <c r="G246" s="38">
        <v>0</v>
      </c>
      <c r="H246" s="38">
        <v>100</v>
      </c>
      <c r="K246" s="38">
        <v>1</v>
      </c>
      <c r="L246" s="38" t="s">
        <v>101</v>
      </c>
      <c r="M246" s="38" t="s">
        <v>406</v>
      </c>
      <c r="N246" s="38" t="s">
        <v>102</v>
      </c>
      <c r="P246" s="38">
        <v>0</v>
      </c>
      <c r="U246" s="38">
        <v>4</v>
      </c>
      <c r="V246" s="38">
        <v>1</v>
      </c>
      <c r="W246" s="38" t="s">
        <v>103</v>
      </c>
      <c r="X246" s="38">
        <v>0</v>
      </c>
      <c r="AA246" s="45"/>
    </row>
    <row r="247" spans="1:27" x14ac:dyDescent="0.2">
      <c r="A247" s="38">
        <v>1</v>
      </c>
      <c r="B247" s="37">
        <v>9292003301304</v>
      </c>
      <c r="C247" s="38">
        <v>20</v>
      </c>
      <c r="D247" s="45">
        <v>5701603301304</v>
      </c>
      <c r="F247" s="38" t="s">
        <v>100</v>
      </c>
      <c r="G247" s="38">
        <v>0</v>
      </c>
      <c r="H247" s="38">
        <v>100</v>
      </c>
      <c r="K247" s="38">
        <v>1</v>
      </c>
      <c r="L247" s="38" t="s">
        <v>101</v>
      </c>
      <c r="M247" s="38" t="s">
        <v>406</v>
      </c>
      <c r="N247" s="38" t="s">
        <v>102</v>
      </c>
      <c r="P247" s="38">
        <v>0</v>
      </c>
      <c r="U247" s="38">
        <v>4</v>
      </c>
      <c r="V247" s="38">
        <v>1</v>
      </c>
      <c r="W247" s="38" t="s">
        <v>103</v>
      </c>
      <c r="X247" s="38">
        <v>0</v>
      </c>
      <c r="AA247" s="45"/>
    </row>
    <row r="248" spans="1:27" x14ac:dyDescent="0.2">
      <c r="A248" s="38">
        <v>1</v>
      </c>
      <c r="B248" s="37">
        <v>9292003302304</v>
      </c>
      <c r="C248" s="38">
        <v>10</v>
      </c>
      <c r="D248" s="45" t="s">
        <v>405</v>
      </c>
      <c r="F248" s="38" t="s">
        <v>100</v>
      </c>
      <c r="G248" s="38">
        <v>0</v>
      </c>
      <c r="H248" s="38">
        <v>100</v>
      </c>
      <c r="K248" s="38">
        <v>1</v>
      </c>
      <c r="L248" s="38" t="s">
        <v>101</v>
      </c>
      <c r="M248" s="38" t="s">
        <v>406</v>
      </c>
      <c r="N248" s="38" t="s">
        <v>102</v>
      </c>
      <c r="P248" s="38">
        <v>0</v>
      </c>
      <c r="U248" s="38">
        <v>4</v>
      </c>
      <c r="V248" s="38">
        <v>1</v>
      </c>
      <c r="W248" s="38" t="s">
        <v>103</v>
      </c>
      <c r="X248" s="38">
        <v>0</v>
      </c>
      <c r="AA248" s="45"/>
    </row>
    <row r="249" spans="1:27" x14ac:dyDescent="0.2">
      <c r="A249" s="38">
        <v>1</v>
      </c>
      <c r="B249" s="37">
        <v>9292003302304</v>
      </c>
      <c r="C249" s="38">
        <v>20</v>
      </c>
      <c r="D249" s="45">
        <v>5701603302304</v>
      </c>
      <c r="F249" s="38" t="s">
        <v>100</v>
      </c>
      <c r="G249" s="38">
        <v>0</v>
      </c>
      <c r="H249" s="38">
        <v>100</v>
      </c>
      <c r="K249" s="38">
        <v>1</v>
      </c>
      <c r="L249" s="38" t="s">
        <v>101</v>
      </c>
      <c r="M249" s="38" t="s">
        <v>406</v>
      </c>
      <c r="N249" s="38" t="s">
        <v>102</v>
      </c>
      <c r="P249" s="38">
        <v>0</v>
      </c>
      <c r="U249" s="38">
        <v>4</v>
      </c>
      <c r="V249" s="38">
        <v>1</v>
      </c>
      <c r="W249" s="38" t="s">
        <v>103</v>
      </c>
      <c r="X249" s="38">
        <v>0</v>
      </c>
      <c r="AA249" s="45"/>
    </row>
    <row r="250" spans="1:27" x14ac:dyDescent="0.2">
      <c r="A250" s="38">
        <v>1</v>
      </c>
      <c r="B250" s="37">
        <v>9292003303304</v>
      </c>
      <c r="C250" s="38">
        <v>10</v>
      </c>
      <c r="D250" s="45" t="s">
        <v>405</v>
      </c>
      <c r="F250" s="38" t="s">
        <v>100</v>
      </c>
      <c r="G250" s="38">
        <v>0</v>
      </c>
      <c r="H250" s="38">
        <v>100</v>
      </c>
      <c r="K250" s="38">
        <v>1</v>
      </c>
      <c r="L250" s="38" t="s">
        <v>101</v>
      </c>
      <c r="M250" s="38" t="s">
        <v>406</v>
      </c>
      <c r="N250" s="38" t="s">
        <v>102</v>
      </c>
      <c r="P250" s="38">
        <v>0</v>
      </c>
      <c r="U250" s="38">
        <v>4</v>
      </c>
      <c r="V250" s="38">
        <v>1</v>
      </c>
      <c r="W250" s="38" t="s">
        <v>103</v>
      </c>
      <c r="X250" s="38">
        <v>0</v>
      </c>
      <c r="AA250" s="45"/>
    </row>
    <row r="251" spans="1:27" x14ac:dyDescent="0.2">
      <c r="A251" s="38">
        <v>1</v>
      </c>
      <c r="B251" s="37">
        <v>9292003303304</v>
      </c>
      <c r="C251" s="38">
        <v>20</v>
      </c>
      <c r="D251" s="45">
        <v>5701603303304</v>
      </c>
      <c r="F251" s="38" t="s">
        <v>100</v>
      </c>
      <c r="G251" s="38">
        <v>0</v>
      </c>
      <c r="H251" s="38">
        <v>100</v>
      </c>
      <c r="K251" s="38">
        <v>1</v>
      </c>
      <c r="L251" s="38" t="s">
        <v>101</v>
      </c>
      <c r="M251" s="38" t="s">
        <v>406</v>
      </c>
      <c r="N251" s="38" t="s">
        <v>102</v>
      </c>
      <c r="P251" s="38">
        <v>0</v>
      </c>
      <c r="U251" s="38">
        <v>4</v>
      </c>
      <c r="V251" s="38">
        <v>1</v>
      </c>
      <c r="W251" s="38" t="s">
        <v>103</v>
      </c>
      <c r="X251" s="38">
        <v>0</v>
      </c>
      <c r="AA251" s="45"/>
    </row>
    <row r="252" spans="1:27" x14ac:dyDescent="0.2">
      <c r="A252" s="38">
        <v>1</v>
      </c>
      <c r="B252" s="37">
        <v>9292003304304</v>
      </c>
      <c r="C252" s="38">
        <v>10</v>
      </c>
      <c r="D252" s="45" t="s">
        <v>405</v>
      </c>
      <c r="F252" s="38" t="s">
        <v>100</v>
      </c>
      <c r="G252" s="38">
        <v>0</v>
      </c>
      <c r="H252" s="38">
        <v>100</v>
      </c>
      <c r="K252" s="38">
        <v>1</v>
      </c>
      <c r="L252" s="38" t="s">
        <v>101</v>
      </c>
      <c r="M252" s="38" t="s">
        <v>406</v>
      </c>
      <c r="N252" s="38" t="s">
        <v>102</v>
      </c>
      <c r="P252" s="38">
        <v>0</v>
      </c>
      <c r="U252" s="38">
        <v>4</v>
      </c>
      <c r="V252" s="38">
        <v>1</v>
      </c>
      <c r="W252" s="38" t="s">
        <v>103</v>
      </c>
      <c r="X252" s="38">
        <v>0</v>
      </c>
      <c r="AA252" s="45"/>
    </row>
    <row r="253" spans="1:27" x14ac:dyDescent="0.2">
      <c r="A253" s="38">
        <v>1</v>
      </c>
      <c r="B253" s="37">
        <v>9292003304304</v>
      </c>
      <c r="C253" s="38">
        <v>20</v>
      </c>
      <c r="D253" s="45">
        <v>5701603304304</v>
      </c>
      <c r="F253" s="38" t="s">
        <v>100</v>
      </c>
      <c r="G253" s="38">
        <v>0</v>
      </c>
      <c r="H253" s="38">
        <v>100</v>
      </c>
      <c r="K253" s="38">
        <v>1</v>
      </c>
      <c r="L253" s="38" t="s">
        <v>101</v>
      </c>
      <c r="M253" s="38" t="s">
        <v>406</v>
      </c>
      <c r="N253" s="38" t="s">
        <v>102</v>
      </c>
      <c r="P253" s="38">
        <v>0</v>
      </c>
      <c r="U253" s="38">
        <v>4</v>
      </c>
      <c r="V253" s="38">
        <v>1</v>
      </c>
      <c r="W253" s="38" t="s">
        <v>103</v>
      </c>
      <c r="X253" s="38">
        <v>0</v>
      </c>
      <c r="AA253" s="45"/>
    </row>
    <row r="254" spans="1:27" x14ac:dyDescent="0.2">
      <c r="A254" s="38">
        <v>1</v>
      </c>
      <c r="B254" s="37">
        <v>9292003305304</v>
      </c>
      <c r="C254" s="38">
        <v>10</v>
      </c>
      <c r="D254" s="45" t="s">
        <v>405</v>
      </c>
      <c r="F254" s="38" t="s">
        <v>100</v>
      </c>
      <c r="G254" s="38">
        <v>0</v>
      </c>
      <c r="H254" s="38">
        <v>100</v>
      </c>
      <c r="K254" s="38">
        <v>1</v>
      </c>
      <c r="L254" s="38" t="s">
        <v>101</v>
      </c>
      <c r="M254" s="38" t="s">
        <v>406</v>
      </c>
      <c r="N254" s="38" t="s">
        <v>102</v>
      </c>
      <c r="P254" s="38">
        <v>0</v>
      </c>
      <c r="U254" s="38">
        <v>4</v>
      </c>
      <c r="V254" s="38">
        <v>1</v>
      </c>
      <c r="W254" s="38" t="s">
        <v>103</v>
      </c>
      <c r="X254" s="38">
        <v>0</v>
      </c>
      <c r="AA254" s="45"/>
    </row>
    <row r="255" spans="1:27" x14ac:dyDescent="0.2">
      <c r="A255" s="38">
        <v>1</v>
      </c>
      <c r="B255" s="37">
        <v>9292003305304</v>
      </c>
      <c r="C255" s="38">
        <v>20</v>
      </c>
      <c r="D255" s="45">
        <v>5701603305304</v>
      </c>
      <c r="F255" s="38" t="s">
        <v>100</v>
      </c>
      <c r="G255" s="38">
        <v>0</v>
      </c>
      <c r="H255" s="38">
        <v>100</v>
      </c>
      <c r="K255" s="38">
        <v>1</v>
      </c>
      <c r="L255" s="38" t="s">
        <v>101</v>
      </c>
      <c r="M255" s="38" t="s">
        <v>406</v>
      </c>
      <c r="N255" s="38" t="s">
        <v>102</v>
      </c>
      <c r="P255" s="38">
        <v>0</v>
      </c>
      <c r="U255" s="38">
        <v>4</v>
      </c>
      <c r="V255" s="38">
        <v>1</v>
      </c>
      <c r="W255" s="38" t="s">
        <v>103</v>
      </c>
      <c r="X255" s="38">
        <v>0</v>
      </c>
      <c r="AA255" s="45"/>
    </row>
    <row r="256" spans="1:27" x14ac:dyDescent="0.2">
      <c r="A256" s="38">
        <v>1</v>
      </c>
      <c r="B256" s="37">
        <v>9292003306304</v>
      </c>
      <c r="C256" s="38">
        <v>10</v>
      </c>
      <c r="D256" s="45" t="s">
        <v>405</v>
      </c>
      <c r="F256" s="38" t="s">
        <v>100</v>
      </c>
      <c r="G256" s="38">
        <v>0</v>
      </c>
      <c r="H256" s="38">
        <v>100</v>
      </c>
      <c r="K256" s="38">
        <v>1</v>
      </c>
      <c r="L256" s="38" t="s">
        <v>101</v>
      </c>
      <c r="M256" s="38" t="s">
        <v>406</v>
      </c>
      <c r="N256" s="38" t="s">
        <v>102</v>
      </c>
      <c r="P256" s="38">
        <v>0</v>
      </c>
      <c r="U256" s="38">
        <v>4</v>
      </c>
      <c r="V256" s="38">
        <v>1</v>
      </c>
      <c r="W256" s="38" t="s">
        <v>103</v>
      </c>
      <c r="X256" s="38">
        <v>0</v>
      </c>
      <c r="AA256" s="45"/>
    </row>
    <row r="257" spans="1:27" x14ac:dyDescent="0.2">
      <c r="A257" s="38">
        <v>1</v>
      </c>
      <c r="B257" s="37">
        <v>9292003306304</v>
      </c>
      <c r="C257" s="38">
        <v>20</v>
      </c>
      <c r="D257" s="45">
        <v>5701603306304</v>
      </c>
      <c r="F257" s="38" t="s">
        <v>100</v>
      </c>
      <c r="G257" s="38">
        <v>0</v>
      </c>
      <c r="H257" s="38">
        <v>100</v>
      </c>
      <c r="K257" s="38">
        <v>1</v>
      </c>
      <c r="L257" s="38" t="s">
        <v>101</v>
      </c>
      <c r="M257" s="38" t="s">
        <v>406</v>
      </c>
      <c r="N257" s="38" t="s">
        <v>102</v>
      </c>
      <c r="P257" s="38">
        <v>0</v>
      </c>
      <c r="U257" s="38">
        <v>4</v>
      </c>
      <c r="V257" s="38">
        <v>1</v>
      </c>
      <c r="W257" s="38" t="s">
        <v>103</v>
      </c>
      <c r="X257" s="38">
        <v>0</v>
      </c>
      <c r="AA257" s="45"/>
    </row>
    <row r="258" spans="1:27" x14ac:dyDescent="0.2">
      <c r="A258" s="38">
        <v>1</v>
      </c>
      <c r="B258" s="37">
        <v>9292003307304</v>
      </c>
      <c r="C258" s="38">
        <v>10</v>
      </c>
      <c r="D258" s="45" t="s">
        <v>405</v>
      </c>
      <c r="F258" s="38" t="s">
        <v>100</v>
      </c>
      <c r="G258" s="38">
        <v>0</v>
      </c>
      <c r="H258" s="38">
        <v>100</v>
      </c>
      <c r="K258" s="38">
        <v>1</v>
      </c>
      <c r="L258" s="38" t="s">
        <v>101</v>
      </c>
      <c r="M258" s="38" t="s">
        <v>406</v>
      </c>
      <c r="N258" s="38" t="s">
        <v>102</v>
      </c>
      <c r="P258" s="38">
        <v>0</v>
      </c>
      <c r="U258" s="38">
        <v>4</v>
      </c>
      <c r="V258" s="38">
        <v>1</v>
      </c>
      <c r="W258" s="38" t="s">
        <v>103</v>
      </c>
      <c r="X258" s="38">
        <v>0</v>
      </c>
      <c r="AA258" s="45"/>
    </row>
    <row r="259" spans="1:27" x14ac:dyDescent="0.2">
      <c r="A259" s="38">
        <v>1</v>
      </c>
      <c r="B259" s="37">
        <v>9292003307304</v>
      </c>
      <c r="C259" s="38">
        <v>20</v>
      </c>
      <c r="D259" s="45">
        <v>5701603307304</v>
      </c>
      <c r="F259" s="38" t="s">
        <v>100</v>
      </c>
      <c r="G259" s="38">
        <v>0</v>
      </c>
      <c r="H259" s="38">
        <v>100</v>
      </c>
      <c r="K259" s="38">
        <v>1</v>
      </c>
      <c r="L259" s="38" t="s">
        <v>101</v>
      </c>
      <c r="M259" s="38" t="s">
        <v>406</v>
      </c>
      <c r="N259" s="38" t="s">
        <v>102</v>
      </c>
      <c r="P259" s="38">
        <v>0</v>
      </c>
      <c r="U259" s="38">
        <v>4</v>
      </c>
      <c r="V259" s="38">
        <v>1</v>
      </c>
      <c r="W259" s="38" t="s">
        <v>103</v>
      </c>
      <c r="X259" s="38">
        <v>0</v>
      </c>
      <c r="AA259" s="45"/>
    </row>
    <row r="260" spans="1:27" x14ac:dyDescent="0.2">
      <c r="A260" s="38">
        <v>1</v>
      </c>
      <c r="B260" s="37">
        <v>9292003308304</v>
      </c>
      <c r="C260" s="38">
        <v>10</v>
      </c>
      <c r="D260" s="45" t="s">
        <v>405</v>
      </c>
      <c r="F260" s="38" t="s">
        <v>100</v>
      </c>
      <c r="G260" s="38">
        <v>0</v>
      </c>
      <c r="H260" s="38">
        <v>100</v>
      </c>
      <c r="K260" s="38">
        <v>1</v>
      </c>
      <c r="L260" s="38" t="s">
        <v>101</v>
      </c>
      <c r="M260" s="38" t="s">
        <v>406</v>
      </c>
      <c r="N260" s="38" t="s">
        <v>102</v>
      </c>
      <c r="P260" s="38">
        <v>0</v>
      </c>
      <c r="U260" s="38">
        <v>4</v>
      </c>
      <c r="V260" s="38">
        <v>1</v>
      </c>
      <c r="W260" s="38" t="s">
        <v>103</v>
      </c>
      <c r="X260" s="38">
        <v>0</v>
      </c>
      <c r="AA260" s="45"/>
    </row>
    <row r="261" spans="1:27" x14ac:dyDescent="0.2">
      <c r="A261" s="38">
        <v>1</v>
      </c>
      <c r="B261" s="37">
        <v>9292003308304</v>
      </c>
      <c r="C261" s="38">
        <v>20</v>
      </c>
      <c r="D261" s="45">
        <v>5701603308304</v>
      </c>
      <c r="F261" s="38" t="s">
        <v>100</v>
      </c>
      <c r="G261" s="38">
        <v>0</v>
      </c>
      <c r="H261" s="38">
        <v>100</v>
      </c>
      <c r="K261" s="38">
        <v>1</v>
      </c>
      <c r="L261" s="38" t="s">
        <v>101</v>
      </c>
      <c r="M261" s="38" t="s">
        <v>406</v>
      </c>
      <c r="N261" s="38" t="s">
        <v>102</v>
      </c>
      <c r="P261" s="38">
        <v>0</v>
      </c>
      <c r="U261" s="38">
        <v>4</v>
      </c>
      <c r="V261" s="38">
        <v>1</v>
      </c>
      <c r="W261" s="38" t="s">
        <v>103</v>
      </c>
      <c r="X261" s="38">
        <v>0</v>
      </c>
      <c r="AA261" s="45"/>
    </row>
    <row r="262" spans="1:27" x14ac:dyDescent="0.2">
      <c r="A262" s="38">
        <v>1</v>
      </c>
      <c r="B262" s="37">
        <v>9292003309304</v>
      </c>
      <c r="C262" s="38">
        <v>10</v>
      </c>
      <c r="D262" s="45" t="s">
        <v>405</v>
      </c>
      <c r="F262" s="38" t="s">
        <v>100</v>
      </c>
      <c r="G262" s="38">
        <v>0</v>
      </c>
      <c r="H262" s="38">
        <v>100</v>
      </c>
      <c r="K262" s="38">
        <v>1</v>
      </c>
      <c r="L262" s="38" t="s">
        <v>101</v>
      </c>
      <c r="M262" s="38" t="s">
        <v>406</v>
      </c>
      <c r="N262" s="38" t="s">
        <v>102</v>
      </c>
      <c r="P262" s="38">
        <v>0</v>
      </c>
      <c r="U262" s="38">
        <v>4</v>
      </c>
      <c r="V262" s="38">
        <v>1</v>
      </c>
      <c r="W262" s="38" t="s">
        <v>103</v>
      </c>
      <c r="X262" s="38">
        <v>0</v>
      </c>
      <c r="AA262" s="45"/>
    </row>
    <row r="263" spans="1:27" x14ac:dyDescent="0.2">
      <c r="A263" s="38">
        <v>1</v>
      </c>
      <c r="B263" s="37">
        <v>9292003309304</v>
      </c>
      <c r="C263" s="38">
        <v>20</v>
      </c>
      <c r="D263" s="45">
        <v>5701603309304</v>
      </c>
      <c r="F263" s="38" t="s">
        <v>100</v>
      </c>
      <c r="G263" s="38">
        <v>0</v>
      </c>
      <c r="H263" s="38">
        <v>100</v>
      </c>
      <c r="K263" s="38">
        <v>1</v>
      </c>
      <c r="L263" s="38" t="s">
        <v>101</v>
      </c>
      <c r="M263" s="38" t="s">
        <v>406</v>
      </c>
      <c r="N263" s="38" t="s">
        <v>102</v>
      </c>
      <c r="P263" s="38">
        <v>0</v>
      </c>
      <c r="U263" s="38">
        <v>4</v>
      </c>
      <c r="V263" s="38">
        <v>1</v>
      </c>
      <c r="W263" s="38" t="s">
        <v>103</v>
      </c>
      <c r="X263" s="38">
        <v>0</v>
      </c>
      <c r="AA263" s="45"/>
    </row>
    <row r="264" spans="1:27" x14ac:dyDescent="0.2">
      <c r="A264" s="38">
        <v>1</v>
      </c>
      <c r="B264" s="37">
        <v>9292003310304</v>
      </c>
      <c r="C264" s="38">
        <v>10</v>
      </c>
      <c r="D264" s="45" t="s">
        <v>405</v>
      </c>
      <c r="F264" s="38" t="s">
        <v>100</v>
      </c>
      <c r="G264" s="38">
        <v>0</v>
      </c>
      <c r="H264" s="38">
        <v>100</v>
      </c>
      <c r="K264" s="38">
        <v>1</v>
      </c>
      <c r="L264" s="38" t="s">
        <v>101</v>
      </c>
      <c r="M264" s="38" t="s">
        <v>406</v>
      </c>
      <c r="N264" s="38" t="s">
        <v>102</v>
      </c>
      <c r="P264" s="38">
        <v>0</v>
      </c>
      <c r="U264" s="38">
        <v>4</v>
      </c>
      <c r="V264" s="38">
        <v>1</v>
      </c>
      <c r="W264" s="38" t="s">
        <v>103</v>
      </c>
      <c r="X264" s="38">
        <v>0</v>
      </c>
      <c r="AA264" s="45"/>
    </row>
    <row r="265" spans="1:27" x14ac:dyDescent="0.2">
      <c r="A265" s="38">
        <v>1</v>
      </c>
      <c r="B265" s="37">
        <v>9292003310304</v>
      </c>
      <c r="C265" s="38">
        <v>20</v>
      </c>
      <c r="D265" s="45">
        <v>5701603310304</v>
      </c>
      <c r="F265" s="38" t="s">
        <v>100</v>
      </c>
      <c r="G265" s="38">
        <v>0</v>
      </c>
      <c r="H265" s="38">
        <v>100</v>
      </c>
      <c r="K265" s="38">
        <v>1</v>
      </c>
      <c r="L265" s="38" t="s">
        <v>101</v>
      </c>
      <c r="M265" s="38" t="s">
        <v>406</v>
      </c>
      <c r="N265" s="38" t="s">
        <v>102</v>
      </c>
      <c r="P265" s="38">
        <v>0</v>
      </c>
      <c r="U265" s="38">
        <v>4</v>
      </c>
      <c r="V265" s="38">
        <v>1</v>
      </c>
      <c r="W265" s="38" t="s">
        <v>103</v>
      </c>
      <c r="X265" s="38">
        <v>0</v>
      </c>
      <c r="AA265" s="45"/>
    </row>
    <row r="266" spans="1:27" x14ac:dyDescent="0.2">
      <c r="A266" s="38">
        <v>1</v>
      </c>
      <c r="B266" s="37">
        <v>9292003300421</v>
      </c>
      <c r="C266" s="38">
        <v>10</v>
      </c>
      <c r="D266" s="45" t="s">
        <v>405</v>
      </c>
      <c r="F266" s="38" t="s">
        <v>100</v>
      </c>
      <c r="G266" s="38">
        <v>0</v>
      </c>
      <c r="H266" s="38">
        <v>100</v>
      </c>
      <c r="K266" s="38">
        <v>1</v>
      </c>
      <c r="L266" s="38" t="s">
        <v>101</v>
      </c>
      <c r="M266" s="38" t="s">
        <v>406</v>
      </c>
      <c r="N266" s="38" t="s">
        <v>102</v>
      </c>
      <c r="P266" s="38">
        <v>0</v>
      </c>
      <c r="U266" s="38">
        <v>4</v>
      </c>
      <c r="V266" s="38">
        <v>1</v>
      </c>
      <c r="W266" s="38" t="s">
        <v>103</v>
      </c>
      <c r="X266" s="38">
        <v>0</v>
      </c>
      <c r="AA266" s="45"/>
    </row>
    <row r="267" spans="1:27" x14ac:dyDescent="0.2">
      <c r="A267" s="38">
        <v>1</v>
      </c>
      <c r="B267" s="37">
        <v>9292003300421</v>
      </c>
      <c r="C267" s="38">
        <v>20</v>
      </c>
      <c r="D267" s="45">
        <v>5701603300421</v>
      </c>
      <c r="F267" s="38" t="s">
        <v>100</v>
      </c>
      <c r="G267" s="38">
        <v>0</v>
      </c>
      <c r="H267" s="38">
        <v>100</v>
      </c>
      <c r="K267" s="38">
        <v>1</v>
      </c>
      <c r="L267" s="38" t="s">
        <v>101</v>
      </c>
      <c r="M267" s="38" t="s">
        <v>406</v>
      </c>
      <c r="N267" s="38" t="s">
        <v>102</v>
      </c>
      <c r="P267" s="38">
        <v>0</v>
      </c>
      <c r="U267" s="38">
        <v>4</v>
      </c>
      <c r="V267" s="38">
        <v>1</v>
      </c>
      <c r="W267" s="38" t="s">
        <v>103</v>
      </c>
      <c r="X267" s="38">
        <v>0</v>
      </c>
      <c r="AA267" s="45"/>
    </row>
    <row r="268" spans="1:27" x14ac:dyDescent="0.2">
      <c r="A268" s="38">
        <v>1</v>
      </c>
      <c r="B268" s="37">
        <v>9292003301421</v>
      </c>
      <c r="C268" s="38">
        <v>10</v>
      </c>
      <c r="D268" s="45" t="s">
        <v>405</v>
      </c>
      <c r="F268" s="38" t="s">
        <v>100</v>
      </c>
      <c r="G268" s="38">
        <v>0</v>
      </c>
      <c r="H268" s="38">
        <v>100</v>
      </c>
      <c r="K268" s="38">
        <v>1</v>
      </c>
      <c r="L268" s="38" t="s">
        <v>101</v>
      </c>
      <c r="M268" s="38" t="s">
        <v>406</v>
      </c>
      <c r="N268" s="38" t="s">
        <v>102</v>
      </c>
      <c r="P268" s="38">
        <v>0</v>
      </c>
      <c r="U268" s="38">
        <v>4</v>
      </c>
      <c r="V268" s="38">
        <v>1</v>
      </c>
      <c r="W268" s="38" t="s">
        <v>103</v>
      </c>
      <c r="X268" s="38">
        <v>0</v>
      </c>
      <c r="AA268" s="45"/>
    </row>
    <row r="269" spans="1:27" x14ac:dyDescent="0.2">
      <c r="A269" s="38">
        <v>1</v>
      </c>
      <c r="B269" s="37">
        <v>9292003301421</v>
      </c>
      <c r="C269" s="38">
        <v>20</v>
      </c>
      <c r="D269" s="45">
        <v>5701603301421</v>
      </c>
      <c r="F269" s="38" t="s">
        <v>100</v>
      </c>
      <c r="G269" s="38">
        <v>0</v>
      </c>
      <c r="H269" s="38">
        <v>100</v>
      </c>
      <c r="K269" s="38">
        <v>1</v>
      </c>
      <c r="L269" s="38" t="s">
        <v>101</v>
      </c>
      <c r="M269" s="38" t="s">
        <v>406</v>
      </c>
      <c r="N269" s="38" t="s">
        <v>102</v>
      </c>
      <c r="P269" s="38">
        <v>0</v>
      </c>
      <c r="U269" s="38">
        <v>4</v>
      </c>
      <c r="V269" s="38">
        <v>1</v>
      </c>
      <c r="W269" s="38" t="s">
        <v>103</v>
      </c>
      <c r="X269" s="38">
        <v>0</v>
      </c>
      <c r="AA269" s="45"/>
    </row>
    <row r="270" spans="1:27" x14ac:dyDescent="0.2">
      <c r="A270" s="38">
        <v>1</v>
      </c>
      <c r="B270" s="37">
        <v>9292003302421</v>
      </c>
      <c r="C270" s="38">
        <v>10</v>
      </c>
      <c r="D270" s="45" t="s">
        <v>405</v>
      </c>
      <c r="F270" s="38" t="s">
        <v>100</v>
      </c>
      <c r="G270" s="38">
        <v>0</v>
      </c>
      <c r="H270" s="38">
        <v>100</v>
      </c>
      <c r="K270" s="38">
        <v>1</v>
      </c>
      <c r="L270" s="38" t="s">
        <v>101</v>
      </c>
      <c r="M270" s="38" t="s">
        <v>406</v>
      </c>
      <c r="N270" s="38" t="s">
        <v>102</v>
      </c>
      <c r="P270" s="38">
        <v>0</v>
      </c>
      <c r="U270" s="38">
        <v>4</v>
      </c>
      <c r="V270" s="38">
        <v>1</v>
      </c>
      <c r="W270" s="38" t="s">
        <v>103</v>
      </c>
      <c r="X270" s="38">
        <v>0</v>
      </c>
      <c r="AA270" s="45"/>
    </row>
    <row r="271" spans="1:27" x14ac:dyDescent="0.2">
      <c r="A271" s="38">
        <v>1</v>
      </c>
      <c r="B271" s="37">
        <v>9292003302421</v>
      </c>
      <c r="C271" s="38">
        <v>20</v>
      </c>
      <c r="D271" s="45">
        <v>5701603302421</v>
      </c>
      <c r="F271" s="38" t="s">
        <v>100</v>
      </c>
      <c r="G271" s="38">
        <v>0</v>
      </c>
      <c r="H271" s="38">
        <v>100</v>
      </c>
      <c r="K271" s="38">
        <v>1</v>
      </c>
      <c r="L271" s="38" t="s">
        <v>101</v>
      </c>
      <c r="M271" s="38" t="s">
        <v>406</v>
      </c>
      <c r="N271" s="38" t="s">
        <v>102</v>
      </c>
      <c r="P271" s="38">
        <v>0</v>
      </c>
      <c r="U271" s="38">
        <v>4</v>
      </c>
      <c r="V271" s="38">
        <v>1</v>
      </c>
      <c r="W271" s="38" t="s">
        <v>103</v>
      </c>
      <c r="X271" s="38">
        <v>0</v>
      </c>
      <c r="AA271" s="45"/>
    </row>
    <row r="272" spans="1:27" x14ac:dyDescent="0.2">
      <c r="A272" s="38">
        <v>1</v>
      </c>
      <c r="B272" s="37">
        <v>9292003303421</v>
      </c>
      <c r="C272" s="38">
        <v>10</v>
      </c>
      <c r="D272" s="45" t="s">
        <v>405</v>
      </c>
      <c r="F272" s="38" t="s">
        <v>100</v>
      </c>
      <c r="G272" s="38">
        <v>0</v>
      </c>
      <c r="H272" s="38">
        <v>100</v>
      </c>
      <c r="K272" s="38">
        <v>1</v>
      </c>
      <c r="L272" s="38" t="s">
        <v>101</v>
      </c>
      <c r="M272" s="38" t="s">
        <v>406</v>
      </c>
      <c r="N272" s="38" t="s">
        <v>102</v>
      </c>
      <c r="P272" s="38">
        <v>0</v>
      </c>
      <c r="U272" s="38">
        <v>4</v>
      </c>
      <c r="V272" s="38">
        <v>1</v>
      </c>
      <c r="W272" s="38" t="s">
        <v>103</v>
      </c>
      <c r="X272" s="38">
        <v>0</v>
      </c>
      <c r="AA272" s="45"/>
    </row>
    <row r="273" spans="1:27" x14ac:dyDescent="0.2">
      <c r="A273" s="38">
        <v>1</v>
      </c>
      <c r="B273" s="37">
        <v>9292003303421</v>
      </c>
      <c r="C273" s="38">
        <v>20</v>
      </c>
      <c r="D273" s="45">
        <v>5701603303421</v>
      </c>
      <c r="F273" s="38" t="s">
        <v>100</v>
      </c>
      <c r="G273" s="38">
        <v>0</v>
      </c>
      <c r="H273" s="38">
        <v>100</v>
      </c>
      <c r="K273" s="38">
        <v>1</v>
      </c>
      <c r="L273" s="38" t="s">
        <v>101</v>
      </c>
      <c r="M273" s="38" t="s">
        <v>406</v>
      </c>
      <c r="N273" s="38" t="s">
        <v>102</v>
      </c>
      <c r="P273" s="38">
        <v>0</v>
      </c>
      <c r="U273" s="38">
        <v>4</v>
      </c>
      <c r="V273" s="38">
        <v>1</v>
      </c>
      <c r="W273" s="38" t="s">
        <v>103</v>
      </c>
      <c r="X273" s="38">
        <v>0</v>
      </c>
      <c r="AA273" s="45"/>
    </row>
    <row r="274" spans="1:27" x14ac:dyDescent="0.2">
      <c r="A274" s="38">
        <v>1</v>
      </c>
      <c r="B274" s="37">
        <v>9292003304421</v>
      </c>
      <c r="C274" s="38">
        <v>10</v>
      </c>
      <c r="D274" s="45" t="s">
        <v>405</v>
      </c>
      <c r="F274" s="38" t="s">
        <v>100</v>
      </c>
      <c r="G274" s="38">
        <v>0</v>
      </c>
      <c r="H274" s="38">
        <v>100</v>
      </c>
      <c r="K274" s="38">
        <v>1</v>
      </c>
      <c r="L274" s="38" t="s">
        <v>101</v>
      </c>
      <c r="M274" s="38" t="s">
        <v>406</v>
      </c>
      <c r="N274" s="38" t="s">
        <v>102</v>
      </c>
      <c r="P274" s="38">
        <v>0</v>
      </c>
      <c r="U274" s="38">
        <v>4</v>
      </c>
      <c r="V274" s="38">
        <v>1</v>
      </c>
      <c r="W274" s="38" t="s">
        <v>103</v>
      </c>
      <c r="X274" s="38">
        <v>0</v>
      </c>
      <c r="AA274" s="45"/>
    </row>
    <row r="275" spans="1:27" x14ac:dyDescent="0.2">
      <c r="A275" s="38">
        <v>1</v>
      </c>
      <c r="B275" s="37">
        <v>9292003304421</v>
      </c>
      <c r="C275" s="38">
        <v>20</v>
      </c>
      <c r="D275" s="45">
        <v>5701603304421</v>
      </c>
      <c r="F275" s="38" t="s">
        <v>100</v>
      </c>
      <c r="G275" s="38">
        <v>0</v>
      </c>
      <c r="H275" s="38">
        <v>100</v>
      </c>
      <c r="K275" s="38">
        <v>1</v>
      </c>
      <c r="L275" s="38" t="s">
        <v>101</v>
      </c>
      <c r="M275" s="38" t="s">
        <v>406</v>
      </c>
      <c r="N275" s="38" t="s">
        <v>102</v>
      </c>
      <c r="P275" s="38">
        <v>0</v>
      </c>
      <c r="U275" s="38">
        <v>4</v>
      </c>
      <c r="V275" s="38">
        <v>1</v>
      </c>
      <c r="W275" s="38" t="s">
        <v>103</v>
      </c>
      <c r="X275" s="38">
        <v>0</v>
      </c>
      <c r="AA275" s="45"/>
    </row>
    <row r="276" spans="1:27" x14ac:dyDescent="0.2">
      <c r="A276" s="38">
        <v>1</v>
      </c>
      <c r="B276" s="37">
        <v>9292003305421</v>
      </c>
      <c r="C276" s="38">
        <v>10</v>
      </c>
      <c r="D276" s="45" t="s">
        <v>405</v>
      </c>
      <c r="F276" s="38" t="s">
        <v>100</v>
      </c>
      <c r="G276" s="38">
        <v>0</v>
      </c>
      <c r="H276" s="38">
        <v>100</v>
      </c>
      <c r="K276" s="38">
        <v>1</v>
      </c>
      <c r="L276" s="38" t="s">
        <v>101</v>
      </c>
      <c r="M276" s="38" t="s">
        <v>406</v>
      </c>
      <c r="N276" s="38" t="s">
        <v>102</v>
      </c>
      <c r="P276" s="38">
        <v>0</v>
      </c>
      <c r="U276" s="38">
        <v>4</v>
      </c>
      <c r="V276" s="38">
        <v>1</v>
      </c>
      <c r="W276" s="38" t="s">
        <v>103</v>
      </c>
      <c r="X276" s="38">
        <v>0</v>
      </c>
      <c r="AA276" s="45"/>
    </row>
    <row r="277" spans="1:27" x14ac:dyDescent="0.2">
      <c r="A277" s="38">
        <v>1</v>
      </c>
      <c r="B277" s="37">
        <v>9292003305421</v>
      </c>
      <c r="C277" s="38">
        <v>20</v>
      </c>
      <c r="D277" s="45">
        <v>5701603305421</v>
      </c>
      <c r="F277" s="38" t="s">
        <v>100</v>
      </c>
      <c r="G277" s="38">
        <v>0</v>
      </c>
      <c r="H277" s="38">
        <v>100</v>
      </c>
      <c r="K277" s="38">
        <v>1</v>
      </c>
      <c r="L277" s="38" t="s">
        <v>101</v>
      </c>
      <c r="M277" s="38" t="s">
        <v>406</v>
      </c>
      <c r="N277" s="38" t="s">
        <v>102</v>
      </c>
      <c r="P277" s="38">
        <v>0</v>
      </c>
      <c r="U277" s="38">
        <v>4</v>
      </c>
      <c r="V277" s="38">
        <v>1</v>
      </c>
      <c r="W277" s="38" t="s">
        <v>103</v>
      </c>
      <c r="X277" s="38">
        <v>0</v>
      </c>
      <c r="AA277" s="45"/>
    </row>
    <row r="278" spans="1:27" x14ac:dyDescent="0.2">
      <c r="A278" s="38">
        <v>1</v>
      </c>
      <c r="B278" s="37">
        <v>9292003306421</v>
      </c>
      <c r="C278" s="38">
        <v>10</v>
      </c>
      <c r="D278" s="45" t="s">
        <v>405</v>
      </c>
      <c r="F278" s="38" t="s">
        <v>100</v>
      </c>
      <c r="G278" s="38">
        <v>0</v>
      </c>
      <c r="H278" s="38">
        <v>100</v>
      </c>
      <c r="K278" s="38">
        <v>1</v>
      </c>
      <c r="L278" s="38" t="s">
        <v>101</v>
      </c>
      <c r="M278" s="38" t="s">
        <v>406</v>
      </c>
      <c r="N278" s="38" t="s">
        <v>102</v>
      </c>
      <c r="P278" s="38">
        <v>0</v>
      </c>
      <c r="U278" s="38">
        <v>4</v>
      </c>
      <c r="V278" s="38">
        <v>1</v>
      </c>
      <c r="W278" s="38" t="s">
        <v>103</v>
      </c>
      <c r="X278" s="38">
        <v>0</v>
      </c>
      <c r="AA278" s="45"/>
    </row>
    <row r="279" spans="1:27" x14ac:dyDescent="0.2">
      <c r="A279" s="38">
        <v>1</v>
      </c>
      <c r="B279" s="37">
        <v>9292003306421</v>
      </c>
      <c r="C279" s="38">
        <v>20</v>
      </c>
      <c r="D279" s="45">
        <v>5701603306421</v>
      </c>
      <c r="F279" s="38" t="s">
        <v>100</v>
      </c>
      <c r="G279" s="38">
        <v>0</v>
      </c>
      <c r="H279" s="38">
        <v>100</v>
      </c>
      <c r="K279" s="38">
        <v>1</v>
      </c>
      <c r="L279" s="38" t="s">
        <v>101</v>
      </c>
      <c r="M279" s="38" t="s">
        <v>406</v>
      </c>
      <c r="N279" s="38" t="s">
        <v>102</v>
      </c>
      <c r="P279" s="38">
        <v>0</v>
      </c>
      <c r="U279" s="38">
        <v>4</v>
      </c>
      <c r="V279" s="38">
        <v>1</v>
      </c>
      <c r="W279" s="38" t="s">
        <v>103</v>
      </c>
      <c r="X279" s="38">
        <v>0</v>
      </c>
      <c r="AA279" s="45"/>
    </row>
    <row r="280" spans="1:27" x14ac:dyDescent="0.2">
      <c r="A280" s="38">
        <v>1</v>
      </c>
      <c r="B280" s="37">
        <v>9292003307421</v>
      </c>
      <c r="C280" s="38">
        <v>10</v>
      </c>
      <c r="D280" s="45" t="s">
        <v>405</v>
      </c>
      <c r="F280" s="38" t="s">
        <v>100</v>
      </c>
      <c r="G280" s="38">
        <v>0</v>
      </c>
      <c r="H280" s="38">
        <v>100</v>
      </c>
      <c r="K280" s="38">
        <v>1</v>
      </c>
      <c r="L280" s="38" t="s">
        <v>101</v>
      </c>
      <c r="M280" s="38" t="s">
        <v>406</v>
      </c>
      <c r="N280" s="38" t="s">
        <v>102</v>
      </c>
      <c r="P280" s="38">
        <v>0</v>
      </c>
      <c r="U280" s="38">
        <v>4</v>
      </c>
      <c r="V280" s="38">
        <v>1</v>
      </c>
      <c r="W280" s="38" t="s">
        <v>103</v>
      </c>
      <c r="X280" s="38">
        <v>0</v>
      </c>
      <c r="AA280" s="45"/>
    </row>
    <row r="281" spans="1:27" x14ac:dyDescent="0.2">
      <c r="A281" s="38">
        <v>1</v>
      </c>
      <c r="B281" s="37">
        <v>9292003307421</v>
      </c>
      <c r="C281" s="38">
        <v>20</v>
      </c>
      <c r="D281" s="45">
        <v>5701603307421</v>
      </c>
      <c r="F281" s="38" t="s">
        <v>100</v>
      </c>
      <c r="G281" s="38">
        <v>0</v>
      </c>
      <c r="H281" s="38">
        <v>100</v>
      </c>
      <c r="K281" s="38">
        <v>1</v>
      </c>
      <c r="L281" s="38" t="s">
        <v>101</v>
      </c>
      <c r="M281" s="38" t="s">
        <v>406</v>
      </c>
      <c r="N281" s="38" t="s">
        <v>102</v>
      </c>
      <c r="P281" s="38">
        <v>0</v>
      </c>
      <c r="U281" s="38">
        <v>4</v>
      </c>
      <c r="V281" s="38">
        <v>1</v>
      </c>
      <c r="W281" s="38" t="s">
        <v>103</v>
      </c>
      <c r="X281" s="38">
        <v>0</v>
      </c>
      <c r="AA281" s="45"/>
    </row>
    <row r="282" spans="1:27" x14ac:dyDescent="0.2">
      <c r="A282" s="38">
        <v>1</v>
      </c>
      <c r="B282" s="37">
        <v>9292003308421</v>
      </c>
      <c r="C282" s="38">
        <v>10</v>
      </c>
      <c r="D282" s="45" t="s">
        <v>405</v>
      </c>
      <c r="F282" s="38" t="s">
        <v>100</v>
      </c>
      <c r="G282" s="38">
        <v>0</v>
      </c>
      <c r="H282" s="38">
        <v>100</v>
      </c>
      <c r="K282" s="38">
        <v>1</v>
      </c>
      <c r="L282" s="38" t="s">
        <v>101</v>
      </c>
      <c r="M282" s="38" t="s">
        <v>406</v>
      </c>
      <c r="N282" s="38" t="s">
        <v>102</v>
      </c>
      <c r="P282" s="38">
        <v>0</v>
      </c>
      <c r="U282" s="38">
        <v>4</v>
      </c>
      <c r="V282" s="38">
        <v>1</v>
      </c>
      <c r="W282" s="38" t="s">
        <v>103</v>
      </c>
      <c r="X282" s="38">
        <v>0</v>
      </c>
      <c r="AA282" s="45"/>
    </row>
    <row r="283" spans="1:27" x14ac:dyDescent="0.2">
      <c r="A283" s="38">
        <v>1</v>
      </c>
      <c r="B283" s="37">
        <v>9292003308421</v>
      </c>
      <c r="C283" s="38">
        <v>20</v>
      </c>
      <c r="D283" s="45">
        <v>5701603308421</v>
      </c>
      <c r="F283" s="38" t="s">
        <v>100</v>
      </c>
      <c r="G283" s="38">
        <v>0</v>
      </c>
      <c r="H283" s="38">
        <v>100</v>
      </c>
      <c r="K283" s="38">
        <v>1</v>
      </c>
      <c r="L283" s="38" t="s">
        <v>101</v>
      </c>
      <c r="M283" s="38" t="s">
        <v>406</v>
      </c>
      <c r="N283" s="38" t="s">
        <v>102</v>
      </c>
      <c r="P283" s="38">
        <v>0</v>
      </c>
      <c r="U283" s="38">
        <v>4</v>
      </c>
      <c r="V283" s="38">
        <v>1</v>
      </c>
      <c r="W283" s="38" t="s">
        <v>103</v>
      </c>
      <c r="X283" s="38">
        <v>0</v>
      </c>
      <c r="AA283" s="45"/>
    </row>
    <row r="284" spans="1:27" x14ac:dyDescent="0.2">
      <c r="A284" s="38">
        <v>1</v>
      </c>
      <c r="B284" s="37">
        <v>9292003309421</v>
      </c>
      <c r="C284" s="38">
        <v>10</v>
      </c>
      <c r="D284" s="45" t="s">
        <v>405</v>
      </c>
      <c r="F284" s="38" t="s">
        <v>100</v>
      </c>
      <c r="G284" s="38">
        <v>0</v>
      </c>
      <c r="H284" s="38">
        <v>100</v>
      </c>
      <c r="K284" s="38">
        <v>1</v>
      </c>
      <c r="L284" s="38" t="s">
        <v>101</v>
      </c>
      <c r="M284" s="38" t="s">
        <v>406</v>
      </c>
      <c r="N284" s="38" t="s">
        <v>102</v>
      </c>
      <c r="P284" s="38">
        <v>0</v>
      </c>
      <c r="U284" s="38">
        <v>4</v>
      </c>
      <c r="V284" s="38">
        <v>1</v>
      </c>
      <c r="W284" s="38" t="s">
        <v>103</v>
      </c>
      <c r="X284" s="38">
        <v>0</v>
      </c>
      <c r="AA284" s="45"/>
    </row>
    <row r="285" spans="1:27" x14ac:dyDescent="0.2">
      <c r="A285" s="38">
        <v>1</v>
      </c>
      <c r="B285" s="37">
        <v>9292003309421</v>
      </c>
      <c r="C285" s="38">
        <v>20</v>
      </c>
      <c r="D285" s="45">
        <v>5701603309421</v>
      </c>
      <c r="F285" s="38" t="s">
        <v>100</v>
      </c>
      <c r="G285" s="38">
        <v>0</v>
      </c>
      <c r="H285" s="38">
        <v>100</v>
      </c>
      <c r="K285" s="38">
        <v>1</v>
      </c>
      <c r="L285" s="38" t="s">
        <v>101</v>
      </c>
      <c r="M285" s="38" t="s">
        <v>406</v>
      </c>
      <c r="N285" s="38" t="s">
        <v>102</v>
      </c>
      <c r="P285" s="38">
        <v>0</v>
      </c>
      <c r="U285" s="38">
        <v>4</v>
      </c>
      <c r="V285" s="38">
        <v>1</v>
      </c>
      <c r="W285" s="38" t="s">
        <v>103</v>
      </c>
      <c r="X285" s="38">
        <v>0</v>
      </c>
      <c r="AA285" s="45"/>
    </row>
    <row r="286" spans="1:27" x14ac:dyDescent="0.2">
      <c r="A286" s="38">
        <v>1</v>
      </c>
      <c r="B286" s="37">
        <v>9292003310421</v>
      </c>
      <c r="C286" s="38">
        <v>10</v>
      </c>
      <c r="D286" s="45" t="s">
        <v>405</v>
      </c>
      <c r="F286" s="38" t="s">
        <v>100</v>
      </c>
      <c r="G286" s="38">
        <v>0</v>
      </c>
      <c r="H286" s="38">
        <v>100</v>
      </c>
      <c r="K286" s="38">
        <v>1</v>
      </c>
      <c r="L286" s="38" t="s">
        <v>101</v>
      </c>
      <c r="M286" s="38" t="s">
        <v>406</v>
      </c>
      <c r="N286" s="38" t="s">
        <v>102</v>
      </c>
      <c r="P286" s="38">
        <v>0</v>
      </c>
      <c r="U286" s="38">
        <v>4</v>
      </c>
      <c r="V286" s="38">
        <v>1</v>
      </c>
      <c r="W286" s="38" t="s">
        <v>103</v>
      </c>
      <c r="X286" s="38">
        <v>0</v>
      </c>
      <c r="AA286" s="45"/>
    </row>
    <row r="287" spans="1:27" x14ac:dyDescent="0.2">
      <c r="A287" s="38">
        <v>1</v>
      </c>
      <c r="B287" s="37">
        <v>9292003310421</v>
      </c>
      <c r="C287" s="38">
        <v>20</v>
      </c>
      <c r="D287" s="45">
        <v>5701603310421</v>
      </c>
      <c r="F287" s="38" t="s">
        <v>100</v>
      </c>
      <c r="G287" s="38">
        <v>0</v>
      </c>
      <c r="H287" s="38">
        <v>100</v>
      </c>
      <c r="K287" s="38">
        <v>1</v>
      </c>
      <c r="L287" s="38" t="s">
        <v>101</v>
      </c>
      <c r="M287" s="38" t="s">
        <v>406</v>
      </c>
      <c r="N287" s="38" t="s">
        <v>102</v>
      </c>
      <c r="P287" s="38">
        <v>0</v>
      </c>
      <c r="U287" s="38">
        <v>4</v>
      </c>
      <c r="V287" s="38">
        <v>1</v>
      </c>
      <c r="W287" s="38" t="s">
        <v>103</v>
      </c>
      <c r="X287" s="38">
        <v>0</v>
      </c>
      <c r="AA287" s="45"/>
    </row>
    <row r="288" spans="1:27" x14ac:dyDescent="0.2">
      <c r="A288" s="38">
        <v>1</v>
      </c>
      <c r="B288" s="37">
        <v>9292003300422</v>
      </c>
      <c r="C288" s="38">
        <v>10</v>
      </c>
      <c r="D288" s="45" t="s">
        <v>405</v>
      </c>
      <c r="F288" s="38" t="s">
        <v>100</v>
      </c>
      <c r="G288" s="38">
        <v>0</v>
      </c>
      <c r="H288" s="38">
        <v>100</v>
      </c>
      <c r="K288" s="38">
        <v>1</v>
      </c>
      <c r="L288" s="38" t="s">
        <v>101</v>
      </c>
      <c r="M288" s="38" t="s">
        <v>406</v>
      </c>
      <c r="N288" s="38" t="s">
        <v>102</v>
      </c>
      <c r="P288" s="38">
        <v>0</v>
      </c>
      <c r="U288" s="38">
        <v>4</v>
      </c>
      <c r="V288" s="38">
        <v>1</v>
      </c>
      <c r="W288" s="38" t="s">
        <v>103</v>
      </c>
      <c r="X288" s="38">
        <v>0</v>
      </c>
      <c r="AA288" s="45"/>
    </row>
    <row r="289" spans="1:27" x14ac:dyDescent="0.2">
      <c r="A289" s="38">
        <v>1</v>
      </c>
      <c r="B289" s="37">
        <v>9292003300422</v>
      </c>
      <c r="C289" s="38">
        <v>20</v>
      </c>
      <c r="D289" s="45">
        <v>5701603300422</v>
      </c>
      <c r="F289" s="38" t="s">
        <v>100</v>
      </c>
      <c r="G289" s="38">
        <v>0</v>
      </c>
      <c r="H289" s="38">
        <v>100</v>
      </c>
      <c r="K289" s="38">
        <v>1</v>
      </c>
      <c r="L289" s="38" t="s">
        <v>101</v>
      </c>
      <c r="M289" s="38" t="s">
        <v>406</v>
      </c>
      <c r="N289" s="38" t="s">
        <v>102</v>
      </c>
      <c r="P289" s="38">
        <v>0</v>
      </c>
      <c r="U289" s="38">
        <v>4</v>
      </c>
      <c r="V289" s="38">
        <v>1</v>
      </c>
      <c r="W289" s="38" t="s">
        <v>103</v>
      </c>
      <c r="X289" s="38">
        <v>0</v>
      </c>
      <c r="AA289" s="45"/>
    </row>
    <row r="290" spans="1:27" x14ac:dyDescent="0.2">
      <c r="A290" s="38">
        <v>1</v>
      </c>
      <c r="B290" s="37">
        <v>9292003301422</v>
      </c>
      <c r="C290" s="38">
        <v>10</v>
      </c>
      <c r="D290" s="45" t="s">
        <v>405</v>
      </c>
      <c r="F290" s="38" t="s">
        <v>100</v>
      </c>
      <c r="G290" s="38">
        <v>0</v>
      </c>
      <c r="H290" s="38">
        <v>100</v>
      </c>
      <c r="K290" s="38">
        <v>1</v>
      </c>
      <c r="L290" s="38" t="s">
        <v>101</v>
      </c>
      <c r="M290" s="38" t="s">
        <v>406</v>
      </c>
      <c r="N290" s="38" t="s">
        <v>102</v>
      </c>
      <c r="P290" s="38">
        <v>0</v>
      </c>
      <c r="U290" s="38">
        <v>4</v>
      </c>
      <c r="V290" s="38">
        <v>1</v>
      </c>
      <c r="W290" s="38" t="s">
        <v>103</v>
      </c>
      <c r="X290" s="38">
        <v>0</v>
      </c>
      <c r="AA290" s="45"/>
    </row>
    <row r="291" spans="1:27" x14ac:dyDescent="0.2">
      <c r="A291" s="38">
        <v>1</v>
      </c>
      <c r="B291" s="37">
        <v>9292003301422</v>
      </c>
      <c r="C291" s="38">
        <v>20</v>
      </c>
      <c r="D291" s="45">
        <v>5701603301422</v>
      </c>
      <c r="F291" s="38" t="s">
        <v>100</v>
      </c>
      <c r="G291" s="38">
        <v>0</v>
      </c>
      <c r="H291" s="38">
        <v>100</v>
      </c>
      <c r="K291" s="38">
        <v>1</v>
      </c>
      <c r="L291" s="38" t="s">
        <v>101</v>
      </c>
      <c r="M291" s="38" t="s">
        <v>406</v>
      </c>
      <c r="N291" s="38" t="s">
        <v>102</v>
      </c>
      <c r="P291" s="38">
        <v>0</v>
      </c>
      <c r="U291" s="38">
        <v>4</v>
      </c>
      <c r="V291" s="38">
        <v>1</v>
      </c>
      <c r="W291" s="38" t="s">
        <v>103</v>
      </c>
      <c r="X291" s="38">
        <v>0</v>
      </c>
      <c r="AA291" s="45"/>
    </row>
    <row r="292" spans="1:27" x14ac:dyDescent="0.2">
      <c r="A292" s="38">
        <v>1</v>
      </c>
      <c r="B292" s="37">
        <v>9292003302422</v>
      </c>
      <c r="C292" s="38">
        <v>10</v>
      </c>
      <c r="D292" s="45" t="s">
        <v>405</v>
      </c>
      <c r="F292" s="38" t="s">
        <v>100</v>
      </c>
      <c r="G292" s="38">
        <v>0</v>
      </c>
      <c r="H292" s="38">
        <v>100</v>
      </c>
      <c r="K292" s="38">
        <v>1</v>
      </c>
      <c r="L292" s="38" t="s">
        <v>101</v>
      </c>
      <c r="M292" s="38" t="s">
        <v>406</v>
      </c>
      <c r="N292" s="38" t="s">
        <v>102</v>
      </c>
      <c r="P292" s="38">
        <v>0</v>
      </c>
      <c r="U292" s="38">
        <v>4</v>
      </c>
      <c r="V292" s="38">
        <v>1</v>
      </c>
      <c r="W292" s="38" t="s">
        <v>103</v>
      </c>
      <c r="X292" s="38">
        <v>0</v>
      </c>
      <c r="AA292" s="45"/>
    </row>
    <row r="293" spans="1:27" x14ac:dyDescent="0.2">
      <c r="A293" s="38">
        <v>1</v>
      </c>
      <c r="B293" s="37">
        <v>9292003302422</v>
      </c>
      <c r="C293" s="38">
        <v>20</v>
      </c>
      <c r="D293" s="45">
        <v>5701603302422</v>
      </c>
      <c r="F293" s="38" t="s">
        <v>100</v>
      </c>
      <c r="G293" s="38">
        <v>0</v>
      </c>
      <c r="H293" s="38">
        <v>100</v>
      </c>
      <c r="K293" s="38">
        <v>1</v>
      </c>
      <c r="L293" s="38" t="s">
        <v>101</v>
      </c>
      <c r="M293" s="38" t="s">
        <v>406</v>
      </c>
      <c r="N293" s="38" t="s">
        <v>102</v>
      </c>
      <c r="P293" s="38">
        <v>0</v>
      </c>
      <c r="U293" s="38">
        <v>4</v>
      </c>
      <c r="V293" s="38">
        <v>1</v>
      </c>
      <c r="W293" s="38" t="s">
        <v>103</v>
      </c>
      <c r="X293" s="38">
        <v>0</v>
      </c>
      <c r="AA293" s="45"/>
    </row>
    <row r="294" spans="1:27" x14ac:dyDescent="0.2">
      <c r="A294" s="38">
        <v>1</v>
      </c>
      <c r="B294" s="37">
        <v>9292003303422</v>
      </c>
      <c r="C294" s="38">
        <v>10</v>
      </c>
      <c r="D294" s="45" t="s">
        <v>405</v>
      </c>
      <c r="F294" s="38" t="s">
        <v>100</v>
      </c>
      <c r="G294" s="38">
        <v>0</v>
      </c>
      <c r="H294" s="38">
        <v>100</v>
      </c>
      <c r="K294" s="38">
        <v>1</v>
      </c>
      <c r="L294" s="38" t="s">
        <v>101</v>
      </c>
      <c r="M294" s="38" t="s">
        <v>406</v>
      </c>
      <c r="N294" s="38" t="s">
        <v>102</v>
      </c>
      <c r="P294" s="38">
        <v>0</v>
      </c>
      <c r="U294" s="38">
        <v>4</v>
      </c>
      <c r="V294" s="38">
        <v>1</v>
      </c>
      <c r="W294" s="38" t="s">
        <v>103</v>
      </c>
      <c r="X294" s="38">
        <v>0</v>
      </c>
      <c r="AA294" s="45"/>
    </row>
    <row r="295" spans="1:27" x14ac:dyDescent="0.2">
      <c r="A295" s="38">
        <v>1</v>
      </c>
      <c r="B295" s="37">
        <v>9292003303422</v>
      </c>
      <c r="C295" s="38">
        <v>20</v>
      </c>
      <c r="D295" s="45">
        <v>5701603303422</v>
      </c>
      <c r="F295" s="38" t="s">
        <v>100</v>
      </c>
      <c r="G295" s="38">
        <v>0</v>
      </c>
      <c r="H295" s="38">
        <v>100</v>
      </c>
      <c r="K295" s="38">
        <v>1</v>
      </c>
      <c r="L295" s="38" t="s">
        <v>101</v>
      </c>
      <c r="M295" s="38" t="s">
        <v>406</v>
      </c>
      <c r="N295" s="38" t="s">
        <v>102</v>
      </c>
      <c r="P295" s="38">
        <v>0</v>
      </c>
      <c r="U295" s="38">
        <v>4</v>
      </c>
      <c r="V295" s="38">
        <v>1</v>
      </c>
      <c r="W295" s="38" t="s">
        <v>103</v>
      </c>
      <c r="X295" s="38">
        <v>0</v>
      </c>
      <c r="AA295" s="45"/>
    </row>
    <row r="296" spans="1:27" x14ac:dyDescent="0.2">
      <c r="A296" s="38">
        <v>1</v>
      </c>
      <c r="B296" s="37">
        <v>9292003304422</v>
      </c>
      <c r="C296" s="38">
        <v>10</v>
      </c>
      <c r="D296" s="45" t="s">
        <v>405</v>
      </c>
      <c r="F296" s="38" t="s">
        <v>100</v>
      </c>
      <c r="G296" s="38">
        <v>0</v>
      </c>
      <c r="H296" s="38">
        <v>100</v>
      </c>
      <c r="K296" s="38">
        <v>1</v>
      </c>
      <c r="L296" s="38" t="s">
        <v>101</v>
      </c>
      <c r="M296" s="38" t="s">
        <v>406</v>
      </c>
      <c r="N296" s="38" t="s">
        <v>102</v>
      </c>
      <c r="P296" s="38">
        <v>0</v>
      </c>
      <c r="U296" s="38">
        <v>4</v>
      </c>
      <c r="V296" s="38">
        <v>1</v>
      </c>
      <c r="W296" s="38" t="s">
        <v>103</v>
      </c>
      <c r="X296" s="38">
        <v>0</v>
      </c>
      <c r="AA296" s="45"/>
    </row>
    <row r="297" spans="1:27" x14ac:dyDescent="0.2">
      <c r="A297" s="38">
        <v>1</v>
      </c>
      <c r="B297" s="37">
        <v>9292003304422</v>
      </c>
      <c r="C297" s="38">
        <v>20</v>
      </c>
      <c r="D297" s="45">
        <v>5701603304422</v>
      </c>
      <c r="F297" s="38" t="s">
        <v>100</v>
      </c>
      <c r="G297" s="38">
        <v>0</v>
      </c>
      <c r="H297" s="38">
        <v>100</v>
      </c>
      <c r="K297" s="38">
        <v>1</v>
      </c>
      <c r="L297" s="38" t="s">
        <v>101</v>
      </c>
      <c r="M297" s="38" t="s">
        <v>406</v>
      </c>
      <c r="N297" s="38" t="s">
        <v>102</v>
      </c>
      <c r="P297" s="38">
        <v>0</v>
      </c>
      <c r="U297" s="38">
        <v>4</v>
      </c>
      <c r="V297" s="38">
        <v>1</v>
      </c>
      <c r="W297" s="38" t="s">
        <v>103</v>
      </c>
      <c r="X297" s="38">
        <v>0</v>
      </c>
      <c r="AA297" s="45"/>
    </row>
    <row r="298" spans="1:27" x14ac:dyDescent="0.2">
      <c r="A298" s="38">
        <v>1</v>
      </c>
      <c r="B298" s="37">
        <v>9292003305422</v>
      </c>
      <c r="C298" s="38">
        <v>10</v>
      </c>
      <c r="D298" s="45" t="s">
        <v>405</v>
      </c>
      <c r="F298" s="38" t="s">
        <v>100</v>
      </c>
      <c r="G298" s="38">
        <v>0</v>
      </c>
      <c r="H298" s="38">
        <v>100</v>
      </c>
      <c r="K298" s="38">
        <v>1</v>
      </c>
      <c r="L298" s="38" t="s">
        <v>101</v>
      </c>
      <c r="M298" s="38" t="s">
        <v>406</v>
      </c>
      <c r="N298" s="38" t="s">
        <v>102</v>
      </c>
      <c r="P298" s="38">
        <v>0</v>
      </c>
      <c r="U298" s="38">
        <v>4</v>
      </c>
      <c r="V298" s="38">
        <v>1</v>
      </c>
      <c r="W298" s="38" t="s">
        <v>103</v>
      </c>
      <c r="X298" s="38">
        <v>0</v>
      </c>
      <c r="AA298" s="45"/>
    </row>
    <row r="299" spans="1:27" x14ac:dyDescent="0.2">
      <c r="A299" s="38">
        <v>1</v>
      </c>
      <c r="B299" s="37">
        <v>9292003305422</v>
      </c>
      <c r="C299" s="38">
        <v>20</v>
      </c>
      <c r="D299" s="45">
        <v>5701603305422</v>
      </c>
      <c r="F299" s="38" t="s">
        <v>100</v>
      </c>
      <c r="G299" s="38">
        <v>0</v>
      </c>
      <c r="H299" s="38">
        <v>100</v>
      </c>
      <c r="K299" s="38">
        <v>1</v>
      </c>
      <c r="L299" s="38" t="s">
        <v>101</v>
      </c>
      <c r="M299" s="38" t="s">
        <v>406</v>
      </c>
      <c r="N299" s="38" t="s">
        <v>102</v>
      </c>
      <c r="P299" s="38">
        <v>0</v>
      </c>
      <c r="U299" s="38">
        <v>4</v>
      </c>
      <c r="V299" s="38">
        <v>1</v>
      </c>
      <c r="W299" s="38" t="s">
        <v>103</v>
      </c>
      <c r="X299" s="38">
        <v>0</v>
      </c>
      <c r="AA299" s="45"/>
    </row>
    <row r="300" spans="1:27" x14ac:dyDescent="0.2">
      <c r="A300" s="38">
        <v>1</v>
      </c>
      <c r="B300" s="37">
        <v>9292003306422</v>
      </c>
      <c r="C300" s="38">
        <v>10</v>
      </c>
      <c r="D300" s="45" t="s">
        <v>405</v>
      </c>
      <c r="F300" s="38" t="s">
        <v>100</v>
      </c>
      <c r="G300" s="38">
        <v>0</v>
      </c>
      <c r="H300" s="38">
        <v>100</v>
      </c>
      <c r="K300" s="38">
        <v>1</v>
      </c>
      <c r="L300" s="38" t="s">
        <v>101</v>
      </c>
      <c r="M300" s="38" t="s">
        <v>406</v>
      </c>
      <c r="N300" s="38" t="s">
        <v>102</v>
      </c>
      <c r="P300" s="38">
        <v>0</v>
      </c>
      <c r="U300" s="38">
        <v>4</v>
      </c>
      <c r="V300" s="38">
        <v>1</v>
      </c>
      <c r="W300" s="38" t="s">
        <v>103</v>
      </c>
      <c r="X300" s="38">
        <v>0</v>
      </c>
      <c r="AA300" s="45"/>
    </row>
    <row r="301" spans="1:27" x14ac:dyDescent="0.2">
      <c r="A301" s="38">
        <v>1</v>
      </c>
      <c r="B301" s="37">
        <v>9292003306422</v>
      </c>
      <c r="C301" s="38">
        <v>20</v>
      </c>
      <c r="D301" s="45">
        <v>5701603306422</v>
      </c>
      <c r="F301" s="38" t="s">
        <v>100</v>
      </c>
      <c r="G301" s="38">
        <v>0</v>
      </c>
      <c r="H301" s="38">
        <v>100</v>
      </c>
      <c r="K301" s="38">
        <v>1</v>
      </c>
      <c r="L301" s="38" t="s">
        <v>101</v>
      </c>
      <c r="M301" s="38" t="s">
        <v>406</v>
      </c>
      <c r="N301" s="38" t="s">
        <v>102</v>
      </c>
      <c r="P301" s="38">
        <v>0</v>
      </c>
      <c r="U301" s="38">
        <v>4</v>
      </c>
      <c r="V301" s="38">
        <v>1</v>
      </c>
      <c r="W301" s="38" t="s">
        <v>103</v>
      </c>
      <c r="X301" s="38">
        <v>0</v>
      </c>
      <c r="AA301" s="45"/>
    </row>
    <row r="302" spans="1:27" x14ac:dyDescent="0.2">
      <c r="A302" s="38">
        <v>1</v>
      </c>
      <c r="B302" s="37">
        <v>9292003307422</v>
      </c>
      <c r="C302" s="38">
        <v>10</v>
      </c>
      <c r="D302" s="45" t="s">
        <v>405</v>
      </c>
      <c r="F302" s="38" t="s">
        <v>100</v>
      </c>
      <c r="G302" s="38">
        <v>0</v>
      </c>
      <c r="H302" s="38">
        <v>100</v>
      </c>
      <c r="K302" s="38">
        <v>1</v>
      </c>
      <c r="L302" s="38" t="s">
        <v>101</v>
      </c>
      <c r="M302" s="38" t="s">
        <v>406</v>
      </c>
      <c r="N302" s="38" t="s">
        <v>102</v>
      </c>
      <c r="P302" s="38">
        <v>0</v>
      </c>
      <c r="U302" s="38">
        <v>4</v>
      </c>
      <c r="V302" s="38">
        <v>1</v>
      </c>
      <c r="W302" s="38" t="s">
        <v>103</v>
      </c>
      <c r="X302" s="38">
        <v>0</v>
      </c>
      <c r="AA302" s="45"/>
    </row>
    <row r="303" spans="1:27" x14ac:dyDescent="0.2">
      <c r="A303" s="38">
        <v>1</v>
      </c>
      <c r="B303" s="37">
        <v>9292003307422</v>
      </c>
      <c r="C303" s="38">
        <v>20</v>
      </c>
      <c r="D303" s="45">
        <v>5701603307422</v>
      </c>
      <c r="F303" s="38" t="s">
        <v>100</v>
      </c>
      <c r="G303" s="38">
        <v>0</v>
      </c>
      <c r="H303" s="38">
        <v>100</v>
      </c>
      <c r="K303" s="38">
        <v>1</v>
      </c>
      <c r="L303" s="38" t="s">
        <v>101</v>
      </c>
      <c r="M303" s="38" t="s">
        <v>406</v>
      </c>
      <c r="N303" s="38" t="s">
        <v>102</v>
      </c>
      <c r="P303" s="38">
        <v>0</v>
      </c>
      <c r="U303" s="38">
        <v>4</v>
      </c>
      <c r="V303" s="38">
        <v>1</v>
      </c>
      <c r="W303" s="38" t="s">
        <v>103</v>
      </c>
      <c r="X303" s="38">
        <v>0</v>
      </c>
      <c r="AA303" s="45"/>
    </row>
    <row r="304" spans="1:27" x14ac:dyDescent="0.2">
      <c r="A304" s="38">
        <v>1</v>
      </c>
      <c r="B304" s="37">
        <v>9292003308422</v>
      </c>
      <c r="C304" s="38">
        <v>10</v>
      </c>
      <c r="D304" s="45" t="s">
        <v>405</v>
      </c>
      <c r="F304" s="38" t="s">
        <v>100</v>
      </c>
      <c r="G304" s="38">
        <v>0</v>
      </c>
      <c r="H304" s="38">
        <v>100</v>
      </c>
      <c r="K304" s="38">
        <v>1</v>
      </c>
      <c r="L304" s="38" t="s">
        <v>101</v>
      </c>
      <c r="M304" s="38" t="s">
        <v>406</v>
      </c>
      <c r="N304" s="38" t="s">
        <v>102</v>
      </c>
      <c r="P304" s="38">
        <v>0</v>
      </c>
      <c r="U304" s="38">
        <v>4</v>
      </c>
      <c r="V304" s="38">
        <v>1</v>
      </c>
      <c r="W304" s="38" t="s">
        <v>103</v>
      </c>
      <c r="X304" s="38">
        <v>0</v>
      </c>
      <c r="AA304" s="45"/>
    </row>
    <row r="305" spans="1:27" x14ac:dyDescent="0.2">
      <c r="A305" s="38">
        <v>1</v>
      </c>
      <c r="B305" s="37">
        <v>9292003308422</v>
      </c>
      <c r="C305" s="38">
        <v>20</v>
      </c>
      <c r="D305" s="45">
        <v>5701603308422</v>
      </c>
      <c r="F305" s="38" t="s">
        <v>100</v>
      </c>
      <c r="G305" s="38">
        <v>0</v>
      </c>
      <c r="H305" s="38">
        <v>100</v>
      </c>
      <c r="K305" s="38">
        <v>1</v>
      </c>
      <c r="L305" s="38" t="s">
        <v>101</v>
      </c>
      <c r="M305" s="38" t="s">
        <v>406</v>
      </c>
      <c r="N305" s="38" t="s">
        <v>102</v>
      </c>
      <c r="P305" s="38">
        <v>0</v>
      </c>
      <c r="U305" s="38">
        <v>4</v>
      </c>
      <c r="V305" s="38">
        <v>1</v>
      </c>
      <c r="W305" s="38" t="s">
        <v>103</v>
      </c>
      <c r="X305" s="38">
        <v>0</v>
      </c>
      <c r="AA305" s="45"/>
    </row>
    <row r="306" spans="1:27" x14ac:dyDescent="0.2">
      <c r="A306" s="38">
        <v>1</v>
      </c>
      <c r="B306" s="37">
        <v>9292003309422</v>
      </c>
      <c r="C306" s="38">
        <v>10</v>
      </c>
      <c r="D306" s="45" t="s">
        <v>405</v>
      </c>
      <c r="F306" s="38" t="s">
        <v>100</v>
      </c>
      <c r="G306" s="38">
        <v>0</v>
      </c>
      <c r="H306" s="38">
        <v>100</v>
      </c>
      <c r="K306" s="38">
        <v>1</v>
      </c>
      <c r="L306" s="38" t="s">
        <v>101</v>
      </c>
      <c r="M306" s="38" t="s">
        <v>406</v>
      </c>
      <c r="N306" s="38" t="s">
        <v>102</v>
      </c>
      <c r="P306" s="38">
        <v>0</v>
      </c>
      <c r="U306" s="38">
        <v>4</v>
      </c>
      <c r="V306" s="38">
        <v>1</v>
      </c>
      <c r="W306" s="38" t="s">
        <v>103</v>
      </c>
      <c r="X306" s="38">
        <v>0</v>
      </c>
      <c r="AA306" s="45"/>
    </row>
    <row r="307" spans="1:27" x14ac:dyDescent="0.2">
      <c r="A307" s="38">
        <v>1</v>
      </c>
      <c r="B307" s="37">
        <v>9292003309422</v>
      </c>
      <c r="C307" s="38">
        <v>20</v>
      </c>
      <c r="D307" s="45">
        <v>5701603309422</v>
      </c>
      <c r="F307" s="38" t="s">
        <v>100</v>
      </c>
      <c r="G307" s="38">
        <v>0</v>
      </c>
      <c r="H307" s="38">
        <v>100</v>
      </c>
      <c r="K307" s="38">
        <v>1</v>
      </c>
      <c r="L307" s="38" t="s">
        <v>101</v>
      </c>
      <c r="M307" s="38" t="s">
        <v>406</v>
      </c>
      <c r="N307" s="38" t="s">
        <v>102</v>
      </c>
      <c r="P307" s="38">
        <v>0</v>
      </c>
      <c r="U307" s="38">
        <v>4</v>
      </c>
      <c r="V307" s="38">
        <v>1</v>
      </c>
      <c r="W307" s="38" t="s">
        <v>103</v>
      </c>
      <c r="X307" s="38">
        <v>0</v>
      </c>
      <c r="AA307" s="45"/>
    </row>
    <row r="308" spans="1:27" x14ac:dyDescent="0.2">
      <c r="A308" s="38">
        <v>1</v>
      </c>
      <c r="B308" s="37">
        <v>9292003310422</v>
      </c>
      <c r="C308" s="38">
        <v>10</v>
      </c>
      <c r="D308" s="45" t="s">
        <v>405</v>
      </c>
      <c r="F308" s="38" t="s">
        <v>100</v>
      </c>
      <c r="G308" s="38">
        <v>0</v>
      </c>
      <c r="H308" s="38">
        <v>100</v>
      </c>
      <c r="K308" s="38">
        <v>1</v>
      </c>
      <c r="L308" s="38" t="s">
        <v>101</v>
      </c>
      <c r="M308" s="38" t="s">
        <v>406</v>
      </c>
      <c r="N308" s="38" t="s">
        <v>102</v>
      </c>
      <c r="P308" s="38">
        <v>0</v>
      </c>
      <c r="U308" s="38">
        <v>4</v>
      </c>
      <c r="V308" s="38">
        <v>1</v>
      </c>
      <c r="W308" s="38" t="s">
        <v>103</v>
      </c>
      <c r="X308" s="38">
        <v>0</v>
      </c>
      <c r="AA308" s="45"/>
    </row>
    <row r="309" spans="1:27" x14ac:dyDescent="0.2">
      <c r="A309" s="38">
        <v>1</v>
      </c>
      <c r="B309" s="37">
        <v>9292003310422</v>
      </c>
      <c r="C309" s="38">
        <v>20</v>
      </c>
      <c r="D309" s="45">
        <v>5701603310422</v>
      </c>
      <c r="F309" s="38" t="s">
        <v>100</v>
      </c>
      <c r="G309" s="38">
        <v>0</v>
      </c>
      <c r="H309" s="38">
        <v>100</v>
      </c>
      <c r="K309" s="38">
        <v>1</v>
      </c>
      <c r="L309" s="38" t="s">
        <v>101</v>
      </c>
      <c r="M309" s="38" t="s">
        <v>406</v>
      </c>
      <c r="N309" s="38" t="s">
        <v>102</v>
      </c>
      <c r="P309" s="38">
        <v>0</v>
      </c>
      <c r="U309" s="38">
        <v>4</v>
      </c>
      <c r="V309" s="38">
        <v>1</v>
      </c>
      <c r="W309" s="38" t="s">
        <v>103</v>
      </c>
      <c r="X309" s="38">
        <v>0</v>
      </c>
      <c r="AA309" s="45"/>
    </row>
    <row r="310" spans="1:27" x14ac:dyDescent="0.2">
      <c r="A310" s="38">
        <v>1</v>
      </c>
      <c r="B310" s="37">
        <v>9292003300495</v>
      </c>
      <c r="C310" s="38">
        <v>10</v>
      </c>
      <c r="D310" s="45" t="s">
        <v>405</v>
      </c>
      <c r="F310" s="38" t="s">
        <v>100</v>
      </c>
      <c r="G310" s="38">
        <v>0</v>
      </c>
      <c r="H310" s="38">
        <v>100</v>
      </c>
      <c r="K310" s="38">
        <v>1</v>
      </c>
      <c r="L310" s="38" t="s">
        <v>101</v>
      </c>
      <c r="M310" s="38" t="s">
        <v>406</v>
      </c>
      <c r="N310" s="38" t="s">
        <v>102</v>
      </c>
      <c r="P310" s="38">
        <v>0</v>
      </c>
      <c r="U310" s="38">
        <v>4</v>
      </c>
      <c r="V310" s="38">
        <v>1</v>
      </c>
      <c r="W310" s="38" t="s">
        <v>103</v>
      </c>
      <c r="X310" s="38">
        <v>0</v>
      </c>
      <c r="AA310" s="45"/>
    </row>
    <row r="311" spans="1:27" x14ac:dyDescent="0.2">
      <c r="A311" s="38">
        <v>1</v>
      </c>
      <c r="B311" s="37">
        <v>9292003300495</v>
      </c>
      <c r="C311" s="38">
        <v>20</v>
      </c>
      <c r="D311" s="45">
        <v>5701603300495</v>
      </c>
      <c r="F311" s="38" t="s">
        <v>100</v>
      </c>
      <c r="G311" s="38">
        <v>0</v>
      </c>
      <c r="H311" s="38">
        <v>100</v>
      </c>
      <c r="K311" s="38">
        <v>1</v>
      </c>
      <c r="L311" s="38" t="s">
        <v>101</v>
      </c>
      <c r="M311" s="38" t="s">
        <v>406</v>
      </c>
      <c r="N311" s="38" t="s">
        <v>102</v>
      </c>
      <c r="P311" s="38">
        <v>0</v>
      </c>
      <c r="U311" s="38">
        <v>4</v>
      </c>
      <c r="V311" s="38">
        <v>1</v>
      </c>
      <c r="W311" s="38" t="s">
        <v>103</v>
      </c>
      <c r="X311" s="38">
        <v>0</v>
      </c>
      <c r="AA311" s="45"/>
    </row>
    <row r="312" spans="1:27" x14ac:dyDescent="0.2">
      <c r="A312" s="38">
        <v>1</v>
      </c>
      <c r="B312" s="37">
        <v>9292003301495</v>
      </c>
      <c r="C312" s="38">
        <v>10</v>
      </c>
      <c r="D312" s="45" t="s">
        <v>405</v>
      </c>
      <c r="F312" s="38" t="s">
        <v>100</v>
      </c>
      <c r="G312" s="38">
        <v>0</v>
      </c>
      <c r="H312" s="38">
        <v>100</v>
      </c>
      <c r="K312" s="38">
        <v>1</v>
      </c>
      <c r="L312" s="38" t="s">
        <v>101</v>
      </c>
      <c r="M312" s="38" t="s">
        <v>406</v>
      </c>
      <c r="N312" s="38" t="s">
        <v>102</v>
      </c>
      <c r="P312" s="38">
        <v>0</v>
      </c>
      <c r="U312" s="38">
        <v>4</v>
      </c>
      <c r="V312" s="38">
        <v>1</v>
      </c>
      <c r="W312" s="38" t="s">
        <v>103</v>
      </c>
      <c r="X312" s="38">
        <v>0</v>
      </c>
      <c r="AA312" s="45"/>
    </row>
    <row r="313" spans="1:27" x14ac:dyDescent="0.2">
      <c r="A313" s="38">
        <v>1</v>
      </c>
      <c r="B313" s="37">
        <v>9292003301495</v>
      </c>
      <c r="C313" s="38">
        <v>20</v>
      </c>
      <c r="D313" s="45">
        <v>5701603301495</v>
      </c>
      <c r="F313" s="38" t="s">
        <v>100</v>
      </c>
      <c r="G313" s="38">
        <v>0</v>
      </c>
      <c r="H313" s="38">
        <v>100</v>
      </c>
      <c r="K313" s="38">
        <v>1</v>
      </c>
      <c r="L313" s="38" t="s">
        <v>101</v>
      </c>
      <c r="M313" s="38" t="s">
        <v>406</v>
      </c>
      <c r="N313" s="38" t="s">
        <v>102</v>
      </c>
      <c r="P313" s="38">
        <v>0</v>
      </c>
      <c r="U313" s="38">
        <v>4</v>
      </c>
      <c r="V313" s="38">
        <v>1</v>
      </c>
      <c r="W313" s="38" t="s">
        <v>103</v>
      </c>
      <c r="X313" s="38">
        <v>0</v>
      </c>
      <c r="AA313" s="45"/>
    </row>
    <row r="314" spans="1:27" x14ac:dyDescent="0.2">
      <c r="A314" s="38">
        <v>1</v>
      </c>
      <c r="B314" s="37">
        <v>9292003302495</v>
      </c>
      <c r="C314" s="38">
        <v>10</v>
      </c>
      <c r="D314" s="45" t="s">
        <v>405</v>
      </c>
      <c r="F314" s="38" t="s">
        <v>100</v>
      </c>
      <c r="G314" s="38">
        <v>0</v>
      </c>
      <c r="H314" s="38">
        <v>100</v>
      </c>
      <c r="K314" s="38">
        <v>1</v>
      </c>
      <c r="L314" s="38" t="s">
        <v>101</v>
      </c>
      <c r="M314" s="38" t="s">
        <v>406</v>
      </c>
      <c r="N314" s="38" t="s">
        <v>102</v>
      </c>
      <c r="P314" s="38">
        <v>0</v>
      </c>
      <c r="U314" s="38">
        <v>4</v>
      </c>
      <c r="V314" s="38">
        <v>1</v>
      </c>
      <c r="W314" s="38" t="s">
        <v>103</v>
      </c>
      <c r="X314" s="38">
        <v>0</v>
      </c>
      <c r="AA314" s="45"/>
    </row>
    <row r="315" spans="1:27" x14ac:dyDescent="0.2">
      <c r="A315" s="38">
        <v>1</v>
      </c>
      <c r="B315" s="37">
        <v>9292003302495</v>
      </c>
      <c r="C315" s="38">
        <v>20</v>
      </c>
      <c r="D315" s="45">
        <v>5701603302495</v>
      </c>
      <c r="F315" s="38" t="s">
        <v>100</v>
      </c>
      <c r="G315" s="38">
        <v>0</v>
      </c>
      <c r="H315" s="38">
        <v>100</v>
      </c>
      <c r="K315" s="38">
        <v>1</v>
      </c>
      <c r="L315" s="38" t="s">
        <v>101</v>
      </c>
      <c r="M315" s="38" t="s">
        <v>406</v>
      </c>
      <c r="N315" s="38" t="s">
        <v>102</v>
      </c>
      <c r="P315" s="38">
        <v>0</v>
      </c>
      <c r="U315" s="38">
        <v>4</v>
      </c>
      <c r="V315" s="38">
        <v>1</v>
      </c>
      <c r="W315" s="38" t="s">
        <v>103</v>
      </c>
      <c r="X315" s="38">
        <v>0</v>
      </c>
      <c r="AA315" s="45"/>
    </row>
    <row r="316" spans="1:27" x14ac:dyDescent="0.2">
      <c r="A316" s="38">
        <v>1</v>
      </c>
      <c r="B316" s="37">
        <v>9292003303495</v>
      </c>
      <c r="C316" s="38">
        <v>10</v>
      </c>
      <c r="D316" s="45" t="s">
        <v>405</v>
      </c>
      <c r="F316" s="38" t="s">
        <v>100</v>
      </c>
      <c r="G316" s="38">
        <v>0</v>
      </c>
      <c r="H316" s="38">
        <v>100</v>
      </c>
      <c r="K316" s="38">
        <v>1</v>
      </c>
      <c r="L316" s="38" t="s">
        <v>101</v>
      </c>
      <c r="M316" s="38" t="s">
        <v>406</v>
      </c>
      <c r="N316" s="38" t="s">
        <v>102</v>
      </c>
      <c r="P316" s="38">
        <v>0</v>
      </c>
      <c r="U316" s="38">
        <v>4</v>
      </c>
      <c r="V316" s="38">
        <v>1</v>
      </c>
      <c r="W316" s="38" t="s">
        <v>103</v>
      </c>
      <c r="X316" s="38">
        <v>0</v>
      </c>
      <c r="AA316" s="45"/>
    </row>
    <row r="317" spans="1:27" x14ac:dyDescent="0.2">
      <c r="A317" s="38">
        <v>1</v>
      </c>
      <c r="B317" s="37">
        <v>9292003303495</v>
      </c>
      <c r="C317" s="38">
        <v>20</v>
      </c>
      <c r="D317" s="45">
        <v>5701603303495</v>
      </c>
      <c r="F317" s="38" t="s">
        <v>100</v>
      </c>
      <c r="G317" s="38">
        <v>0</v>
      </c>
      <c r="H317" s="38">
        <v>100</v>
      </c>
      <c r="K317" s="38">
        <v>1</v>
      </c>
      <c r="L317" s="38" t="s">
        <v>101</v>
      </c>
      <c r="M317" s="38" t="s">
        <v>406</v>
      </c>
      <c r="N317" s="38" t="s">
        <v>102</v>
      </c>
      <c r="P317" s="38">
        <v>0</v>
      </c>
      <c r="U317" s="38">
        <v>4</v>
      </c>
      <c r="V317" s="38">
        <v>1</v>
      </c>
      <c r="W317" s="38" t="s">
        <v>103</v>
      </c>
      <c r="X317" s="38">
        <v>0</v>
      </c>
      <c r="AA317" s="45"/>
    </row>
    <row r="318" spans="1:27" x14ac:dyDescent="0.2">
      <c r="A318" s="38">
        <v>1</v>
      </c>
      <c r="B318" s="37">
        <v>9292003304495</v>
      </c>
      <c r="C318" s="38">
        <v>10</v>
      </c>
      <c r="D318" s="45" t="s">
        <v>405</v>
      </c>
      <c r="F318" s="38" t="s">
        <v>100</v>
      </c>
      <c r="G318" s="38">
        <v>0</v>
      </c>
      <c r="H318" s="38">
        <v>100</v>
      </c>
      <c r="K318" s="38">
        <v>1</v>
      </c>
      <c r="L318" s="38" t="s">
        <v>101</v>
      </c>
      <c r="M318" s="38" t="s">
        <v>406</v>
      </c>
      <c r="N318" s="38" t="s">
        <v>102</v>
      </c>
      <c r="P318" s="38">
        <v>0</v>
      </c>
      <c r="U318" s="38">
        <v>4</v>
      </c>
      <c r="V318" s="38">
        <v>1</v>
      </c>
      <c r="W318" s="38" t="s">
        <v>103</v>
      </c>
      <c r="X318" s="38">
        <v>0</v>
      </c>
      <c r="AA318" s="45"/>
    </row>
    <row r="319" spans="1:27" x14ac:dyDescent="0.2">
      <c r="A319" s="38">
        <v>1</v>
      </c>
      <c r="B319" s="37">
        <v>9292003304495</v>
      </c>
      <c r="C319" s="38">
        <v>20</v>
      </c>
      <c r="D319" s="45">
        <v>5701603304495</v>
      </c>
      <c r="F319" s="38" t="s">
        <v>100</v>
      </c>
      <c r="G319" s="38">
        <v>0</v>
      </c>
      <c r="H319" s="38">
        <v>100</v>
      </c>
      <c r="K319" s="38">
        <v>1</v>
      </c>
      <c r="L319" s="38" t="s">
        <v>101</v>
      </c>
      <c r="M319" s="38" t="s">
        <v>406</v>
      </c>
      <c r="N319" s="38" t="s">
        <v>102</v>
      </c>
      <c r="P319" s="38">
        <v>0</v>
      </c>
      <c r="U319" s="38">
        <v>4</v>
      </c>
      <c r="V319" s="38">
        <v>1</v>
      </c>
      <c r="W319" s="38" t="s">
        <v>103</v>
      </c>
      <c r="X319" s="38">
        <v>0</v>
      </c>
      <c r="AA319" s="45"/>
    </row>
    <row r="320" spans="1:27" x14ac:dyDescent="0.2">
      <c r="A320" s="38">
        <v>1</v>
      </c>
      <c r="B320" s="37">
        <v>9292003305495</v>
      </c>
      <c r="C320" s="38">
        <v>10</v>
      </c>
      <c r="D320" s="45" t="s">
        <v>405</v>
      </c>
      <c r="F320" s="38" t="s">
        <v>100</v>
      </c>
      <c r="G320" s="38">
        <v>0</v>
      </c>
      <c r="H320" s="38">
        <v>100</v>
      </c>
      <c r="K320" s="38">
        <v>1</v>
      </c>
      <c r="L320" s="38" t="s">
        <v>101</v>
      </c>
      <c r="M320" s="38" t="s">
        <v>406</v>
      </c>
      <c r="N320" s="38" t="s">
        <v>102</v>
      </c>
      <c r="P320" s="38">
        <v>0</v>
      </c>
      <c r="U320" s="38">
        <v>4</v>
      </c>
      <c r="V320" s="38">
        <v>1</v>
      </c>
      <c r="W320" s="38" t="s">
        <v>103</v>
      </c>
      <c r="X320" s="38">
        <v>0</v>
      </c>
      <c r="AA320" s="45"/>
    </row>
    <row r="321" spans="1:27" x14ac:dyDescent="0.2">
      <c r="A321" s="38">
        <v>1</v>
      </c>
      <c r="B321" s="37">
        <v>9292003305495</v>
      </c>
      <c r="C321" s="38">
        <v>20</v>
      </c>
      <c r="D321" s="45">
        <v>5701603305495</v>
      </c>
      <c r="F321" s="38" t="s">
        <v>100</v>
      </c>
      <c r="G321" s="38">
        <v>0</v>
      </c>
      <c r="H321" s="38">
        <v>100</v>
      </c>
      <c r="K321" s="38">
        <v>1</v>
      </c>
      <c r="L321" s="38" t="s">
        <v>101</v>
      </c>
      <c r="M321" s="38" t="s">
        <v>406</v>
      </c>
      <c r="N321" s="38" t="s">
        <v>102</v>
      </c>
      <c r="P321" s="38">
        <v>0</v>
      </c>
      <c r="U321" s="38">
        <v>4</v>
      </c>
      <c r="V321" s="38">
        <v>1</v>
      </c>
      <c r="W321" s="38" t="s">
        <v>103</v>
      </c>
      <c r="X321" s="38">
        <v>0</v>
      </c>
      <c r="AA321" s="45"/>
    </row>
    <row r="322" spans="1:27" x14ac:dyDescent="0.2">
      <c r="A322" s="38">
        <v>1</v>
      </c>
      <c r="B322" s="37">
        <v>9292003306495</v>
      </c>
      <c r="C322" s="38">
        <v>10</v>
      </c>
      <c r="D322" s="45" t="s">
        <v>405</v>
      </c>
      <c r="F322" s="38" t="s">
        <v>100</v>
      </c>
      <c r="G322" s="38">
        <v>0</v>
      </c>
      <c r="H322" s="38">
        <v>100</v>
      </c>
      <c r="K322" s="38">
        <v>1</v>
      </c>
      <c r="L322" s="38" t="s">
        <v>101</v>
      </c>
      <c r="M322" s="38" t="s">
        <v>406</v>
      </c>
      <c r="N322" s="38" t="s">
        <v>102</v>
      </c>
      <c r="P322" s="38">
        <v>0</v>
      </c>
      <c r="U322" s="38">
        <v>4</v>
      </c>
      <c r="V322" s="38">
        <v>1</v>
      </c>
      <c r="W322" s="38" t="s">
        <v>103</v>
      </c>
      <c r="X322" s="38">
        <v>0</v>
      </c>
      <c r="AA322" s="45"/>
    </row>
    <row r="323" spans="1:27" x14ac:dyDescent="0.2">
      <c r="A323" s="38">
        <v>1</v>
      </c>
      <c r="B323" s="37">
        <v>9292003306495</v>
      </c>
      <c r="C323" s="38">
        <v>20</v>
      </c>
      <c r="D323" s="45">
        <v>5701603306495</v>
      </c>
      <c r="F323" s="38" t="s">
        <v>100</v>
      </c>
      <c r="G323" s="38">
        <v>0</v>
      </c>
      <c r="H323" s="38">
        <v>100</v>
      </c>
      <c r="K323" s="38">
        <v>1</v>
      </c>
      <c r="L323" s="38" t="s">
        <v>101</v>
      </c>
      <c r="M323" s="38" t="s">
        <v>406</v>
      </c>
      <c r="N323" s="38" t="s">
        <v>102</v>
      </c>
      <c r="P323" s="38">
        <v>0</v>
      </c>
      <c r="U323" s="38">
        <v>4</v>
      </c>
      <c r="V323" s="38">
        <v>1</v>
      </c>
      <c r="W323" s="38" t="s">
        <v>103</v>
      </c>
      <c r="X323" s="38">
        <v>0</v>
      </c>
      <c r="AA323" s="45"/>
    </row>
    <row r="324" spans="1:27" x14ac:dyDescent="0.2">
      <c r="A324" s="38">
        <v>1</v>
      </c>
      <c r="B324" s="37">
        <v>9292003307495</v>
      </c>
      <c r="C324" s="38">
        <v>10</v>
      </c>
      <c r="D324" s="45" t="s">
        <v>405</v>
      </c>
      <c r="F324" s="38" t="s">
        <v>100</v>
      </c>
      <c r="G324" s="38">
        <v>0</v>
      </c>
      <c r="H324" s="38">
        <v>100</v>
      </c>
      <c r="K324" s="38">
        <v>1</v>
      </c>
      <c r="L324" s="38" t="s">
        <v>101</v>
      </c>
      <c r="M324" s="38" t="s">
        <v>406</v>
      </c>
      <c r="N324" s="38" t="s">
        <v>102</v>
      </c>
      <c r="P324" s="38">
        <v>0</v>
      </c>
      <c r="U324" s="38">
        <v>4</v>
      </c>
      <c r="V324" s="38">
        <v>1</v>
      </c>
      <c r="W324" s="38" t="s">
        <v>103</v>
      </c>
      <c r="X324" s="38">
        <v>0</v>
      </c>
      <c r="AA324" s="45"/>
    </row>
    <row r="325" spans="1:27" x14ac:dyDescent="0.2">
      <c r="A325" s="38">
        <v>1</v>
      </c>
      <c r="B325" s="37">
        <v>9292003307495</v>
      </c>
      <c r="C325" s="38">
        <v>20</v>
      </c>
      <c r="D325" s="45">
        <v>5701603307495</v>
      </c>
      <c r="F325" s="38" t="s">
        <v>100</v>
      </c>
      <c r="G325" s="38">
        <v>0</v>
      </c>
      <c r="H325" s="38">
        <v>100</v>
      </c>
      <c r="K325" s="38">
        <v>1</v>
      </c>
      <c r="L325" s="38" t="s">
        <v>101</v>
      </c>
      <c r="M325" s="38" t="s">
        <v>406</v>
      </c>
      <c r="N325" s="38" t="s">
        <v>102</v>
      </c>
      <c r="P325" s="38">
        <v>0</v>
      </c>
      <c r="U325" s="38">
        <v>4</v>
      </c>
      <c r="V325" s="38">
        <v>1</v>
      </c>
      <c r="W325" s="38" t="s">
        <v>103</v>
      </c>
      <c r="X325" s="38">
        <v>0</v>
      </c>
      <c r="AA325" s="45"/>
    </row>
    <row r="326" spans="1:27" x14ac:dyDescent="0.2">
      <c r="A326" s="38">
        <v>1</v>
      </c>
      <c r="B326" s="37">
        <v>9292003308495</v>
      </c>
      <c r="C326" s="38">
        <v>10</v>
      </c>
      <c r="D326" s="45" t="s">
        <v>405</v>
      </c>
      <c r="F326" s="38" t="s">
        <v>100</v>
      </c>
      <c r="G326" s="38">
        <v>0</v>
      </c>
      <c r="H326" s="38">
        <v>100</v>
      </c>
      <c r="K326" s="38">
        <v>1</v>
      </c>
      <c r="L326" s="38" t="s">
        <v>101</v>
      </c>
      <c r="M326" s="38" t="s">
        <v>406</v>
      </c>
      <c r="N326" s="38" t="s">
        <v>102</v>
      </c>
      <c r="P326" s="38">
        <v>0</v>
      </c>
      <c r="U326" s="38">
        <v>4</v>
      </c>
      <c r="V326" s="38">
        <v>1</v>
      </c>
      <c r="W326" s="38" t="s">
        <v>103</v>
      </c>
      <c r="X326" s="38">
        <v>0</v>
      </c>
      <c r="AA326" s="45"/>
    </row>
    <row r="327" spans="1:27" x14ac:dyDescent="0.2">
      <c r="A327" s="38">
        <v>1</v>
      </c>
      <c r="B327" s="37">
        <v>9292003308495</v>
      </c>
      <c r="C327" s="38">
        <v>20</v>
      </c>
      <c r="D327" s="45">
        <v>5701603308495</v>
      </c>
      <c r="F327" s="38" t="s">
        <v>100</v>
      </c>
      <c r="G327" s="38">
        <v>0</v>
      </c>
      <c r="H327" s="38">
        <v>100</v>
      </c>
      <c r="K327" s="38">
        <v>1</v>
      </c>
      <c r="L327" s="38" t="s">
        <v>101</v>
      </c>
      <c r="M327" s="38" t="s">
        <v>406</v>
      </c>
      <c r="N327" s="38" t="s">
        <v>102</v>
      </c>
      <c r="P327" s="38">
        <v>0</v>
      </c>
      <c r="U327" s="38">
        <v>4</v>
      </c>
      <c r="V327" s="38">
        <v>1</v>
      </c>
      <c r="W327" s="38" t="s">
        <v>103</v>
      </c>
      <c r="X327" s="38">
        <v>0</v>
      </c>
      <c r="AA327" s="45"/>
    </row>
    <row r="328" spans="1:27" x14ac:dyDescent="0.2">
      <c r="A328" s="38">
        <v>1</v>
      </c>
      <c r="B328" s="37">
        <v>9292003309495</v>
      </c>
      <c r="C328" s="38">
        <v>10</v>
      </c>
      <c r="D328" s="45" t="s">
        <v>405</v>
      </c>
      <c r="F328" s="38" t="s">
        <v>100</v>
      </c>
      <c r="G328" s="38">
        <v>0</v>
      </c>
      <c r="H328" s="38">
        <v>100</v>
      </c>
      <c r="K328" s="38">
        <v>1</v>
      </c>
      <c r="L328" s="38" t="s">
        <v>101</v>
      </c>
      <c r="M328" s="38" t="s">
        <v>406</v>
      </c>
      <c r="N328" s="38" t="s">
        <v>102</v>
      </c>
      <c r="P328" s="38">
        <v>0</v>
      </c>
      <c r="U328" s="38">
        <v>4</v>
      </c>
      <c r="V328" s="38">
        <v>1</v>
      </c>
      <c r="W328" s="38" t="s">
        <v>103</v>
      </c>
      <c r="X328" s="38">
        <v>0</v>
      </c>
      <c r="AA328" s="45"/>
    </row>
    <row r="329" spans="1:27" x14ac:dyDescent="0.2">
      <c r="A329" s="38">
        <v>1</v>
      </c>
      <c r="B329" s="37">
        <v>9292003309495</v>
      </c>
      <c r="C329" s="38">
        <v>20</v>
      </c>
      <c r="D329" s="45">
        <v>5701603309495</v>
      </c>
      <c r="F329" s="38" t="s">
        <v>100</v>
      </c>
      <c r="G329" s="38">
        <v>0</v>
      </c>
      <c r="H329" s="38">
        <v>100</v>
      </c>
      <c r="K329" s="38">
        <v>1</v>
      </c>
      <c r="L329" s="38" t="s">
        <v>101</v>
      </c>
      <c r="M329" s="38" t="s">
        <v>406</v>
      </c>
      <c r="N329" s="38" t="s">
        <v>102</v>
      </c>
      <c r="P329" s="38">
        <v>0</v>
      </c>
      <c r="U329" s="38">
        <v>4</v>
      </c>
      <c r="V329" s="38">
        <v>1</v>
      </c>
      <c r="W329" s="38" t="s">
        <v>103</v>
      </c>
      <c r="X329" s="38">
        <v>0</v>
      </c>
      <c r="AA329" s="45"/>
    </row>
    <row r="330" spans="1:27" x14ac:dyDescent="0.2">
      <c r="A330" s="38">
        <v>1</v>
      </c>
      <c r="B330" s="37">
        <v>9292003310495</v>
      </c>
      <c r="C330" s="38">
        <v>10</v>
      </c>
      <c r="D330" s="45" t="s">
        <v>405</v>
      </c>
      <c r="F330" s="38" t="s">
        <v>100</v>
      </c>
      <c r="G330" s="38">
        <v>0</v>
      </c>
      <c r="H330" s="38">
        <v>100</v>
      </c>
      <c r="K330" s="38">
        <v>1</v>
      </c>
      <c r="L330" s="38" t="s">
        <v>101</v>
      </c>
      <c r="M330" s="38" t="s">
        <v>406</v>
      </c>
      <c r="N330" s="38" t="s">
        <v>102</v>
      </c>
      <c r="P330" s="38">
        <v>0</v>
      </c>
      <c r="U330" s="38">
        <v>4</v>
      </c>
      <c r="V330" s="38">
        <v>1</v>
      </c>
      <c r="W330" s="38" t="s">
        <v>103</v>
      </c>
      <c r="X330" s="38">
        <v>0</v>
      </c>
      <c r="AA330" s="45"/>
    </row>
    <row r="331" spans="1:27" x14ac:dyDescent="0.2">
      <c r="A331" s="38">
        <v>1</v>
      </c>
      <c r="B331" s="37">
        <v>9292003310495</v>
      </c>
      <c r="C331" s="38">
        <v>20</v>
      </c>
      <c r="D331" s="45">
        <v>5701603310495</v>
      </c>
      <c r="F331" s="38" t="s">
        <v>100</v>
      </c>
      <c r="G331" s="38">
        <v>0</v>
      </c>
      <c r="H331" s="38">
        <v>100</v>
      </c>
      <c r="K331" s="38">
        <v>1</v>
      </c>
      <c r="L331" s="38" t="s">
        <v>101</v>
      </c>
      <c r="M331" s="38" t="s">
        <v>406</v>
      </c>
      <c r="N331" s="38" t="s">
        <v>102</v>
      </c>
      <c r="P331" s="38">
        <v>0</v>
      </c>
      <c r="U331" s="38">
        <v>4</v>
      </c>
      <c r="V331" s="38">
        <v>1</v>
      </c>
      <c r="W331" s="38" t="s">
        <v>103</v>
      </c>
      <c r="X331" s="38">
        <v>0</v>
      </c>
      <c r="AA331" s="45"/>
    </row>
    <row r="332" spans="1:27" x14ac:dyDescent="0.2">
      <c r="A332" s="38">
        <v>1</v>
      </c>
      <c r="B332" s="37">
        <v>9292003300502</v>
      </c>
      <c r="C332" s="38">
        <v>10</v>
      </c>
      <c r="D332" s="45" t="s">
        <v>405</v>
      </c>
      <c r="F332" s="38" t="s">
        <v>100</v>
      </c>
      <c r="G332" s="38">
        <v>0</v>
      </c>
      <c r="H332" s="38">
        <v>100</v>
      </c>
      <c r="K332" s="38">
        <v>1</v>
      </c>
      <c r="L332" s="38" t="s">
        <v>101</v>
      </c>
      <c r="M332" s="38" t="s">
        <v>406</v>
      </c>
      <c r="N332" s="38" t="s">
        <v>102</v>
      </c>
      <c r="P332" s="38">
        <v>0</v>
      </c>
      <c r="U332" s="38">
        <v>4</v>
      </c>
      <c r="V332" s="38">
        <v>1</v>
      </c>
      <c r="W332" s="38" t="s">
        <v>103</v>
      </c>
      <c r="X332" s="38">
        <v>0</v>
      </c>
      <c r="AA332" s="45"/>
    </row>
    <row r="333" spans="1:27" x14ac:dyDescent="0.2">
      <c r="A333" s="38">
        <v>1</v>
      </c>
      <c r="B333" s="37">
        <v>9292003300502</v>
      </c>
      <c r="C333" s="38">
        <v>20</v>
      </c>
      <c r="D333" s="45">
        <v>5701603300502</v>
      </c>
      <c r="F333" s="38" t="s">
        <v>100</v>
      </c>
      <c r="G333" s="38">
        <v>0</v>
      </c>
      <c r="H333" s="38">
        <v>100</v>
      </c>
      <c r="K333" s="38">
        <v>1</v>
      </c>
      <c r="L333" s="38" t="s">
        <v>101</v>
      </c>
      <c r="M333" s="38" t="s">
        <v>406</v>
      </c>
      <c r="N333" s="38" t="s">
        <v>102</v>
      </c>
      <c r="P333" s="38">
        <v>0</v>
      </c>
      <c r="U333" s="38">
        <v>4</v>
      </c>
      <c r="V333" s="38">
        <v>1</v>
      </c>
      <c r="W333" s="38" t="s">
        <v>103</v>
      </c>
      <c r="X333" s="38">
        <v>0</v>
      </c>
      <c r="AA333" s="45"/>
    </row>
    <row r="334" spans="1:27" x14ac:dyDescent="0.2">
      <c r="A334" s="38">
        <v>1</v>
      </c>
      <c r="B334" s="37">
        <v>9292003301502</v>
      </c>
      <c r="C334" s="38">
        <v>10</v>
      </c>
      <c r="D334" s="45" t="s">
        <v>405</v>
      </c>
      <c r="F334" s="38" t="s">
        <v>100</v>
      </c>
      <c r="G334" s="38">
        <v>0</v>
      </c>
      <c r="H334" s="38">
        <v>100</v>
      </c>
      <c r="K334" s="38">
        <v>1</v>
      </c>
      <c r="L334" s="38" t="s">
        <v>101</v>
      </c>
      <c r="M334" s="38" t="s">
        <v>406</v>
      </c>
      <c r="N334" s="38" t="s">
        <v>102</v>
      </c>
      <c r="P334" s="38">
        <v>0</v>
      </c>
      <c r="U334" s="38">
        <v>4</v>
      </c>
      <c r="V334" s="38">
        <v>1</v>
      </c>
      <c r="W334" s="38" t="s">
        <v>103</v>
      </c>
      <c r="X334" s="38">
        <v>0</v>
      </c>
      <c r="AA334" s="45"/>
    </row>
    <row r="335" spans="1:27" x14ac:dyDescent="0.2">
      <c r="A335" s="38">
        <v>1</v>
      </c>
      <c r="B335" s="37">
        <v>9292003301502</v>
      </c>
      <c r="C335" s="38">
        <v>20</v>
      </c>
      <c r="D335" s="45">
        <v>5701603301502</v>
      </c>
      <c r="F335" s="38" t="s">
        <v>100</v>
      </c>
      <c r="G335" s="38">
        <v>0</v>
      </c>
      <c r="H335" s="38">
        <v>100</v>
      </c>
      <c r="K335" s="38">
        <v>1</v>
      </c>
      <c r="L335" s="38" t="s">
        <v>101</v>
      </c>
      <c r="M335" s="38" t="s">
        <v>406</v>
      </c>
      <c r="N335" s="38" t="s">
        <v>102</v>
      </c>
      <c r="P335" s="38">
        <v>0</v>
      </c>
      <c r="U335" s="38">
        <v>4</v>
      </c>
      <c r="V335" s="38">
        <v>1</v>
      </c>
      <c r="W335" s="38" t="s">
        <v>103</v>
      </c>
      <c r="X335" s="38">
        <v>0</v>
      </c>
      <c r="AA335" s="45"/>
    </row>
    <row r="336" spans="1:27" x14ac:dyDescent="0.2">
      <c r="A336" s="38">
        <v>1</v>
      </c>
      <c r="B336" s="37">
        <v>9292003302502</v>
      </c>
      <c r="C336" s="38">
        <v>10</v>
      </c>
      <c r="D336" s="45" t="s">
        <v>405</v>
      </c>
      <c r="F336" s="38" t="s">
        <v>100</v>
      </c>
      <c r="G336" s="38">
        <v>0</v>
      </c>
      <c r="H336" s="38">
        <v>100</v>
      </c>
      <c r="K336" s="38">
        <v>1</v>
      </c>
      <c r="L336" s="38" t="s">
        <v>101</v>
      </c>
      <c r="M336" s="38" t="s">
        <v>406</v>
      </c>
      <c r="N336" s="38" t="s">
        <v>102</v>
      </c>
      <c r="P336" s="38">
        <v>0</v>
      </c>
      <c r="U336" s="38">
        <v>4</v>
      </c>
      <c r="V336" s="38">
        <v>1</v>
      </c>
      <c r="W336" s="38" t="s">
        <v>103</v>
      </c>
      <c r="X336" s="38">
        <v>0</v>
      </c>
      <c r="AA336" s="45"/>
    </row>
    <row r="337" spans="1:27" x14ac:dyDescent="0.2">
      <c r="A337" s="38">
        <v>1</v>
      </c>
      <c r="B337" s="37">
        <v>9292003302502</v>
      </c>
      <c r="C337" s="38">
        <v>20</v>
      </c>
      <c r="D337" s="45">
        <v>5701603302502</v>
      </c>
      <c r="F337" s="38" t="s">
        <v>100</v>
      </c>
      <c r="G337" s="38">
        <v>0</v>
      </c>
      <c r="H337" s="38">
        <v>100</v>
      </c>
      <c r="K337" s="38">
        <v>1</v>
      </c>
      <c r="L337" s="38" t="s">
        <v>101</v>
      </c>
      <c r="M337" s="38" t="s">
        <v>406</v>
      </c>
      <c r="N337" s="38" t="s">
        <v>102</v>
      </c>
      <c r="P337" s="38">
        <v>0</v>
      </c>
      <c r="U337" s="38">
        <v>4</v>
      </c>
      <c r="V337" s="38">
        <v>1</v>
      </c>
      <c r="W337" s="38" t="s">
        <v>103</v>
      </c>
      <c r="X337" s="38">
        <v>0</v>
      </c>
      <c r="AA337" s="45"/>
    </row>
    <row r="338" spans="1:27" x14ac:dyDescent="0.2">
      <c r="A338" s="38">
        <v>1</v>
      </c>
      <c r="B338" s="37">
        <v>9292003303502</v>
      </c>
      <c r="C338" s="38">
        <v>10</v>
      </c>
      <c r="D338" s="45" t="s">
        <v>405</v>
      </c>
      <c r="F338" s="38" t="s">
        <v>100</v>
      </c>
      <c r="G338" s="38">
        <v>0</v>
      </c>
      <c r="H338" s="38">
        <v>100</v>
      </c>
      <c r="K338" s="38">
        <v>1</v>
      </c>
      <c r="L338" s="38" t="s">
        <v>101</v>
      </c>
      <c r="M338" s="38" t="s">
        <v>406</v>
      </c>
      <c r="N338" s="38" t="s">
        <v>102</v>
      </c>
      <c r="P338" s="38">
        <v>0</v>
      </c>
      <c r="U338" s="38">
        <v>4</v>
      </c>
      <c r="V338" s="38">
        <v>1</v>
      </c>
      <c r="W338" s="38" t="s">
        <v>103</v>
      </c>
      <c r="X338" s="38">
        <v>0</v>
      </c>
      <c r="AA338" s="45"/>
    </row>
    <row r="339" spans="1:27" x14ac:dyDescent="0.2">
      <c r="A339" s="38">
        <v>1</v>
      </c>
      <c r="B339" s="37">
        <v>9292003303502</v>
      </c>
      <c r="C339" s="38">
        <v>20</v>
      </c>
      <c r="D339" s="45">
        <v>5701603303502</v>
      </c>
      <c r="F339" s="38" t="s">
        <v>100</v>
      </c>
      <c r="G339" s="38">
        <v>0</v>
      </c>
      <c r="H339" s="38">
        <v>100</v>
      </c>
      <c r="K339" s="38">
        <v>1</v>
      </c>
      <c r="L339" s="38" t="s">
        <v>101</v>
      </c>
      <c r="M339" s="38" t="s">
        <v>406</v>
      </c>
      <c r="N339" s="38" t="s">
        <v>102</v>
      </c>
      <c r="P339" s="38">
        <v>0</v>
      </c>
      <c r="U339" s="38">
        <v>4</v>
      </c>
      <c r="V339" s="38">
        <v>1</v>
      </c>
      <c r="W339" s="38" t="s">
        <v>103</v>
      </c>
      <c r="X339" s="38">
        <v>0</v>
      </c>
      <c r="AA339" s="45"/>
    </row>
    <row r="340" spans="1:27" x14ac:dyDescent="0.2">
      <c r="A340" s="38">
        <v>1</v>
      </c>
      <c r="B340" s="37">
        <v>9292003304502</v>
      </c>
      <c r="C340" s="38">
        <v>10</v>
      </c>
      <c r="D340" s="45" t="s">
        <v>405</v>
      </c>
      <c r="F340" s="38" t="s">
        <v>100</v>
      </c>
      <c r="G340" s="38">
        <v>0</v>
      </c>
      <c r="H340" s="38">
        <v>100</v>
      </c>
      <c r="K340" s="38">
        <v>1</v>
      </c>
      <c r="L340" s="38" t="s">
        <v>101</v>
      </c>
      <c r="M340" s="38" t="s">
        <v>406</v>
      </c>
      <c r="N340" s="38" t="s">
        <v>102</v>
      </c>
      <c r="P340" s="38">
        <v>0</v>
      </c>
      <c r="U340" s="38">
        <v>4</v>
      </c>
      <c r="V340" s="38">
        <v>1</v>
      </c>
      <c r="W340" s="38" t="s">
        <v>103</v>
      </c>
      <c r="X340" s="38">
        <v>0</v>
      </c>
      <c r="AA340" s="45"/>
    </row>
    <row r="341" spans="1:27" x14ac:dyDescent="0.2">
      <c r="A341" s="38">
        <v>1</v>
      </c>
      <c r="B341" s="37">
        <v>9292003304502</v>
      </c>
      <c r="C341" s="38">
        <v>20</v>
      </c>
      <c r="D341" s="45">
        <v>5701603304502</v>
      </c>
      <c r="F341" s="38" t="s">
        <v>100</v>
      </c>
      <c r="G341" s="38">
        <v>0</v>
      </c>
      <c r="H341" s="38">
        <v>100</v>
      </c>
      <c r="K341" s="38">
        <v>1</v>
      </c>
      <c r="L341" s="38" t="s">
        <v>101</v>
      </c>
      <c r="M341" s="38" t="s">
        <v>406</v>
      </c>
      <c r="N341" s="38" t="s">
        <v>102</v>
      </c>
      <c r="P341" s="38">
        <v>0</v>
      </c>
      <c r="U341" s="38">
        <v>4</v>
      </c>
      <c r="V341" s="38">
        <v>1</v>
      </c>
      <c r="W341" s="38" t="s">
        <v>103</v>
      </c>
      <c r="X341" s="38">
        <v>0</v>
      </c>
      <c r="AA341" s="45"/>
    </row>
    <row r="342" spans="1:27" x14ac:dyDescent="0.2">
      <c r="A342" s="38">
        <v>1</v>
      </c>
      <c r="B342" s="37">
        <v>9292003305502</v>
      </c>
      <c r="C342" s="38">
        <v>10</v>
      </c>
      <c r="D342" s="45" t="s">
        <v>405</v>
      </c>
      <c r="F342" s="38" t="s">
        <v>100</v>
      </c>
      <c r="G342" s="38">
        <v>0</v>
      </c>
      <c r="H342" s="38">
        <v>100</v>
      </c>
      <c r="K342" s="38">
        <v>1</v>
      </c>
      <c r="L342" s="38" t="s">
        <v>101</v>
      </c>
      <c r="M342" s="38" t="s">
        <v>406</v>
      </c>
      <c r="N342" s="38" t="s">
        <v>102</v>
      </c>
      <c r="P342" s="38">
        <v>0</v>
      </c>
      <c r="U342" s="38">
        <v>4</v>
      </c>
      <c r="V342" s="38">
        <v>1</v>
      </c>
      <c r="W342" s="38" t="s">
        <v>103</v>
      </c>
      <c r="X342" s="38">
        <v>0</v>
      </c>
      <c r="AA342" s="45"/>
    </row>
    <row r="343" spans="1:27" x14ac:dyDescent="0.2">
      <c r="A343" s="38">
        <v>1</v>
      </c>
      <c r="B343" s="37">
        <v>9292003305502</v>
      </c>
      <c r="C343" s="38">
        <v>20</v>
      </c>
      <c r="D343" s="45">
        <v>5701603305502</v>
      </c>
      <c r="F343" s="38" t="s">
        <v>100</v>
      </c>
      <c r="G343" s="38">
        <v>0</v>
      </c>
      <c r="H343" s="38">
        <v>100</v>
      </c>
      <c r="K343" s="38">
        <v>1</v>
      </c>
      <c r="L343" s="38" t="s">
        <v>101</v>
      </c>
      <c r="M343" s="38" t="s">
        <v>406</v>
      </c>
      <c r="N343" s="38" t="s">
        <v>102</v>
      </c>
      <c r="P343" s="38">
        <v>0</v>
      </c>
      <c r="U343" s="38">
        <v>4</v>
      </c>
      <c r="V343" s="38">
        <v>1</v>
      </c>
      <c r="W343" s="38" t="s">
        <v>103</v>
      </c>
      <c r="X343" s="38">
        <v>0</v>
      </c>
      <c r="AA343" s="45"/>
    </row>
    <row r="344" spans="1:27" x14ac:dyDescent="0.2">
      <c r="A344" s="38">
        <v>1</v>
      </c>
      <c r="B344" s="37">
        <v>9292003306502</v>
      </c>
      <c r="C344" s="38">
        <v>10</v>
      </c>
      <c r="D344" s="45" t="s">
        <v>405</v>
      </c>
      <c r="F344" s="38" t="s">
        <v>100</v>
      </c>
      <c r="G344" s="38">
        <v>0</v>
      </c>
      <c r="H344" s="38">
        <v>100</v>
      </c>
      <c r="K344" s="38">
        <v>1</v>
      </c>
      <c r="L344" s="38" t="s">
        <v>101</v>
      </c>
      <c r="M344" s="38" t="s">
        <v>406</v>
      </c>
      <c r="N344" s="38" t="s">
        <v>102</v>
      </c>
      <c r="P344" s="38">
        <v>0</v>
      </c>
      <c r="U344" s="38">
        <v>4</v>
      </c>
      <c r="V344" s="38">
        <v>1</v>
      </c>
      <c r="W344" s="38" t="s">
        <v>103</v>
      </c>
      <c r="X344" s="38">
        <v>0</v>
      </c>
      <c r="AA344" s="45"/>
    </row>
    <row r="345" spans="1:27" x14ac:dyDescent="0.2">
      <c r="A345" s="38">
        <v>1</v>
      </c>
      <c r="B345" s="37">
        <v>9292003306502</v>
      </c>
      <c r="C345" s="38">
        <v>20</v>
      </c>
      <c r="D345" s="45">
        <v>5701603306502</v>
      </c>
      <c r="F345" s="38" t="s">
        <v>100</v>
      </c>
      <c r="G345" s="38">
        <v>0</v>
      </c>
      <c r="H345" s="38">
        <v>100</v>
      </c>
      <c r="K345" s="38">
        <v>1</v>
      </c>
      <c r="L345" s="38" t="s">
        <v>101</v>
      </c>
      <c r="M345" s="38" t="s">
        <v>406</v>
      </c>
      <c r="N345" s="38" t="s">
        <v>102</v>
      </c>
      <c r="P345" s="38">
        <v>0</v>
      </c>
      <c r="U345" s="38">
        <v>4</v>
      </c>
      <c r="V345" s="38">
        <v>1</v>
      </c>
      <c r="W345" s="38" t="s">
        <v>103</v>
      </c>
      <c r="X345" s="38">
        <v>0</v>
      </c>
      <c r="AA345" s="45"/>
    </row>
    <row r="346" spans="1:27" x14ac:dyDescent="0.2">
      <c r="A346" s="38">
        <v>1</v>
      </c>
      <c r="B346" s="37">
        <v>9292003307502</v>
      </c>
      <c r="C346" s="38">
        <v>10</v>
      </c>
      <c r="D346" s="45" t="s">
        <v>405</v>
      </c>
      <c r="F346" s="38" t="s">
        <v>100</v>
      </c>
      <c r="G346" s="38">
        <v>0</v>
      </c>
      <c r="H346" s="38">
        <v>100</v>
      </c>
      <c r="K346" s="38">
        <v>1</v>
      </c>
      <c r="L346" s="38" t="s">
        <v>101</v>
      </c>
      <c r="M346" s="38" t="s">
        <v>406</v>
      </c>
      <c r="N346" s="38" t="s">
        <v>102</v>
      </c>
      <c r="P346" s="38">
        <v>0</v>
      </c>
      <c r="U346" s="38">
        <v>4</v>
      </c>
      <c r="V346" s="38">
        <v>1</v>
      </c>
      <c r="W346" s="38" t="s">
        <v>103</v>
      </c>
      <c r="X346" s="38">
        <v>0</v>
      </c>
      <c r="AA346" s="45"/>
    </row>
    <row r="347" spans="1:27" x14ac:dyDescent="0.2">
      <c r="A347" s="38">
        <v>1</v>
      </c>
      <c r="B347" s="37">
        <v>9292003307502</v>
      </c>
      <c r="C347" s="38">
        <v>20</v>
      </c>
      <c r="D347" s="45">
        <v>5701603307502</v>
      </c>
      <c r="F347" s="38" t="s">
        <v>100</v>
      </c>
      <c r="G347" s="38">
        <v>0</v>
      </c>
      <c r="H347" s="38">
        <v>100</v>
      </c>
      <c r="K347" s="38">
        <v>1</v>
      </c>
      <c r="L347" s="38" t="s">
        <v>101</v>
      </c>
      <c r="M347" s="38" t="s">
        <v>406</v>
      </c>
      <c r="N347" s="38" t="s">
        <v>102</v>
      </c>
      <c r="P347" s="38">
        <v>0</v>
      </c>
      <c r="U347" s="38">
        <v>4</v>
      </c>
      <c r="V347" s="38">
        <v>1</v>
      </c>
      <c r="W347" s="38" t="s">
        <v>103</v>
      </c>
      <c r="X347" s="38">
        <v>0</v>
      </c>
      <c r="AA347" s="45"/>
    </row>
    <row r="348" spans="1:27" x14ac:dyDescent="0.2">
      <c r="A348" s="38">
        <v>1</v>
      </c>
      <c r="B348" s="37">
        <v>9292003308502</v>
      </c>
      <c r="C348" s="38">
        <v>10</v>
      </c>
      <c r="D348" s="45" t="s">
        <v>405</v>
      </c>
      <c r="F348" s="38" t="s">
        <v>100</v>
      </c>
      <c r="G348" s="38">
        <v>0</v>
      </c>
      <c r="H348" s="38">
        <v>100</v>
      </c>
      <c r="K348" s="38">
        <v>1</v>
      </c>
      <c r="L348" s="38" t="s">
        <v>101</v>
      </c>
      <c r="M348" s="38" t="s">
        <v>406</v>
      </c>
      <c r="N348" s="38" t="s">
        <v>102</v>
      </c>
      <c r="P348" s="38">
        <v>0</v>
      </c>
      <c r="U348" s="38">
        <v>4</v>
      </c>
      <c r="V348" s="38">
        <v>1</v>
      </c>
      <c r="W348" s="38" t="s">
        <v>103</v>
      </c>
      <c r="X348" s="38">
        <v>0</v>
      </c>
      <c r="AA348" s="45"/>
    </row>
    <row r="349" spans="1:27" x14ac:dyDescent="0.2">
      <c r="A349" s="38">
        <v>1</v>
      </c>
      <c r="B349" s="37">
        <v>9292003308502</v>
      </c>
      <c r="C349" s="38">
        <v>20</v>
      </c>
      <c r="D349" s="45">
        <v>5701603308502</v>
      </c>
      <c r="F349" s="38" t="s">
        <v>100</v>
      </c>
      <c r="G349" s="38">
        <v>0</v>
      </c>
      <c r="H349" s="38">
        <v>100</v>
      </c>
      <c r="K349" s="38">
        <v>1</v>
      </c>
      <c r="L349" s="38" t="s">
        <v>101</v>
      </c>
      <c r="M349" s="38" t="s">
        <v>406</v>
      </c>
      <c r="N349" s="38" t="s">
        <v>102</v>
      </c>
      <c r="P349" s="38">
        <v>0</v>
      </c>
      <c r="U349" s="38">
        <v>4</v>
      </c>
      <c r="V349" s="38">
        <v>1</v>
      </c>
      <c r="W349" s="38" t="s">
        <v>103</v>
      </c>
      <c r="X349" s="38">
        <v>0</v>
      </c>
      <c r="AA349" s="45"/>
    </row>
    <row r="350" spans="1:27" x14ac:dyDescent="0.2">
      <c r="A350" s="38">
        <v>1</v>
      </c>
      <c r="B350" s="37">
        <v>9292003309502</v>
      </c>
      <c r="C350" s="38">
        <v>10</v>
      </c>
      <c r="D350" s="45" t="s">
        <v>405</v>
      </c>
      <c r="F350" s="38" t="s">
        <v>100</v>
      </c>
      <c r="G350" s="38">
        <v>0</v>
      </c>
      <c r="H350" s="38">
        <v>100</v>
      </c>
      <c r="K350" s="38">
        <v>1</v>
      </c>
      <c r="L350" s="38" t="s">
        <v>101</v>
      </c>
      <c r="M350" s="38" t="s">
        <v>406</v>
      </c>
      <c r="N350" s="38" t="s">
        <v>102</v>
      </c>
      <c r="P350" s="38">
        <v>0</v>
      </c>
      <c r="U350" s="38">
        <v>4</v>
      </c>
      <c r="V350" s="38">
        <v>1</v>
      </c>
      <c r="W350" s="38" t="s">
        <v>103</v>
      </c>
      <c r="X350" s="38">
        <v>0</v>
      </c>
      <c r="AA350" s="45"/>
    </row>
    <row r="351" spans="1:27" x14ac:dyDescent="0.2">
      <c r="A351" s="38">
        <v>1</v>
      </c>
      <c r="B351" s="37">
        <v>9292003309502</v>
      </c>
      <c r="C351" s="38">
        <v>20</v>
      </c>
      <c r="D351" s="45">
        <v>5701603309502</v>
      </c>
      <c r="F351" s="38" t="s">
        <v>100</v>
      </c>
      <c r="G351" s="38">
        <v>0</v>
      </c>
      <c r="H351" s="38">
        <v>100</v>
      </c>
      <c r="K351" s="38">
        <v>1</v>
      </c>
      <c r="L351" s="38" t="s">
        <v>101</v>
      </c>
      <c r="M351" s="38" t="s">
        <v>406</v>
      </c>
      <c r="N351" s="38" t="s">
        <v>102</v>
      </c>
      <c r="P351" s="38">
        <v>0</v>
      </c>
      <c r="U351" s="38">
        <v>4</v>
      </c>
      <c r="V351" s="38">
        <v>1</v>
      </c>
      <c r="W351" s="38" t="s">
        <v>103</v>
      </c>
      <c r="X351" s="38">
        <v>0</v>
      </c>
      <c r="AA351" s="45"/>
    </row>
    <row r="352" spans="1:27" x14ac:dyDescent="0.2">
      <c r="A352" s="38">
        <v>1</v>
      </c>
      <c r="B352" s="37">
        <v>9292003310502</v>
      </c>
      <c r="C352" s="38">
        <v>10</v>
      </c>
      <c r="D352" s="45" t="s">
        <v>405</v>
      </c>
      <c r="F352" s="38" t="s">
        <v>100</v>
      </c>
      <c r="G352" s="38">
        <v>0</v>
      </c>
      <c r="H352" s="38">
        <v>100</v>
      </c>
      <c r="K352" s="38">
        <v>1</v>
      </c>
      <c r="L352" s="38" t="s">
        <v>101</v>
      </c>
      <c r="M352" s="38" t="s">
        <v>406</v>
      </c>
      <c r="N352" s="38" t="s">
        <v>102</v>
      </c>
      <c r="P352" s="38">
        <v>0</v>
      </c>
      <c r="U352" s="38">
        <v>4</v>
      </c>
      <c r="V352" s="38">
        <v>1</v>
      </c>
      <c r="W352" s="38" t="s">
        <v>103</v>
      </c>
      <c r="X352" s="38">
        <v>0</v>
      </c>
      <c r="AA352" s="45"/>
    </row>
    <row r="353" spans="1:27" x14ac:dyDescent="0.2">
      <c r="A353" s="38">
        <v>1</v>
      </c>
      <c r="B353" s="37">
        <v>9292003310502</v>
      </c>
      <c r="C353" s="38">
        <v>20</v>
      </c>
      <c r="D353" s="45">
        <v>5701603310502</v>
      </c>
      <c r="F353" s="38" t="s">
        <v>100</v>
      </c>
      <c r="G353" s="38">
        <v>0</v>
      </c>
      <c r="H353" s="38">
        <v>100</v>
      </c>
      <c r="K353" s="38">
        <v>1</v>
      </c>
      <c r="L353" s="38" t="s">
        <v>101</v>
      </c>
      <c r="M353" s="38" t="s">
        <v>406</v>
      </c>
      <c r="N353" s="38" t="s">
        <v>102</v>
      </c>
      <c r="P353" s="38">
        <v>0</v>
      </c>
      <c r="U353" s="38">
        <v>4</v>
      </c>
      <c r="V353" s="38">
        <v>1</v>
      </c>
      <c r="W353" s="38" t="s">
        <v>103</v>
      </c>
      <c r="X353" s="38">
        <v>0</v>
      </c>
      <c r="AA353" s="45"/>
    </row>
    <row r="354" spans="1:27" x14ac:dyDescent="0.2">
      <c r="A354" s="38">
        <v>1</v>
      </c>
      <c r="B354" s="37">
        <v>9292003300305</v>
      </c>
      <c r="C354" s="38">
        <v>10</v>
      </c>
      <c r="D354" s="45" t="s">
        <v>405</v>
      </c>
      <c r="F354" s="38" t="s">
        <v>100</v>
      </c>
      <c r="G354" s="38">
        <v>0</v>
      </c>
      <c r="H354" s="38">
        <v>100</v>
      </c>
      <c r="K354" s="38">
        <v>1</v>
      </c>
      <c r="L354" s="38" t="s">
        <v>101</v>
      </c>
      <c r="M354" s="38" t="s">
        <v>406</v>
      </c>
      <c r="N354" s="38" t="s">
        <v>102</v>
      </c>
      <c r="P354" s="38">
        <v>0</v>
      </c>
      <c r="U354" s="38">
        <v>4</v>
      </c>
      <c r="V354" s="38">
        <v>1</v>
      </c>
      <c r="W354" s="38" t="s">
        <v>103</v>
      </c>
      <c r="X354" s="38">
        <v>0</v>
      </c>
      <c r="AA354" s="45"/>
    </row>
    <row r="355" spans="1:27" x14ac:dyDescent="0.2">
      <c r="A355" s="38">
        <v>1</v>
      </c>
      <c r="B355" s="37">
        <v>9292003300305</v>
      </c>
      <c r="C355" s="38">
        <v>20</v>
      </c>
      <c r="D355" s="45">
        <v>5701603300305</v>
      </c>
      <c r="F355" s="38" t="s">
        <v>100</v>
      </c>
      <c r="G355" s="38">
        <v>0</v>
      </c>
      <c r="H355" s="38">
        <v>100</v>
      </c>
      <c r="K355" s="38">
        <v>1</v>
      </c>
      <c r="L355" s="38" t="s">
        <v>101</v>
      </c>
      <c r="M355" s="38" t="s">
        <v>406</v>
      </c>
      <c r="N355" s="38" t="s">
        <v>102</v>
      </c>
      <c r="P355" s="38">
        <v>0</v>
      </c>
      <c r="U355" s="38">
        <v>4</v>
      </c>
      <c r="V355" s="38">
        <v>1</v>
      </c>
      <c r="W355" s="38" t="s">
        <v>103</v>
      </c>
      <c r="X355" s="38">
        <v>0</v>
      </c>
      <c r="AA355" s="45"/>
    </row>
    <row r="356" spans="1:27" x14ac:dyDescent="0.2">
      <c r="A356" s="38">
        <v>1</v>
      </c>
      <c r="B356" s="37">
        <v>9292003301305</v>
      </c>
      <c r="C356" s="38">
        <v>10</v>
      </c>
      <c r="D356" s="45" t="s">
        <v>405</v>
      </c>
      <c r="F356" s="38" t="s">
        <v>100</v>
      </c>
      <c r="G356" s="38">
        <v>0</v>
      </c>
      <c r="H356" s="38">
        <v>100</v>
      </c>
      <c r="K356" s="38">
        <v>1</v>
      </c>
      <c r="L356" s="38" t="s">
        <v>101</v>
      </c>
      <c r="M356" s="38" t="s">
        <v>406</v>
      </c>
      <c r="N356" s="38" t="s">
        <v>102</v>
      </c>
      <c r="P356" s="38">
        <v>0</v>
      </c>
      <c r="U356" s="38">
        <v>4</v>
      </c>
      <c r="V356" s="38">
        <v>1</v>
      </c>
      <c r="W356" s="38" t="s">
        <v>103</v>
      </c>
      <c r="X356" s="38">
        <v>0</v>
      </c>
      <c r="AA356" s="45"/>
    </row>
    <row r="357" spans="1:27" x14ac:dyDescent="0.2">
      <c r="A357" s="38">
        <v>1</v>
      </c>
      <c r="B357" s="37">
        <v>9292003301305</v>
      </c>
      <c r="C357" s="38">
        <v>20</v>
      </c>
      <c r="D357" s="45">
        <v>5701603301305</v>
      </c>
      <c r="F357" s="38" t="s">
        <v>100</v>
      </c>
      <c r="G357" s="38">
        <v>0</v>
      </c>
      <c r="H357" s="38">
        <v>100</v>
      </c>
      <c r="K357" s="38">
        <v>1</v>
      </c>
      <c r="L357" s="38" t="s">
        <v>101</v>
      </c>
      <c r="M357" s="38" t="s">
        <v>406</v>
      </c>
      <c r="N357" s="38" t="s">
        <v>102</v>
      </c>
      <c r="P357" s="38">
        <v>0</v>
      </c>
      <c r="U357" s="38">
        <v>4</v>
      </c>
      <c r="V357" s="38">
        <v>1</v>
      </c>
      <c r="W357" s="38" t="s">
        <v>103</v>
      </c>
      <c r="X357" s="38">
        <v>0</v>
      </c>
      <c r="AA357" s="45"/>
    </row>
    <row r="358" spans="1:27" x14ac:dyDescent="0.2">
      <c r="A358" s="38">
        <v>1</v>
      </c>
      <c r="B358" s="37">
        <v>9292003302305</v>
      </c>
      <c r="C358" s="38">
        <v>10</v>
      </c>
      <c r="D358" s="45" t="s">
        <v>405</v>
      </c>
      <c r="F358" s="38" t="s">
        <v>100</v>
      </c>
      <c r="G358" s="38">
        <v>0</v>
      </c>
      <c r="H358" s="38">
        <v>100</v>
      </c>
      <c r="K358" s="38">
        <v>1</v>
      </c>
      <c r="L358" s="38" t="s">
        <v>101</v>
      </c>
      <c r="M358" s="38" t="s">
        <v>406</v>
      </c>
      <c r="N358" s="38" t="s">
        <v>102</v>
      </c>
      <c r="P358" s="38">
        <v>0</v>
      </c>
      <c r="U358" s="38">
        <v>4</v>
      </c>
      <c r="V358" s="38">
        <v>1</v>
      </c>
      <c r="W358" s="38" t="s">
        <v>103</v>
      </c>
      <c r="X358" s="38">
        <v>0</v>
      </c>
      <c r="AA358" s="45"/>
    </row>
    <row r="359" spans="1:27" x14ac:dyDescent="0.2">
      <c r="A359" s="38">
        <v>1</v>
      </c>
      <c r="B359" s="37">
        <v>9292003302305</v>
      </c>
      <c r="C359" s="38">
        <v>20</v>
      </c>
      <c r="D359" s="45">
        <v>5701603302305</v>
      </c>
      <c r="F359" s="38" t="s">
        <v>100</v>
      </c>
      <c r="G359" s="38">
        <v>0</v>
      </c>
      <c r="H359" s="38">
        <v>100</v>
      </c>
      <c r="K359" s="38">
        <v>1</v>
      </c>
      <c r="L359" s="38" t="s">
        <v>101</v>
      </c>
      <c r="M359" s="38" t="s">
        <v>406</v>
      </c>
      <c r="N359" s="38" t="s">
        <v>102</v>
      </c>
      <c r="P359" s="38">
        <v>0</v>
      </c>
      <c r="U359" s="38">
        <v>4</v>
      </c>
      <c r="V359" s="38">
        <v>1</v>
      </c>
      <c r="W359" s="38" t="s">
        <v>103</v>
      </c>
      <c r="X359" s="38">
        <v>0</v>
      </c>
      <c r="AA359" s="45"/>
    </row>
    <row r="360" spans="1:27" x14ac:dyDescent="0.2">
      <c r="A360" s="38">
        <v>1</v>
      </c>
      <c r="B360" s="37">
        <v>9292003303305</v>
      </c>
      <c r="C360" s="38">
        <v>10</v>
      </c>
      <c r="D360" s="45" t="s">
        <v>405</v>
      </c>
      <c r="F360" s="38" t="s">
        <v>100</v>
      </c>
      <c r="G360" s="38">
        <v>0</v>
      </c>
      <c r="H360" s="38">
        <v>100</v>
      </c>
      <c r="K360" s="38">
        <v>1</v>
      </c>
      <c r="L360" s="38" t="s">
        <v>101</v>
      </c>
      <c r="M360" s="38" t="s">
        <v>406</v>
      </c>
      <c r="N360" s="38" t="s">
        <v>102</v>
      </c>
      <c r="P360" s="38">
        <v>0</v>
      </c>
      <c r="U360" s="38">
        <v>4</v>
      </c>
      <c r="V360" s="38">
        <v>1</v>
      </c>
      <c r="W360" s="38" t="s">
        <v>103</v>
      </c>
      <c r="X360" s="38">
        <v>0</v>
      </c>
      <c r="AA360" s="45"/>
    </row>
    <row r="361" spans="1:27" x14ac:dyDescent="0.2">
      <c r="A361" s="38">
        <v>1</v>
      </c>
      <c r="B361" s="37">
        <v>9292003303305</v>
      </c>
      <c r="C361" s="38">
        <v>20</v>
      </c>
      <c r="D361" s="45">
        <v>5701603303305</v>
      </c>
      <c r="F361" s="38" t="s">
        <v>100</v>
      </c>
      <c r="G361" s="38">
        <v>0</v>
      </c>
      <c r="H361" s="38">
        <v>100</v>
      </c>
      <c r="K361" s="38">
        <v>1</v>
      </c>
      <c r="L361" s="38" t="s">
        <v>101</v>
      </c>
      <c r="M361" s="38" t="s">
        <v>406</v>
      </c>
      <c r="N361" s="38" t="s">
        <v>102</v>
      </c>
      <c r="P361" s="38">
        <v>0</v>
      </c>
      <c r="U361" s="38">
        <v>4</v>
      </c>
      <c r="V361" s="38">
        <v>1</v>
      </c>
      <c r="W361" s="38" t="s">
        <v>103</v>
      </c>
      <c r="X361" s="38">
        <v>0</v>
      </c>
      <c r="AA361" s="45"/>
    </row>
    <row r="362" spans="1:27" x14ac:dyDescent="0.2">
      <c r="A362" s="38">
        <v>1</v>
      </c>
      <c r="B362" s="37">
        <v>9292003304305</v>
      </c>
      <c r="C362" s="38">
        <v>10</v>
      </c>
      <c r="D362" s="45" t="s">
        <v>405</v>
      </c>
      <c r="F362" s="38" t="s">
        <v>100</v>
      </c>
      <c r="G362" s="38">
        <v>0</v>
      </c>
      <c r="H362" s="38">
        <v>100</v>
      </c>
      <c r="K362" s="38">
        <v>1</v>
      </c>
      <c r="L362" s="38" t="s">
        <v>101</v>
      </c>
      <c r="M362" s="38" t="s">
        <v>406</v>
      </c>
      <c r="N362" s="38" t="s">
        <v>102</v>
      </c>
      <c r="P362" s="38">
        <v>0</v>
      </c>
      <c r="U362" s="38">
        <v>4</v>
      </c>
      <c r="V362" s="38">
        <v>1</v>
      </c>
      <c r="W362" s="38" t="s">
        <v>103</v>
      </c>
      <c r="X362" s="38">
        <v>0</v>
      </c>
      <c r="AA362" s="45"/>
    </row>
    <row r="363" spans="1:27" x14ac:dyDescent="0.2">
      <c r="A363" s="38">
        <v>1</v>
      </c>
      <c r="B363" s="37">
        <v>9292003304305</v>
      </c>
      <c r="C363" s="38">
        <v>20</v>
      </c>
      <c r="D363" s="45">
        <v>5701603304305</v>
      </c>
      <c r="F363" s="38" t="s">
        <v>100</v>
      </c>
      <c r="G363" s="38">
        <v>0</v>
      </c>
      <c r="H363" s="38">
        <v>100</v>
      </c>
      <c r="K363" s="38">
        <v>1</v>
      </c>
      <c r="L363" s="38" t="s">
        <v>101</v>
      </c>
      <c r="M363" s="38" t="s">
        <v>406</v>
      </c>
      <c r="N363" s="38" t="s">
        <v>102</v>
      </c>
      <c r="P363" s="38">
        <v>0</v>
      </c>
      <c r="U363" s="38">
        <v>4</v>
      </c>
      <c r="V363" s="38">
        <v>1</v>
      </c>
      <c r="W363" s="38" t="s">
        <v>103</v>
      </c>
      <c r="X363" s="38">
        <v>0</v>
      </c>
      <c r="AA363" s="45"/>
    </row>
    <row r="364" spans="1:27" x14ac:dyDescent="0.2">
      <c r="A364" s="38">
        <v>1</v>
      </c>
      <c r="B364" s="37">
        <v>9292003305305</v>
      </c>
      <c r="C364" s="38">
        <v>10</v>
      </c>
      <c r="D364" s="45" t="s">
        <v>405</v>
      </c>
      <c r="F364" s="38" t="s">
        <v>100</v>
      </c>
      <c r="G364" s="38">
        <v>0</v>
      </c>
      <c r="H364" s="38">
        <v>100</v>
      </c>
      <c r="K364" s="38">
        <v>1</v>
      </c>
      <c r="L364" s="38" t="s">
        <v>101</v>
      </c>
      <c r="M364" s="38" t="s">
        <v>406</v>
      </c>
      <c r="N364" s="38" t="s">
        <v>102</v>
      </c>
      <c r="P364" s="38">
        <v>0</v>
      </c>
      <c r="U364" s="38">
        <v>4</v>
      </c>
      <c r="V364" s="38">
        <v>1</v>
      </c>
      <c r="W364" s="38" t="s">
        <v>103</v>
      </c>
      <c r="X364" s="38">
        <v>0</v>
      </c>
      <c r="AA364" s="45"/>
    </row>
    <row r="365" spans="1:27" x14ac:dyDescent="0.2">
      <c r="A365" s="38">
        <v>1</v>
      </c>
      <c r="B365" s="37">
        <v>9292003305305</v>
      </c>
      <c r="C365" s="38">
        <v>20</v>
      </c>
      <c r="D365" s="45">
        <v>5701603305305</v>
      </c>
      <c r="F365" s="38" t="s">
        <v>100</v>
      </c>
      <c r="G365" s="38">
        <v>0</v>
      </c>
      <c r="H365" s="38">
        <v>100</v>
      </c>
      <c r="K365" s="38">
        <v>1</v>
      </c>
      <c r="L365" s="38" t="s">
        <v>101</v>
      </c>
      <c r="M365" s="38" t="s">
        <v>406</v>
      </c>
      <c r="N365" s="38" t="s">
        <v>102</v>
      </c>
      <c r="P365" s="38">
        <v>0</v>
      </c>
      <c r="U365" s="38">
        <v>4</v>
      </c>
      <c r="V365" s="38">
        <v>1</v>
      </c>
      <c r="W365" s="38" t="s">
        <v>103</v>
      </c>
      <c r="X365" s="38">
        <v>0</v>
      </c>
      <c r="AA365" s="45"/>
    </row>
    <row r="366" spans="1:27" x14ac:dyDescent="0.2">
      <c r="A366" s="38">
        <v>1</v>
      </c>
      <c r="B366" s="37">
        <v>9292003306305</v>
      </c>
      <c r="C366" s="38">
        <v>10</v>
      </c>
      <c r="D366" s="45" t="s">
        <v>405</v>
      </c>
      <c r="F366" s="38" t="s">
        <v>100</v>
      </c>
      <c r="G366" s="38">
        <v>0</v>
      </c>
      <c r="H366" s="38">
        <v>100</v>
      </c>
      <c r="K366" s="38">
        <v>1</v>
      </c>
      <c r="L366" s="38" t="s">
        <v>101</v>
      </c>
      <c r="M366" s="38" t="s">
        <v>406</v>
      </c>
      <c r="N366" s="38" t="s">
        <v>102</v>
      </c>
      <c r="P366" s="38">
        <v>0</v>
      </c>
      <c r="U366" s="38">
        <v>4</v>
      </c>
      <c r="V366" s="38">
        <v>1</v>
      </c>
      <c r="W366" s="38" t="s">
        <v>103</v>
      </c>
      <c r="X366" s="38">
        <v>0</v>
      </c>
      <c r="AA366" s="45"/>
    </row>
    <row r="367" spans="1:27" x14ac:dyDescent="0.2">
      <c r="A367" s="38">
        <v>1</v>
      </c>
      <c r="B367" s="37">
        <v>9292003306305</v>
      </c>
      <c r="C367" s="38">
        <v>20</v>
      </c>
      <c r="D367" s="45">
        <v>5701603306305</v>
      </c>
      <c r="F367" s="38" t="s">
        <v>100</v>
      </c>
      <c r="G367" s="38">
        <v>0</v>
      </c>
      <c r="H367" s="38">
        <v>100</v>
      </c>
      <c r="K367" s="38">
        <v>1</v>
      </c>
      <c r="L367" s="38" t="s">
        <v>101</v>
      </c>
      <c r="M367" s="38" t="s">
        <v>406</v>
      </c>
      <c r="N367" s="38" t="s">
        <v>102</v>
      </c>
      <c r="P367" s="38">
        <v>0</v>
      </c>
      <c r="U367" s="38">
        <v>4</v>
      </c>
      <c r="V367" s="38">
        <v>1</v>
      </c>
      <c r="W367" s="38" t="s">
        <v>103</v>
      </c>
      <c r="X367" s="38">
        <v>0</v>
      </c>
      <c r="AA367" s="45"/>
    </row>
    <row r="368" spans="1:27" x14ac:dyDescent="0.2">
      <c r="A368" s="38">
        <v>1</v>
      </c>
      <c r="B368" s="37">
        <v>9292003307305</v>
      </c>
      <c r="C368" s="38">
        <v>10</v>
      </c>
      <c r="D368" s="45" t="s">
        <v>405</v>
      </c>
      <c r="F368" s="38" t="s">
        <v>100</v>
      </c>
      <c r="G368" s="38">
        <v>0</v>
      </c>
      <c r="H368" s="38">
        <v>100</v>
      </c>
      <c r="K368" s="38">
        <v>1</v>
      </c>
      <c r="L368" s="38" t="s">
        <v>101</v>
      </c>
      <c r="M368" s="38" t="s">
        <v>406</v>
      </c>
      <c r="N368" s="38" t="s">
        <v>102</v>
      </c>
      <c r="P368" s="38">
        <v>0</v>
      </c>
      <c r="U368" s="38">
        <v>4</v>
      </c>
      <c r="V368" s="38">
        <v>1</v>
      </c>
      <c r="W368" s="38" t="s">
        <v>103</v>
      </c>
      <c r="X368" s="38">
        <v>0</v>
      </c>
      <c r="AA368" s="45"/>
    </row>
    <row r="369" spans="1:27" x14ac:dyDescent="0.2">
      <c r="A369" s="38">
        <v>1</v>
      </c>
      <c r="B369" s="37">
        <v>9292003307305</v>
      </c>
      <c r="C369" s="38">
        <v>20</v>
      </c>
      <c r="D369" s="45">
        <v>5701603307305</v>
      </c>
      <c r="F369" s="38" t="s">
        <v>100</v>
      </c>
      <c r="G369" s="38">
        <v>0</v>
      </c>
      <c r="H369" s="38">
        <v>100</v>
      </c>
      <c r="K369" s="38">
        <v>1</v>
      </c>
      <c r="L369" s="38" t="s">
        <v>101</v>
      </c>
      <c r="M369" s="38" t="s">
        <v>406</v>
      </c>
      <c r="N369" s="38" t="s">
        <v>102</v>
      </c>
      <c r="P369" s="38">
        <v>0</v>
      </c>
      <c r="U369" s="38">
        <v>4</v>
      </c>
      <c r="V369" s="38">
        <v>1</v>
      </c>
      <c r="W369" s="38" t="s">
        <v>103</v>
      </c>
      <c r="X369" s="38">
        <v>0</v>
      </c>
      <c r="AA369" s="45"/>
    </row>
    <row r="370" spans="1:27" x14ac:dyDescent="0.2">
      <c r="A370" s="38">
        <v>1</v>
      </c>
      <c r="B370" s="37">
        <v>9292003308305</v>
      </c>
      <c r="C370" s="38">
        <v>10</v>
      </c>
      <c r="D370" s="45" t="s">
        <v>405</v>
      </c>
      <c r="F370" s="38" t="s">
        <v>100</v>
      </c>
      <c r="G370" s="38">
        <v>0</v>
      </c>
      <c r="H370" s="38">
        <v>100</v>
      </c>
      <c r="K370" s="38">
        <v>1</v>
      </c>
      <c r="L370" s="38" t="s">
        <v>101</v>
      </c>
      <c r="M370" s="38" t="s">
        <v>406</v>
      </c>
      <c r="N370" s="38" t="s">
        <v>102</v>
      </c>
      <c r="P370" s="38">
        <v>0</v>
      </c>
      <c r="U370" s="38">
        <v>4</v>
      </c>
      <c r="V370" s="38">
        <v>1</v>
      </c>
      <c r="W370" s="38" t="s">
        <v>103</v>
      </c>
      <c r="X370" s="38">
        <v>0</v>
      </c>
      <c r="AA370" s="45"/>
    </row>
    <row r="371" spans="1:27" x14ac:dyDescent="0.2">
      <c r="A371" s="38">
        <v>1</v>
      </c>
      <c r="B371" s="37">
        <v>9292003308305</v>
      </c>
      <c r="C371" s="38">
        <v>20</v>
      </c>
      <c r="D371" s="45">
        <v>5701603308305</v>
      </c>
      <c r="F371" s="38" t="s">
        <v>100</v>
      </c>
      <c r="G371" s="38">
        <v>0</v>
      </c>
      <c r="H371" s="38">
        <v>100</v>
      </c>
      <c r="K371" s="38">
        <v>1</v>
      </c>
      <c r="L371" s="38" t="s">
        <v>101</v>
      </c>
      <c r="M371" s="38" t="s">
        <v>406</v>
      </c>
      <c r="N371" s="38" t="s">
        <v>102</v>
      </c>
      <c r="P371" s="38">
        <v>0</v>
      </c>
      <c r="U371" s="38">
        <v>4</v>
      </c>
      <c r="V371" s="38">
        <v>1</v>
      </c>
      <c r="W371" s="38" t="s">
        <v>103</v>
      </c>
      <c r="X371" s="38">
        <v>0</v>
      </c>
      <c r="AA371" s="45"/>
    </row>
    <row r="372" spans="1:27" x14ac:dyDescent="0.2">
      <c r="A372" s="38">
        <v>1</v>
      </c>
      <c r="B372" s="37">
        <v>9292003309305</v>
      </c>
      <c r="C372" s="38">
        <v>10</v>
      </c>
      <c r="D372" s="45" t="s">
        <v>405</v>
      </c>
      <c r="F372" s="38" t="s">
        <v>100</v>
      </c>
      <c r="G372" s="38">
        <v>0</v>
      </c>
      <c r="H372" s="38">
        <v>100</v>
      </c>
      <c r="K372" s="38">
        <v>1</v>
      </c>
      <c r="L372" s="38" t="s">
        <v>101</v>
      </c>
      <c r="M372" s="38" t="s">
        <v>406</v>
      </c>
      <c r="N372" s="38" t="s">
        <v>102</v>
      </c>
      <c r="P372" s="38">
        <v>0</v>
      </c>
      <c r="U372" s="38">
        <v>4</v>
      </c>
      <c r="V372" s="38">
        <v>1</v>
      </c>
      <c r="W372" s="38" t="s">
        <v>103</v>
      </c>
      <c r="X372" s="38">
        <v>0</v>
      </c>
      <c r="AA372" s="45"/>
    </row>
    <row r="373" spans="1:27" x14ac:dyDescent="0.2">
      <c r="A373" s="38">
        <v>1</v>
      </c>
      <c r="B373" s="37">
        <v>9292003309305</v>
      </c>
      <c r="C373" s="38">
        <v>20</v>
      </c>
      <c r="D373" s="45">
        <v>5701603309305</v>
      </c>
      <c r="F373" s="38" t="s">
        <v>100</v>
      </c>
      <c r="G373" s="38">
        <v>0</v>
      </c>
      <c r="H373" s="38">
        <v>100</v>
      </c>
      <c r="K373" s="38">
        <v>1</v>
      </c>
      <c r="L373" s="38" t="s">
        <v>101</v>
      </c>
      <c r="M373" s="38" t="s">
        <v>406</v>
      </c>
      <c r="N373" s="38" t="s">
        <v>102</v>
      </c>
      <c r="P373" s="38">
        <v>0</v>
      </c>
      <c r="U373" s="38">
        <v>4</v>
      </c>
      <c r="V373" s="38">
        <v>1</v>
      </c>
      <c r="W373" s="38" t="s">
        <v>103</v>
      </c>
      <c r="X373" s="38">
        <v>0</v>
      </c>
      <c r="AA373" s="45"/>
    </row>
    <row r="374" spans="1:27" x14ac:dyDescent="0.2">
      <c r="A374" s="38">
        <v>1</v>
      </c>
      <c r="B374" s="37">
        <v>9292003310305</v>
      </c>
      <c r="C374" s="38">
        <v>10</v>
      </c>
      <c r="D374" s="45" t="s">
        <v>405</v>
      </c>
      <c r="F374" s="38" t="s">
        <v>100</v>
      </c>
      <c r="G374" s="38">
        <v>0</v>
      </c>
      <c r="H374" s="38">
        <v>100</v>
      </c>
      <c r="K374" s="38">
        <v>1</v>
      </c>
      <c r="L374" s="38" t="s">
        <v>101</v>
      </c>
      <c r="M374" s="38" t="s">
        <v>406</v>
      </c>
      <c r="N374" s="38" t="s">
        <v>102</v>
      </c>
      <c r="P374" s="38">
        <v>0</v>
      </c>
      <c r="U374" s="38">
        <v>4</v>
      </c>
      <c r="V374" s="38">
        <v>1</v>
      </c>
      <c r="W374" s="38" t="s">
        <v>103</v>
      </c>
      <c r="X374" s="38">
        <v>0</v>
      </c>
      <c r="AA374" s="45"/>
    </row>
    <row r="375" spans="1:27" x14ac:dyDescent="0.2">
      <c r="A375" s="38">
        <v>1</v>
      </c>
      <c r="B375" s="37">
        <v>9292003310305</v>
      </c>
      <c r="C375" s="38">
        <v>20</v>
      </c>
      <c r="D375" s="45">
        <v>5701603310305</v>
      </c>
      <c r="F375" s="38" t="s">
        <v>100</v>
      </c>
      <c r="G375" s="38">
        <v>0</v>
      </c>
      <c r="H375" s="38">
        <v>100</v>
      </c>
      <c r="K375" s="38">
        <v>1</v>
      </c>
      <c r="L375" s="38" t="s">
        <v>101</v>
      </c>
      <c r="M375" s="38" t="s">
        <v>406</v>
      </c>
      <c r="N375" s="38" t="s">
        <v>102</v>
      </c>
      <c r="P375" s="38">
        <v>0</v>
      </c>
      <c r="U375" s="38">
        <v>4</v>
      </c>
      <c r="V375" s="38">
        <v>1</v>
      </c>
      <c r="W375" s="38" t="s">
        <v>103</v>
      </c>
      <c r="X375" s="38">
        <v>0</v>
      </c>
      <c r="AA375" s="45"/>
    </row>
    <row r="376" spans="1:27" x14ac:dyDescent="0.2">
      <c r="A376" s="38">
        <v>1</v>
      </c>
      <c r="B376" s="37">
        <v>9292003300306</v>
      </c>
      <c r="C376" s="38">
        <v>10</v>
      </c>
      <c r="D376" s="45" t="s">
        <v>405</v>
      </c>
      <c r="F376" s="38" t="s">
        <v>100</v>
      </c>
      <c r="G376" s="38">
        <v>0</v>
      </c>
      <c r="H376" s="38">
        <v>100</v>
      </c>
      <c r="K376" s="38">
        <v>1</v>
      </c>
      <c r="L376" s="38" t="s">
        <v>101</v>
      </c>
      <c r="M376" s="38" t="s">
        <v>406</v>
      </c>
      <c r="N376" s="38" t="s">
        <v>102</v>
      </c>
      <c r="P376" s="38">
        <v>0</v>
      </c>
      <c r="U376" s="38">
        <v>4</v>
      </c>
      <c r="V376" s="38">
        <v>1</v>
      </c>
      <c r="W376" s="38" t="s">
        <v>103</v>
      </c>
      <c r="X376" s="38">
        <v>0</v>
      </c>
      <c r="AA376" s="45"/>
    </row>
    <row r="377" spans="1:27" x14ac:dyDescent="0.2">
      <c r="A377" s="38">
        <v>1</v>
      </c>
      <c r="B377" s="37">
        <v>9292003300306</v>
      </c>
      <c r="C377" s="38">
        <v>20</v>
      </c>
      <c r="D377" s="45">
        <v>5701603300306</v>
      </c>
      <c r="F377" s="38" t="s">
        <v>100</v>
      </c>
      <c r="G377" s="38">
        <v>0</v>
      </c>
      <c r="H377" s="38">
        <v>100</v>
      </c>
      <c r="K377" s="38">
        <v>1</v>
      </c>
      <c r="L377" s="38" t="s">
        <v>101</v>
      </c>
      <c r="M377" s="38" t="s">
        <v>406</v>
      </c>
      <c r="N377" s="38" t="s">
        <v>102</v>
      </c>
      <c r="P377" s="38">
        <v>0</v>
      </c>
      <c r="U377" s="38">
        <v>4</v>
      </c>
      <c r="V377" s="38">
        <v>1</v>
      </c>
      <c r="W377" s="38" t="s">
        <v>103</v>
      </c>
      <c r="X377" s="38">
        <v>0</v>
      </c>
      <c r="AA377" s="45"/>
    </row>
    <row r="378" spans="1:27" x14ac:dyDescent="0.2">
      <c r="A378" s="38">
        <v>1</v>
      </c>
      <c r="B378" s="37">
        <v>9292003301306</v>
      </c>
      <c r="C378" s="38">
        <v>10</v>
      </c>
      <c r="D378" s="45" t="s">
        <v>405</v>
      </c>
      <c r="F378" s="38" t="s">
        <v>100</v>
      </c>
      <c r="G378" s="38">
        <v>0</v>
      </c>
      <c r="H378" s="38">
        <v>100</v>
      </c>
      <c r="K378" s="38">
        <v>1</v>
      </c>
      <c r="L378" s="38" t="s">
        <v>101</v>
      </c>
      <c r="M378" s="38" t="s">
        <v>406</v>
      </c>
      <c r="N378" s="38" t="s">
        <v>102</v>
      </c>
      <c r="P378" s="38">
        <v>0</v>
      </c>
      <c r="U378" s="38">
        <v>4</v>
      </c>
      <c r="V378" s="38">
        <v>1</v>
      </c>
      <c r="W378" s="38" t="s">
        <v>103</v>
      </c>
      <c r="X378" s="38">
        <v>0</v>
      </c>
      <c r="AA378" s="45"/>
    </row>
    <row r="379" spans="1:27" x14ac:dyDescent="0.2">
      <c r="A379" s="38">
        <v>1</v>
      </c>
      <c r="B379" s="37">
        <v>9292003301306</v>
      </c>
      <c r="C379" s="38">
        <v>20</v>
      </c>
      <c r="D379" s="45">
        <v>5701603301306</v>
      </c>
      <c r="F379" s="38" t="s">
        <v>100</v>
      </c>
      <c r="G379" s="38">
        <v>0</v>
      </c>
      <c r="H379" s="38">
        <v>100</v>
      </c>
      <c r="K379" s="38">
        <v>1</v>
      </c>
      <c r="L379" s="38" t="s">
        <v>101</v>
      </c>
      <c r="M379" s="38" t="s">
        <v>406</v>
      </c>
      <c r="N379" s="38" t="s">
        <v>102</v>
      </c>
      <c r="P379" s="38">
        <v>0</v>
      </c>
      <c r="U379" s="38">
        <v>4</v>
      </c>
      <c r="V379" s="38">
        <v>1</v>
      </c>
      <c r="W379" s="38" t="s">
        <v>103</v>
      </c>
      <c r="X379" s="38">
        <v>0</v>
      </c>
      <c r="AA379" s="45"/>
    </row>
    <row r="380" spans="1:27" x14ac:dyDescent="0.2">
      <c r="A380" s="38">
        <v>1</v>
      </c>
      <c r="B380" s="37">
        <v>9292003302306</v>
      </c>
      <c r="C380" s="38">
        <v>10</v>
      </c>
      <c r="D380" s="45" t="s">
        <v>405</v>
      </c>
      <c r="F380" s="38" t="s">
        <v>100</v>
      </c>
      <c r="G380" s="38">
        <v>0</v>
      </c>
      <c r="H380" s="38">
        <v>100</v>
      </c>
      <c r="K380" s="38">
        <v>1</v>
      </c>
      <c r="L380" s="38" t="s">
        <v>101</v>
      </c>
      <c r="M380" s="38" t="s">
        <v>406</v>
      </c>
      <c r="N380" s="38" t="s">
        <v>102</v>
      </c>
      <c r="P380" s="38">
        <v>0</v>
      </c>
      <c r="U380" s="38">
        <v>4</v>
      </c>
      <c r="V380" s="38">
        <v>1</v>
      </c>
      <c r="W380" s="38" t="s">
        <v>103</v>
      </c>
      <c r="X380" s="38">
        <v>0</v>
      </c>
      <c r="AA380" s="45"/>
    </row>
    <row r="381" spans="1:27" x14ac:dyDescent="0.2">
      <c r="A381" s="38">
        <v>1</v>
      </c>
      <c r="B381" s="37">
        <v>9292003302306</v>
      </c>
      <c r="C381" s="38">
        <v>20</v>
      </c>
      <c r="D381" s="45">
        <v>5701603302306</v>
      </c>
      <c r="F381" s="38" t="s">
        <v>100</v>
      </c>
      <c r="G381" s="38">
        <v>0</v>
      </c>
      <c r="H381" s="38">
        <v>100</v>
      </c>
      <c r="K381" s="38">
        <v>1</v>
      </c>
      <c r="L381" s="38" t="s">
        <v>101</v>
      </c>
      <c r="M381" s="38" t="s">
        <v>406</v>
      </c>
      <c r="N381" s="38" t="s">
        <v>102</v>
      </c>
      <c r="P381" s="38">
        <v>0</v>
      </c>
      <c r="U381" s="38">
        <v>4</v>
      </c>
      <c r="V381" s="38">
        <v>1</v>
      </c>
      <c r="W381" s="38" t="s">
        <v>103</v>
      </c>
      <c r="X381" s="38">
        <v>0</v>
      </c>
      <c r="AA381" s="45"/>
    </row>
    <row r="382" spans="1:27" x14ac:dyDescent="0.2">
      <c r="A382" s="38">
        <v>1</v>
      </c>
      <c r="B382" s="37">
        <v>9292003303306</v>
      </c>
      <c r="C382" s="38">
        <v>10</v>
      </c>
      <c r="D382" s="45" t="s">
        <v>405</v>
      </c>
      <c r="F382" s="38" t="s">
        <v>100</v>
      </c>
      <c r="G382" s="38">
        <v>0</v>
      </c>
      <c r="H382" s="38">
        <v>100</v>
      </c>
      <c r="K382" s="38">
        <v>1</v>
      </c>
      <c r="L382" s="38" t="s">
        <v>101</v>
      </c>
      <c r="M382" s="38" t="s">
        <v>406</v>
      </c>
      <c r="N382" s="38" t="s">
        <v>102</v>
      </c>
      <c r="P382" s="38">
        <v>0</v>
      </c>
      <c r="U382" s="38">
        <v>4</v>
      </c>
      <c r="V382" s="38">
        <v>1</v>
      </c>
      <c r="W382" s="38" t="s">
        <v>103</v>
      </c>
      <c r="X382" s="38">
        <v>0</v>
      </c>
      <c r="AA382" s="45"/>
    </row>
    <row r="383" spans="1:27" x14ac:dyDescent="0.2">
      <c r="A383" s="38">
        <v>1</v>
      </c>
      <c r="B383" s="37">
        <v>9292003303306</v>
      </c>
      <c r="C383" s="38">
        <v>20</v>
      </c>
      <c r="D383" s="45">
        <v>5701603303306</v>
      </c>
      <c r="F383" s="38" t="s">
        <v>100</v>
      </c>
      <c r="G383" s="38">
        <v>0</v>
      </c>
      <c r="H383" s="38">
        <v>100</v>
      </c>
      <c r="K383" s="38">
        <v>1</v>
      </c>
      <c r="L383" s="38" t="s">
        <v>101</v>
      </c>
      <c r="M383" s="38" t="s">
        <v>406</v>
      </c>
      <c r="N383" s="38" t="s">
        <v>102</v>
      </c>
      <c r="P383" s="38">
        <v>0</v>
      </c>
      <c r="U383" s="38">
        <v>4</v>
      </c>
      <c r="V383" s="38">
        <v>1</v>
      </c>
      <c r="W383" s="38" t="s">
        <v>103</v>
      </c>
      <c r="X383" s="38">
        <v>0</v>
      </c>
      <c r="AA383" s="45"/>
    </row>
    <row r="384" spans="1:27" x14ac:dyDescent="0.2">
      <c r="A384" s="38">
        <v>1</v>
      </c>
      <c r="B384" s="37">
        <v>9292003304306</v>
      </c>
      <c r="C384" s="38">
        <v>10</v>
      </c>
      <c r="D384" s="45" t="s">
        <v>405</v>
      </c>
      <c r="F384" s="38" t="s">
        <v>100</v>
      </c>
      <c r="G384" s="38">
        <v>0</v>
      </c>
      <c r="H384" s="38">
        <v>100</v>
      </c>
      <c r="K384" s="38">
        <v>1</v>
      </c>
      <c r="L384" s="38" t="s">
        <v>101</v>
      </c>
      <c r="M384" s="38" t="s">
        <v>406</v>
      </c>
      <c r="N384" s="38" t="s">
        <v>102</v>
      </c>
      <c r="P384" s="38">
        <v>0</v>
      </c>
      <c r="U384" s="38">
        <v>4</v>
      </c>
      <c r="V384" s="38">
        <v>1</v>
      </c>
      <c r="W384" s="38" t="s">
        <v>103</v>
      </c>
      <c r="X384" s="38">
        <v>0</v>
      </c>
      <c r="AA384" s="45"/>
    </row>
    <row r="385" spans="1:27" x14ac:dyDescent="0.2">
      <c r="A385" s="38">
        <v>1</v>
      </c>
      <c r="B385" s="37">
        <v>9292003304306</v>
      </c>
      <c r="C385" s="38">
        <v>20</v>
      </c>
      <c r="D385" s="45">
        <v>5701603304306</v>
      </c>
      <c r="F385" s="38" t="s">
        <v>100</v>
      </c>
      <c r="G385" s="38">
        <v>0</v>
      </c>
      <c r="H385" s="38">
        <v>100</v>
      </c>
      <c r="K385" s="38">
        <v>1</v>
      </c>
      <c r="L385" s="38" t="s">
        <v>101</v>
      </c>
      <c r="M385" s="38" t="s">
        <v>406</v>
      </c>
      <c r="N385" s="38" t="s">
        <v>102</v>
      </c>
      <c r="P385" s="38">
        <v>0</v>
      </c>
      <c r="U385" s="38">
        <v>4</v>
      </c>
      <c r="V385" s="38">
        <v>1</v>
      </c>
      <c r="W385" s="38" t="s">
        <v>103</v>
      </c>
      <c r="X385" s="38">
        <v>0</v>
      </c>
      <c r="AA385" s="45"/>
    </row>
    <row r="386" spans="1:27" x14ac:dyDescent="0.2">
      <c r="A386" s="38">
        <v>1</v>
      </c>
      <c r="B386" s="37">
        <v>9292003305306</v>
      </c>
      <c r="C386" s="38">
        <v>10</v>
      </c>
      <c r="D386" s="45" t="s">
        <v>405</v>
      </c>
      <c r="F386" s="38" t="s">
        <v>100</v>
      </c>
      <c r="G386" s="38">
        <v>0</v>
      </c>
      <c r="H386" s="38">
        <v>100</v>
      </c>
      <c r="K386" s="38">
        <v>1</v>
      </c>
      <c r="L386" s="38" t="s">
        <v>101</v>
      </c>
      <c r="M386" s="38" t="s">
        <v>406</v>
      </c>
      <c r="N386" s="38" t="s">
        <v>102</v>
      </c>
      <c r="P386" s="38">
        <v>0</v>
      </c>
      <c r="U386" s="38">
        <v>4</v>
      </c>
      <c r="V386" s="38">
        <v>1</v>
      </c>
      <c r="W386" s="38" t="s">
        <v>103</v>
      </c>
      <c r="X386" s="38">
        <v>0</v>
      </c>
      <c r="AA386" s="45"/>
    </row>
    <row r="387" spans="1:27" x14ac:dyDescent="0.2">
      <c r="A387" s="38">
        <v>1</v>
      </c>
      <c r="B387" s="37">
        <v>9292003305306</v>
      </c>
      <c r="C387" s="38">
        <v>20</v>
      </c>
      <c r="D387" s="45">
        <v>5701603305306</v>
      </c>
      <c r="F387" s="38" t="s">
        <v>100</v>
      </c>
      <c r="G387" s="38">
        <v>0</v>
      </c>
      <c r="H387" s="38">
        <v>100</v>
      </c>
      <c r="K387" s="38">
        <v>1</v>
      </c>
      <c r="L387" s="38" t="s">
        <v>101</v>
      </c>
      <c r="M387" s="38" t="s">
        <v>406</v>
      </c>
      <c r="N387" s="38" t="s">
        <v>102</v>
      </c>
      <c r="P387" s="38">
        <v>0</v>
      </c>
      <c r="U387" s="38">
        <v>4</v>
      </c>
      <c r="V387" s="38">
        <v>1</v>
      </c>
      <c r="W387" s="38" t="s">
        <v>103</v>
      </c>
      <c r="X387" s="38">
        <v>0</v>
      </c>
      <c r="AA387" s="45"/>
    </row>
    <row r="388" spans="1:27" x14ac:dyDescent="0.2">
      <c r="A388" s="38">
        <v>1</v>
      </c>
      <c r="B388" s="37">
        <v>9292003306306</v>
      </c>
      <c r="C388" s="38">
        <v>10</v>
      </c>
      <c r="D388" s="45" t="s">
        <v>405</v>
      </c>
      <c r="F388" s="38" t="s">
        <v>100</v>
      </c>
      <c r="G388" s="38">
        <v>0</v>
      </c>
      <c r="H388" s="38">
        <v>100</v>
      </c>
      <c r="K388" s="38">
        <v>1</v>
      </c>
      <c r="L388" s="38" t="s">
        <v>101</v>
      </c>
      <c r="M388" s="38" t="s">
        <v>406</v>
      </c>
      <c r="N388" s="38" t="s">
        <v>102</v>
      </c>
      <c r="P388" s="38">
        <v>0</v>
      </c>
      <c r="U388" s="38">
        <v>4</v>
      </c>
      <c r="V388" s="38">
        <v>1</v>
      </c>
      <c r="W388" s="38" t="s">
        <v>103</v>
      </c>
      <c r="X388" s="38">
        <v>0</v>
      </c>
      <c r="AA388" s="45"/>
    </row>
    <row r="389" spans="1:27" x14ac:dyDescent="0.2">
      <c r="A389" s="38">
        <v>1</v>
      </c>
      <c r="B389" s="37">
        <v>9292003306306</v>
      </c>
      <c r="C389" s="38">
        <v>20</v>
      </c>
      <c r="D389" s="45">
        <v>5701603306306</v>
      </c>
      <c r="F389" s="38" t="s">
        <v>100</v>
      </c>
      <c r="G389" s="38">
        <v>0</v>
      </c>
      <c r="H389" s="38">
        <v>100</v>
      </c>
      <c r="K389" s="38">
        <v>1</v>
      </c>
      <c r="L389" s="38" t="s">
        <v>101</v>
      </c>
      <c r="M389" s="38" t="s">
        <v>406</v>
      </c>
      <c r="N389" s="38" t="s">
        <v>102</v>
      </c>
      <c r="P389" s="38">
        <v>0</v>
      </c>
      <c r="U389" s="38">
        <v>4</v>
      </c>
      <c r="V389" s="38">
        <v>1</v>
      </c>
      <c r="W389" s="38" t="s">
        <v>103</v>
      </c>
      <c r="X389" s="38">
        <v>0</v>
      </c>
      <c r="AA389" s="45"/>
    </row>
    <row r="390" spans="1:27" x14ac:dyDescent="0.2">
      <c r="A390" s="38">
        <v>1</v>
      </c>
      <c r="B390" s="37">
        <v>9292003307306</v>
      </c>
      <c r="C390" s="38">
        <v>10</v>
      </c>
      <c r="D390" s="45" t="s">
        <v>405</v>
      </c>
      <c r="F390" s="38" t="s">
        <v>100</v>
      </c>
      <c r="G390" s="38">
        <v>0</v>
      </c>
      <c r="H390" s="38">
        <v>100</v>
      </c>
      <c r="K390" s="38">
        <v>1</v>
      </c>
      <c r="L390" s="38" t="s">
        <v>101</v>
      </c>
      <c r="M390" s="38" t="s">
        <v>406</v>
      </c>
      <c r="N390" s="38" t="s">
        <v>102</v>
      </c>
      <c r="P390" s="38">
        <v>0</v>
      </c>
      <c r="U390" s="38">
        <v>4</v>
      </c>
      <c r="V390" s="38">
        <v>1</v>
      </c>
      <c r="W390" s="38" t="s">
        <v>103</v>
      </c>
      <c r="X390" s="38">
        <v>0</v>
      </c>
      <c r="AA390" s="45"/>
    </row>
    <row r="391" spans="1:27" x14ac:dyDescent="0.2">
      <c r="A391" s="38">
        <v>1</v>
      </c>
      <c r="B391" s="37">
        <v>9292003307306</v>
      </c>
      <c r="C391" s="38">
        <v>20</v>
      </c>
      <c r="D391" s="45">
        <v>5701603307306</v>
      </c>
      <c r="F391" s="38" t="s">
        <v>100</v>
      </c>
      <c r="G391" s="38">
        <v>0</v>
      </c>
      <c r="H391" s="38">
        <v>100</v>
      </c>
      <c r="K391" s="38">
        <v>1</v>
      </c>
      <c r="L391" s="38" t="s">
        <v>101</v>
      </c>
      <c r="M391" s="38" t="s">
        <v>406</v>
      </c>
      <c r="N391" s="38" t="s">
        <v>102</v>
      </c>
      <c r="P391" s="38">
        <v>0</v>
      </c>
      <c r="U391" s="38">
        <v>4</v>
      </c>
      <c r="V391" s="38">
        <v>1</v>
      </c>
      <c r="W391" s="38" t="s">
        <v>103</v>
      </c>
      <c r="X391" s="38">
        <v>0</v>
      </c>
      <c r="AA391" s="45"/>
    </row>
    <row r="392" spans="1:27" x14ac:dyDescent="0.2">
      <c r="A392" s="38">
        <v>1</v>
      </c>
      <c r="B392" s="37">
        <v>9292003308306</v>
      </c>
      <c r="C392" s="38">
        <v>10</v>
      </c>
      <c r="D392" s="45" t="s">
        <v>405</v>
      </c>
      <c r="F392" s="38" t="s">
        <v>100</v>
      </c>
      <c r="G392" s="38">
        <v>0</v>
      </c>
      <c r="H392" s="38">
        <v>100</v>
      </c>
      <c r="K392" s="38">
        <v>1</v>
      </c>
      <c r="L392" s="38" t="s">
        <v>101</v>
      </c>
      <c r="M392" s="38" t="s">
        <v>406</v>
      </c>
      <c r="N392" s="38" t="s">
        <v>102</v>
      </c>
      <c r="P392" s="38">
        <v>0</v>
      </c>
      <c r="U392" s="38">
        <v>4</v>
      </c>
      <c r="V392" s="38">
        <v>1</v>
      </c>
      <c r="W392" s="38" t="s">
        <v>103</v>
      </c>
      <c r="X392" s="38">
        <v>0</v>
      </c>
      <c r="AA392" s="45"/>
    </row>
    <row r="393" spans="1:27" x14ac:dyDescent="0.2">
      <c r="A393" s="38">
        <v>1</v>
      </c>
      <c r="B393" s="37">
        <v>9292003308306</v>
      </c>
      <c r="C393" s="38">
        <v>20</v>
      </c>
      <c r="D393" s="45">
        <v>5701603308306</v>
      </c>
      <c r="F393" s="38" t="s">
        <v>100</v>
      </c>
      <c r="G393" s="38">
        <v>0</v>
      </c>
      <c r="H393" s="38">
        <v>100</v>
      </c>
      <c r="K393" s="38">
        <v>1</v>
      </c>
      <c r="L393" s="38" t="s">
        <v>101</v>
      </c>
      <c r="M393" s="38" t="s">
        <v>406</v>
      </c>
      <c r="N393" s="38" t="s">
        <v>102</v>
      </c>
      <c r="P393" s="38">
        <v>0</v>
      </c>
      <c r="U393" s="38">
        <v>4</v>
      </c>
      <c r="V393" s="38">
        <v>1</v>
      </c>
      <c r="W393" s="38" t="s">
        <v>103</v>
      </c>
      <c r="X393" s="38">
        <v>0</v>
      </c>
      <c r="AA393" s="45"/>
    </row>
    <row r="394" spans="1:27" x14ac:dyDescent="0.2">
      <c r="A394" s="38">
        <v>1</v>
      </c>
      <c r="B394" s="37">
        <v>9292003309306</v>
      </c>
      <c r="C394" s="38">
        <v>10</v>
      </c>
      <c r="D394" s="45" t="s">
        <v>405</v>
      </c>
      <c r="F394" s="38" t="s">
        <v>100</v>
      </c>
      <c r="G394" s="38">
        <v>0</v>
      </c>
      <c r="H394" s="38">
        <v>100</v>
      </c>
      <c r="K394" s="38">
        <v>1</v>
      </c>
      <c r="L394" s="38" t="s">
        <v>101</v>
      </c>
      <c r="M394" s="38" t="s">
        <v>406</v>
      </c>
      <c r="N394" s="38" t="s">
        <v>102</v>
      </c>
      <c r="P394" s="38">
        <v>0</v>
      </c>
      <c r="U394" s="38">
        <v>4</v>
      </c>
      <c r="V394" s="38">
        <v>1</v>
      </c>
      <c r="W394" s="38" t="s">
        <v>103</v>
      </c>
      <c r="X394" s="38">
        <v>0</v>
      </c>
      <c r="AA394" s="45"/>
    </row>
    <row r="395" spans="1:27" x14ac:dyDescent="0.2">
      <c r="A395" s="38">
        <v>1</v>
      </c>
      <c r="B395" s="37">
        <v>9292003309306</v>
      </c>
      <c r="C395" s="38">
        <v>20</v>
      </c>
      <c r="D395" s="45">
        <v>5701603309306</v>
      </c>
      <c r="F395" s="38" t="s">
        <v>100</v>
      </c>
      <c r="G395" s="38">
        <v>0</v>
      </c>
      <c r="H395" s="38">
        <v>100</v>
      </c>
      <c r="K395" s="38">
        <v>1</v>
      </c>
      <c r="L395" s="38" t="s">
        <v>101</v>
      </c>
      <c r="M395" s="38" t="s">
        <v>406</v>
      </c>
      <c r="N395" s="38" t="s">
        <v>102</v>
      </c>
      <c r="P395" s="38">
        <v>0</v>
      </c>
      <c r="U395" s="38">
        <v>4</v>
      </c>
      <c r="V395" s="38">
        <v>1</v>
      </c>
      <c r="W395" s="38" t="s">
        <v>103</v>
      </c>
      <c r="X395" s="38">
        <v>0</v>
      </c>
      <c r="AA395" s="45"/>
    </row>
    <row r="396" spans="1:27" x14ac:dyDescent="0.2">
      <c r="A396" s="38">
        <v>1</v>
      </c>
      <c r="B396" s="37">
        <v>9292003310306</v>
      </c>
      <c r="C396" s="38">
        <v>10</v>
      </c>
      <c r="D396" s="45" t="s">
        <v>405</v>
      </c>
      <c r="F396" s="38" t="s">
        <v>100</v>
      </c>
      <c r="G396" s="38">
        <v>0</v>
      </c>
      <c r="H396" s="38">
        <v>100</v>
      </c>
      <c r="K396" s="38">
        <v>1</v>
      </c>
      <c r="L396" s="38" t="s">
        <v>101</v>
      </c>
      <c r="M396" s="38" t="s">
        <v>406</v>
      </c>
      <c r="N396" s="38" t="s">
        <v>102</v>
      </c>
      <c r="P396" s="38">
        <v>0</v>
      </c>
      <c r="U396" s="38">
        <v>4</v>
      </c>
      <c r="V396" s="38">
        <v>1</v>
      </c>
      <c r="W396" s="38" t="s">
        <v>103</v>
      </c>
      <c r="X396" s="38">
        <v>0</v>
      </c>
      <c r="AA396" s="45"/>
    </row>
    <row r="397" spans="1:27" x14ac:dyDescent="0.2">
      <c r="A397" s="38">
        <v>1</v>
      </c>
      <c r="B397" s="37">
        <v>9292003310306</v>
      </c>
      <c r="C397" s="38">
        <v>20</v>
      </c>
      <c r="D397" s="45">
        <v>5701603310306</v>
      </c>
      <c r="F397" s="38" t="s">
        <v>100</v>
      </c>
      <c r="G397" s="38">
        <v>0</v>
      </c>
      <c r="H397" s="38">
        <v>100</v>
      </c>
      <c r="K397" s="38">
        <v>1</v>
      </c>
      <c r="L397" s="38" t="s">
        <v>101</v>
      </c>
      <c r="M397" s="38" t="s">
        <v>406</v>
      </c>
      <c r="N397" s="38" t="s">
        <v>102</v>
      </c>
      <c r="P397" s="38">
        <v>0</v>
      </c>
      <c r="U397" s="38">
        <v>4</v>
      </c>
      <c r="V397" s="38">
        <v>1</v>
      </c>
      <c r="W397" s="38" t="s">
        <v>103</v>
      </c>
      <c r="X397" s="38">
        <v>0</v>
      </c>
      <c r="AA397" s="45"/>
    </row>
    <row r="398" spans="1:27" x14ac:dyDescent="0.2">
      <c r="A398" s="38">
        <v>1</v>
      </c>
      <c r="B398" s="37">
        <v>9292003300730</v>
      </c>
      <c r="C398" s="38">
        <v>10</v>
      </c>
      <c r="D398" s="45" t="s">
        <v>405</v>
      </c>
      <c r="F398" s="38" t="s">
        <v>100</v>
      </c>
      <c r="G398" s="38">
        <v>0</v>
      </c>
      <c r="H398" s="38">
        <v>100</v>
      </c>
      <c r="K398" s="38">
        <v>1</v>
      </c>
      <c r="L398" s="38" t="s">
        <v>101</v>
      </c>
      <c r="M398" s="38" t="s">
        <v>406</v>
      </c>
      <c r="N398" s="38" t="s">
        <v>102</v>
      </c>
      <c r="P398" s="38">
        <v>0</v>
      </c>
      <c r="U398" s="38">
        <v>4</v>
      </c>
      <c r="V398" s="38">
        <v>1</v>
      </c>
      <c r="W398" s="38" t="s">
        <v>103</v>
      </c>
      <c r="X398" s="38">
        <v>0</v>
      </c>
      <c r="AA398" s="45"/>
    </row>
    <row r="399" spans="1:27" x14ac:dyDescent="0.2">
      <c r="A399" s="38">
        <v>1</v>
      </c>
      <c r="B399" s="37">
        <v>9292003300730</v>
      </c>
      <c r="C399" s="38">
        <v>20</v>
      </c>
      <c r="D399" s="45">
        <v>5701603300730</v>
      </c>
      <c r="F399" s="38" t="s">
        <v>100</v>
      </c>
      <c r="G399" s="38">
        <v>0</v>
      </c>
      <c r="H399" s="38">
        <v>100</v>
      </c>
      <c r="K399" s="38">
        <v>1</v>
      </c>
      <c r="L399" s="38" t="s">
        <v>101</v>
      </c>
      <c r="M399" s="38" t="s">
        <v>406</v>
      </c>
      <c r="N399" s="38" t="s">
        <v>102</v>
      </c>
      <c r="P399" s="38">
        <v>0</v>
      </c>
      <c r="U399" s="38">
        <v>4</v>
      </c>
      <c r="V399" s="38">
        <v>1</v>
      </c>
      <c r="W399" s="38" t="s">
        <v>103</v>
      </c>
      <c r="X399" s="38">
        <v>0</v>
      </c>
      <c r="AA399" s="45"/>
    </row>
    <row r="400" spans="1:27" x14ac:dyDescent="0.2">
      <c r="A400" s="38">
        <v>1</v>
      </c>
      <c r="B400" s="37">
        <v>9292003301730</v>
      </c>
      <c r="C400" s="38">
        <v>10</v>
      </c>
      <c r="D400" s="45" t="s">
        <v>405</v>
      </c>
      <c r="F400" s="38" t="s">
        <v>100</v>
      </c>
      <c r="G400" s="38">
        <v>0</v>
      </c>
      <c r="H400" s="38">
        <v>100</v>
      </c>
      <c r="K400" s="38">
        <v>1</v>
      </c>
      <c r="L400" s="38" t="s">
        <v>101</v>
      </c>
      <c r="M400" s="38" t="s">
        <v>406</v>
      </c>
      <c r="N400" s="38" t="s">
        <v>102</v>
      </c>
      <c r="P400" s="38">
        <v>0</v>
      </c>
      <c r="U400" s="38">
        <v>4</v>
      </c>
      <c r="V400" s="38">
        <v>1</v>
      </c>
      <c r="W400" s="38" t="s">
        <v>103</v>
      </c>
      <c r="X400" s="38">
        <v>0</v>
      </c>
      <c r="AA400" s="45"/>
    </row>
    <row r="401" spans="1:27" x14ac:dyDescent="0.2">
      <c r="A401" s="38">
        <v>1</v>
      </c>
      <c r="B401" s="37">
        <v>9292003301730</v>
      </c>
      <c r="C401" s="38">
        <v>20</v>
      </c>
      <c r="D401" s="45">
        <v>5701603301730</v>
      </c>
      <c r="F401" s="38" t="s">
        <v>100</v>
      </c>
      <c r="G401" s="38">
        <v>0</v>
      </c>
      <c r="H401" s="38">
        <v>100</v>
      </c>
      <c r="K401" s="38">
        <v>1</v>
      </c>
      <c r="L401" s="38" t="s">
        <v>101</v>
      </c>
      <c r="M401" s="38" t="s">
        <v>406</v>
      </c>
      <c r="N401" s="38" t="s">
        <v>102</v>
      </c>
      <c r="P401" s="38">
        <v>0</v>
      </c>
      <c r="U401" s="38">
        <v>4</v>
      </c>
      <c r="V401" s="38">
        <v>1</v>
      </c>
      <c r="W401" s="38" t="s">
        <v>103</v>
      </c>
      <c r="X401" s="38">
        <v>0</v>
      </c>
      <c r="AA401" s="45"/>
    </row>
    <row r="402" spans="1:27" x14ac:dyDescent="0.2">
      <c r="A402" s="38">
        <v>1</v>
      </c>
      <c r="B402" s="37">
        <v>9292003302730</v>
      </c>
      <c r="C402" s="38">
        <v>10</v>
      </c>
      <c r="D402" s="45" t="s">
        <v>405</v>
      </c>
      <c r="F402" s="38" t="s">
        <v>100</v>
      </c>
      <c r="G402" s="38">
        <v>0</v>
      </c>
      <c r="H402" s="38">
        <v>100</v>
      </c>
      <c r="K402" s="38">
        <v>1</v>
      </c>
      <c r="L402" s="38" t="s">
        <v>101</v>
      </c>
      <c r="M402" s="38" t="s">
        <v>406</v>
      </c>
      <c r="N402" s="38" t="s">
        <v>102</v>
      </c>
      <c r="P402" s="38">
        <v>0</v>
      </c>
      <c r="U402" s="38">
        <v>4</v>
      </c>
      <c r="V402" s="38">
        <v>1</v>
      </c>
      <c r="W402" s="38" t="s">
        <v>103</v>
      </c>
      <c r="X402" s="38">
        <v>0</v>
      </c>
      <c r="AA402" s="45"/>
    </row>
    <row r="403" spans="1:27" x14ac:dyDescent="0.2">
      <c r="A403" s="38">
        <v>1</v>
      </c>
      <c r="B403" s="37">
        <v>9292003302730</v>
      </c>
      <c r="C403" s="38">
        <v>20</v>
      </c>
      <c r="D403" s="45">
        <v>5701603302730</v>
      </c>
      <c r="F403" s="38" t="s">
        <v>100</v>
      </c>
      <c r="G403" s="38">
        <v>0</v>
      </c>
      <c r="H403" s="38">
        <v>100</v>
      </c>
      <c r="K403" s="38">
        <v>1</v>
      </c>
      <c r="L403" s="38" t="s">
        <v>101</v>
      </c>
      <c r="M403" s="38" t="s">
        <v>406</v>
      </c>
      <c r="N403" s="38" t="s">
        <v>102</v>
      </c>
      <c r="P403" s="38">
        <v>0</v>
      </c>
      <c r="U403" s="38">
        <v>4</v>
      </c>
      <c r="V403" s="38">
        <v>1</v>
      </c>
      <c r="W403" s="38" t="s">
        <v>103</v>
      </c>
      <c r="X403" s="38">
        <v>0</v>
      </c>
      <c r="AA403" s="45"/>
    </row>
    <row r="404" spans="1:27" x14ac:dyDescent="0.2">
      <c r="A404" s="38">
        <v>1</v>
      </c>
      <c r="B404" s="37">
        <v>9292003303730</v>
      </c>
      <c r="C404" s="38">
        <v>10</v>
      </c>
      <c r="D404" s="45" t="s">
        <v>405</v>
      </c>
      <c r="F404" s="38" t="s">
        <v>100</v>
      </c>
      <c r="G404" s="38">
        <v>0</v>
      </c>
      <c r="H404" s="38">
        <v>100</v>
      </c>
      <c r="K404" s="38">
        <v>1</v>
      </c>
      <c r="L404" s="38" t="s">
        <v>101</v>
      </c>
      <c r="M404" s="38" t="s">
        <v>406</v>
      </c>
      <c r="N404" s="38" t="s">
        <v>102</v>
      </c>
      <c r="P404" s="38">
        <v>0</v>
      </c>
      <c r="U404" s="38">
        <v>4</v>
      </c>
      <c r="V404" s="38">
        <v>1</v>
      </c>
      <c r="W404" s="38" t="s">
        <v>103</v>
      </c>
      <c r="X404" s="38">
        <v>0</v>
      </c>
      <c r="AA404" s="45"/>
    </row>
    <row r="405" spans="1:27" x14ac:dyDescent="0.2">
      <c r="A405" s="38">
        <v>1</v>
      </c>
      <c r="B405" s="37">
        <v>9292003303730</v>
      </c>
      <c r="C405" s="38">
        <v>20</v>
      </c>
      <c r="D405" s="45">
        <v>5701603303730</v>
      </c>
      <c r="F405" s="38" t="s">
        <v>100</v>
      </c>
      <c r="G405" s="38">
        <v>0</v>
      </c>
      <c r="H405" s="38">
        <v>100</v>
      </c>
      <c r="K405" s="38">
        <v>1</v>
      </c>
      <c r="L405" s="38" t="s">
        <v>101</v>
      </c>
      <c r="M405" s="38" t="s">
        <v>406</v>
      </c>
      <c r="N405" s="38" t="s">
        <v>102</v>
      </c>
      <c r="P405" s="38">
        <v>0</v>
      </c>
      <c r="U405" s="38">
        <v>4</v>
      </c>
      <c r="V405" s="38">
        <v>1</v>
      </c>
      <c r="W405" s="38" t="s">
        <v>103</v>
      </c>
      <c r="X405" s="38">
        <v>0</v>
      </c>
      <c r="AA405" s="45"/>
    </row>
    <row r="406" spans="1:27" x14ac:dyDescent="0.2">
      <c r="A406" s="38">
        <v>1</v>
      </c>
      <c r="B406" s="37">
        <v>9292003304730</v>
      </c>
      <c r="C406" s="38">
        <v>10</v>
      </c>
      <c r="D406" s="45" t="s">
        <v>405</v>
      </c>
      <c r="F406" s="38" t="s">
        <v>100</v>
      </c>
      <c r="G406" s="38">
        <v>0</v>
      </c>
      <c r="H406" s="38">
        <v>100</v>
      </c>
      <c r="K406" s="38">
        <v>1</v>
      </c>
      <c r="L406" s="38" t="s">
        <v>101</v>
      </c>
      <c r="M406" s="38" t="s">
        <v>406</v>
      </c>
      <c r="N406" s="38" t="s">
        <v>102</v>
      </c>
      <c r="P406" s="38">
        <v>0</v>
      </c>
      <c r="U406" s="38">
        <v>4</v>
      </c>
      <c r="V406" s="38">
        <v>1</v>
      </c>
      <c r="W406" s="38" t="s">
        <v>103</v>
      </c>
      <c r="X406" s="38">
        <v>0</v>
      </c>
      <c r="AA406" s="45"/>
    </row>
    <row r="407" spans="1:27" x14ac:dyDescent="0.2">
      <c r="A407" s="38">
        <v>1</v>
      </c>
      <c r="B407" s="37">
        <v>9292003304730</v>
      </c>
      <c r="C407" s="38">
        <v>20</v>
      </c>
      <c r="D407" s="45">
        <v>5701603304730</v>
      </c>
      <c r="F407" s="38" t="s">
        <v>100</v>
      </c>
      <c r="G407" s="38">
        <v>0</v>
      </c>
      <c r="H407" s="38">
        <v>100</v>
      </c>
      <c r="K407" s="38">
        <v>1</v>
      </c>
      <c r="L407" s="38" t="s">
        <v>101</v>
      </c>
      <c r="M407" s="38" t="s">
        <v>406</v>
      </c>
      <c r="N407" s="38" t="s">
        <v>102</v>
      </c>
      <c r="P407" s="38">
        <v>0</v>
      </c>
      <c r="U407" s="38">
        <v>4</v>
      </c>
      <c r="V407" s="38">
        <v>1</v>
      </c>
      <c r="W407" s="38" t="s">
        <v>103</v>
      </c>
      <c r="X407" s="38">
        <v>0</v>
      </c>
      <c r="AA407" s="45"/>
    </row>
    <row r="408" spans="1:27" x14ac:dyDescent="0.2">
      <c r="A408" s="38">
        <v>1</v>
      </c>
      <c r="B408" s="37">
        <v>9292003305730</v>
      </c>
      <c r="C408" s="38">
        <v>10</v>
      </c>
      <c r="D408" s="45" t="s">
        <v>405</v>
      </c>
      <c r="F408" s="38" t="s">
        <v>100</v>
      </c>
      <c r="G408" s="38">
        <v>0</v>
      </c>
      <c r="H408" s="38">
        <v>100</v>
      </c>
      <c r="K408" s="38">
        <v>1</v>
      </c>
      <c r="L408" s="38" t="s">
        <v>101</v>
      </c>
      <c r="M408" s="38" t="s">
        <v>406</v>
      </c>
      <c r="N408" s="38" t="s">
        <v>102</v>
      </c>
      <c r="P408" s="38">
        <v>0</v>
      </c>
      <c r="U408" s="38">
        <v>4</v>
      </c>
      <c r="V408" s="38">
        <v>1</v>
      </c>
      <c r="W408" s="38" t="s">
        <v>103</v>
      </c>
      <c r="X408" s="38">
        <v>0</v>
      </c>
      <c r="AA408" s="45"/>
    </row>
    <row r="409" spans="1:27" x14ac:dyDescent="0.2">
      <c r="A409" s="38">
        <v>1</v>
      </c>
      <c r="B409" s="37">
        <v>9292003305730</v>
      </c>
      <c r="C409" s="38">
        <v>20</v>
      </c>
      <c r="D409" s="45">
        <v>5701603305730</v>
      </c>
      <c r="F409" s="38" t="s">
        <v>100</v>
      </c>
      <c r="G409" s="38">
        <v>0</v>
      </c>
      <c r="H409" s="38">
        <v>100</v>
      </c>
      <c r="K409" s="38">
        <v>1</v>
      </c>
      <c r="L409" s="38" t="s">
        <v>101</v>
      </c>
      <c r="M409" s="38" t="s">
        <v>406</v>
      </c>
      <c r="N409" s="38" t="s">
        <v>102</v>
      </c>
      <c r="P409" s="38">
        <v>0</v>
      </c>
      <c r="U409" s="38">
        <v>4</v>
      </c>
      <c r="V409" s="38">
        <v>1</v>
      </c>
      <c r="W409" s="38" t="s">
        <v>103</v>
      </c>
      <c r="X409" s="38">
        <v>0</v>
      </c>
      <c r="AA409" s="45"/>
    </row>
    <row r="410" spans="1:27" x14ac:dyDescent="0.2">
      <c r="A410" s="38">
        <v>1</v>
      </c>
      <c r="B410" s="37">
        <v>9292003306730</v>
      </c>
      <c r="C410" s="38">
        <v>10</v>
      </c>
      <c r="D410" s="45" t="s">
        <v>405</v>
      </c>
      <c r="F410" s="38" t="s">
        <v>100</v>
      </c>
      <c r="G410" s="38">
        <v>0</v>
      </c>
      <c r="H410" s="38">
        <v>100</v>
      </c>
      <c r="K410" s="38">
        <v>1</v>
      </c>
      <c r="L410" s="38" t="s">
        <v>101</v>
      </c>
      <c r="M410" s="38" t="s">
        <v>406</v>
      </c>
      <c r="N410" s="38" t="s">
        <v>102</v>
      </c>
      <c r="P410" s="38">
        <v>0</v>
      </c>
      <c r="U410" s="38">
        <v>4</v>
      </c>
      <c r="V410" s="38">
        <v>1</v>
      </c>
      <c r="W410" s="38" t="s">
        <v>103</v>
      </c>
      <c r="X410" s="38">
        <v>0</v>
      </c>
      <c r="AA410" s="45"/>
    </row>
    <row r="411" spans="1:27" x14ac:dyDescent="0.2">
      <c r="A411" s="38">
        <v>1</v>
      </c>
      <c r="B411" s="37">
        <v>9292003306730</v>
      </c>
      <c r="C411" s="38">
        <v>20</v>
      </c>
      <c r="D411" s="45">
        <v>5701603306730</v>
      </c>
      <c r="F411" s="38" t="s">
        <v>100</v>
      </c>
      <c r="G411" s="38">
        <v>0</v>
      </c>
      <c r="H411" s="38">
        <v>100</v>
      </c>
      <c r="K411" s="38">
        <v>1</v>
      </c>
      <c r="L411" s="38" t="s">
        <v>101</v>
      </c>
      <c r="M411" s="38" t="s">
        <v>406</v>
      </c>
      <c r="N411" s="38" t="s">
        <v>102</v>
      </c>
      <c r="P411" s="38">
        <v>0</v>
      </c>
      <c r="U411" s="38">
        <v>4</v>
      </c>
      <c r="V411" s="38">
        <v>1</v>
      </c>
      <c r="W411" s="38" t="s">
        <v>103</v>
      </c>
      <c r="X411" s="38">
        <v>0</v>
      </c>
      <c r="AA411" s="45"/>
    </row>
    <row r="412" spans="1:27" x14ac:dyDescent="0.2">
      <c r="A412" s="38">
        <v>1</v>
      </c>
      <c r="B412" s="37">
        <v>9292003307730</v>
      </c>
      <c r="C412" s="38">
        <v>10</v>
      </c>
      <c r="D412" s="45" t="s">
        <v>405</v>
      </c>
      <c r="F412" s="38" t="s">
        <v>100</v>
      </c>
      <c r="G412" s="38">
        <v>0</v>
      </c>
      <c r="H412" s="38">
        <v>100</v>
      </c>
      <c r="K412" s="38">
        <v>1</v>
      </c>
      <c r="L412" s="38" t="s">
        <v>101</v>
      </c>
      <c r="M412" s="38" t="s">
        <v>406</v>
      </c>
      <c r="N412" s="38" t="s">
        <v>102</v>
      </c>
      <c r="P412" s="38">
        <v>0</v>
      </c>
      <c r="U412" s="38">
        <v>4</v>
      </c>
      <c r="V412" s="38">
        <v>1</v>
      </c>
      <c r="W412" s="38" t="s">
        <v>103</v>
      </c>
      <c r="X412" s="38">
        <v>0</v>
      </c>
      <c r="AA412" s="45"/>
    </row>
    <row r="413" spans="1:27" x14ac:dyDescent="0.2">
      <c r="A413" s="38">
        <v>1</v>
      </c>
      <c r="B413" s="37">
        <v>9292003307730</v>
      </c>
      <c r="C413" s="38">
        <v>20</v>
      </c>
      <c r="D413" s="45">
        <v>5701603307730</v>
      </c>
      <c r="F413" s="38" t="s">
        <v>100</v>
      </c>
      <c r="G413" s="38">
        <v>0</v>
      </c>
      <c r="H413" s="38">
        <v>100</v>
      </c>
      <c r="K413" s="38">
        <v>1</v>
      </c>
      <c r="L413" s="38" t="s">
        <v>101</v>
      </c>
      <c r="M413" s="38" t="s">
        <v>406</v>
      </c>
      <c r="N413" s="38" t="s">
        <v>102</v>
      </c>
      <c r="P413" s="38">
        <v>0</v>
      </c>
      <c r="U413" s="38">
        <v>4</v>
      </c>
      <c r="V413" s="38">
        <v>1</v>
      </c>
      <c r="W413" s="38" t="s">
        <v>103</v>
      </c>
      <c r="X413" s="38">
        <v>0</v>
      </c>
      <c r="AA413" s="45"/>
    </row>
    <row r="414" spans="1:27" x14ac:dyDescent="0.2">
      <c r="A414" s="38">
        <v>1</v>
      </c>
      <c r="B414" s="37">
        <v>9292003308730</v>
      </c>
      <c r="C414" s="38">
        <v>10</v>
      </c>
      <c r="D414" s="45" t="s">
        <v>405</v>
      </c>
      <c r="F414" s="38" t="s">
        <v>100</v>
      </c>
      <c r="G414" s="38">
        <v>0</v>
      </c>
      <c r="H414" s="38">
        <v>100</v>
      </c>
      <c r="K414" s="38">
        <v>1</v>
      </c>
      <c r="L414" s="38" t="s">
        <v>101</v>
      </c>
      <c r="M414" s="38" t="s">
        <v>406</v>
      </c>
      <c r="N414" s="38" t="s">
        <v>102</v>
      </c>
      <c r="P414" s="38">
        <v>0</v>
      </c>
      <c r="U414" s="38">
        <v>4</v>
      </c>
      <c r="V414" s="38">
        <v>1</v>
      </c>
      <c r="W414" s="38" t="s">
        <v>103</v>
      </c>
      <c r="X414" s="38">
        <v>0</v>
      </c>
      <c r="AA414" s="45"/>
    </row>
    <row r="415" spans="1:27" x14ac:dyDescent="0.2">
      <c r="A415" s="38">
        <v>1</v>
      </c>
      <c r="B415" s="37">
        <v>9292003308730</v>
      </c>
      <c r="C415" s="38">
        <v>20</v>
      </c>
      <c r="D415" s="45">
        <v>5701603308730</v>
      </c>
      <c r="F415" s="38" t="s">
        <v>100</v>
      </c>
      <c r="G415" s="38">
        <v>0</v>
      </c>
      <c r="H415" s="38">
        <v>100</v>
      </c>
      <c r="K415" s="38">
        <v>1</v>
      </c>
      <c r="L415" s="38" t="s">
        <v>101</v>
      </c>
      <c r="M415" s="38" t="s">
        <v>406</v>
      </c>
      <c r="N415" s="38" t="s">
        <v>102</v>
      </c>
      <c r="P415" s="38">
        <v>0</v>
      </c>
      <c r="U415" s="38">
        <v>4</v>
      </c>
      <c r="V415" s="38">
        <v>1</v>
      </c>
      <c r="W415" s="38" t="s">
        <v>103</v>
      </c>
      <c r="X415" s="38">
        <v>0</v>
      </c>
      <c r="AA415" s="45"/>
    </row>
    <row r="416" spans="1:27" x14ac:dyDescent="0.2">
      <c r="A416" s="38">
        <v>1</v>
      </c>
      <c r="B416" s="37">
        <v>9292003309730</v>
      </c>
      <c r="C416" s="38">
        <v>10</v>
      </c>
      <c r="D416" s="45" t="s">
        <v>405</v>
      </c>
      <c r="F416" s="38" t="s">
        <v>100</v>
      </c>
      <c r="G416" s="38">
        <v>0</v>
      </c>
      <c r="H416" s="38">
        <v>100</v>
      </c>
      <c r="K416" s="38">
        <v>1</v>
      </c>
      <c r="L416" s="38" t="s">
        <v>101</v>
      </c>
      <c r="M416" s="38" t="s">
        <v>406</v>
      </c>
      <c r="N416" s="38" t="s">
        <v>102</v>
      </c>
      <c r="P416" s="38">
        <v>0</v>
      </c>
      <c r="U416" s="38">
        <v>4</v>
      </c>
      <c r="V416" s="38">
        <v>1</v>
      </c>
      <c r="W416" s="38" t="s">
        <v>103</v>
      </c>
      <c r="X416" s="38">
        <v>0</v>
      </c>
      <c r="AA416" s="45"/>
    </row>
    <row r="417" spans="1:27" x14ac:dyDescent="0.2">
      <c r="A417" s="38">
        <v>1</v>
      </c>
      <c r="B417" s="37">
        <v>9292003309730</v>
      </c>
      <c r="C417" s="38">
        <v>20</v>
      </c>
      <c r="D417" s="45">
        <v>5701603309730</v>
      </c>
      <c r="F417" s="38" t="s">
        <v>100</v>
      </c>
      <c r="G417" s="38">
        <v>0</v>
      </c>
      <c r="H417" s="38">
        <v>100</v>
      </c>
      <c r="K417" s="38">
        <v>1</v>
      </c>
      <c r="L417" s="38" t="s">
        <v>101</v>
      </c>
      <c r="M417" s="38" t="s">
        <v>406</v>
      </c>
      <c r="N417" s="38" t="s">
        <v>102</v>
      </c>
      <c r="P417" s="38">
        <v>0</v>
      </c>
      <c r="U417" s="38">
        <v>4</v>
      </c>
      <c r="V417" s="38">
        <v>1</v>
      </c>
      <c r="W417" s="38" t="s">
        <v>103</v>
      </c>
      <c r="X417" s="38">
        <v>0</v>
      </c>
      <c r="AA417" s="45"/>
    </row>
    <row r="418" spans="1:27" x14ac:dyDescent="0.2">
      <c r="A418" s="38">
        <v>1</v>
      </c>
      <c r="B418" s="37">
        <v>9292003310730</v>
      </c>
      <c r="C418" s="38">
        <v>10</v>
      </c>
      <c r="D418" s="45" t="s">
        <v>405</v>
      </c>
      <c r="F418" s="38" t="s">
        <v>100</v>
      </c>
      <c r="G418" s="38">
        <v>0</v>
      </c>
      <c r="H418" s="38">
        <v>100</v>
      </c>
      <c r="K418" s="38">
        <v>1</v>
      </c>
      <c r="L418" s="38" t="s">
        <v>101</v>
      </c>
      <c r="M418" s="38" t="s">
        <v>406</v>
      </c>
      <c r="N418" s="38" t="s">
        <v>102</v>
      </c>
      <c r="P418" s="38">
        <v>0</v>
      </c>
      <c r="U418" s="38">
        <v>4</v>
      </c>
      <c r="V418" s="38">
        <v>1</v>
      </c>
      <c r="W418" s="38" t="s">
        <v>103</v>
      </c>
      <c r="X418" s="38">
        <v>0</v>
      </c>
      <c r="AA418" s="45"/>
    </row>
    <row r="419" spans="1:27" x14ac:dyDescent="0.2">
      <c r="A419" s="38">
        <v>1</v>
      </c>
      <c r="B419" s="37">
        <v>9292003310730</v>
      </c>
      <c r="C419" s="38">
        <v>20</v>
      </c>
      <c r="D419" s="45">
        <v>5701603310730</v>
      </c>
      <c r="F419" s="38" t="s">
        <v>100</v>
      </c>
      <c r="G419" s="38">
        <v>0</v>
      </c>
      <c r="H419" s="38">
        <v>100</v>
      </c>
      <c r="K419" s="38">
        <v>1</v>
      </c>
      <c r="L419" s="38" t="s">
        <v>101</v>
      </c>
      <c r="M419" s="38" t="s">
        <v>406</v>
      </c>
      <c r="N419" s="38" t="s">
        <v>102</v>
      </c>
      <c r="P419" s="38">
        <v>0</v>
      </c>
      <c r="U419" s="38">
        <v>4</v>
      </c>
      <c r="V419" s="38">
        <v>1</v>
      </c>
      <c r="W419" s="38" t="s">
        <v>103</v>
      </c>
      <c r="X419" s="38">
        <v>0</v>
      </c>
      <c r="AA419" s="45"/>
    </row>
    <row r="420" spans="1:27" x14ac:dyDescent="0.2">
      <c r="A420" s="38">
        <v>1</v>
      </c>
      <c r="B420" s="37">
        <v>9292003300748</v>
      </c>
      <c r="C420" s="38">
        <v>10</v>
      </c>
      <c r="D420" s="45" t="s">
        <v>405</v>
      </c>
      <c r="F420" s="38" t="s">
        <v>100</v>
      </c>
      <c r="G420" s="38">
        <v>0</v>
      </c>
      <c r="H420" s="38">
        <v>100</v>
      </c>
      <c r="K420" s="38">
        <v>1</v>
      </c>
      <c r="L420" s="38" t="s">
        <v>101</v>
      </c>
      <c r="M420" s="38" t="s">
        <v>406</v>
      </c>
      <c r="N420" s="38" t="s">
        <v>102</v>
      </c>
      <c r="P420" s="38">
        <v>0</v>
      </c>
      <c r="U420" s="38">
        <v>4</v>
      </c>
      <c r="V420" s="38">
        <v>1</v>
      </c>
      <c r="W420" s="38" t="s">
        <v>103</v>
      </c>
      <c r="X420" s="38">
        <v>0</v>
      </c>
      <c r="AA420" s="45"/>
    </row>
    <row r="421" spans="1:27" x14ac:dyDescent="0.2">
      <c r="A421" s="38">
        <v>1</v>
      </c>
      <c r="B421" s="37">
        <v>9292003300748</v>
      </c>
      <c r="C421" s="38">
        <v>20</v>
      </c>
      <c r="D421" s="45">
        <v>5701603300748</v>
      </c>
      <c r="F421" s="38" t="s">
        <v>100</v>
      </c>
      <c r="G421" s="38">
        <v>0</v>
      </c>
      <c r="H421" s="38">
        <v>100</v>
      </c>
      <c r="K421" s="38">
        <v>1</v>
      </c>
      <c r="L421" s="38" t="s">
        <v>101</v>
      </c>
      <c r="M421" s="38" t="s">
        <v>406</v>
      </c>
      <c r="N421" s="38" t="s">
        <v>102</v>
      </c>
      <c r="P421" s="38">
        <v>0</v>
      </c>
      <c r="U421" s="38">
        <v>4</v>
      </c>
      <c r="V421" s="38">
        <v>1</v>
      </c>
      <c r="W421" s="38" t="s">
        <v>103</v>
      </c>
      <c r="X421" s="38">
        <v>0</v>
      </c>
      <c r="AA421" s="45"/>
    </row>
    <row r="422" spans="1:27" x14ac:dyDescent="0.2">
      <c r="A422" s="38">
        <v>1</v>
      </c>
      <c r="B422" s="37">
        <v>9292003301748</v>
      </c>
      <c r="C422" s="38">
        <v>10</v>
      </c>
      <c r="D422" s="45" t="s">
        <v>405</v>
      </c>
      <c r="F422" s="38" t="s">
        <v>100</v>
      </c>
      <c r="G422" s="38">
        <v>0</v>
      </c>
      <c r="H422" s="38">
        <v>100</v>
      </c>
      <c r="K422" s="38">
        <v>1</v>
      </c>
      <c r="L422" s="38" t="s">
        <v>101</v>
      </c>
      <c r="M422" s="38" t="s">
        <v>406</v>
      </c>
      <c r="N422" s="38" t="s">
        <v>102</v>
      </c>
      <c r="P422" s="38">
        <v>0</v>
      </c>
      <c r="U422" s="38">
        <v>4</v>
      </c>
      <c r="V422" s="38">
        <v>1</v>
      </c>
      <c r="W422" s="38" t="s">
        <v>103</v>
      </c>
      <c r="X422" s="38">
        <v>0</v>
      </c>
      <c r="AA422" s="45"/>
    </row>
    <row r="423" spans="1:27" x14ac:dyDescent="0.2">
      <c r="A423" s="38">
        <v>1</v>
      </c>
      <c r="B423" s="37">
        <v>9292003301748</v>
      </c>
      <c r="C423" s="38">
        <v>20</v>
      </c>
      <c r="D423" s="45">
        <v>5701603301748</v>
      </c>
      <c r="F423" s="38" t="s">
        <v>100</v>
      </c>
      <c r="G423" s="38">
        <v>0</v>
      </c>
      <c r="H423" s="38">
        <v>100</v>
      </c>
      <c r="K423" s="38">
        <v>1</v>
      </c>
      <c r="L423" s="38" t="s">
        <v>101</v>
      </c>
      <c r="M423" s="38" t="s">
        <v>406</v>
      </c>
      <c r="N423" s="38" t="s">
        <v>102</v>
      </c>
      <c r="P423" s="38">
        <v>0</v>
      </c>
      <c r="U423" s="38">
        <v>4</v>
      </c>
      <c r="V423" s="38">
        <v>1</v>
      </c>
      <c r="W423" s="38" t="s">
        <v>103</v>
      </c>
      <c r="X423" s="38">
        <v>0</v>
      </c>
      <c r="AA423" s="45"/>
    </row>
    <row r="424" spans="1:27" x14ac:dyDescent="0.2">
      <c r="A424" s="38">
        <v>1</v>
      </c>
      <c r="B424" s="37">
        <v>9292003302748</v>
      </c>
      <c r="C424" s="38">
        <v>10</v>
      </c>
      <c r="D424" s="45" t="s">
        <v>405</v>
      </c>
      <c r="F424" s="38" t="s">
        <v>100</v>
      </c>
      <c r="G424" s="38">
        <v>0</v>
      </c>
      <c r="H424" s="38">
        <v>100</v>
      </c>
      <c r="K424" s="38">
        <v>1</v>
      </c>
      <c r="L424" s="38" t="s">
        <v>101</v>
      </c>
      <c r="M424" s="38" t="s">
        <v>406</v>
      </c>
      <c r="N424" s="38" t="s">
        <v>102</v>
      </c>
      <c r="P424" s="38">
        <v>0</v>
      </c>
      <c r="U424" s="38">
        <v>4</v>
      </c>
      <c r="V424" s="38">
        <v>1</v>
      </c>
      <c r="W424" s="38" t="s">
        <v>103</v>
      </c>
      <c r="X424" s="38">
        <v>0</v>
      </c>
      <c r="AA424" s="45"/>
    </row>
    <row r="425" spans="1:27" x14ac:dyDescent="0.2">
      <c r="A425" s="38">
        <v>1</v>
      </c>
      <c r="B425" s="37">
        <v>9292003302748</v>
      </c>
      <c r="C425" s="38">
        <v>20</v>
      </c>
      <c r="D425" s="45">
        <v>5701603302748</v>
      </c>
      <c r="F425" s="38" t="s">
        <v>100</v>
      </c>
      <c r="G425" s="38">
        <v>0</v>
      </c>
      <c r="H425" s="38">
        <v>100</v>
      </c>
      <c r="K425" s="38">
        <v>1</v>
      </c>
      <c r="L425" s="38" t="s">
        <v>101</v>
      </c>
      <c r="M425" s="38" t="s">
        <v>406</v>
      </c>
      <c r="N425" s="38" t="s">
        <v>102</v>
      </c>
      <c r="P425" s="38">
        <v>0</v>
      </c>
      <c r="U425" s="38">
        <v>4</v>
      </c>
      <c r="V425" s="38">
        <v>1</v>
      </c>
      <c r="W425" s="38" t="s">
        <v>103</v>
      </c>
      <c r="X425" s="38">
        <v>0</v>
      </c>
      <c r="AA425" s="45"/>
    </row>
    <row r="426" spans="1:27" x14ac:dyDescent="0.2">
      <c r="A426" s="38">
        <v>1</v>
      </c>
      <c r="B426" s="37">
        <v>9292003303748</v>
      </c>
      <c r="C426" s="38">
        <v>10</v>
      </c>
      <c r="D426" s="45" t="s">
        <v>405</v>
      </c>
      <c r="F426" s="38" t="s">
        <v>100</v>
      </c>
      <c r="G426" s="38">
        <v>0</v>
      </c>
      <c r="H426" s="38">
        <v>100</v>
      </c>
      <c r="K426" s="38">
        <v>1</v>
      </c>
      <c r="L426" s="38" t="s">
        <v>101</v>
      </c>
      <c r="M426" s="38" t="s">
        <v>406</v>
      </c>
      <c r="N426" s="38" t="s">
        <v>102</v>
      </c>
      <c r="P426" s="38">
        <v>0</v>
      </c>
      <c r="U426" s="38">
        <v>4</v>
      </c>
      <c r="V426" s="38">
        <v>1</v>
      </c>
      <c r="W426" s="38" t="s">
        <v>103</v>
      </c>
      <c r="X426" s="38">
        <v>0</v>
      </c>
      <c r="AA426" s="45"/>
    </row>
    <row r="427" spans="1:27" x14ac:dyDescent="0.2">
      <c r="A427" s="38">
        <v>1</v>
      </c>
      <c r="B427" s="37">
        <v>9292003303748</v>
      </c>
      <c r="C427" s="38">
        <v>20</v>
      </c>
      <c r="D427" s="45">
        <v>5701603303748</v>
      </c>
      <c r="F427" s="38" t="s">
        <v>100</v>
      </c>
      <c r="G427" s="38">
        <v>0</v>
      </c>
      <c r="H427" s="38">
        <v>100</v>
      </c>
      <c r="K427" s="38">
        <v>1</v>
      </c>
      <c r="L427" s="38" t="s">
        <v>101</v>
      </c>
      <c r="M427" s="38" t="s">
        <v>406</v>
      </c>
      <c r="N427" s="38" t="s">
        <v>102</v>
      </c>
      <c r="P427" s="38">
        <v>0</v>
      </c>
      <c r="U427" s="38">
        <v>4</v>
      </c>
      <c r="V427" s="38">
        <v>1</v>
      </c>
      <c r="W427" s="38" t="s">
        <v>103</v>
      </c>
      <c r="X427" s="38">
        <v>0</v>
      </c>
      <c r="AA427" s="45"/>
    </row>
    <row r="428" spans="1:27" x14ac:dyDescent="0.2">
      <c r="A428" s="38">
        <v>1</v>
      </c>
      <c r="B428" s="37">
        <v>9292003304748</v>
      </c>
      <c r="C428" s="38">
        <v>10</v>
      </c>
      <c r="D428" s="45" t="s">
        <v>405</v>
      </c>
      <c r="F428" s="38" t="s">
        <v>100</v>
      </c>
      <c r="G428" s="38">
        <v>0</v>
      </c>
      <c r="H428" s="38">
        <v>100</v>
      </c>
      <c r="K428" s="38">
        <v>1</v>
      </c>
      <c r="L428" s="38" t="s">
        <v>101</v>
      </c>
      <c r="M428" s="38" t="s">
        <v>406</v>
      </c>
      <c r="N428" s="38" t="s">
        <v>102</v>
      </c>
      <c r="P428" s="38">
        <v>0</v>
      </c>
      <c r="U428" s="38">
        <v>4</v>
      </c>
      <c r="V428" s="38">
        <v>1</v>
      </c>
      <c r="W428" s="38" t="s">
        <v>103</v>
      </c>
      <c r="X428" s="38">
        <v>0</v>
      </c>
      <c r="AA428" s="45"/>
    </row>
    <row r="429" spans="1:27" x14ac:dyDescent="0.2">
      <c r="A429" s="38">
        <v>1</v>
      </c>
      <c r="B429" s="37">
        <v>9292003304748</v>
      </c>
      <c r="C429" s="38">
        <v>20</v>
      </c>
      <c r="D429" s="45">
        <v>5701603304748</v>
      </c>
      <c r="F429" s="38" t="s">
        <v>100</v>
      </c>
      <c r="G429" s="38">
        <v>0</v>
      </c>
      <c r="H429" s="38">
        <v>100</v>
      </c>
      <c r="K429" s="38">
        <v>1</v>
      </c>
      <c r="L429" s="38" t="s">
        <v>101</v>
      </c>
      <c r="M429" s="38" t="s">
        <v>406</v>
      </c>
      <c r="N429" s="38" t="s">
        <v>102</v>
      </c>
      <c r="P429" s="38">
        <v>0</v>
      </c>
      <c r="U429" s="38">
        <v>4</v>
      </c>
      <c r="V429" s="38">
        <v>1</v>
      </c>
      <c r="W429" s="38" t="s">
        <v>103</v>
      </c>
      <c r="X429" s="38">
        <v>0</v>
      </c>
      <c r="AA429" s="45"/>
    </row>
    <row r="430" spans="1:27" x14ac:dyDescent="0.2">
      <c r="A430" s="38">
        <v>1</v>
      </c>
      <c r="B430" s="37">
        <v>9292003305748</v>
      </c>
      <c r="C430" s="38">
        <v>10</v>
      </c>
      <c r="D430" s="45" t="s">
        <v>405</v>
      </c>
      <c r="F430" s="38" t="s">
        <v>100</v>
      </c>
      <c r="G430" s="38">
        <v>0</v>
      </c>
      <c r="H430" s="38">
        <v>100</v>
      </c>
      <c r="K430" s="38">
        <v>1</v>
      </c>
      <c r="L430" s="38" t="s">
        <v>101</v>
      </c>
      <c r="M430" s="38" t="s">
        <v>406</v>
      </c>
      <c r="N430" s="38" t="s">
        <v>102</v>
      </c>
      <c r="P430" s="38">
        <v>0</v>
      </c>
      <c r="U430" s="38">
        <v>4</v>
      </c>
      <c r="V430" s="38">
        <v>1</v>
      </c>
      <c r="W430" s="38" t="s">
        <v>103</v>
      </c>
      <c r="X430" s="38">
        <v>0</v>
      </c>
      <c r="AA430" s="45"/>
    </row>
    <row r="431" spans="1:27" x14ac:dyDescent="0.2">
      <c r="A431" s="38">
        <v>1</v>
      </c>
      <c r="B431" s="37">
        <v>9292003305748</v>
      </c>
      <c r="C431" s="38">
        <v>20</v>
      </c>
      <c r="D431" s="45">
        <v>5701603305748</v>
      </c>
      <c r="F431" s="38" t="s">
        <v>100</v>
      </c>
      <c r="G431" s="38">
        <v>0</v>
      </c>
      <c r="H431" s="38">
        <v>100</v>
      </c>
      <c r="K431" s="38">
        <v>1</v>
      </c>
      <c r="L431" s="38" t="s">
        <v>101</v>
      </c>
      <c r="M431" s="38" t="s">
        <v>406</v>
      </c>
      <c r="N431" s="38" t="s">
        <v>102</v>
      </c>
      <c r="P431" s="38">
        <v>0</v>
      </c>
      <c r="U431" s="38">
        <v>4</v>
      </c>
      <c r="V431" s="38">
        <v>1</v>
      </c>
      <c r="W431" s="38" t="s">
        <v>103</v>
      </c>
      <c r="X431" s="38">
        <v>0</v>
      </c>
      <c r="AA431" s="45"/>
    </row>
    <row r="432" spans="1:27" x14ac:dyDescent="0.2">
      <c r="A432" s="38">
        <v>1</v>
      </c>
      <c r="B432" s="37">
        <v>9292003306748</v>
      </c>
      <c r="C432" s="38">
        <v>10</v>
      </c>
      <c r="D432" s="45" t="s">
        <v>405</v>
      </c>
      <c r="F432" s="38" t="s">
        <v>100</v>
      </c>
      <c r="G432" s="38">
        <v>0</v>
      </c>
      <c r="H432" s="38">
        <v>100</v>
      </c>
      <c r="K432" s="38">
        <v>1</v>
      </c>
      <c r="L432" s="38" t="s">
        <v>101</v>
      </c>
      <c r="M432" s="38" t="s">
        <v>406</v>
      </c>
      <c r="N432" s="38" t="s">
        <v>102</v>
      </c>
      <c r="P432" s="38">
        <v>0</v>
      </c>
      <c r="U432" s="38">
        <v>4</v>
      </c>
      <c r="V432" s="38">
        <v>1</v>
      </c>
      <c r="W432" s="38" t="s">
        <v>103</v>
      </c>
      <c r="X432" s="38">
        <v>0</v>
      </c>
      <c r="AA432" s="45"/>
    </row>
    <row r="433" spans="1:27" x14ac:dyDescent="0.2">
      <c r="A433" s="38">
        <v>1</v>
      </c>
      <c r="B433" s="37">
        <v>9292003306748</v>
      </c>
      <c r="C433" s="38">
        <v>20</v>
      </c>
      <c r="D433" s="45">
        <v>5701603306748</v>
      </c>
      <c r="F433" s="38" t="s">
        <v>100</v>
      </c>
      <c r="G433" s="38">
        <v>0</v>
      </c>
      <c r="H433" s="38">
        <v>100</v>
      </c>
      <c r="K433" s="38">
        <v>1</v>
      </c>
      <c r="L433" s="38" t="s">
        <v>101</v>
      </c>
      <c r="M433" s="38" t="s">
        <v>406</v>
      </c>
      <c r="N433" s="38" t="s">
        <v>102</v>
      </c>
      <c r="P433" s="38">
        <v>0</v>
      </c>
      <c r="U433" s="38">
        <v>4</v>
      </c>
      <c r="V433" s="38">
        <v>1</v>
      </c>
      <c r="W433" s="38" t="s">
        <v>103</v>
      </c>
      <c r="X433" s="38">
        <v>0</v>
      </c>
      <c r="AA433" s="45"/>
    </row>
    <row r="434" spans="1:27" x14ac:dyDescent="0.2">
      <c r="A434" s="38">
        <v>1</v>
      </c>
      <c r="B434" s="37">
        <v>9292003307748</v>
      </c>
      <c r="C434" s="38">
        <v>10</v>
      </c>
      <c r="D434" s="45" t="s">
        <v>405</v>
      </c>
      <c r="F434" s="38" t="s">
        <v>100</v>
      </c>
      <c r="G434" s="38">
        <v>0</v>
      </c>
      <c r="H434" s="38">
        <v>100</v>
      </c>
      <c r="K434" s="38">
        <v>1</v>
      </c>
      <c r="L434" s="38" t="s">
        <v>101</v>
      </c>
      <c r="M434" s="38" t="s">
        <v>406</v>
      </c>
      <c r="N434" s="38" t="s">
        <v>102</v>
      </c>
      <c r="P434" s="38">
        <v>0</v>
      </c>
      <c r="U434" s="38">
        <v>4</v>
      </c>
      <c r="V434" s="38">
        <v>1</v>
      </c>
      <c r="W434" s="38" t="s">
        <v>103</v>
      </c>
      <c r="X434" s="38">
        <v>0</v>
      </c>
      <c r="AA434" s="45"/>
    </row>
    <row r="435" spans="1:27" x14ac:dyDescent="0.2">
      <c r="A435" s="38">
        <v>1</v>
      </c>
      <c r="B435" s="37">
        <v>9292003307748</v>
      </c>
      <c r="C435" s="38">
        <v>20</v>
      </c>
      <c r="D435" s="45">
        <v>5701603307748</v>
      </c>
      <c r="F435" s="38" t="s">
        <v>100</v>
      </c>
      <c r="G435" s="38">
        <v>0</v>
      </c>
      <c r="H435" s="38">
        <v>100</v>
      </c>
      <c r="K435" s="38">
        <v>1</v>
      </c>
      <c r="L435" s="38" t="s">
        <v>101</v>
      </c>
      <c r="M435" s="38" t="s">
        <v>406</v>
      </c>
      <c r="N435" s="38" t="s">
        <v>102</v>
      </c>
      <c r="P435" s="38">
        <v>0</v>
      </c>
      <c r="U435" s="38">
        <v>4</v>
      </c>
      <c r="V435" s="38">
        <v>1</v>
      </c>
      <c r="W435" s="38" t="s">
        <v>103</v>
      </c>
      <c r="X435" s="38">
        <v>0</v>
      </c>
      <c r="AA435" s="45"/>
    </row>
    <row r="436" spans="1:27" x14ac:dyDescent="0.2">
      <c r="A436" s="38">
        <v>1</v>
      </c>
      <c r="B436" s="37">
        <v>9292003308748</v>
      </c>
      <c r="C436" s="38">
        <v>10</v>
      </c>
      <c r="D436" s="45" t="s">
        <v>405</v>
      </c>
      <c r="F436" s="38" t="s">
        <v>100</v>
      </c>
      <c r="G436" s="38">
        <v>0</v>
      </c>
      <c r="H436" s="38">
        <v>100</v>
      </c>
      <c r="K436" s="38">
        <v>1</v>
      </c>
      <c r="L436" s="38" t="s">
        <v>101</v>
      </c>
      <c r="M436" s="38" t="s">
        <v>406</v>
      </c>
      <c r="N436" s="38" t="s">
        <v>102</v>
      </c>
      <c r="P436" s="38">
        <v>0</v>
      </c>
      <c r="U436" s="38">
        <v>4</v>
      </c>
      <c r="V436" s="38">
        <v>1</v>
      </c>
      <c r="W436" s="38" t="s">
        <v>103</v>
      </c>
      <c r="X436" s="38">
        <v>0</v>
      </c>
      <c r="AA436" s="45"/>
    </row>
    <row r="437" spans="1:27" x14ac:dyDescent="0.2">
      <c r="A437" s="38">
        <v>1</v>
      </c>
      <c r="B437" s="37">
        <v>9292003308748</v>
      </c>
      <c r="C437" s="38">
        <v>20</v>
      </c>
      <c r="D437" s="45">
        <v>5701603308748</v>
      </c>
      <c r="F437" s="38" t="s">
        <v>100</v>
      </c>
      <c r="G437" s="38">
        <v>0</v>
      </c>
      <c r="H437" s="38">
        <v>100</v>
      </c>
      <c r="K437" s="38">
        <v>1</v>
      </c>
      <c r="L437" s="38" t="s">
        <v>101</v>
      </c>
      <c r="M437" s="38" t="s">
        <v>406</v>
      </c>
      <c r="N437" s="38" t="s">
        <v>102</v>
      </c>
      <c r="P437" s="38">
        <v>0</v>
      </c>
      <c r="U437" s="38">
        <v>4</v>
      </c>
      <c r="V437" s="38">
        <v>1</v>
      </c>
      <c r="W437" s="38" t="s">
        <v>103</v>
      </c>
      <c r="X437" s="38">
        <v>0</v>
      </c>
      <c r="AA437" s="45"/>
    </row>
    <row r="438" spans="1:27" x14ac:dyDescent="0.2">
      <c r="A438" s="38">
        <v>1</v>
      </c>
      <c r="B438" s="37">
        <v>9292003309748</v>
      </c>
      <c r="C438" s="38">
        <v>10</v>
      </c>
      <c r="D438" s="45" t="s">
        <v>405</v>
      </c>
      <c r="F438" s="38" t="s">
        <v>100</v>
      </c>
      <c r="G438" s="38">
        <v>0</v>
      </c>
      <c r="H438" s="38">
        <v>100</v>
      </c>
      <c r="K438" s="38">
        <v>1</v>
      </c>
      <c r="L438" s="38" t="s">
        <v>101</v>
      </c>
      <c r="M438" s="38" t="s">
        <v>406</v>
      </c>
      <c r="N438" s="38" t="s">
        <v>102</v>
      </c>
      <c r="P438" s="38">
        <v>0</v>
      </c>
      <c r="U438" s="38">
        <v>4</v>
      </c>
      <c r="V438" s="38">
        <v>1</v>
      </c>
      <c r="W438" s="38" t="s">
        <v>103</v>
      </c>
      <c r="X438" s="38">
        <v>0</v>
      </c>
      <c r="AA438" s="45"/>
    </row>
    <row r="439" spans="1:27" x14ac:dyDescent="0.2">
      <c r="A439" s="38">
        <v>1</v>
      </c>
      <c r="B439" s="37">
        <v>9292003309748</v>
      </c>
      <c r="C439" s="38">
        <v>20</v>
      </c>
      <c r="D439" s="45">
        <v>5701603309748</v>
      </c>
      <c r="F439" s="38" t="s">
        <v>100</v>
      </c>
      <c r="G439" s="38">
        <v>0</v>
      </c>
      <c r="H439" s="38">
        <v>100</v>
      </c>
      <c r="K439" s="38">
        <v>1</v>
      </c>
      <c r="L439" s="38" t="s">
        <v>101</v>
      </c>
      <c r="M439" s="38" t="s">
        <v>406</v>
      </c>
      <c r="N439" s="38" t="s">
        <v>102</v>
      </c>
      <c r="P439" s="38">
        <v>0</v>
      </c>
      <c r="U439" s="38">
        <v>4</v>
      </c>
      <c r="V439" s="38">
        <v>1</v>
      </c>
      <c r="W439" s="38" t="s">
        <v>103</v>
      </c>
      <c r="X439" s="38">
        <v>0</v>
      </c>
      <c r="AA439" s="45"/>
    </row>
    <row r="440" spans="1:27" x14ac:dyDescent="0.2">
      <c r="A440" s="38">
        <v>1</v>
      </c>
      <c r="B440" s="37">
        <v>9292003310748</v>
      </c>
      <c r="C440" s="38">
        <v>10</v>
      </c>
      <c r="D440" s="45" t="s">
        <v>405</v>
      </c>
      <c r="F440" s="38" t="s">
        <v>100</v>
      </c>
      <c r="G440" s="38">
        <v>0</v>
      </c>
      <c r="H440" s="38">
        <v>100</v>
      </c>
      <c r="K440" s="38">
        <v>1</v>
      </c>
      <c r="L440" s="38" t="s">
        <v>101</v>
      </c>
      <c r="M440" s="38" t="s">
        <v>406</v>
      </c>
      <c r="N440" s="38" t="s">
        <v>102</v>
      </c>
      <c r="P440" s="38">
        <v>0</v>
      </c>
      <c r="U440" s="38">
        <v>4</v>
      </c>
      <c r="V440" s="38">
        <v>1</v>
      </c>
      <c r="W440" s="38" t="s">
        <v>103</v>
      </c>
      <c r="X440" s="38">
        <v>0</v>
      </c>
      <c r="AA440" s="45"/>
    </row>
    <row r="441" spans="1:27" x14ac:dyDescent="0.2">
      <c r="A441" s="38">
        <v>1</v>
      </c>
      <c r="B441" s="37">
        <v>9292003310748</v>
      </c>
      <c r="C441" s="38">
        <v>20</v>
      </c>
      <c r="D441" s="45">
        <v>5701603310748</v>
      </c>
      <c r="F441" s="38" t="s">
        <v>100</v>
      </c>
      <c r="G441" s="38">
        <v>0</v>
      </c>
      <c r="H441" s="38">
        <v>100</v>
      </c>
      <c r="K441" s="38">
        <v>1</v>
      </c>
      <c r="L441" s="38" t="s">
        <v>101</v>
      </c>
      <c r="M441" s="38" t="s">
        <v>406</v>
      </c>
      <c r="N441" s="38" t="s">
        <v>102</v>
      </c>
      <c r="P441" s="38">
        <v>0</v>
      </c>
      <c r="U441" s="38">
        <v>4</v>
      </c>
      <c r="V441" s="38">
        <v>1</v>
      </c>
      <c r="W441" s="38" t="s">
        <v>103</v>
      </c>
      <c r="X441" s="38">
        <v>0</v>
      </c>
      <c r="AA441" s="45"/>
    </row>
    <row r="442" spans="1:27" x14ac:dyDescent="0.2">
      <c r="A442" s="38">
        <v>1</v>
      </c>
      <c r="B442" s="37">
        <v>9292003300722</v>
      </c>
      <c r="C442" s="38">
        <v>10</v>
      </c>
      <c r="D442" s="45" t="s">
        <v>405</v>
      </c>
      <c r="F442" s="38" t="s">
        <v>100</v>
      </c>
      <c r="G442" s="38">
        <v>0</v>
      </c>
      <c r="H442" s="38">
        <v>100</v>
      </c>
      <c r="K442" s="38">
        <v>1</v>
      </c>
      <c r="L442" s="38" t="s">
        <v>101</v>
      </c>
      <c r="M442" s="38" t="s">
        <v>406</v>
      </c>
      <c r="N442" s="38" t="s">
        <v>102</v>
      </c>
      <c r="P442" s="38">
        <v>0</v>
      </c>
      <c r="U442" s="38">
        <v>4</v>
      </c>
      <c r="V442" s="38">
        <v>1</v>
      </c>
      <c r="W442" s="38" t="s">
        <v>103</v>
      </c>
      <c r="X442" s="38">
        <v>0</v>
      </c>
      <c r="AA442" s="45"/>
    </row>
    <row r="443" spans="1:27" x14ac:dyDescent="0.2">
      <c r="A443" s="38">
        <v>1</v>
      </c>
      <c r="B443" s="37">
        <v>9292003300722</v>
      </c>
      <c r="C443" s="38">
        <v>20</v>
      </c>
      <c r="D443" s="45">
        <v>5701603300722</v>
      </c>
      <c r="F443" s="38" t="s">
        <v>100</v>
      </c>
      <c r="G443" s="38">
        <v>0</v>
      </c>
      <c r="H443" s="38">
        <v>100</v>
      </c>
      <c r="K443" s="38">
        <v>1</v>
      </c>
      <c r="L443" s="38" t="s">
        <v>101</v>
      </c>
      <c r="M443" s="38" t="s">
        <v>406</v>
      </c>
      <c r="N443" s="38" t="s">
        <v>102</v>
      </c>
      <c r="P443" s="38">
        <v>0</v>
      </c>
      <c r="U443" s="38">
        <v>4</v>
      </c>
      <c r="V443" s="38">
        <v>1</v>
      </c>
      <c r="W443" s="38" t="s">
        <v>103</v>
      </c>
      <c r="X443" s="38">
        <v>0</v>
      </c>
      <c r="AA443" s="45"/>
    </row>
    <row r="444" spans="1:27" x14ac:dyDescent="0.2">
      <c r="A444" s="38">
        <v>1</v>
      </c>
      <c r="B444" s="37">
        <v>9292003301722</v>
      </c>
      <c r="C444" s="38">
        <v>10</v>
      </c>
      <c r="D444" s="45" t="s">
        <v>405</v>
      </c>
      <c r="F444" s="38" t="s">
        <v>100</v>
      </c>
      <c r="G444" s="38">
        <v>0</v>
      </c>
      <c r="H444" s="38">
        <v>100</v>
      </c>
      <c r="K444" s="38">
        <v>1</v>
      </c>
      <c r="L444" s="38" t="s">
        <v>101</v>
      </c>
      <c r="M444" s="38" t="s">
        <v>406</v>
      </c>
      <c r="N444" s="38" t="s">
        <v>102</v>
      </c>
      <c r="P444" s="38">
        <v>0</v>
      </c>
      <c r="U444" s="38">
        <v>4</v>
      </c>
      <c r="V444" s="38">
        <v>1</v>
      </c>
      <c r="W444" s="38" t="s">
        <v>103</v>
      </c>
      <c r="X444" s="38">
        <v>0</v>
      </c>
      <c r="AA444" s="45"/>
    </row>
    <row r="445" spans="1:27" x14ac:dyDescent="0.2">
      <c r="A445" s="38">
        <v>1</v>
      </c>
      <c r="B445" s="37">
        <v>9292003301722</v>
      </c>
      <c r="C445" s="38">
        <v>20</v>
      </c>
      <c r="D445" s="45">
        <v>5701603301722</v>
      </c>
      <c r="F445" s="38" t="s">
        <v>100</v>
      </c>
      <c r="G445" s="38">
        <v>0</v>
      </c>
      <c r="H445" s="38">
        <v>100</v>
      </c>
      <c r="K445" s="38">
        <v>1</v>
      </c>
      <c r="L445" s="38" t="s">
        <v>101</v>
      </c>
      <c r="M445" s="38" t="s">
        <v>406</v>
      </c>
      <c r="N445" s="38" t="s">
        <v>102</v>
      </c>
      <c r="P445" s="38">
        <v>0</v>
      </c>
      <c r="U445" s="38">
        <v>4</v>
      </c>
      <c r="V445" s="38">
        <v>1</v>
      </c>
      <c r="W445" s="38" t="s">
        <v>103</v>
      </c>
      <c r="X445" s="38">
        <v>0</v>
      </c>
      <c r="AA445" s="45"/>
    </row>
    <row r="446" spans="1:27" x14ac:dyDescent="0.2">
      <c r="A446" s="38">
        <v>1</v>
      </c>
      <c r="B446" s="37">
        <v>9292003302722</v>
      </c>
      <c r="C446" s="38">
        <v>10</v>
      </c>
      <c r="D446" s="45" t="s">
        <v>405</v>
      </c>
      <c r="F446" s="38" t="s">
        <v>100</v>
      </c>
      <c r="G446" s="38">
        <v>0</v>
      </c>
      <c r="H446" s="38">
        <v>100</v>
      </c>
      <c r="K446" s="38">
        <v>1</v>
      </c>
      <c r="L446" s="38" t="s">
        <v>101</v>
      </c>
      <c r="M446" s="38" t="s">
        <v>406</v>
      </c>
      <c r="N446" s="38" t="s">
        <v>102</v>
      </c>
      <c r="P446" s="38">
        <v>0</v>
      </c>
      <c r="U446" s="38">
        <v>4</v>
      </c>
      <c r="V446" s="38">
        <v>1</v>
      </c>
      <c r="W446" s="38" t="s">
        <v>103</v>
      </c>
      <c r="X446" s="38">
        <v>0</v>
      </c>
      <c r="AA446" s="45"/>
    </row>
    <row r="447" spans="1:27" x14ac:dyDescent="0.2">
      <c r="A447" s="38">
        <v>1</v>
      </c>
      <c r="B447" s="37">
        <v>9292003302722</v>
      </c>
      <c r="C447" s="38">
        <v>20</v>
      </c>
      <c r="D447" s="45">
        <v>5701603302722</v>
      </c>
      <c r="F447" s="38" t="s">
        <v>100</v>
      </c>
      <c r="G447" s="38">
        <v>0</v>
      </c>
      <c r="H447" s="38">
        <v>100</v>
      </c>
      <c r="K447" s="38">
        <v>1</v>
      </c>
      <c r="L447" s="38" t="s">
        <v>101</v>
      </c>
      <c r="M447" s="38" t="s">
        <v>406</v>
      </c>
      <c r="N447" s="38" t="s">
        <v>102</v>
      </c>
      <c r="P447" s="38">
        <v>0</v>
      </c>
      <c r="U447" s="38">
        <v>4</v>
      </c>
      <c r="V447" s="38">
        <v>1</v>
      </c>
      <c r="W447" s="38" t="s">
        <v>103</v>
      </c>
      <c r="X447" s="38">
        <v>0</v>
      </c>
      <c r="AA447" s="45"/>
    </row>
    <row r="448" spans="1:27" x14ac:dyDescent="0.2">
      <c r="A448" s="38">
        <v>1</v>
      </c>
      <c r="B448" s="37">
        <v>9292003303722</v>
      </c>
      <c r="C448" s="38">
        <v>10</v>
      </c>
      <c r="D448" s="45" t="s">
        <v>405</v>
      </c>
      <c r="F448" s="38" t="s">
        <v>100</v>
      </c>
      <c r="G448" s="38">
        <v>0</v>
      </c>
      <c r="H448" s="38">
        <v>100</v>
      </c>
      <c r="K448" s="38">
        <v>1</v>
      </c>
      <c r="L448" s="38" t="s">
        <v>101</v>
      </c>
      <c r="M448" s="38" t="s">
        <v>406</v>
      </c>
      <c r="N448" s="38" t="s">
        <v>102</v>
      </c>
      <c r="P448" s="38">
        <v>0</v>
      </c>
      <c r="U448" s="38">
        <v>4</v>
      </c>
      <c r="V448" s="38">
        <v>1</v>
      </c>
      <c r="W448" s="38" t="s">
        <v>103</v>
      </c>
      <c r="X448" s="38">
        <v>0</v>
      </c>
      <c r="AA448" s="45"/>
    </row>
    <row r="449" spans="1:27" x14ac:dyDescent="0.2">
      <c r="A449" s="38">
        <v>1</v>
      </c>
      <c r="B449" s="37">
        <v>9292003303722</v>
      </c>
      <c r="C449" s="38">
        <v>20</v>
      </c>
      <c r="D449" s="45">
        <v>5701603303722</v>
      </c>
      <c r="F449" s="38" t="s">
        <v>100</v>
      </c>
      <c r="G449" s="38">
        <v>0</v>
      </c>
      <c r="H449" s="38">
        <v>100</v>
      </c>
      <c r="K449" s="38">
        <v>1</v>
      </c>
      <c r="L449" s="38" t="s">
        <v>101</v>
      </c>
      <c r="M449" s="38" t="s">
        <v>406</v>
      </c>
      <c r="N449" s="38" t="s">
        <v>102</v>
      </c>
      <c r="P449" s="38">
        <v>0</v>
      </c>
      <c r="U449" s="38">
        <v>4</v>
      </c>
      <c r="V449" s="38">
        <v>1</v>
      </c>
      <c r="W449" s="38" t="s">
        <v>103</v>
      </c>
      <c r="X449" s="38">
        <v>0</v>
      </c>
      <c r="AA449" s="45"/>
    </row>
    <row r="450" spans="1:27" x14ac:dyDescent="0.2">
      <c r="A450" s="38">
        <v>1</v>
      </c>
      <c r="B450" s="37">
        <v>9292003304722</v>
      </c>
      <c r="C450" s="38">
        <v>10</v>
      </c>
      <c r="D450" s="45" t="s">
        <v>405</v>
      </c>
      <c r="F450" s="38" t="s">
        <v>100</v>
      </c>
      <c r="G450" s="38">
        <v>0</v>
      </c>
      <c r="H450" s="38">
        <v>100</v>
      </c>
      <c r="K450" s="38">
        <v>1</v>
      </c>
      <c r="L450" s="38" t="s">
        <v>101</v>
      </c>
      <c r="M450" s="38" t="s">
        <v>406</v>
      </c>
      <c r="N450" s="38" t="s">
        <v>102</v>
      </c>
      <c r="P450" s="38">
        <v>0</v>
      </c>
      <c r="U450" s="38">
        <v>4</v>
      </c>
      <c r="V450" s="38">
        <v>1</v>
      </c>
      <c r="W450" s="38" t="s">
        <v>103</v>
      </c>
      <c r="X450" s="38">
        <v>0</v>
      </c>
      <c r="AA450" s="45"/>
    </row>
    <row r="451" spans="1:27" x14ac:dyDescent="0.2">
      <c r="A451" s="38">
        <v>1</v>
      </c>
      <c r="B451" s="37">
        <v>9292003304722</v>
      </c>
      <c r="C451" s="38">
        <v>20</v>
      </c>
      <c r="D451" s="45">
        <v>5701603304722</v>
      </c>
      <c r="F451" s="38" t="s">
        <v>100</v>
      </c>
      <c r="G451" s="38">
        <v>0</v>
      </c>
      <c r="H451" s="38">
        <v>100</v>
      </c>
      <c r="K451" s="38">
        <v>1</v>
      </c>
      <c r="L451" s="38" t="s">
        <v>101</v>
      </c>
      <c r="M451" s="38" t="s">
        <v>406</v>
      </c>
      <c r="N451" s="38" t="s">
        <v>102</v>
      </c>
      <c r="P451" s="38">
        <v>0</v>
      </c>
      <c r="U451" s="38">
        <v>4</v>
      </c>
      <c r="V451" s="38">
        <v>1</v>
      </c>
      <c r="W451" s="38" t="s">
        <v>103</v>
      </c>
      <c r="X451" s="38">
        <v>0</v>
      </c>
      <c r="AA451" s="45"/>
    </row>
    <row r="452" spans="1:27" x14ac:dyDescent="0.2">
      <c r="A452" s="38">
        <v>1</v>
      </c>
      <c r="B452" s="37">
        <v>9292003305722</v>
      </c>
      <c r="C452" s="38">
        <v>10</v>
      </c>
      <c r="D452" s="45" t="s">
        <v>405</v>
      </c>
      <c r="F452" s="38" t="s">
        <v>100</v>
      </c>
      <c r="G452" s="38">
        <v>0</v>
      </c>
      <c r="H452" s="38">
        <v>100</v>
      </c>
      <c r="K452" s="38">
        <v>1</v>
      </c>
      <c r="L452" s="38" t="s">
        <v>101</v>
      </c>
      <c r="M452" s="38" t="s">
        <v>406</v>
      </c>
      <c r="N452" s="38" t="s">
        <v>102</v>
      </c>
      <c r="P452" s="38">
        <v>0</v>
      </c>
      <c r="U452" s="38">
        <v>4</v>
      </c>
      <c r="V452" s="38">
        <v>1</v>
      </c>
      <c r="W452" s="38" t="s">
        <v>103</v>
      </c>
      <c r="X452" s="38">
        <v>0</v>
      </c>
      <c r="AA452" s="45"/>
    </row>
    <row r="453" spans="1:27" x14ac:dyDescent="0.2">
      <c r="A453" s="38">
        <v>1</v>
      </c>
      <c r="B453" s="37">
        <v>9292003305722</v>
      </c>
      <c r="C453" s="38">
        <v>20</v>
      </c>
      <c r="D453" s="45">
        <v>5701603305722</v>
      </c>
      <c r="F453" s="38" t="s">
        <v>100</v>
      </c>
      <c r="G453" s="38">
        <v>0</v>
      </c>
      <c r="H453" s="38">
        <v>100</v>
      </c>
      <c r="K453" s="38">
        <v>1</v>
      </c>
      <c r="L453" s="38" t="s">
        <v>101</v>
      </c>
      <c r="M453" s="38" t="s">
        <v>406</v>
      </c>
      <c r="N453" s="38" t="s">
        <v>102</v>
      </c>
      <c r="P453" s="38">
        <v>0</v>
      </c>
      <c r="U453" s="38">
        <v>4</v>
      </c>
      <c r="V453" s="38">
        <v>1</v>
      </c>
      <c r="W453" s="38" t="s">
        <v>103</v>
      </c>
      <c r="X453" s="38">
        <v>0</v>
      </c>
      <c r="AA453" s="45"/>
    </row>
    <row r="454" spans="1:27" x14ac:dyDescent="0.2">
      <c r="A454" s="38">
        <v>1</v>
      </c>
      <c r="B454" s="37">
        <v>9292003306722</v>
      </c>
      <c r="C454" s="38">
        <v>10</v>
      </c>
      <c r="D454" s="45" t="s">
        <v>405</v>
      </c>
      <c r="F454" s="38" t="s">
        <v>100</v>
      </c>
      <c r="G454" s="38">
        <v>0</v>
      </c>
      <c r="H454" s="38">
        <v>100</v>
      </c>
      <c r="K454" s="38">
        <v>1</v>
      </c>
      <c r="L454" s="38" t="s">
        <v>101</v>
      </c>
      <c r="M454" s="38" t="s">
        <v>406</v>
      </c>
      <c r="N454" s="38" t="s">
        <v>102</v>
      </c>
      <c r="P454" s="38">
        <v>0</v>
      </c>
      <c r="U454" s="38">
        <v>4</v>
      </c>
      <c r="V454" s="38">
        <v>1</v>
      </c>
      <c r="W454" s="38" t="s">
        <v>103</v>
      </c>
      <c r="X454" s="38">
        <v>0</v>
      </c>
      <c r="AA454" s="45"/>
    </row>
    <row r="455" spans="1:27" x14ac:dyDescent="0.2">
      <c r="A455" s="38">
        <v>1</v>
      </c>
      <c r="B455" s="37">
        <v>9292003306722</v>
      </c>
      <c r="C455" s="38">
        <v>20</v>
      </c>
      <c r="D455" s="45">
        <v>5701603306722</v>
      </c>
      <c r="F455" s="38" t="s">
        <v>100</v>
      </c>
      <c r="G455" s="38">
        <v>0</v>
      </c>
      <c r="H455" s="38">
        <v>100</v>
      </c>
      <c r="K455" s="38">
        <v>1</v>
      </c>
      <c r="L455" s="38" t="s">
        <v>101</v>
      </c>
      <c r="M455" s="38" t="s">
        <v>406</v>
      </c>
      <c r="N455" s="38" t="s">
        <v>102</v>
      </c>
      <c r="P455" s="38">
        <v>0</v>
      </c>
      <c r="U455" s="38">
        <v>4</v>
      </c>
      <c r="V455" s="38">
        <v>1</v>
      </c>
      <c r="W455" s="38" t="s">
        <v>103</v>
      </c>
      <c r="X455" s="38">
        <v>0</v>
      </c>
      <c r="AA455" s="45"/>
    </row>
    <row r="456" spans="1:27" x14ac:dyDescent="0.2">
      <c r="A456" s="38">
        <v>1</v>
      </c>
      <c r="B456" s="37">
        <v>9292003307722</v>
      </c>
      <c r="C456" s="38">
        <v>10</v>
      </c>
      <c r="D456" s="45" t="s">
        <v>405</v>
      </c>
      <c r="F456" s="38" t="s">
        <v>100</v>
      </c>
      <c r="G456" s="38">
        <v>0</v>
      </c>
      <c r="H456" s="38">
        <v>100</v>
      </c>
      <c r="K456" s="38">
        <v>1</v>
      </c>
      <c r="L456" s="38" t="s">
        <v>101</v>
      </c>
      <c r="M456" s="38" t="s">
        <v>406</v>
      </c>
      <c r="N456" s="38" t="s">
        <v>102</v>
      </c>
      <c r="P456" s="38">
        <v>0</v>
      </c>
      <c r="U456" s="38">
        <v>4</v>
      </c>
      <c r="V456" s="38">
        <v>1</v>
      </c>
      <c r="W456" s="38" t="s">
        <v>103</v>
      </c>
      <c r="X456" s="38">
        <v>0</v>
      </c>
      <c r="AA456" s="45"/>
    </row>
    <row r="457" spans="1:27" x14ac:dyDescent="0.2">
      <c r="A457" s="38">
        <v>1</v>
      </c>
      <c r="B457" s="37">
        <v>9292003307722</v>
      </c>
      <c r="C457" s="38">
        <v>20</v>
      </c>
      <c r="D457" s="45">
        <v>5701603307722</v>
      </c>
      <c r="F457" s="38" t="s">
        <v>100</v>
      </c>
      <c r="G457" s="38">
        <v>0</v>
      </c>
      <c r="H457" s="38">
        <v>100</v>
      </c>
      <c r="K457" s="38">
        <v>1</v>
      </c>
      <c r="L457" s="38" t="s">
        <v>101</v>
      </c>
      <c r="M457" s="38" t="s">
        <v>406</v>
      </c>
      <c r="N457" s="38" t="s">
        <v>102</v>
      </c>
      <c r="P457" s="38">
        <v>0</v>
      </c>
      <c r="U457" s="38">
        <v>4</v>
      </c>
      <c r="V457" s="38">
        <v>1</v>
      </c>
      <c r="W457" s="38" t="s">
        <v>103</v>
      </c>
      <c r="X457" s="38">
        <v>0</v>
      </c>
      <c r="AA457" s="45"/>
    </row>
    <row r="458" spans="1:27" x14ac:dyDescent="0.2">
      <c r="A458" s="38">
        <v>1</v>
      </c>
      <c r="B458" s="37">
        <v>9292003308722</v>
      </c>
      <c r="C458" s="38">
        <v>10</v>
      </c>
      <c r="D458" s="45" t="s">
        <v>405</v>
      </c>
      <c r="F458" s="38" t="s">
        <v>100</v>
      </c>
      <c r="G458" s="38">
        <v>0</v>
      </c>
      <c r="H458" s="38">
        <v>100</v>
      </c>
      <c r="K458" s="38">
        <v>1</v>
      </c>
      <c r="L458" s="38" t="s">
        <v>101</v>
      </c>
      <c r="M458" s="38" t="s">
        <v>406</v>
      </c>
      <c r="N458" s="38" t="s">
        <v>102</v>
      </c>
      <c r="P458" s="38">
        <v>0</v>
      </c>
      <c r="U458" s="38">
        <v>4</v>
      </c>
      <c r="V458" s="38">
        <v>1</v>
      </c>
      <c r="W458" s="38" t="s">
        <v>103</v>
      </c>
      <c r="X458" s="38">
        <v>0</v>
      </c>
      <c r="AA458" s="45"/>
    </row>
    <row r="459" spans="1:27" x14ac:dyDescent="0.2">
      <c r="A459" s="38">
        <v>1</v>
      </c>
      <c r="B459" s="37">
        <v>9292003308722</v>
      </c>
      <c r="C459" s="38">
        <v>20</v>
      </c>
      <c r="D459" s="45">
        <v>5701603308722</v>
      </c>
      <c r="F459" s="38" t="s">
        <v>100</v>
      </c>
      <c r="G459" s="38">
        <v>0</v>
      </c>
      <c r="H459" s="38">
        <v>100</v>
      </c>
      <c r="K459" s="38">
        <v>1</v>
      </c>
      <c r="L459" s="38" t="s">
        <v>101</v>
      </c>
      <c r="M459" s="38" t="s">
        <v>406</v>
      </c>
      <c r="N459" s="38" t="s">
        <v>102</v>
      </c>
      <c r="P459" s="38">
        <v>0</v>
      </c>
      <c r="U459" s="38">
        <v>4</v>
      </c>
      <c r="V459" s="38">
        <v>1</v>
      </c>
      <c r="W459" s="38" t="s">
        <v>103</v>
      </c>
      <c r="X459" s="38">
        <v>0</v>
      </c>
      <c r="AA459" s="45"/>
    </row>
    <row r="460" spans="1:27" x14ac:dyDescent="0.2">
      <c r="A460" s="38">
        <v>1</v>
      </c>
      <c r="B460" s="37">
        <v>9292003309722</v>
      </c>
      <c r="C460" s="38">
        <v>10</v>
      </c>
      <c r="D460" s="45" t="s">
        <v>405</v>
      </c>
      <c r="F460" s="38" t="s">
        <v>100</v>
      </c>
      <c r="G460" s="38">
        <v>0</v>
      </c>
      <c r="H460" s="38">
        <v>100</v>
      </c>
      <c r="K460" s="38">
        <v>1</v>
      </c>
      <c r="L460" s="38" t="s">
        <v>101</v>
      </c>
      <c r="M460" s="38" t="s">
        <v>406</v>
      </c>
      <c r="N460" s="38" t="s">
        <v>102</v>
      </c>
      <c r="P460" s="38">
        <v>0</v>
      </c>
      <c r="U460" s="38">
        <v>4</v>
      </c>
      <c r="V460" s="38">
        <v>1</v>
      </c>
      <c r="W460" s="38" t="s">
        <v>103</v>
      </c>
      <c r="X460" s="38">
        <v>0</v>
      </c>
      <c r="AA460" s="45"/>
    </row>
    <row r="461" spans="1:27" x14ac:dyDescent="0.2">
      <c r="A461" s="38">
        <v>1</v>
      </c>
      <c r="B461" s="37">
        <v>9292003309722</v>
      </c>
      <c r="C461" s="38">
        <v>20</v>
      </c>
      <c r="D461" s="45">
        <v>5701603309722</v>
      </c>
      <c r="F461" s="38" t="s">
        <v>100</v>
      </c>
      <c r="G461" s="38">
        <v>0</v>
      </c>
      <c r="H461" s="38">
        <v>100</v>
      </c>
      <c r="K461" s="38">
        <v>1</v>
      </c>
      <c r="L461" s="38" t="s">
        <v>101</v>
      </c>
      <c r="M461" s="38" t="s">
        <v>406</v>
      </c>
      <c r="N461" s="38" t="s">
        <v>102</v>
      </c>
      <c r="P461" s="38">
        <v>0</v>
      </c>
      <c r="U461" s="38">
        <v>4</v>
      </c>
      <c r="V461" s="38">
        <v>1</v>
      </c>
      <c r="W461" s="38" t="s">
        <v>103</v>
      </c>
      <c r="X461" s="38">
        <v>0</v>
      </c>
      <c r="AA461" s="45"/>
    </row>
    <row r="462" spans="1:27" x14ac:dyDescent="0.2">
      <c r="A462" s="38">
        <v>1</v>
      </c>
      <c r="B462" s="37">
        <v>9292003310722</v>
      </c>
      <c r="C462" s="38">
        <v>10</v>
      </c>
      <c r="D462" s="45" t="s">
        <v>405</v>
      </c>
      <c r="F462" s="38" t="s">
        <v>100</v>
      </c>
      <c r="G462" s="38">
        <v>0</v>
      </c>
      <c r="H462" s="38">
        <v>100</v>
      </c>
      <c r="K462" s="38">
        <v>1</v>
      </c>
      <c r="L462" s="38" t="s">
        <v>101</v>
      </c>
      <c r="M462" s="38" t="s">
        <v>406</v>
      </c>
      <c r="N462" s="38" t="s">
        <v>102</v>
      </c>
      <c r="P462" s="38">
        <v>0</v>
      </c>
      <c r="U462" s="38">
        <v>4</v>
      </c>
      <c r="V462" s="38">
        <v>1</v>
      </c>
      <c r="W462" s="38" t="s">
        <v>103</v>
      </c>
      <c r="X462" s="38">
        <v>0</v>
      </c>
      <c r="AA462" s="45"/>
    </row>
    <row r="463" spans="1:27" x14ac:dyDescent="0.2">
      <c r="A463" s="38">
        <v>1</v>
      </c>
      <c r="B463" s="37">
        <v>9292003310722</v>
      </c>
      <c r="C463" s="38">
        <v>20</v>
      </c>
      <c r="D463" s="45">
        <v>5701603310722</v>
      </c>
      <c r="F463" s="38" t="s">
        <v>100</v>
      </c>
      <c r="G463" s="38">
        <v>0</v>
      </c>
      <c r="H463" s="38">
        <v>100</v>
      </c>
      <c r="K463" s="38">
        <v>1</v>
      </c>
      <c r="L463" s="38" t="s">
        <v>101</v>
      </c>
      <c r="M463" s="38" t="s">
        <v>406</v>
      </c>
      <c r="N463" s="38" t="s">
        <v>102</v>
      </c>
      <c r="P463" s="38">
        <v>0</v>
      </c>
      <c r="U463" s="38">
        <v>4</v>
      </c>
      <c r="V463" s="38">
        <v>1</v>
      </c>
      <c r="W463" s="38" t="s">
        <v>103</v>
      </c>
      <c r="X463" s="38">
        <v>0</v>
      </c>
      <c r="AA463" s="45"/>
    </row>
    <row r="464" spans="1:27" x14ac:dyDescent="0.2">
      <c r="A464" s="38">
        <v>1</v>
      </c>
      <c r="B464" s="37">
        <v>9292003300723</v>
      </c>
      <c r="C464" s="38">
        <v>10</v>
      </c>
      <c r="D464" s="45" t="s">
        <v>405</v>
      </c>
      <c r="F464" s="38" t="s">
        <v>100</v>
      </c>
      <c r="G464" s="38">
        <v>0</v>
      </c>
      <c r="H464" s="38">
        <v>100</v>
      </c>
      <c r="K464" s="38">
        <v>1</v>
      </c>
      <c r="L464" s="38" t="s">
        <v>101</v>
      </c>
      <c r="M464" s="38" t="s">
        <v>406</v>
      </c>
      <c r="N464" s="38" t="s">
        <v>102</v>
      </c>
      <c r="P464" s="38">
        <v>0</v>
      </c>
      <c r="U464" s="38">
        <v>4</v>
      </c>
      <c r="V464" s="38">
        <v>1</v>
      </c>
      <c r="W464" s="38" t="s">
        <v>103</v>
      </c>
      <c r="X464" s="38">
        <v>0</v>
      </c>
      <c r="AA464" s="45"/>
    </row>
    <row r="465" spans="1:27" x14ac:dyDescent="0.2">
      <c r="A465" s="38">
        <v>1</v>
      </c>
      <c r="B465" s="37">
        <v>9292003300723</v>
      </c>
      <c r="C465" s="38">
        <v>20</v>
      </c>
      <c r="D465" s="45">
        <v>5701603300723</v>
      </c>
      <c r="F465" s="38" t="s">
        <v>100</v>
      </c>
      <c r="G465" s="38">
        <v>0</v>
      </c>
      <c r="H465" s="38">
        <v>100</v>
      </c>
      <c r="K465" s="38">
        <v>1</v>
      </c>
      <c r="L465" s="38" t="s">
        <v>101</v>
      </c>
      <c r="M465" s="38" t="s">
        <v>406</v>
      </c>
      <c r="N465" s="38" t="s">
        <v>102</v>
      </c>
      <c r="P465" s="38">
        <v>0</v>
      </c>
      <c r="U465" s="38">
        <v>4</v>
      </c>
      <c r="V465" s="38">
        <v>1</v>
      </c>
      <c r="W465" s="38" t="s">
        <v>103</v>
      </c>
      <c r="X465" s="38">
        <v>0</v>
      </c>
      <c r="AA465" s="45"/>
    </row>
    <row r="466" spans="1:27" x14ac:dyDescent="0.2">
      <c r="A466" s="38">
        <v>1</v>
      </c>
      <c r="B466" s="37">
        <v>9292003301723</v>
      </c>
      <c r="C466" s="38">
        <v>10</v>
      </c>
      <c r="D466" s="45" t="s">
        <v>405</v>
      </c>
      <c r="F466" s="38" t="s">
        <v>100</v>
      </c>
      <c r="G466" s="38">
        <v>0</v>
      </c>
      <c r="H466" s="38">
        <v>100</v>
      </c>
      <c r="K466" s="38">
        <v>1</v>
      </c>
      <c r="L466" s="38" t="s">
        <v>101</v>
      </c>
      <c r="M466" s="38" t="s">
        <v>406</v>
      </c>
      <c r="N466" s="38" t="s">
        <v>102</v>
      </c>
      <c r="P466" s="38">
        <v>0</v>
      </c>
      <c r="U466" s="38">
        <v>4</v>
      </c>
      <c r="V466" s="38">
        <v>1</v>
      </c>
      <c r="W466" s="38" t="s">
        <v>103</v>
      </c>
      <c r="X466" s="38">
        <v>0</v>
      </c>
      <c r="AA466" s="45"/>
    </row>
    <row r="467" spans="1:27" x14ac:dyDescent="0.2">
      <c r="A467" s="38">
        <v>1</v>
      </c>
      <c r="B467" s="37">
        <v>9292003301723</v>
      </c>
      <c r="C467" s="38">
        <v>20</v>
      </c>
      <c r="D467" s="45">
        <v>5701603301723</v>
      </c>
      <c r="F467" s="38" t="s">
        <v>100</v>
      </c>
      <c r="G467" s="38">
        <v>0</v>
      </c>
      <c r="H467" s="38">
        <v>100</v>
      </c>
      <c r="K467" s="38">
        <v>1</v>
      </c>
      <c r="L467" s="38" t="s">
        <v>101</v>
      </c>
      <c r="M467" s="38" t="s">
        <v>406</v>
      </c>
      <c r="N467" s="38" t="s">
        <v>102</v>
      </c>
      <c r="P467" s="38">
        <v>0</v>
      </c>
      <c r="U467" s="38">
        <v>4</v>
      </c>
      <c r="V467" s="38">
        <v>1</v>
      </c>
      <c r="W467" s="38" t="s">
        <v>103</v>
      </c>
      <c r="X467" s="38">
        <v>0</v>
      </c>
      <c r="AA467" s="45"/>
    </row>
    <row r="468" spans="1:27" x14ac:dyDescent="0.2">
      <c r="A468" s="38">
        <v>1</v>
      </c>
      <c r="B468" s="37">
        <v>9292003302723</v>
      </c>
      <c r="C468" s="38">
        <v>10</v>
      </c>
      <c r="D468" s="45" t="s">
        <v>405</v>
      </c>
      <c r="F468" s="38" t="s">
        <v>100</v>
      </c>
      <c r="G468" s="38">
        <v>0</v>
      </c>
      <c r="H468" s="38">
        <v>100</v>
      </c>
      <c r="K468" s="38">
        <v>1</v>
      </c>
      <c r="L468" s="38" t="s">
        <v>101</v>
      </c>
      <c r="M468" s="38" t="s">
        <v>406</v>
      </c>
      <c r="N468" s="38" t="s">
        <v>102</v>
      </c>
      <c r="P468" s="38">
        <v>0</v>
      </c>
      <c r="U468" s="38">
        <v>4</v>
      </c>
      <c r="V468" s="38">
        <v>1</v>
      </c>
      <c r="W468" s="38" t="s">
        <v>103</v>
      </c>
      <c r="X468" s="38">
        <v>0</v>
      </c>
      <c r="AA468" s="45"/>
    </row>
    <row r="469" spans="1:27" x14ac:dyDescent="0.2">
      <c r="A469" s="38">
        <v>1</v>
      </c>
      <c r="B469" s="37">
        <v>9292003302723</v>
      </c>
      <c r="C469" s="38">
        <v>20</v>
      </c>
      <c r="D469" s="45">
        <v>5701603302723</v>
      </c>
      <c r="F469" s="38" t="s">
        <v>100</v>
      </c>
      <c r="G469" s="38">
        <v>0</v>
      </c>
      <c r="H469" s="38">
        <v>100</v>
      </c>
      <c r="K469" s="38">
        <v>1</v>
      </c>
      <c r="L469" s="38" t="s">
        <v>101</v>
      </c>
      <c r="M469" s="38" t="s">
        <v>406</v>
      </c>
      <c r="N469" s="38" t="s">
        <v>102</v>
      </c>
      <c r="P469" s="38">
        <v>0</v>
      </c>
      <c r="U469" s="38">
        <v>4</v>
      </c>
      <c r="V469" s="38">
        <v>1</v>
      </c>
      <c r="W469" s="38" t="s">
        <v>103</v>
      </c>
      <c r="X469" s="38">
        <v>0</v>
      </c>
      <c r="AA469" s="45"/>
    </row>
    <row r="470" spans="1:27" x14ac:dyDescent="0.2">
      <c r="A470" s="38">
        <v>1</v>
      </c>
      <c r="B470" s="37">
        <v>9292003303723</v>
      </c>
      <c r="C470" s="38">
        <v>10</v>
      </c>
      <c r="D470" s="45" t="s">
        <v>405</v>
      </c>
      <c r="F470" s="38" t="s">
        <v>100</v>
      </c>
      <c r="G470" s="38">
        <v>0</v>
      </c>
      <c r="H470" s="38">
        <v>100</v>
      </c>
      <c r="K470" s="38">
        <v>1</v>
      </c>
      <c r="L470" s="38" t="s">
        <v>101</v>
      </c>
      <c r="M470" s="38" t="s">
        <v>406</v>
      </c>
      <c r="N470" s="38" t="s">
        <v>102</v>
      </c>
      <c r="P470" s="38">
        <v>0</v>
      </c>
      <c r="U470" s="38">
        <v>4</v>
      </c>
      <c r="V470" s="38">
        <v>1</v>
      </c>
      <c r="W470" s="38" t="s">
        <v>103</v>
      </c>
      <c r="X470" s="38">
        <v>0</v>
      </c>
      <c r="AA470" s="45"/>
    </row>
    <row r="471" spans="1:27" x14ac:dyDescent="0.2">
      <c r="A471" s="38">
        <v>1</v>
      </c>
      <c r="B471" s="37">
        <v>9292003303723</v>
      </c>
      <c r="C471" s="38">
        <v>20</v>
      </c>
      <c r="D471" s="45">
        <v>5701603303723</v>
      </c>
      <c r="F471" s="38" t="s">
        <v>100</v>
      </c>
      <c r="G471" s="38">
        <v>0</v>
      </c>
      <c r="H471" s="38">
        <v>100</v>
      </c>
      <c r="K471" s="38">
        <v>1</v>
      </c>
      <c r="L471" s="38" t="s">
        <v>101</v>
      </c>
      <c r="M471" s="38" t="s">
        <v>406</v>
      </c>
      <c r="N471" s="38" t="s">
        <v>102</v>
      </c>
      <c r="P471" s="38">
        <v>0</v>
      </c>
      <c r="U471" s="38">
        <v>4</v>
      </c>
      <c r="V471" s="38">
        <v>1</v>
      </c>
      <c r="W471" s="38" t="s">
        <v>103</v>
      </c>
      <c r="X471" s="38">
        <v>0</v>
      </c>
      <c r="AA471" s="45"/>
    </row>
    <row r="472" spans="1:27" x14ac:dyDescent="0.2">
      <c r="A472" s="38">
        <v>1</v>
      </c>
      <c r="B472" s="37">
        <v>9292003304723</v>
      </c>
      <c r="C472" s="38">
        <v>10</v>
      </c>
      <c r="D472" s="45" t="s">
        <v>405</v>
      </c>
      <c r="F472" s="38" t="s">
        <v>100</v>
      </c>
      <c r="G472" s="38">
        <v>0</v>
      </c>
      <c r="H472" s="38">
        <v>100</v>
      </c>
      <c r="K472" s="38">
        <v>1</v>
      </c>
      <c r="L472" s="38" t="s">
        <v>101</v>
      </c>
      <c r="M472" s="38" t="s">
        <v>406</v>
      </c>
      <c r="N472" s="38" t="s">
        <v>102</v>
      </c>
      <c r="P472" s="38">
        <v>0</v>
      </c>
      <c r="U472" s="38">
        <v>4</v>
      </c>
      <c r="V472" s="38">
        <v>1</v>
      </c>
      <c r="W472" s="38" t="s">
        <v>103</v>
      </c>
      <c r="X472" s="38">
        <v>0</v>
      </c>
      <c r="AA472" s="45"/>
    </row>
    <row r="473" spans="1:27" x14ac:dyDescent="0.2">
      <c r="A473" s="38">
        <v>1</v>
      </c>
      <c r="B473" s="37">
        <v>9292003304723</v>
      </c>
      <c r="C473" s="38">
        <v>20</v>
      </c>
      <c r="D473" s="45">
        <v>5701603304723</v>
      </c>
      <c r="F473" s="38" t="s">
        <v>100</v>
      </c>
      <c r="G473" s="38">
        <v>0</v>
      </c>
      <c r="H473" s="38">
        <v>100</v>
      </c>
      <c r="K473" s="38">
        <v>1</v>
      </c>
      <c r="L473" s="38" t="s">
        <v>101</v>
      </c>
      <c r="M473" s="38" t="s">
        <v>406</v>
      </c>
      <c r="N473" s="38" t="s">
        <v>102</v>
      </c>
      <c r="P473" s="38">
        <v>0</v>
      </c>
      <c r="U473" s="38">
        <v>4</v>
      </c>
      <c r="V473" s="38">
        <v>1</v>
      </c>
      <c r="W473" s="38" t="s">
        <v>103</v>
      </c>
      <c r="X473" s="38">
        <v>0</v>
      </c>
      <c r="AA473" s="45"/>
    </row>
    <row r="474" spans="1:27" x14ac:dyDescent="0.2">
      <c r="A474" s="38">
        <v>1</v>
      </c>
      <c r="B474" s="37">
        <v>9292003305723</v>
      </c>
      <c r="C474" s="38">
        <v>10</v>
      </c>
      <c r="D474" s="45" t="s">
        <v>405</v>
      </c>
      <c r="F474" s="38" t="s">
        <v>100</v>
      </c>
      <c r="G474" s="38">
        <v>0</v>
      </c>
      <c r="H474" s="38">
        <v>100</v>
      </c>
      <c r="K474" s="38">
        <v>1</v>
      </c>
      <c r="L474" s="38" t="s">
        <v>101</v>
      </c>
      <c r="M474" s="38" t="s">
        <v>406</v>
      </c>
      <c r="N474" s="38" t="s">
        <v>102</v>
      </c>
      <c r="P474" s="38">
        <v>0</v>
      </c>
      <c r="U474" s="38">
        <v>4</v>
      </c>
      <c r="V474" s="38">
        <v>1</v>
      </c>
      <c r="W474" s="38" t="s">
        <v>103</v>
      </c>
      <c r="X474" s="38">
        <v>0</v>
      </c>
      <c r="AA474" s="45"/>
    </row>
    <row r="475" spans="1:27" x14ac:dyDescent="0.2">
      <c r="A475" s="38">
        <v>1</v>
      </c>
      <c r="B475" s="37">
        <v>9292003305723</v>
      </c>
      <c r="C475" s="38">
        <v>20</v>
      </c>
      <c r="D475" s="45">
        <v>5701603305723</v>
      </c>
      <c r="F475" s="38" t="s">
        <v>100</v>
      </c>
      <c r="G475" s="38">
        <v>0</v>
      </c>
      <c r="H475" s="38">
        <v>100</v>
      </c>
      <c r="K475" s="38">
        <v>1</v>
      </c>
      <c r="L475" s="38" t="s">
        <v>101</v>
      </c>
      <c r="M475" s="38" t="s">
        <v>406</v>
      </c>
      <c r="N475" s="38" t="s">
        <v>102</v>
      </c>
      <c r="P475" s="38">
        <v>0</v>
      </c>
      <c r="U475" s="38">
        <v>4</v>
      </c>
      <c r="V475" s="38">
        <v>1</v>
      </c>
      <c r="W475" s="38" t="s">
        <v>103</v>
      </c>
      <c r="X475" s="38">
        <v>0</v>
      </c>
      <c r="AA475" s="45"/>
    </row>
    <row r="476" spans="1:27" x14ac:dyDescent="0.2">
      <c r="A476" s="38">
        <v>1</v>
      </c>
      <c r="B476" s="37">
        <v>9292003306723</v>
      </c>
      <c r="C476" s="38">
        <v>10</v>
      </c>
      <c r="D476" s="45" t="s">
        <v>405</v>
      </c>
      <c r="F476" s="38" t="s">
        <v>100</v>
      </c>
      <c r="G476" s="38">
        <v>0</v>
      </c>
      <c r="H476" s="38">
        <v>100</v>
      </c>
      <c r="K476" s="38">
        <v>1</v>
      </c>
      <c r="L476" s="38" t="s">
        <v>101</v>
      </c>
      <c r="M476" s="38" t="s">
        <v>406</v>
      </c>
      <c r="N476" s="38" t="s">
        <v>102</v>
      </c>
      <c r="P476" s="38">
        <v>0</v>
      </c>
      <c r="U476" s="38">
        <v>4</v>
      </c>
      <c r="V476" s="38">
        <v>1</v>
      </c>
      <c r="W476" s="38" t="s">
        <v>103</v>
      </c>
      <c r="X476" s="38">
        <v>0</v>
      </c>
      <c r="AA476" s="45"/>
    </row>
    <row r="477" spans="1:27" x14ac:dyDescent="0.2">
      <c r="A477" s="38">
        <v>1</v>
      </c>
      <c r="B477" s="37">
        <v>9292003306723</v>
      </c>
      <c r="C477" s="38">
        <v>20</v>
      </c>
      <c r="D477" s="45">
        <v>5701603306723</v>
      </c>
      <c r="F477" s="38" t="s">
        <v>100</v>
      </c>
      <c r="G477" s="38">
        <v>0</v>
      </c>
      <c r="H477" s="38">
        <v>100</v>
      </c>
      <c r="K477" s="38">
        <v>1</v>
      </c>
      <c r="L477" s="38" t="s">
        <v>101</v>
      </c>
      <c r="M477" s="38" t="s">
        <v>406</v>
      </c>
      <c r="N477" s="38" t="s">
        <v>102</v>
      </c>
      <c r="P477" s="38">
        <v>0</v>
      </c>
      <c r="U477" s="38">
        <v>4</v>
      </c>
      <c r="V477" s="38">
        <v>1</v>
      </c>
      <c r="W477" s="38" t="s">
        <v>103</v>
      </c>
      <c r="X477" s="38">
        <v>0</v>
      </c>
      <c r="AA477" s="45"/>
    </row>
    <row r="478" spans="1:27" x14ac:dyDescent="0.2">
      <c r="A478" s="38">
        <v>1</v>
      </c>
      <c r="B478" s="37">
        <v>9292003307723</v>
      </c>
      <c r="C478" s="38">
        <v>10</v>
      </c>
      <c r="D478" s="45" t="s">
        <v>405</v>
      </c>
      <c r="F478" s="38" t="s">
        <v>100</v>
      </c>
      <c r="G478" s="38">
        <v>0</v>
      </c>
      <c r="H478" s="38">
        <v>100</v>
      </c>
      <c r="K478" s="38">
        <v>1</v>
      </c>
      <c r="L478" s="38" t="s">
        <v>101</v>
      </c>
      <c r="M478" s="38" t="s">
        <v>406</v>
      </c>
      <c r="N478" s="38" t="s">
        <v>102</v>
      </c>
      <c r="P478" s="38">
        <v>0</v>
      </c>
      <c r="U478" s="38">
        <v>4</v>
      </c>
      <c r="V478" s="38">
        <v>1</v>
      </c>
      <c r="W478" s="38" t="s">
        <v>103</v>
      </c>
      <c r="X478" s="38">
        <v>0</v>
      </c>
      <c r="AA478" s="45"/>
    </row>
    <row r="479" spans="1:27" x14ac:dyDescent="0.2">
      <c r="A479" s="38">
        <v>1</v>
      </c>
      <c r="B479" s="37">
        <v>9292003307723</v>
      </c>
      <c r="C479" s="38">
        <v>20</v>
      </c>
      <c r="D479" s="45">
        <v>5701603307723</v>
      </c>
      <c r="F479" s="38" t="s">
        <v>100</v>
      </c>
      <c r="G479" s="38">
        <v>0</v>
      </c>
      <c r="H479" s="38">
        <v>100</v>
      </c>
      <c r="K479" s="38">
        <v>1</v>
      </c>
      <c r="L479" s="38" t="s">
        <v>101</v>
      </c>
      <c r="M479" s="38" t="s">
        <v>406</v>
      </c>
      <c r="N479" s="38" t="s">
        <v>102</v>
      </c>
      <c r="P479" s="38">
        <v>0</v>
      </c>
      <c r="U479" s="38">
        <v>4</v>
      </c>
      <c r="V479" s="38">
        <v>1</v>
      </c>
      <c r="W479" s="38" t="s">
        <v>103</v>
      </c>
      <c r="X479" s="38">
        <v>0</v>
      </c>
      <c r="AA479" s="45"/>
    </row>
    <row r="480" spans="1:27" x14ac:dyDescent="0.2">
      <c r="A480" s="38">
        <v>1</v>
      </c>
      <c r="B480" s="37">
        <v>9292003308723</v>
      </c>
      <c r="C480" s="38">
        <v>10</v>
      </c>
      <c r="D480" s="45" t="s">
        <v>405</v>
      </c>
      <c r="F480" s="38" t="s">
        <v>100</v>
      </c>
      <c r="G480" s="38">
        <v>0</v>
      </c>
      <c r="H480" s="38">
        <v>100</v>
      </c>
      <c r="K480" s="38">
        <v>1</v>
      </c>
      <c r="L480" s="38" t="s">
        <v>101</v>
      </c>
      <c r="M480" s="38" t="s">
        <v>406</v>
      </c>
      <c r="N480" s="38" t="s">
        <v>102</v>
      </c>
      <c r="P480" s="38">
        <v>0</v>
      </c>
      <c r="U480" s="38">
        <v>4</v>
      </c>
      <c r="V480" s="38">
        <v>1</v>
      </c>
      <c r="W480" s="38" t="s">
        <v>103</v>
      </c>
      <c r="X480" s="38">
        <v>0</v>
      </c>
      <c r="AA480" s="45"/>
    </row>
    <row r="481" spans="1:27" x14ac:dyDescent="0.2">
      <c r="A481" s="38">
        <v>1</v>
      </c>
      <c r="B481" s="37">
        <v>9292003308723</v>
      </c>
      <c r="C481" s="38">
        <v>20</v>
      </c>
      <c r="D481" s="45">
        <v>5701603308723</v>
      </c>
      <c r="F481" s="38" t="s">
        <v>100</v>
      </c>
      <c r="G481" s="38">
        <v>0</v>
      </c>
      <c r="H481" s="38">
        <v>100</v>
      </c>
      <c r="K481" s="38">
        <v>1</v>
      </c>
      <c r="L481" s="38" t="s">
        <v>101</v>
      </c>
      <c r="M481" s="38" t="s">
        <v>406</v>
      </c>
      <c r="N481" s="38" t="s">
        <v>102</v>
      </c>
      <c r="P481" s="38">
        <v>0</v>
      </c>
      <c r="U481" s="38">
        <v>4</v>
      </c>
      <c r="V481" s="38">
        <v>1</v>
      </c>
      <c r="W481" s="38" t="s">
        <v>103</v>
      </c>
      <c r="X481" s="38">
        <v>0</v>
      </c>
      <c r="AA481" s="45"/>
    </row>
    <row r="482" spans="1:27" x14ac:dyDescent="0.2">
      <c r="A482" s="38">
        <v>1</v>
      </c>
      <c r="B482" s="37">
        <v>9292003309723</v>
      </c>
      <c r="C482" s="38">
        <v>10</v>
      </c>
      <c r="D482" s="45" t="s">
        <v>405</v>
      </c>
      <c r="F482" s="38" t="s">
        <v>100</v>
      </c>
      <c r="G482" s="38">
        <v>0</v>
      </c>
      <c r="H482" s="38">
        <v>100</v>
      </c>
      <c r="K482" s="38">
        <v>1</v>
      </c>
      <c r="L482" s="38" t="s">
        <v>101</v>
      </c>
      <c r="M482" s="38" t="s">
        <v>406</v>
      </c>
      <c r="N482" s="38" t="s">
        <v>102</v>
      </c>
      <c r="P482" s="38">
        <v>0</v>
      </c>
      <c r="U482" s="38">
        <v>4</v>
      </c>
      <c r="V482" s="38">
        <v>1</v>
      </c>
      <c r="W482" s="38" t="s">
        <v>103</v>
      </c>
      <c r="X482" s="38">
        <v>0</v>
      </c>
      <c r="AA482" s="45"/>
    </row>
    <row r="483" spans="1:27" x14ac:dyDescent="0.2">
      <c r="A483" s="38">
        <v>1</v>
      </c>
      <c r="B483" s="37">
        <v>9292003309723</v>
      </c>
      <c r="C483" s="38">
        <v>20</v>
      </c>
      <c r="D483" s="45">
        <v>5701603309723</v>
      </c>
      <c r="F483" s="38" t="s">
        <v>100</v>
      </c>
      <c r="G483" s="38">
        <v>0</v>
      </c>
      <c r="H483" s="38">
        <v>100</v>
      </c>
      <c r="K483" s="38">
        <v>1</v>
      </c>
      <c r="L483" s="38" t="s">
        <v>101</v>
      </c>
      <c r="M483" s="38" t="s">
        <v>406</v>
      </c>
      <c r="N483" s="38" t="s">
        <v>102</v>
      </c>
      <c r="P483" s="38">
        <v>0</v>
      </c>
      <c r="U483" s="38">
        <v>4</v>
      </c>
      <c r="V483" s="38">
        <v>1</v>
      </c>
      <c r="W483" s="38" t="s">
        <v>103</v>
      </c>
      <c r="X483" s="38">
        <v>0</v>
      </c>
      <c r="AA483" s="45"/>
    </row>
    <row r="484" spans="1:27" x14ac:dyDescent="0.2">
      <c r="A484" s="38">
        <v>1</v>
      </c>
      <c r="B484" s="37">
        <v>9292003310723</v>
      </c>
      <c r="C484" s="38">
        <v>10</v>
      </c>
      <c r="D484" s="45" t="s">
        <v>405</v>
      </c>
      <c r="F484" s="38" t="s">
        <v>100</v>
      </c>
      <c r="G484" s="38">
        <v>0</v>
      </c>
      <c r="H484" s="38">
        <v>100</v>
      </c>
      <c r="K484" s="38">
        <v>1</v>
      </c>
      <c r="L484" s="38" t="s">
        <v>101</v>
      </c>
      <c r="M484" s="38" t="s">
        <v>406</v>
      </c>
      <c r="N484" s="38" t="s">
        <v>102</v>
      </c>
      <c r="P484" s="38">
        <v>0</v>
      </c>
      <c r="U484" s="38">
        <v>4</v>
      </c>
      <c r="V484" s="38">
        <v>1</v>
      </c>
      <c r="W484" s="38" t="s">
        <v>103</v>
      </c>
      <c r="X484" s="38">
        <v>0</v>
      </c>
      <c r="AA484" s="45"/>
    </row>
    <row r="485" spans="1:27" x14ac:dyDescent="0.2">
      <c r="A485" s="38">
        <v>1</v>
      </c>
      <c r="B485" s="37">
        <v>9292003310723</v>
      </c>
      <c r="C485" s="38">
        <v>20</v>
      </c>
      <c r="D485" s="45">
        <v>5701603310723</v>
      </c>
      <c r="F485" s="38" t="s">
        <v>100</v>
      </c>
      <c r="G485" s="38">
        <v>0</v>
      </c>
      <c r="H485" s="38">
        <v>100</v>
      </c>
      <c r="K485" s="38">
        <v>1</v>
      </c>
      <c r="L485" s="38" t="s">
        <v>101</v>
      </c>
      <c r="M485" s="38" t="s">
        <v>406</v>
      </c>
      <c r="N485" s="38" t="s">
        <v>102</v>
      </c>
      <c r="P485" s="38">
        <v>0</v>
      </c>
      <c r="U485" s="38">
        <v>4</v>
      </c>
      <c r="V485" s="38">
        <v>1</v>
      </c>
      <c r="W485" s="38" t="s">
        <v>103</v>
      </c>
      <c r="X485" s="38">
        <v>0</v>
      </c>
      <c r="AA485" s="45"/>
    </row>
    <row r="486" spans="1:27" x14ac:dyDescent="0.2">
      <c r="A486" s="38">
        <v>1</v>
      </c>
      <c r="B486" s="37">
        <v>9292003300725</v>
      </c>
      <c r="C486" s="38">
        <v>10</v>
      </c>
      <c r="D486" s="45" t="s">
        <v>405</v>
      </c>
      <c r="F486" s="38" t="s">
        <v>100</v>
      </c>
      <c r="G486" s="38">
        <v>0</v>
      </c>
      <c r="H486" s="38">
        <v>100</v>
      </c>
      <c r="K486" s="38">
        <v>1</v>
      </c>
      <c r="L486" s="38" t="s">
        <v>101</v>
      </c>
      <c r="M486" s="38" t="s">
        <v>406</v>
      </c>
      <c r="N486" s="38" t="s">
        <v>102</v>
      </c>
      <c r="P486" s="38">
        <v>0</v>
      </c>
      <c r="U486" s="38">
        <v>4</v>
      </c>
      <c r="V486" s="38">
        <v>1</v>
      </c>
      <c r="W486" s="38" t="s">
        <v>103</v>
      </c>
      <c r="X486" s="38">
        <v>0</v>
      </c>
      <c r="AA486" s="45"/>
    </row>
    <row r="487" spans="1:27" x14ac:dyDescent="0.2">
      <c r="A487" s="38">
        <v>1</v>
      </c>
      <c r="B487" s="37">
        <v>9292003300725</v>
      </c>
      <c r="C487" s="38">
        <v>20</v>
      </c>
      <c r="D487" s="45">
        <v>5701603300725</v>
      </c>
      <c r="F487" s="38" t="s">
        <v>100</v>
      </c>
      <c r="G487" s="38">
        <v>0</v>
      </c>
      <c r="H487" s="38">
        <v>100</v>
      </c>
      <c r="K487" s="38">
        <v>1</v>
      </c>
      <c r="L487" s="38" t="s">
        <v>101</v>
      </c>
      <c r="M487" s="38" t="s">
        <v>406</v>
      </c>
      <c r="N487" s="38" t="s">
        <v>102</v>
      </c>
      <c r="P487" s="38">
        <v>0</v>
      </c>
      <c r="U487" s="38">
        <v>4</v>
      </c>
      <c r="V487" s="38">
        <v>1</v>
      </c>
      <c r="W487" s="38" t="s">
        <v>103</v>
      </c>
      <c r="X487" s="38">
        <v>0</v>
      </c>
      <c r="AA487" s="45"/>
    </row>
    <row r="488" spans="1:27" x14ac:dyDescent="0.2">
      <c r="A488" s="38">
        <v>1</v>
      </c>
      <c r="B488" s="37">
        <v>9292003301725</v>
      </c>
      <c r="C488" s="38">
        <v>10</v>
      </c>
      <c r="D488" s="45" t="s">
        <v>405</v>
      </c>
      <c r="F488" s="38" t="s">
        <v>100</v>
      </c>
      <c r="G488" s="38">
        <v>0</v>
      </c>
      <c r="H488" s="38">
        <v>100</v>
      </c>
      <c r="K488" s="38">
        <v>1</v>
      </c>
      <c r="L488" s="38" t="s">
        <v>101</v>
      </c>
      <c r="M488" s="38" t="s">
        <v>406</v>
      </c>
      <c r="N488" s="38" t="s">
        <v>102</v>
      </c>
      <c r="P488" s="38">
        <v>0</v>
      </c>
      <c r="U488" s="38">
        <v>4</v>
      </c>
      <c r="V488" s="38">
        <v>1</v>
      </c>
      <c r="W488" s="38" t="s">
        <v>103</v>
      </c>
      <c r="X488" s="38">
        <v>0</v>
      </c>
      <c r="AA488" s="45"/>
    </row>
    <row r="489" spans="1:27" x14ac:dyDescent="0.2">
      <c r="A489" s="38">
        <v>1</v>
      </c>
      <c r="B489" s="37">
        <v>9292003301725</v>
      </c>
      <c r="C489" s="38">
        <v>20</v>
      </c>
      <c r="D489" s="45">
        <v>5701603301725</v>
      </c>
      <c r="F489" s="38" t="s">
        <v>100</v>
      </c>
      <c r="G489" s="38">
        <v>0</v>
      </c>
      <c r="H489" s="38">
        <v>100</v>
      </c>
      <c r="K489" s="38">
        <v>1</v>
      </c>
      <c r="L489" s="38" t="s">
        <v>101</v>
      </c>
      <c r="M489" s="38" t="s">
        <v>406</v>
      </c>
      <c r="N489" s="38" t="s">
        <v>102</v>
      </c>
      <c r="P489" s="38">
        <v>0</v>
      </c>
      <c r="U489" s="38">
        <v>4</v>
      </c>
      <c r="V489" s="38">
        <v>1</v>
      </c>
      <c r="W489" s="38" t="s">
        <v>103</v>
      </c>
      <c r="X489" s="38">
        <v>0</v>
      </c>
      <c r="AA489" s="45"/>
    </row>
    <row r="490" spans="1:27" x14ac:dyDescent="0.2">
      <c r="A490" s="38">
        <v>1</v>
      </c>
      <c r="B490" s="37">
        <v>9292003302725</v>
      </c>
      <c r="C490" s="38">
        <v>10</v>
      </c>
      <c r="D490" s="45" t="s">
        <v>405</v>
      </c>
      <c r="F490" s="38" t="s">
        <v>100</v>
      </c>
      <c r="G490" s="38">
        <v>0</v>
      </c>
      <c r="H490" s="38">
        <v>100</v>
      </c>
      <c r="K490" s="38">
        <v>1</v>
      </c>
      <c r="L490" s="38" t="s">
        <v>101</v>
      </c>
      <c r="M490" s="38" t="s">
        <v>406</v>
      </c>
      <c r="N490" s="38" t="s">
        <v>102</v>
      </c>
      <c r="P490" s="38">
        <v>0</v>
      </c>
      <c r="U490" s="38">
        <v>4</v>
      </c>
      <c r="V490" s="38">
        <v>1</v>
      </c>
      <c r="W490" s="38" t="s">
        <v>103</v>
      </c>
      <c r="X490" s="38">
        <v>0</v>
      </c>
      <c r="AA490" s="45"/>
    </row>
    <row r="491" spans="1:27" x14ac:dyDescent="0.2">
      <c r="A491" s="38">
        <v>1</v>
      </c>
      <c r="B491" s="37">
        <v>9292003302725</v>
      </c>
      <c r="C491" s="38">
        <v>20</v>
      </c>
      <c r="D491" s="45">
        <v>5701603302725</v>
      </c>
      <c r="F491" s="38" t="s">
        <v>100</v>
      </c>
      <c r="G491" s="38">
        <v>0</v>
      </c>
      <c r="H491" s="38">
        <v>100</v>
      </c>
      <c r="K491" s="38">
        <v>1</v>
      </c>
      <c r="L491" s="38" t="s">
        <v>101</v>
      </c>
      <c r="M491" s="38" t="s">
        <v>406</v>
      </c>
      <c r="N491" s="38" t="s">
        <v>102</v>
      </c>
      <c r="P491" s="38">
        <v>0</v>
      </c>
      <c r="U491" s="38">
        <v>4</v>
      </c>
      <c r="V491" s="38">
        <v>1</v>
      </c>
      <c r="W491" s="38" t="s">
        <v>103</v>
      </c>
      <c r="X491" s="38">
        <v>0</v>
      </c>
      <c r="AA491" s="45"/>
    </row>
    <row r="492" spans="1:27" x14ac:dyDescent="0.2">
      <c r="A492" s="38">
        <v>1</v>
      </c>
      <c r="B492" s="37">
        <v>9292003303725</v>
      </c>
      <c r="C492" s="38">
        <v>10</v>
      </c>
      <c r="D492" s="45" t="s">
        <v>405</v>
      </c>
      <c r="F492" s="38" t="s">
        <v>100</v>
      </c>
      <c r="G492" s="38">
        <v>0</v>
      </c>
      <c r="H492" s="38">
        <v>100</v>
      </c>
      <c r="K492" s="38">
        <v>1</v>
      </c>
      <c r="L492" s="38" t="s">
        <v>101</v>
      </c>
      <c r="M492" s="38" t="s">
        <v>406</v>
      </c>
      <c r="N492" s="38" t="s">
        <v>102</v>
      </c>
      <c r="P492" s="38">
        <v>0</v>
      </c>
      <c r="U492" s="38">
        <v>4</v>
      </c>
      <c r="V492" s="38">
        <v>1</v>
      </c>
      <c r="W492" s="38" t="s">
        <v>103</v>
      </c>
      <c r="X492" s="38">
        <v>0</v>
      </c>
      <c r="AA492" s="45"/>
    </row>
    <row r="493" spans="1:27" x14ac:dyDescent="0.2">
      <c r="A493" s="38">
        <v>1</v>
      </c>
      <c r="B493" s="37">
        <v>9292003303725</v>
      </c>
      <c r="C493" s="38">
        <v>20</v>
      </c>
      <c r="D493" s="45">
        <v>5701603303725</v>
      </c>
      <c r="F493" s="38" t="s">
        <v>100</v>
      </c>
      <c r="G493" s="38">
        <v>0</v>
      </c>
      <c r="H493" s="38">
        <v>100</v>
      </c>
      <c r="K493" s="38">
        <v>1</v>
      </c>
      <c r="L493" s="38" t="s">
        <v>101</v>
      </c>
      <c r="M493" s="38" t="s">
        <v>406</v>
      </c>
      <c r="N493" s="38" t="s">
        <v>102</v>
      </c>
      <c r="P493" s="38">
        <v>0</v>
      </c>
      <c r="U493" s="38">
        <v>4</v>
      </c>
      <c r="V493" s="38">
        <v>1</v>
      </c>
      <c r="W493" s="38" t="s">
        <v>103</v>
      </c>
      <c r="X493" s="38">
        <v>0</v>
      </c>
      <c r="AA493" s="45"/>
    </row>
    <row r="494" spans="1:27" x14ac:dyDescent="0.2">
      <c r="A494" s="38">
        <v>1</v>
      </c>
      <c r="B494" s="37">
        <v>9292003304725</v>
      </c>
      <c r="C494" s="38">
        <v>10</v>
      </c>
      <c r="D494" s="45" t="s">
        <v>405</v>
      </c>
      <c r="F494" s="38" t="s">
        <v>100</v>
      </c>
      <c r="G494" s="38">
        <v>0</v>
      </c>
      <c r="H494" s="38">
        <v>100</v>
      </c>
      <c r="K494" s="38">
        <v>1</v>
      </c>
      <c r="L494" s="38" t="s">
        <v>101</v>
      </c>
      <c r="M494" s="38" t="s">
        <v>406</v>
      </c>
      <c r="N494" s="38" t="s">
        <v>102</v>
      </c>
      <c r="P494" s="38">
        <v>0</v>
      </c>
      <c r="U494" s="38">
        <v>4</v>
      </c>
      <c r="V494" s="38">
        <v>1</v>
      </c>
      <c r="W494" s="38" t="s">
        <v>103</v>
      </c>
      <c r="X494" s="38">
        <v>0</v>
      </c>
      <c r="AA494" s="45"/>
    </row>
    <row r="495" spans="1:27" x14ac:dyDescent="0.2">
      <c r="A495" s="38">
        <v>1</v>
      </c>
      <c r="B495" s="37">
        <v>9292003304725</v>
      </c>
      <c r="C495" s="38">
        <v>20</v>
      </c>
      <c r="D495" s="45">
        <v>5701603304725</v>
      </c>
      <c r="F495" s="38" t="s">
        <v>100</v>
      </c>
      <c r="G495" s="38">
        <v>0</v>
      </c>
      <c r="H495" s="38">
        <v>100</v>
      </c>
      <c r="K495" s="38">
        <v>1</v>
      </c>
      <c r="L495" s="38" t="s">
        <v>101</v>
      </c>
      <c r="M495" s="38" t="s">
        <v>406</v>
      </c>
      <c r="N495" s="38" t="s">
        <v>102</v>
      </c>
      <c r="P495" s="38">
        <v>0</v>
      </c>
      <c r="U495" s="38">
        <v>4</v>
      </c>
      <c r="V495" s="38">
        <v>1</v>
      </c>
      <c r="W495" s="38" t="s">
        <v>103</v>
      </c>
      <c r="X495" s="38">
        <v>0</v>
      </c>
      <c r="AA495" s="45"/>
    </row>
    <row r="496" spans="1:27" x14ac:dyDescent="0.2">
      <c r="A496" s="38">
        <v>1</v>
      </c>
      <c r="B496" s="37">
        <v>9292003305725</v>
      </c>
      <c r="C496" s="38">
        <v>10</v>
      </c>
      <c r="D496" s="45" t="s">
        <v>405</v>
      </c>
      <c r="F496" s="38" t="s">
        <v>100</v>
      </c>
      <c r="G496" s="38">
        <v>0</v>
      </c>
      <c r="H496" s="38">
        <v>100</v>
      </c>
      <c r="K496" s="38">
        <v>1</v>
      </c>
      <c r="L496" s="38" t="s">
        <v>101</v>
      </c>
      <c r="M496" s="38" t="s">
        <v>406</v>
      </c>
      <c r="N496" s="38" t="s">
        <v>102</v>
      </c>
      <c r="P496" s="38">
        <v>0</v>
      </c>
      <c r="U496" s="38">
        <v>4</v>
      </c>
      <c r="V496" s="38">
        <v>1</v>
      </c>
      <c r="W496" s="38" t="s">
        <v>103</v>
      </c>
      <c r="X496" s="38">
        <v>0</v>
      </c>
      <c r="AA496" s="45"/>
    </row>
    <row r="497" spans="1:27" x14ac:dyDescent="0.2">
      <c r="A497" s="38">
        <v>1</v>
      </c>
      <c r="B497" s="37">
        <v>9292003305725</v>
      </c>
      <c r="C497" s="38">
        <v>20</v>
      </c>
      <c r="D497" s="45">
        <v>5701603305725</v>
      </c>
      <c r="F497" s="38" t="s">
        <v>100</v>
      </c>
      <c r="G497" s="38">
        <v>0</v>
      </c>
      <c r="H497" s="38">
        <v>100</v>
      </c>
      <c r="K497" s="38">
        <v>1</v>
      </c>
      <c r="L497" s="38" t="s">
        <v>101</v>
      </c>
      <c r="M497" s="38" t="s">
        <v>406</v>
      </c>
      <c r="N497" s="38" t="s">
        <v>102</v>
      </c>
      <c r="P497" s="38">
        <v>0</v>
      </c>
      <c r="U497" s="38">
        <v>4</v>
      </c>
      <c r="V497" s="38">
        <v>1</v>
      </c>
      <c r="W497" s="38" t="s">
        <v>103</v>
      </c>
      <c r="X497" s="38">
        <v>0</v>
      </c>
      <c r="AA497" s="45"/>
    </row>
    <row r="498" spans="1:27" x14ac:dyDescent="0.2">
      <c r="A498" s="38">
        <v>1</v>
      </c>
      <c r="B498" s="37">
        <v>9292003306725</v>
      </c>
      <c r="C498" s="38">
        <v>10</v>
      </c>
      <c r="D498" s="45" t="s">
        <v>405</v>
      </c>
      <c r="F498" s="38" t="s">
        <v>100</v>
      </c>
      <c r="G498" s="38">
        <v>0</v>
      </c>
      <c r="H498" s="38">
        <v>100</v>
      </c>
      <c r="K498" s="38">
        <v>1</v>
      </c>
      <c r="L498" s="38" t="s">
        <v>101</v>
      </c>
      <c r="M498" s="38" t="s">
        <v>406</v>
      </c>
      <c r="N498" s="38" t="s">
        <v>102</v>
      </c>
      <c r="P498" s="38">
        <v>0</v>
      </c>
      <c r="U498" s="38">
        <v>4</v>
      </c>
      <c r="V498" s="38">
        <v>1</v>
      </c>
      <c r="W498" s="38" t="s">
        <v>103</v>
      </c>
      <c r="X498" s="38">
        <v>0</v>
      </c>
      <c r="AA498" s="45"/>
    </row>
    <row r="499" spans="1:27" x14ac:dyDescent="0.2">
      <c r="A499" s="38">
        <v>1</v>
      </c>
      <c r="B499" s="37">
        <v>9292003306725</v>
      </c>
      <c r="C499" s="38">
        <v>20</v>
      </c>
      <c r="D499" s="45">
        <v>5701603306725</v>
      </c>
      <c r="F499" s="38" t="s">
        <v>100</v>
      </c>
      <c r="G499" s="38">
        <v>0</v>
      </c>
      <c r="H499" s="38">
        <v>100</v>
      </c>
      <c r="K499" s="38">
        <v>1</v>
      </c>
      <c r="L499" s="38" t="s">
        <v>101</v>
      </c>
      <c r="M499" s="38" t="s">
        <v>406</v>
      </c>
      <c r="N499" s="38" t="s">
        <v>102</v>
      </c>
      <c r="P499" s="38">
        <v>0</v>
      </c>
      <c r="U499" s="38">
        <v>4</v>
      </c>
      <c r="V499" s="38">
        <v>1</v>
      </c>
      <c r="W499" s="38" t="s">
        <v>103</v>
      </c>
      <c r="X499" s="38">
        <v>0</v>
      </c>
      <c r="AA499" s="45"/>
    </row>
    <row r="500" spans="1:27" x14ac:dyDescent="0.2">
      <c r="A500" s="38">
        <v>1</v>
      </c>
      <c r="B500" s="37">
        <v>9292003307725</v>
      </c>
      <c r="C500" s="38">
        <v>10</v>
      </c>
      <c r="D500" s="45" t="s">
        <v>405</v>
      </c>
      <c r="F500" s="38" t="s">
        <v>100</v>
      </c>
      <c r="G500" s="38">
        <v>0</v>
      </c>
      <c r="H500" s="38">
        <v>100</v>
      </c>
      <c r="K500" s="38">
        <v>1</v>
      </c>
      <c r="L500" s="38" t="s">
        <v>101</v>
      </c>
      <c r="M500" s="38" t="s">
        <v>406</v>
      </c>
      <c r="N500" s="38" t="s">
        <v>102</v>
      </c>
      <c r="P500" s="38">
        <v>0</v>
      </c>
      <c r="U500" s="38">
        <v>4</v>
      </c>
      <c r="V500" s="38">
        <v>1</v>
      </c>
      <c r="W500" s="38" t="s">
        <v>103</v>
      </c>
      <c r="X500" s="38">
        <v>0</v>
      </c>
      <c r="AA500" s="45"/>
    </row>
    <row r="501" spans="1:27" x14ac:dyDescent="0.2">
      <c r="A501" s="38">
        <v>1</v>
      </c>
      <c r="B501" s="37">
        <v>9292003307725</v>
      </c>
      <c r="C501" s="38">
        <v>20</v>
      </c>
      <c r="D501" s="45">
        <v>5701603307725</v>
      </c>
      <c r="F501" s="38" t="s">
        <v>100</v>
      </c>
      <c r="G501" s="38">
        <v>0</v>
      </c>
      <c r="H501" s="38">
        <v>100</v>
      </c>
      <c r="K501" s="38">
        <v>1</v>
      </c>
      <c r="L501" s="38" t="s">
        <v>101</v>
      </c>
      <c r="M501" s="38" t="s">
        <v>406</v>
      </c>
      <c r="N501" s="38" t="s">
        <v>102</v>
      </c>
      <c r="P501" s="38">
        <v>0</v>
      </c>
      <c r="U501" s="38">
        <v>4</v>
      </c>
      <c r="V501" s="38">
        <v>1</v>
      </c>
      <c r="W501" s="38" t="s">
        <v>103</v>
      </c>
      <c r="X501" s="38">
        <v>0</v>
      </c>
      <c r="AA501" s="45"/>
    </row>
    <row r="502" spans="1:27" x14ac:dyDescent="0.2">
      <c r="A502" s="38">
        <v>1</v>
      </c>
      <c r="B502" s="37">
        <v>9292003308725</v>
      </c>
      <c r="C502" s="38">
        <v>10</v>
      </c>
      <c r="D502" s="45" t="s">
        <v>405</v>
      </c>
      <c r="F502" s="38" t="s">
        <v>100</v>
      </c>
      <c r="G502" s="38">
        <v>0</v>
      </c>
      <c r="H502" s="38">
        <v>100</v>
      </c>
      <c r="K502" s="38">
        <v>1</v>
      </c>
      <c r="L502" s="38" t="s">
        <v>101</v>
      </c>
      <c r="M502" s="38" t="s">
        <v>406</v>
      </c>
      <c r="N502" s="38" t="s">
        <v>102</v>
      </c>
      <c r="P502" s="38">
        <v>0</v>
      </c>
      <c r="U502" s="38">
        <v>4</v>
      </c>
      <c r="V502" s="38">
        <v>1</v>
      </c>
      <c r="W502" s="38" t="s">
        <v>103</v>
      </c>
      <c r="X502" s="38">
        <v>0</v>
      </c>
      <c r="AA502" s="45"/>
    </row>
    <row r="503" spans="1:27" x14ac:dyDescent="0.2">
      <c r="A503" s="38">
        <v>1</v>
      </c>
      <c r="B503" s="37">
        <v>9292003308725</v>
      </c>
      <c r="C503" s="38">
        <v>20</v>
      </c>
      <c r="D503" s="45">
        <v>5701603308725</v>
      </c>
      <c r="F503" s="38" t="s">
        <v>100</v>
      </c>
      <c r="G503" s="38">
        <v>0</v>
      </c>
      <c r="H503" s="38">
        <v>100</v>
      </c>
      <c r="K503" s="38">
        <v>1</v>
      </c>
      <c r="L503" s="38" t="s">
        <v>101</v>
      </c>
      <c r="M503" s="38" t="s">
        <v>406</v>
      </c>
      <c r="N503" s="38" t="s">
        <v>102</v>
      </c>
      <c r="P503" s="38">
        <v>0</v>
      </c>
      <c r="U503" s="38">
        <v>4</v>
      </c>
      <c r="V503" s="38">
        <v>1</v>
      </c>
      <c r="W503" s="38" t="s">
        <v>103</v>
      </c>
      <c r="X503" s="38">
        <v>0</v>
      </c>
      <c r="AA503" s="45"/>
    </row>
    <row r="504" spans="1:27" x14ac:dyDescent="0.2">
      <c r="A504" s="38">
        <v>1</v>
      </c>
      <c r="B504" s="37">
        <v>9292003309725</v>
      </c>
      <c r="C504" s="38">
        <v>10</v>
      </c>
      <c r="D504" s="45" t="s">
        <v>405</v>
      </c>
      <c r="F504" s="38" t="s">
        <v>100</v>
      </c>
      <c r="G504" s="38">
        <v>0</v>
      </c>
      <c r="H504" s="38">
        <v>100</v>
      </c>
      <c r="K504" s="38">
        <v>1</v>
      </c>
      <c r="L504" s="38" t="s">
        <v>101</v>
      </c>
      <c r="M504" s="38" t="s">
        <v>406</v>
      </c>
      <c r="N504" s="38" t="s">
        <v>102</v>
      </c>
      <c r="P504" s="38">
        <v>0</v>
      </c>
      <c r="U504" s="38">
        <v>4</v>
      </c>
      <c r="V504" s="38">
        <v>1</v>
      </c>
      <c r="W504" s="38" t="s">
        <v>103</v>
      </c>
      <c r="X504" s="38">
        <v>0</v>
      </c>
      <c r="AA504" s="45"/>
    </row>
    <row r="505" spans="1:27" x14ac:dyDescent="0.2">
      <c r="A505" s="38">
        <v>1</v>
      </c>
      <c r="B505" s="37">
        <v>9292003309725</v>
      </c>
      <c r="C505" s="38">
        <v>20</v>
      </c>
      <c r="D505" s="45">
        <v>5701603309725</v>
      </c>
      <c r="F505" s="38" t="s">
        <v>100</v>
      </c>
      <c r="G505" s="38">
        <v>0</v>
      </c>
      <c r="H505" s="38">
        <v>100</v>
      </c>
      <c r="K505" s="38">
        <v>1</v>
      </c>
      <c r="L505" s="38" t="s">
        <v>101</v>
      </c>
      <c r="M505" s="38" t="s">
        <v>406</v>
      </c>
      <c r="N505" s="38" t="s">
        <v>102</v>
      </c>
      <c r="P505" s="38">
        <v>0</v>
      </c>
      <c r="U505" s="38">
        <v>4</v>
      </c>
      <c r="V505" s="38">
        <v>1</v>
      </c>
      <c r="W505" s="38" t="s">
        <v>103</v>
      </c>
      <c r="X505" s="38">
        <v>0</v>
      </c>
      <c r="AA505" s="45"/>
    </row>
    <row r="506" spans="1:27" x14ac:dyDescent="0.2">
      <c r="A506" s="38">
        <v>1</v>
      </c>
      <c r="B506" s="37">
        <v>9292003310725</v>
      </c>
      <c r="C506" s="38">
        <v>10</v>
      </c>
      <c r="D506" s="45" t="s">
        <v>405</v>
      </c>
      <c r="F506" s="38" t="s">
        <v>100</v>
      </c>
      <c r="G506" s="38">
        <v>0</v>
      </c>
      <c r="H506" s="38">
        <v>100</v>
      </c>
      <c r="K506" s="38">
        <v>1</v>
      </c>
      <c r="L506" s="38" t="s">
        <v>101</v>
      </c>
      <c r="M506" s="38" t="s">
        <v>406</v>
      </c>
      <c r="N506" s="38" t="s">
        <v>102</v>
      </c>
      <c r="P506" s="38">
        <v>0</v>
      </c>
      <c r="U506" s="38">
        <v>4</v>
      </c>
      <c r="V506" s="38">
        <v>1</v>
      </c>
      <c r="W506" s="38" t="s">
        <v>103</v>
      </c>
      <c r="X506" s="38">
        <v>0</v>
      </c>
      <c r="AA506" s="45"/>
    </row>
    <row r="507" spans="1:27" x14ac:dyDescent="0.2">
      <c r="A507" s="38">
        <v>1</v>
      </c>
      <c r="B507" s="37">
        <v>9292003310725</v>
      </c>
      <c r="C507" s="38">
        <v>20</v>
      </c>
      <c r="D507" s="45">
        <v>5701603310725</v>
      </c>
      <c r="F507" s="38" t="s">
        <v>100</v>
      </c>
      <c r="G507" s="38">
        <v>0</v>
      </c>
      <c r="H507" s="38">
        <v>100</v>
      </c>
      <c r="K507" s="38">
        <v>1</v>
      </c>
      <c r="L507" s="38" t="s">
        <v>101</v>
      </c>
      <c r="M507" s="38" t="s">
        <v>406</v>
      </c>
      <c r="N507" s="38" t="s">
        <v>102</v>
      </c>
      <c r="P507" s="38">
        <v>0</v>
      </c>
      <c r="U507" s="38">
        <v>4</v>
      </c>
      <c r="V507" s="38">
        <v>1</v>
      </c>
      <c r="W507" s="38" t="s">
        <v>103</v>
      </c>
      <c r="X507" s="38">
        <v>0</v>
      </c>
      <c r="AA507" s="45"/>
    </row>
  </sheetData>
  <autoFilter ref="A1:AE2743" xr:uid="{14482F79-C42A-4703-95B8-A123E4C53DCC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C9F25-4769-48DD-AE7D-681D9324B766}">
  <sheetPr codeName="Planilha2"/>
  <dimension ref="A1:Y2278"/>
  <sheetViews>
    <sheetView showGridLines="0" tabSelected="1" zoomScale="110" zoomScaleNormal="110" workbookViewId="0">
      <selection activeCell="G37" sqref="G37"/>
    </sheetView>
  </sheetViews>
  <sheetFormatPr defaultColWidth="4.85546875" defaultRowHeight="12" x14ac:dyDescent="0.2"/>
  <cols>
    <col min="1" max="1" width="7.7109375" style="83" bestFit="1" customWidth="1"/>
    <col min="2" max="2" width="14.140625" style="84" bestFit="1" customWidth="1"/>
    <col min="3" max="3" width="8.7109375" style="83" bestFit="1" customWidth="1"/>
    <col min="4" max="4" width="11" style="84" bestFit="1" customWidth="1"/>
    <col min="5" max="5" width="7.42578125" style="83" bestFit="1" customWidth="1"/>
    <col min="6" max="6" width="7.5703125" style="83" bestFit="1" customWidth="1"/>
    <col min="7" max="8" width="8.28515625" style="83" bestFit="1" customWidth="1"/>
    <col min="9" max="10" width="7.7109375" style="83" bestFit="1" customWidth="1"/>
    <col min="11" max="11" width="8.140625" style="83" bestFit="1" customWidth="1"/>
    <col min="12" max="12" width="8" style="83" bestFit="1" customWidth="1"/>
    <col min="13" max="14" width="9.85546875" style="83" bestFit="1" customWidth="1"/>
    <col min="15" max="15" width="7.7109375" style="83" bestFit="1" customWidth="1"/>
    <col min="16" max="16" width="8.28515625" style="83" bestFit="1" customWidth="1"/>
    <col min="17" max="18" width="8.7109375" style="83" bestFit="1" customWidth="1"/>
    <col min="19" max="19" width="7.7109375" style="83" bestFit="1" customWidth="1"/>
    <col min="20" max="20" width="7.140625" style="83" bestFit="1" customWidth="1"/>
    <col min="21" max="21" width="8.28515625" style="83" bestFit="1" customWidth="1"/>
    <col min="22" max="22" width="7" style="83" bestFit="1" customWidth="1"/>
    <col min="23" max="23" width="7.7109375" style="83" bestFit="1" customWidth="1"/>
    <col min="24" max="24" width="7.85546875" style="83" bestFit="1" customWidth="1"/>
    <col min="25" max="25" width="7" style="83" bestFit="1" customWidth="1"/>
    <col min="26" max="16384" width="4.85546875" style="83"/>
  </cols>
  <sheetData>
    <row r="1" spans="1:25" x14ac:dyDescent="0.2">
      <c r="A1" s="83" t="s">
        <v>76</v>
      </c>
      <c r="B1" s="84" t="s">
        <v>77</v>
      </c>
      <c r="C1" s="83" t="s">
        <v>78</v>
      </c>
      <c r="D1" s="84" t="s">
        <v>79</v>
      </c>
      <c r="E1" s="83" t="s">
        <v>80</v>
      </c>
      <c r="F1" s="83" t="s">
        <v>81</v>
      </c>
      <c r="G1" s="83" t="s">
        <v>82</v>
      </c>
      <c r="H1" s="83" t="s">
        <v>83</v>
      </c>
      <c r="I1" s="83" t="s">
        <v>84</v>
      </c>
      <c r="J1" s="83" t="s">
        <v>85</v>
      </c>
      <c r="K1" s="83" t="s">
        <v>86</v>
      </c>
      <c r="L1" s="83" t="s">
        <v>87</v>
      </c>
      <c r="M1" s="83" t="s">
        <v>88</v>
      </c>
      <c r="N1" s="83" t="s">
        <v>89</v>
      </c>
      <c r="O1" s="83" t="s">
        <v>90</v>
      </c>
      <c r="P1" s="83" t="s">
        <v>91</v>
      </c>
      <c r="Q1" s="83" t="s">
        <v>92</v>
      </c>
      <c r="R1" s="83" t="s">
        <v>93</v>
      </c>
      <c r="S1" s="83" t="s">
        <v>94</v>
      </c>
      <c r="T1" s="83" t="s">
        <v>95</v>
      </c>
      <c r="U1" s="83" t="s">
        <v>96</v>
      </c>
      <c r="V1" s="83" t="s">
        <v>97</v>
      </c>
      <c r="W1" s="83" t="s">
        <v>98</v>
      </c>
      <c r="X1" s="83" t="s">
        <v>99</v>
      </c>
    </row>
    <row r="2" spans="1:25" x14ac:dyDescent="0.2">
      <c r="A2" s="83">
        <v>1</v>
      </c>
      <c r="B2" s="153">
        <v>5701603300307</v>
      </c>
      <c r="C2" s="83">
        <v>10</v>
      </c>
      <c r="D2" s="153">
        <v>5980463399</v>
      </c>
      <c r="F2" s="83" t="s">
        <v>103</v>
      </c>
      <c r="G2" s="83">
        <v>0</v>
      </c>
      <c r="H2" s="83">
        <v>100</v>
      </c>
      <c r="K2" s="83">
        <v>1</v>
      </c>
      <c r="L2" s="83" t="s">
        <v>101</v>
      </c>
      <c r="M2" s="83" t="s">
        <v>410</v>
      </c>
      <c r="N2" s="83" t="s">
        <v>102</v>
      </c>
      <c r="P2" s="83">
        <v>0</v>
      </c>
      <c r="U2" s="83">
        <v>4</v>
      </c>
      <c r="V2" s="83">
        <v>1</v>
      </c>
      <c r="W2" s="83" t="s">
        <v>103</v>
      </c>
      <c r="X2" s="83">
        <v>0</v>
      </c>
      <c r="Y2" s="83" t="str">
        <f>LEFT(D2,6)</f>
        <v>598046</v>
      </c>
    </row>
    <row r="3" spans="1:25" x14ac:dyDescent="0.2">
      <c r="A3" s="83">
        <v>1</v>
      </c>
      <c r="B3" s="153">
        <v>5701603300307</v>
      </c>
      <c r="C3" s="83">
        <v>20</v>
      </c>
      <c r="D3" s="153">
        <v>5980543399</v>
      </c>
      <c r="F3" s="83" t="s">
        <v>103</v>
      </c>
      <c r="G3" s="83">
        <v>0</v>
      </c>
      <c r="H3" s="83">
        <v>100</v>
      </c>
      <c r="K3" s="83">
        <v>1</v>
      </c>
      <c r="L3" s="83" t="s">
        <v>101</v>
      </c>
      <c r="M3" s="83" t="s">
        <v>410</v>
      </c>
      <c r="N3" s="83" t="s">
        <v>102</v>
      </c>
      <c r="P3" s="83">
        <v>0</v>
      </c>
      <c r="U3" s="83">
        <v>4</v>
      </c>
      <c r="V3" s="83">
        <v>1</v>
      </c>
      <c r="W3" s="83" t="s">
        <v>103</v>
      </c>
      <c r="X3" s="83">
        <v>0</v>
      </c>
    </row>
    <row r="4" spans="1:25" x14ac:dyDescent="0.2">
      <c r="A4" s="83">
        <v>1</v>
      </c>
      <c r="B4" s="153">
        <v>5701603300307</v>
      </c>
      <c r="C4" s="83">
        <v>30</v>
      </c>
      <c r="D4" s="153">
        <v>5980623399</v>
      </c>
      <c r="F4" s="83" t="s">
        <v>103</v>
      </c>
      <c r="G4" s="83">
        <v>0</v>
      </c>
      <c r="H4" s="83">
        <v>100</v>
      </c>
      <c r="K4" s="83">
        <v>1</v>
      </c>
      <c r="L4" s="83" t="s">
        <v>101</v>
      </c>
      <c r="M4" s="83" t="s">
        <v>410</v>
      </c>
      <c r="N4" s="83" t="s">
        <v>102</v>
      </c>
      <c r="P4" s="83">
        <v>0</v>
      </c>
      <c r="U4" s="83">
        <v>4</v>
      </c>
      <c r="V4" s="83">
        <v>1</v>
      </c>
      <c r="W4" s="83" t="s">
        <v>103</v>
      </c>
      <c r="X4" s="83">
        <v>0</v>
      </c>
    </row>
    <row r="5" spans="1:25" x14ac:dyDescent="0.2">
      <c r="A5" s="83">
        <v>1</v>
      </c>
      <c r="B5" s="153">
        <v>5701603300307</v>
      </c>
      <c r="C5" s="83">
        <v>40</v>
      </c>
      <c r="D5" s="153">
        <v>5980823399</v>
      </c>
      <c r="F5" s="83" t="s">
        <v>103</v>
      </c>
      <c r="G5" s="83">
        <v>0</v>
      </c>
      <c r="H5" s="83">
        <v>100</v>
      </c>
      <c r="K5" s="83">
        <v>1</v>
      </c>
      <c r="L5" s="83" t="s">
        <v>101</v>
      </c>
      <c r="M5" s="83" t="s">
        <v>410</v>
      </c>
      <c r="N5" s="83" t="s">
        <v>102</v>
      </c>
      <c r="P5" s="83">
        <v>0</v>
      </c>
      <c r="U5" s="83">
        <v>4</v>
      </c>
      <c r="V5" s="83">
        <v>1</v>
      </c>
      <c r="W5" s="83" t="s">
        <v>103</v>
      </c>
      <c r="X5" s="83">
        <v>0</v>
      </c>
    </row>
    <row r="6" spans="1:25" x14ac:dyDescent="0.2">
      <c r="A6" s="83">
        <v>1</v>
      </c>
      <c r="B6" s="153">
        <v>5701603300307</v>
      </c>
      <c r="C6" s="83">
        <v>50</v>
      </c>
      <c r="D6" s="154">
        <v>1010277</v>
      </c>
      <c r="F6" s="83" t="s">
        <v>103</v>
      </c>
      <c r="G6" s="83">
        <v>0</v>
      </c>
      <c r="H6" s="83">
        <v>100</v>
      </c>
      <c r="K6" s="83">
        <v>1</v>
      </c>
      <c r="L6" s="83" t="s">
        <v>101</v>
      </c>
      <c r="M6" s="83" t="s">
        <v>410</v>
      </c>
      <c r="N6" s="83" t="s">
        <v>102</v>
      </c>
      <c r="P6" s="83">
        <v>0</v>
      </c>
      <c r="U6" s="83">
        <v>4</v>
      </c>
      <c r="V6" s="83">
        <v>1</v>
      </c>
      <c r="W6" s="83" t="s">
        <v>103</v>
      </c>
      <c r="X6" s="83">
        <v>0</v>
      </c>
    </row>
    <row r="7" spans="1:25" x14ac:dyDescent="0.2">
      <c r="A7" s="83">
        <v>1</v>
      </c>
      <c r="B7" s="153">
        <v>5701603300307</v>
      </c>
      <c r="C7" s="83">
        <v>60</v>
      </c>
      <c r="D7" s="153">
        <v>1010286</v>
      </c>
      <c r="F7" s="83" t="s">
        <v>103</v>
      </c>
      <c r="G7" s="83">
        <v>0</v>
      </c>
      <c r="H7" s="83">
        <v>100</v>
      </c>
      <c r="K7" s="83">
        <v>8</v>
      </c>
      <c r="L7" s="83" t="s">
        <v>101</v>
      </c>
      <c r="M7" s="83" t="s">
        <v>410</v>
      </c>
      <c r="N7" s="83" t="s">
        <v>102</v>
      </c>
      <c r="P7" s="83">
        <v>0</v>
      </c>
      <c r="U7" s="83">
        <v>4</v>
      </c>
      <c r="V7" s="83">
        <v>1</v>
      </c>
      <c r="W7" s="83" t="s">
        <v>103</v>
      </c>
      <c r="X7" s="83">
        <v>0</v>
      </c>
    </row>
    <row r="8" spans="1:25" x14ac:dyDescent="0.2">
      <c r="A8" s="83">
        <v>1</v>
      </c>
      <c r="B8" s="153">
        <v>5701603300307</v>
      </c>
      <c r="C8" s="83">
        <v>70</v>
      </c>
      <c r="D8" s="153">
        <v>1010287</v>
      </c>
      <c r="F8" s="83" t="s">
        <v>103</v>
      </c>
      <c r="G8" s="83">
        <v>0</v>
      </c>
      <c r="H8" s="83">
        <v>100</v>
      </c>
      <c r="K8" s="83">
        <v>4</v>
      </c>
      <c r="L8" s="83" t="s">
        <v>101</v>
      </c>
      <c r="M8" s="83" t="s">
        <v>410</v>
      </c>
      <c r="N8" s="83" t="s">
        <v>102</v>
      </c>
      <c r="P8" s="83">
        <v>0</v>
      </c>
      <c r="U8" s="83">
        <v>4</v>
      </c>
      <c r="V8" s="83">
        <v>1</v>
      </c>
      <c r="W8" s="83" t="s">
        <v>103</v>
      </c>
      <c r="X8" s="83">
        <v>0</v>
      </c>
    </row>
    <row r="9" spans="1:25" x14ac:dyDescent="0.2">
      <c r="A9" s="83">
        <v>1</v>
      </c>
      <c r="B9" s="153">
        <v>5701603300307</v>
      </c>
      <c r="C9" s="83">
        <v>80</v>
      </c>
      <c r="D9" s="153">
        <v>1020145</v>
      </c>
      <c r="F9" s="83" t="s">
        <v>103</v>
      </c>
      <c r="G9" s="83">
        <v>0</v>
      </c>
      <c r="H9" s="83">
        <v>100</v>
      </c>
      <c r="K9" s="83" t="s">
        <v>408</v>
      </c>
      <c r="L9" s="83" t="s">
        <v>101</v>
      </c>
      <c r="M9" s="83" t="s">
        <v>410</v>
      </c>
      <c r="N9" s="83" t="s">
        <v>102</v>
      </c>
      <c r="P9" s="83">
        <v>0</v>
      </c>
      <c r="U9" s="83">
        <v>4</v>
      </c>
      <c r="V9" s="83">
        <v>1</v>
      </c>
      <c r="W9" s="83" t="s">
        <v>103</v>
      </c>
      <c r="X9" s="83">
        <v>0</v>
      </c>
    </row>
    <row r="10" spans="1:25" x14ac:dyDescent="0.2">
      <c r="A10" s="83">
        <v>1</v>
      </c>
      <c r="B10" s="153">
        <v>5701603300307</v>
      </c>
      <c r="C10" s="83">
        <v>90</v>
      </c>
      <c r="D10" s="153">
        <v>777500307</v>
      </c>
      <c r="F10" s="83" t="s">
        <v>103</v>
      </c>
      <c r="G10" s="83">
        <v>0</v>
      </c>
      <c r="H10" s="83">
        <v>100</v>
      </c>
      <c r="K10" s="83">
        <v>1</v>
      </c>
      <c r="L10" s="83" t="s">
        <v>101</v>
      </c>
      <c r="M10" s="83" t="s">
        <v>410</v>
      </c>
      <c r="N10" s="83" t="s">
        <v>102</v>
      </c>
      <c r="P10" s="83">
        <v>0</v>
      </c>
      <c r="U10" s="83">
        <v>4</v>
      </c>
      <c r="V10" s="83">
        <v>1</v>
      </c>
      <c r="W10" s="83" t="s">
        <v>103</v>
      </c>
      <c r="X10" s="83">
        <v>0</v>
      </c>
    </row>
    <row r="11" spans="1:25" x14ac:dyDescent="0.2">
      <c r="A11" s="83">
        <v>1</v>
      </c>
      <c r="B11" s="84">
        <v>5701603301307</v>
      </c>
      <c r="C11" s="83">
        <v>10</v>
      </c>
      <c r="D11" s="84">
        <v>5980463301</v>
      </c>
      <c r="F11" s="83" t="s">
        <v>103</v>
      </c>
      <c r="G11" s="83">
        <v>0</v>
      </c>
      <c r="H11" s="83">
        <v>100</v>
      </c>
      <c r="K11" s="83">
        <v>1</v>
      </c>
      <c r="L11" s="83" t="s">
        <v>101</v>
      </c>
      <c r="M11" s="83" t="s">
        <v>410</v>
      </c>
      <c r="N11" s="83" t="s">
        <v>102</v>
      </c>
      <c r="P11" s="83">
        <v>0</v>
      </c>
      <c r="U11" s="83">
        <v>4</v>
      </c>
      <c r="V11" s="83">
        <v>1</v>
      </c>
      <c r="W11" s="83" t="s">
        <v>103</v>
      </c>
      <c r="X11" s="83">
        <v>0</v>
      </c>
      <c r="Y11" s="83" t="str">
        <f>LEFT(D11,6)</f>
        <v>598046</v>
      </c>
    </row>
    <row r="12" spans="1:25" x14ac:dyDescent="0.2">
      <c r="A12" s="83">
        <v>1</v>
      </c>
      <c r="B12" s="84">
        <v>5701603301307</v>
      </c>
      <c r="C12" s="83">
        <v>20</v>
      </c>
      <c r="D12" s="84">
        <v>5980543301</v>
      </c>
      <c r="F12" s="83" t="s">
        <v>103</v>
      </c>
      <c r="G12" s="83">
        <v>0</v>
      </c>
      <c r="H12" s="83">
        <v>100</v>
      </c>
      <c r="K12" s="83">
        <v>1</v>
      </c>
      <c r="L12" s="83" t="s">
        <v>101</v>
      </c>
      <c r="M12" s="83" t="s">
        <v>410</v>
      </c>
      <c r="N12" s="83" t="s">
        <v>102</v>
      </c>
      <c r="P12" s="83">
        <v>0</v>
      </c>
      <c r="U12" s="83">
        <v>4</v>
      </c>
      <c r="V12" s="83">
        <v>1</v>
      </c>
      <c r="W12" s="83" t="s">
        <v>103</v>
      </c>
      <c r="X12" s="83">
        <v>0</v>
      </c>
    </row>
    <row r="13" spans="1:25" x14ac:dyDescent="0.2">
      <c r="A13" s="83">
        <v>1</v>
      </c>
      <c r="B13" s="84">
        <v>5701603301307</v>
      </c>
      <c r="C13" s="83">
        <v>30</v>
      </c>
      <c r="D13" s="84">
        <v>5980623301</v>
      </c>
      <c r="F13" s="83" t="s">
        <v>103</v>
      </c>
      <c r="G13" s="83">
        <v>0</v>
      </c>
      <c r="H13" s="83">
        <v>100</v>
      </c>
      <c r="K13" s="83">
        <v>1</v>
      </c>
      <c r="L13" s="83" t="s">
        <v>101</v>
      </c>
      <c r="M13" s="83" t="s">
        <v>410</v>
      </c>
      <c r="N13" s="83" t="s">
        <v>102</v>
      </c>
      <c r="P13" s="83">
        <v>0</v>
      </c>
      <c r="U13" s="83">
        <v>4</v>
      </c>
      <c r="V13" s="83">
        <v>1</v>
      </c>
      <c r="W13" s="83" t="s">
        <v>103</v>
      </c>
      <c r="X13" s="83">
        <v>0</v>
      </c>
    </row>
    <row r="14" spans="1:25" x14ac:dyDescent="0.2">
      <c r="A14" s="83">
        <v>1</v>
      </c>
      <c r="B14" s="84">
        <v>5701603301307</v>
      </c>
      <c r="C14" s="83">
        <v>40</v>
      </c>
      <c r="D14" s="84">
        <v>5980823301</v>
      </c>
      <c r="F14" s="83" t="s">
        <v>103</v>
      </c>
      <c r="G14" s="83">
        <v>0</v>
      </c>
      <c r="H14" s="83">
        <v>100</v>
      </c>
      <c r="K14" s="83">
        <v>1</v>
      </c>
      <c r="L14" s="83" t="s">
        <v>101</v>
      </c>
      <c r="M14" s="83" t="s">
        <v>410</v>
      </c>
      <c r="N14" s="83" t="s">
        <v>102</v>
      </c>
      <c r="P14" s="83">
        <v>0</v>
      </c>
      <c r="U14" s="83">
        <v>4</v>
      </c>
      <c r="V14" s="83">
        <v>1</v>
      </c>
      <c r="W14" s="83" t="s">
        <v>103</v>
      </c>
      <c r="X14" s="83">
        <v>0</v>
      </c>
    </row>
    <row r="15" spans="1:25" x14ac:dyDescent="0.2">
      <c r="A15" s="83">
        <v>1</v>
      </c>
      <c r="B15" s="84">
        <v>5701603301307</v>
      </c>
      <c r="C15" s="83">
        <v>50</v>
      </c>
      <c r="D15" s="84">
        <v>5980933301</v>
      </c>
      <c r="F15" s="83" t="s">
        <v>103</v>
      </c>
      <c r="G15" s="83">
        <v>0</v>
      </c>
      <c r="H15" s="83">
        <v>100</v>
      </c>
      <c r="K15" s="83">
        <v>1</v>
      </c>
      <c r="L15" s="83" t="s">
        <v>101</v>
      </c>
      <c r="M15" s="83" t="s">
        <v>410</v>
      </c>
      <c r="N15" s="83" t="s">
        <v>102</v>
      </c>
      <c r="P15" s="83">
        <v>0</v>
      </c>
      <c r="U15" s="83">
        <v>4</v>
      </c>
      <c r="V15" s="83">
        <v>1</v>
      </c>
      <c r="W15" s="83" t="s">
        <v>103</v>
      </c>
      <c r="X15" s="83">
        <v>0</v>
      </c>
    </row>
    <row r="16" spans="1:25" x14ac:dyDescent="0.2">
      <c r="A16" s="83">
        <v>1</v>
      </c>
      <c r="B16" s="84">
        <v>5701603301307</v>
      </c>
      <c r="C16" s="83">
        <v>60</v>
      </c>
      <c r="D16" s="84">
        <v>1010286</v>
      </c>
      <c r="F16" s="83" t="s">
        <v>103</v>
      </c>
      <c r="G16" s="83">
        <v>0</v>
      </c>
      <c r="H16" s="83">
        <v>100</v>
      </c>
      <c r="K16" s="83">
        <v>8</v>
      </c>
      <c r="L16" s="83" t="s">
        <v>101</v>
      </c>
      <c r="M16" s="83" t="s">
        <v>410</v>
      </c>
      <c r="N16" s="83" t="s">
        <v>102</v>
      </c>
      <c r="P16" s="83">
        <v>0</v>
      </c>
      <c r="U16" s="83">
        <v>4</v>
      </c>
      <c r="V16" s="83">
        <v>1</v>
      </c>
      <c r="W16" s="83" t="s">
        <v>103</v>
      </c>
      <c r="X16" s="83">
        <v>0</v>
      </c>
    </row>
    <row r="17" spans="1:25" x14ac:dyDescent="0.2">
      <c r="A17" s="83">
        <v>1</v>
      </c>
      <c r="B17" s="84">
        <v>5701603301307</v>
      </c>
      <c r="C17" s="83">
        <v>70</v>
      </c>
      <c r="D17" s="84">
        <v>1010287</v>
      </c>
      <c r="F17" s="83" t="s">
        <v>103</v>
      </c>
      <c r="G17" s="83">
        <v>0</v>
      </c>
      <c r="H17" s="83">
        <v>100</v>
      </c>
      <c r="K17" s="83">
        <v>4</v>
      </c>
      <c r="L17" s="83" t="s">
        <v>101</v>
      </c>
      <c r="M17" s="83" t="s">
        <v>410</v>
      </c>
      <c r="N17" s="83" t="s">
        <v>102</v>
      </c>
      <c r="P17" s="83">
        <v>0</v>
      </c>
      <c r="U17" s="83">
        <v>4</v>
      </c>
      <c r="V17" s="83">
        <v>1</v>
      </c>
      <c r="W17" s="83" t="s">
        <v>103</v>
      </c>
      <c r="X17" s="83">
        <v>0</v>
      </c>
    </row>
    <row r="18" spans="1:25" x14ac:dyDescent="0.2">
      <c r="A18" s="83">
        <v>1</v>
      </c>
      <c r="B18" s="84">
        <v>5701603301307</v>
      </c>
      <c r="C18" s="83">
        <v>80</v>
      </c>
      <c r="D18" s="84">
        <v>1020145</v>
      </c>
      <c r="F18" s="83" t="s">
        <v>103</v>
      </c>
      <c r="G18" s="83">
        <v>0</v>
      </c>
      <c r="H18" s="83">
        <v>100</v>
      </c>
      <c r="K18" s="83" t="s">
        <v>408</v>
      </c>
      <c r="L18" s="83" t="s">
        <v>101</v>
      </c>
      <c r="M18" s="83" t="s">
        <v>410</v>
      </c>
      <c r="N18" s="83" t="s">
        <v>102</v>
      </c>
      <c r="P18" s="83">
        <v>0</v>
      </c>
      <c r="U18" s="83">
        <v>4</v>
      </c>
      <c r="V18" s="83">
        <v>1</v>
      </c>
      <c r="W18" s="83" t="s">
        <v>103</v>
      </c>
      <c r="X18" s="83">
        <v>0</v>
      </c>
    </row>
    <row r="19" spans="1:25" x14ac:dyDescent="0.2">
      <c r="A19" s="83">
        <v>1</v>
      </c>
      <c r="B19" s="84">
        <v>5701603301307</v>
      </c>
      <c r="C19" s="83">
        <v>90</v>
      </c>
      <c r="D19" s="84">
        <v>777500307</v>
      </c>
      <c r="F19" s="83" t="s">
        <v>103</v>
      </c>
      <c r="G19" s="83">
        <v>0</v>
      </c>
      <c r="H19" s="83">
        <v>100</v>
      </c>
      <c r="K19" s="83">
        <v>1</v>
      </c>
      <c r="L19" s="83" t="s">
        <v>101</v>
      </c>
      <c r="M19" s="83" t="s">
        <v>410</v>
      </c>
      <c r="N19" s="83" t="s">
        <v>102</v>
      </c>
      <c r="P19" s="83">
        <v>0</v>
      </c>
      <c r="U19" s="83">
        <v>4</v>
      </c>
      <c r="V19" s="83">
        <v>1</v>
      </c>
      <c r="W19" s="83" t="s">
        <v>103</v>
      </c>
      <c r="X19" s="83">
        <v>0</v>
      </c>
    </row>
    <row r="20" spans="1:25" x14ac:dyDescent="0.2">
      <c r="A20" s="83">
        <v>1</v>
      </c>
      <c r="B20" s="84">
        <v>5701603302307</v>
      </c>
      <c r="C20" s="83">
        <v>10</v>
      </c>
      <c r="D20" s="84">
        <v>5980463302</v>
      </c>
      <c r="F20" s="83" t="s">
        <v>103</v>
      </c>
      <c r="G20" s="83">
        <v>0</v>
      </c>
      <c r="H20" s="83">
        <v>100</v>
      </c>
      <c r="K20" s="83">
        <v>1</v>
      </c>
      <c r="L20" s="83" t="s">
        <v>101</v>
      </c>
      <c r="M20" s="83" t="s">
        <v>410</v>
      </c>
      <c r="N20" s="83" t="s">
        <v>102</v>
      </c>
      <c r="P20" s="83">
        <v>0</v>
      </c>
      <c r="U20" s="83">
        <v>4</v>
      </c>
      <c r="V20" s="83">
        <v>1</v>
      </c>
      <c r="W20" s="83" t="s">
        <v>103</v>
      </c>
      <c r="X20" s="83">
        <v>0</v>
      </c>
      <c r="Y20" s="83" t="str">
        <f>LEFT(D20,6)</f>
        <v>598046</v>
      </c>
    </row>
    <row r="21" spans="1:25" x14ac:dyDescent="0.2">
      <c r="A21" s="83">
        <v>1</v>
      </c>
      <c r="B21" s="84">
        <v>5701603302307</v>
      </c>
      <c r="C21" s="83">
        <v>20</v>
      </c>
      <c r="D21" s="84">
        <v>5980543302</v>
      </c>
      <c r="F21" s="83" t="s">
        <v>103</v>
      </c>
      <c r="G21" s="83">
        <v>0</v>
      </c>
      <c r="H21" s="83">
        <v>100</v>
      </c>
      <c r="K21" s="83">
        <v>1</v>
      </c>
      <c r="L21" s="83" t="s">
        <v>101</v>
      </c>
      <c r="M21" s="83" t="s">
        <v>410</v>
      </c>
      <c r="N21" s="83" t="s">
        <v>102</v>
      </c>
      <c r="P21" s="83">
        <v>0</v>
      </c>
      <c r="U21" s="83">
        <v>4</v>
      </c>
      <c r="V21" s="83">
        <v>1</v>
      </c>
      <c r="W21" s="83" t="s">
        <v>103</v>
      </c>
      <c r="X21" s="83">
        <v>0</v>
      </c>
    </row>
    <row r="22" spans="1:25" x14ac:dyDescent="0.2">
      <c r="A22" s="83">
        <v>1</v>
      </c>
      <c r="B22" s="84">
        <v>5701603302307</v>
      </c>
      <c r="C22" s="83">
        <v>30</v>
      </c>
      <c r="D22" s="84">
        <v>5980623302</v>
      </c>
      <c r="F22" s="83" t="s">
        <v>103</v>
      </c>
      <c r="G22" s="83">
        <v>0</v>
      </c>
      <c r="H22" s="83">
        <v>100</v>
      </c>
      <c r="K22" s="83">
        <v>1</v>
      </c>
      <c r="L22" s="83" t="s">
        <v>101</v>
      </c>
      <c r="M22" s="83" t="s">
        <v>410</v>
      </c>
      <c r="N22" s="83" t="s">
        <v>102</v>
      </c>
      <c r="P22" s="83">
        <v>0</v>
      </c>
      <c r="U22" s="83">
        <v>4</v>
      </c>
      <c r="V22" s="83">
        <v>1</v>
      </c>
      <c r="W22" s="83" t="s">
        <v>103</v>
      </c>
      <c r="X22" s="83">
        <v>0</v>
      </c>
    </row>
    <row r="23" spans="1:25" x14ac:dyDescent="0.2">
      <c r="A23" s="83">
        <v>1</v>
      </c>
      <c r="B23" s="84">
        <v>5701603302307</v>
      </c>
      <c r="C23" s="83">
        <v>40</v>
      </c>
      <c r="D23" s="84">
        <v>5980823302</v>
      </c>
      <c r="F23" s="83" t="s">
        <v>103</v>
      </c>
      <c r="G23" s="83">
        <v>0</v>
      </c>
      <c r="H23" s="83">
        <v>100</v>
      </c>
      <c r="K23" s="83">
        <v>1</v>
      </c>
      <c r="L23" s="83" t="s">
        <v>101</v>
      </c>
      <c r="M23" s="83" t="s">
        <v>410</v>
      </c>
      <c r="N23" s="83" t="s">
        <v>102</v>
      </c>
      <c r="P23" s="83">
        <v>0</v>
      </c>
      <c r="U23" s="83">
        <v>4</v>
      </c>
      <c r="V23" s="83">
        <v>1</v>
      </c>
      <c r="W23" s="83" t="s">
        <v>103</v>
      </c>
      <c r="X23" s="83">
        <v>0</v>
      </c>
    </row>
    <row r="24" spans="1:25" x14ac:dyDescent="0.2">
      <c r="A24" s="83">
        <v>1</v>
      </c>
      <c r="B24" s="84">
        <v>5701603302307</v>
      </c>
      <c r="C24" s="83">
        <v>50</v>
      </c>
      <c r="D24" s="84">
        <v>5980933302</v>
      </c>
      <c r="F24" s="83" t="s">
        <v>103</v>
      </c>
      <c r="G24" s="83">
        <v>0</v>
      </c>
      <c r="H24" s="83">
        <v>100</v>
      </c>
      <c r="K24" s="83">
        <v>1</v>
      </c>
      <c r="L24" s="83" t="s">
        <v>101</v>
      </c>
      <c r="M24" s="83" t="s">
        <v>410</v>
      </c>
      <c r="N24" s="83" t="s">
        <v>102</v>
      </c>
      <c r="P24" s="83">
        <v>0</v>
      </c>
      <c r="U24" s="83">
        <v>4</v>
      </c>
      <c r="V24" s="83">
        <v>1</v>
      </c>
      <c r="W24" s="83" t="s">
        <v>103</v>
      </c>
      <c r="X24" s="83">
        <v>0</v>
      </c>
    </row>
    <row r="25" spans="1:25" x14ac:dyDescent="0.2">
      <c r="A25" s="83">
        <v>1</v>
      </c>
      <c r="B25" s="84">
        <v>5701603302307</v>
      </c>
      <c r="C25" s="83">
        <v>60</v>
      </c>
      <c r="D25" s="84">
        <v>1010286</v>
      </c>
      <c r="F25" s="83" t="s">
        <v>103</v>
      </c>
      <c r="G25" s="83">
        <v>0</v>
      </c>
      <c r="H25" s="83">
        <v>100</v>
      </c>
      <c r="K25" s="83">
        <v>8</v>
      </c>
      <c r="L25" s="83" t="s">
        <v>101</v>
      </c>
      <c r="M25" s="83" t="s">
        <v>410</v>
      </c>
      <c r="N25" s="83" t="s">
        <v>102</v>
      </c>
      <c r="P25" s="83">
        <v>0</v>
      </c>
      <c r="U25" s="83">
        <v>4</v>
      </c>
      <c r="V25" s="83">
        <v>1</v>
      </c>
      <c r="W25" s="83" t="s">
        <v>103</v>
      </c>
      <c r="X25" s="83">
        <v>0</v>
      </c>
    </row>
    <row r="26" spans="1:25" x14ac:dyDescent="0.2">
      <c r="A26" s="83">
        <v>1</v>
      </c>
      <c r="B26" s="84">
        <v>5701603302307</v>
      </c>
      <c r="C26" s="83">
        <v>70</v>
      </c>
      <c r="D26" s="84">
        <v>1010288</v>
      </c>
      <c r="F26" s="83" t="s">
        <v>103</v>
      </c>
      <c r="G26" s="83">
        <v>0</v>
      </c>
      <c r="H26" s="83">
        <v>100</v>
      </c>
      <c r="K26" s="83">
        <v>4</v>
      </c>
      <c r="L26" s="83" t="s">
        <v>101</v>
      </c>
      <c r="M26" s="83" t="s">
        <v>410</v>
      </c>
      <c r="N26" s="83" t="s">
        <v>102</v>
      </c>
      <c r="P26" s="83">
        <v>0</v>
      </c>
      <c r="U26" s="83">
        <v>4</v>
      </c>
      <c r="V26" s="83">
        <v>1</v>
      </c>
      <c r="W26" s="83" t="s">
        <v>103</v>
      </c>
      <c r="X26" s="83">
        <v>0</v>
      </c>
    </row>
    <row r="27" spans="1:25" x14ac:dyDescent="0.2">
      <c r="A27" s="83">
        <v>1</v>
      </c>
      <c r="B27" s="84">
        <v>5701603302307</v>
      </c>
      <c r="C27" s="83">
        <v>80</v>
      </c>
      <c r="D27" s="84">
        <v>1020145</v>
      </c>
      <c r="F27" s="83" t="s">
        <v>103</v>
      </c>
      <c r="G27" s="83">
        <v>0</v>
      </c>
      <c r="H27" s="83">
        <v>100</v>
      </c>
      <c r="K27" s="83" t="s">
        <v>408</v>
      </c>
      <c r="L27" s="83" t="s">
        <v>101</v>
      </c>
      <c r="M27" s="83" t="s">
        <v>410</v>
      </c>
      <c r="N27" s="83" t="s">
        <v>102</v>
      </c>
      <c r="P27" s="83">
        <v>0</v>
      </c>
      <c r="U27" s="83">
        <v>4</v>
      </c>
      <c r="V27" s="83">
        <v>1</v>
      </c>
      <c r="W27" s="83" t="s">
        <v>103</v>
      </c>
      <c r="X27" s="83">
        <v>0</v>
      </c>
    </row>
    <row r="28" spans="1:25" x14ac:dyDescent="0.2">
      <c r="A28" s="83">
        <v>1</v>
      </c>
      <c r="B28" s="84">
        <v>5701603302307</v>
      </c>
      <c r="C28" s="83">
        <v>90</v>
      </c>
      <c r="D28" s="84">
        <v>777500307</v>
      </c>
      <c r="F28" s="83" t="s">
        <v>103</v>
      </c>
      <c r="G28" s="83">
        <v>0</v>
      </c>
      <c r="H28" s="83">
        <v>100</v>
      </c>
      <c r="K28" s="83">
        <v>1</v>
      </c>
      <c r="L28" s="83" t="s">
        <v>101</v>
      </c>
      <c r="M28" s="83" t="s">
        <v>410</v>
      </c>
      <c r="N28" s="83" t="s">
        <v>102</v>
      </c>
      <c r="P28" s="83">
        <v>0</v>
      </c>
      <c r="U28" s="83">
        <v>4</v>
      </c>
      <c r="V28" s="83">
        <v>1</v>
      </c>
      <c r="W28" s="83" t="s">
        <v>103</v>
      </c>
      <c r="X28" s="83">
        <v>0</v>
      </c>
    </row>
    <row r="29" spans="1:25" x14ac:dyDescent="0.2">
      <c r="A29" s="83">
        <v>1</v>
      </c>
      <c r="B29" s="84">
        <v>5701603303307</v>
      </c>
      <c r="C29" s="83">
        <v>10</v>
      </c>
      <c r="D29" s="84">
        <v>5980463303</v>
      </c>
      <c r="F29" s="83" t="s">
        <v>103</v>
      </c>
      <c r="G29" s="83">
        <v>0</v>
      </c>
      <c r="H29" s="83">
        <v>100</v>
      </c>
      <c r="K29" s="83">
        <v>1</v>
      </c>
      <c r="L29" s="83" t="s">
        <v>101</v>
      </c>
      <c r="M29" s="83" t="s">
        <v>410</v>
      </c>
      <c r="N29" s="83" t="s">
        <v>102</v>
      </c>
      <c r="P29" s="83">
        <v>0</v>
      </c>
      <c r="U29" s="83">
        <v>4</v>
      </c>
      <c r="V29" s="83">
        <v>1</v>
      </c>
      <c r="W29" s="83" t="s">
        <v>103</v>
      </c>
      <c r="X29" s="83">
        <v>0</v>
      </c>
      <c r="Y29" s="83" t="str">
        <f>LEFT(D29,6)</f>
        <v>598046</v>
      </c>
    </row>
    <row r="30" spans="1:25" x14ac:dyDescent="0.2">
      <c r="A30" s="83">
        <v>1</v>
      </c>
      <c r="B30" s="84">
        <v>5701603303307</v>
      </c>
      <c r="C30" s="83">
        <v>20</v>
      </c>
      <c r="D30" s="84">
        <v>5980543303</v>
      </c>
      <c r="F30" s="83" t="s">
        <v>103</v>
      </c>
      <c r="G30" s="83">
        <v>0</v>
      </c>
      <c r="H30" s="83">
        <v>100</v>
      </c>
      <c r="K30" s="83">
        <v>1</v>
      </c>
      <c r="L30" s="83" t="s">
        <v>101</v>
      </c>
      <c r="M30" s="83" t="s">
        <v>410</v>
      </c>
      <c r="N30" s="83" t="s">
        <v>102</v>
      </c>
      <c r="P30" s="83">
        <v>0</v>
      </c>
      <c r="U30" s="83">
        <v>4</v>
      </c>
      <c r="V30" s="83">
        <v>1</v>
      </c>
      <c r="W30" s="83" t="s">
        <v>103</v>
      </c>
      <c r="X30" s="83">
        <v>0</v>
      </c>
    </row>
    <row r="31" spans="1:25" x14ac:dyDescent="0.2">
      <c r="A31" s="83">
        <v>1</v>
      </c>
      <c r="B31" s="84">
        <v>5701603303307</v>
      </c>
      <c r="C31" s="83">
        <v>30</v>
      </c>
      <c r="D31" s="84">
        <v>5980623303</v>
      </c>
      <c r="F31" s="83" t="s">
        <v>103</v>
      </c>
      <c r="G31" s="83">
        <v>0</v>
      </c>
      <c r="H31" s="83">
        <v>100</v>
      </c>
      <c r="K31" s="83">
        <v>1</v>
      </c>
      <c r="L31" s="83" t="s">
        <v>101</v>
      </c>
      <c r="M31" s="83" t="s">
        <v>410</v>
      </c>
      <c r="N31" s="83" t="s">
        <v>102</v>
      </c>
      <c r="P31" s="83">
        <v>0</v>
      </c>
      <c r="U31" s="83">
        <v>4</v>
      </c>
      <c r="V31" s="83">
        <v>1</v>
      </c>
      <c r="W31" s="83" t="s">
        <v>103</v>
      </c>
      <c r="X31" s="83">
        <v>0</v>
      </c>
    </row>
    <row r="32" spans="1:25" x14ac:dyDescent="0.2">
      <c r="A32" s="83">
        <v>1</v>
      </c>
      <c r="B32" s="84">
        <v>5701603303307</v>
      </c>
      <c r="C32" s="83">
        <v>40</v>
      </c>
      <c r="D32" s="84">
        <v>5980823303</v>
      </c>
      <c r="F32" s="83" t="s">
        <v>103</v>
      </c>
      <c r="G32" s="83">
        <v>0</v>
      </c>
      <c r="H32" s="83">
        <v>100</v>
      </c>
      <c r="K32" s="83">
        <v>1</v>
      </c>
      <c r="L32" s="83" t="s">
        <v>101</v>
      </c>
      <c r="M32" s="83" t="s">
        <v>410</v>
      </c>
      <c r="N32" s="83" t="s">
        <v>102</v>
      </c>
      <c r="P32" s="83">
        <v>0</v>
      </c>
      <c r="U32" s="83">
        <v>4</v>
      </c>
      <c r="V32" s="83">
        <v>1</v>
      </c>
      <c r="W32" s="83" t="s">
        <v>103</v>
      </c>
      <c r="X32" s="83">
        <v>0</v>
      </c>
    </row>
    <row r="33" spans="1:25" x14ac:dyDescent="0.2">
      <c r="A33" s="83">
        <v>1</v>
      </c>
      <c r="B33" s="84">
        <v>5701603303307</v>
      </c>
      <c r="C33" s="83">
        <v>50</v>
      </c>
      <c r="D33" s="84">
        <v>5980933303</v>
      </c>
      <c r="F33" s="83" t="s">
        <v>103</v>
      </c>
      <c r="G33" s="83">
        <v>0</v>
      </c>
      <c r="H33" s="83">
        <v>100</v>
      </c>
      <c r="K33" s="83">
        <v>1</v>
      </c>
      <c r="L33" s="83" t="s">
        <v>101</v>
      </c>
      <c r="M33" s="83" t="s">
        <v>410</v>
      </c>
      <c r="N33" s="83" t="s">
        <v>102</v>
      </c>
      <c r="P33" s="83">
        <v>0</v>
      </c>
      <c r="U33" s="83">
        <v>4</v>
      </c>
      <c r="V33" s="83">
        <v>1</v>
      </c>
      <c r="W33" s="83" t="s">
        <v>103</v>
      </c>
      <c r="X33" s="83">
        <v>0</v>
      </c>
    </row>
    <row r="34" spans="1:25" x14ac:dyDescent="0.2">
      <c r="A34" s="83">
        <v>1</v>
      </c>
      <c r="B34" s="84">
        <v>5701603303307</v>
      </c>
      <c r="C34" s="83">
        <v>60</v>
      </c>
      <c r="D34" s="84">
        <v>1010286</v>
      </c>
      <c r="F34" s="83" t="s">
        <v>103</v>
      </c>
      <c r="G34" s="83">
        <v>0</v>
      </c>
      <c r="H34" s="83">
        <v>100</v>
      </c>
      <c r="K34" s="83">
        <v>8</v>
      </c>
      <c r="L34" s="83" t="s">
        <v>101</v>
      </c>
      <c r="M34" s="83" t="s">
        <v>410</v>
      </c>
      <c r="N34" s="83" t="s">
        <v>102</v>
      </c>
      <c r="P34" s="83">
        <v>0</v>
      </c>
      <c r="U34" s="83">
        <v>4</v>
      </c>
      <c r="V34" s="83">
        <v>1</v>
      </c>
      <c r="W34" s="83" t="s">
        <v>103</v>
      </c>
      <c r="X34" s="83">
        <v>0</v>
      </c>
    </row>
    <row r="35" spans="1:25" x14ac:dyDescent="0.2">
      <c r="A35" s="83">
        <v>1</v>
      </c>
      <c r="B35" s="84">
        <v>5701603303307</v>
      </c>
      <c r="C35" s="83">
        <v>70</v>
      </c>
      <c r="D35" s="84">
        <v>1010287</v>
      </c>
      <c r="F35" s="83" t="s">
        <v>103</v>
      </c>
      <c r="G35" s="83">
        <v>0</v>
      </c>
      <c r="H35" s="83">
        <v>100</v>
      </c>
      <c r="K35" s="83">
        <v>4</v>
      </c>
      <c r="L35" s="83" t="s">
        <v>101</v>
      </c>
      <c r="M35" s="83" t="s">
        <v>410</v>
      </c>
      <c r="N35" s="83" t="s">
        <v>102</v>
      </c>
      <c r="P35" s="83">
        <v>0</v>
      </c>
      <c r="U35" s="83">
        <v>4</v>
      </c>
      <c r="V35" s="83">
        <v>1</v>
      </c>
      <c r="W35" s="83" t="s">
        <v>103</v>
      </c>
      <c r="X35" s="83">
        <v>0</v>
      </c>
    </row>
    <row r="36" spans="1:25" x14ac:dyDescent="0.2">
      <c r="A36" s="83">
        <v>1</v>
      </c>
      <c r="B36" s="84">
        <v>5701603303307</v>
      </c>
      <c r="C36" s="83">
        <v>80</v>
      </c>
      <c r="D36" s="84">
        <v>1020145</v>
      </c>
      <c r="F36" s="83" t="s">
        <v>103</v>
      </c>
      <c r="G36" s="83">
        <v>0</v>
      </c>
      <c r="H36" s="83">
        <v>100</v>
      </c>
      <c r="K36" s="83" t="s">
        <v>408</v>
      </c>
      <c r="L36" s="83" t="s">
        <v>101</v>
      </c>
      <c r="M36" s="83" t="s">
        <v>410</v>
      </c>
      <c r="N36" s="83" t="s">
        <v>102</v>
      </c>
      <c r="P36" s="83">
        <v>0</v>
      </c>
      <c r="U36" s="83">
        <v>4</v>
      </c>
      <c r="V36" s="83">
        <v>1</v>
      </c>
      <c r="W36" s="83" t="s">
        <v>103</v>
      </c>
      <c r="X36" s="83">
        <v>0</v>
      </c>
    </row>
    <row r="37" spans="1:25" x14ac:dyDescent="0.2">
      <c r="A37" s="83">
        <v>1</v>
      </c>
      <c r="B37" s="84">
        <v>5701603303307</v>
      </c>
      <c r="C37" s="83">
        <v>90</v>
      </c>
      <c r="D37" s="84">
        <v>777500307</v>
      </c>
      <c r="F37" s="83" t="s">
        <v>103</v>
      </c>
      <c r="G37" s="83">
        <v>0</v>
      </c>
      <c r="H37" s="83">
        <v>100</v>
      </c>
      <c r="K37" s="83">
        <v>1</v>
      </c>
      <c r="L37" s="83" t="s">
        <v>101</v>
      </c>
      <c r="M37" s="83" t="s">
        <v>410</v>
      </c>
      <c r="N37" s="83" t="s">
        <v>102</v>
      </c>
      <c r="P37" s="83">
        <v>0</v>
      </c>
      <c r="U37" s="83">
        <v>4</v>
      </c>
      <c r="V37" s="83">
        <v>1</v>
      </c>
      <c r="W37" s="83" t="s">
        <v>103</v>
      </c>
      <c r="X37" s="83">
        <v>0</v>
      </c>
    </row>
    <row r="38" spans="1:25" x14ac:dyDescent="0.2">
      <c r="A38" s="83">
        <v>1</v>
      </c>
      <c r="B38" s="84">
        <v>5701603304307</v>
      </c>
      <c r="C38" s="83">
        <v>10</v>
      </c>
      <c r="D38" s="84">
        <v>5980463304</v>
      </c>
      <c r="F38" s="83" t="s">
        <v>103</v>
      </c>
      <c r="G38" s="83">
        <v>0</v>
      </c>
      <c r="H38" s="83">
        <v>100</v>
      </c>
      <c r="K38" s="83">
        <v>1</v>
      </c>
      <c r="L38" s="83" t="s">
        <v>101</v>
      </c>
      <c r="M38" s="83" t="s">
        <v>410</v>
      </c>
      <c r="N38" s="83" t="s">
        <v>102</v>
      </c>
      <c r="P38" s="83">
        <v>0</v>
      </c>
      <c r="U38" s="83">
        <v>4</v>
      </c>
      <c r="V38" s="83">
        <v>1</v>
      </c>
      <c r="W38" s="83" t="s">
        <v>103</v>
      </c>
      <c r="X38" s="83">
        <v>0</v>
      </c>
      <c r="Y38" s="83" t="str">
        <f>LEFT(D38,6)</f>
        <v>598046</v>
      </c>
    </row>
    <row r="39" spans="1:25" x14ac:dyDescent="0.2">
      <c r="A39" s="83">
        <v>1</v>
      </c>
      <c r="B39" s="84">
        <v>5701603304307</v>
      </c>
      <c r="C39" s="83">
        <v>20</v>
      </c>
      <c r="D39" s="84">
        <v>5980543304</v>
      </c>
      <c r="F39" s="83" t="s">
        <v>103</v>
      </c>
      <c r="G39" s="83">
        <v>0</v>
      </c>
      <c r="H39" s="83">
        <v>100</v>
      </c>
      <c r="K39" s="83">
        <v>1</v>
      </c>
      <c r="L39" s="83" t="s">
        <v>101</v>
      </c>
      <c r="M39" s="83" t="s">
        <v>410</v>
      </c>
      <c r="N39" s="83" t="s">
        <v>102</v>
      </c>
      <c r="P39" s="83">
        <v>0</v>
      </c>
      <c r="U39" s="83">
        <v>4</v>
      </c>
      <c r="V39" s="83">
        <v>1</v>
      </c>
      <c r="W39" s="83" t="s">
        <v>103</v>
      </c>
      <c r="X39" s="83">
        <v>0</v>
      </c>
    </row>
    <row r="40" spans="1:25" x14ac:dyDescent="0.2">
      <c r="A40" s="83">
        <v>1</v>
      </c>
      <c r="B40" s="84">
        <v>5701603304307</v>
      </c>
      <c r="C40" s="83">
        <v>30</v>
      </c>
      <c r="D40" s="84">
        <v>5980623304</v>
      </c>
      <c r="F40" s="83" t="s">
        <v>103</v>
      </c>
      <c r="G40" s="83">
        <v>0</v>
      </c>
      <c r="H40" s="83">
        <v>100</v>
      </c>
      <c r="K40" s="83">
        <v>1</v>
      </c>
      <c r="L40" s="83" t="s">
        <v>101</v>
      </c>
      <c r="M40" s="83" t="s">
        <v>410</v>
      </c>
      <c r="N40" s="83" t="s">
        <v>102</v>
      </c>
      <c r="P40" s="83">
        <v>0</v>
      </c>
      <c r="U40" s="83">
        <v>4</v>
      </c>
      <c r="V40" s="83">
        <v>1</v>
      </c>
      <c r="W40" s="83" t="s">
        <v>103</v>
      </c>
      <c r="X40" s="83">
        <v>0</v>
      </c>
    </row>
    <row r="41" spans="1:25" x14ac:dyDescent="0.2">
      <c r="A41" s="83">
        <v>1</v>
      </c>
      <c r="B41" s="84">
        <v>5701603304307</v>
      </c>
      <c r="C41" s="83">
        <v>40</v>
      </c>
      <c r="D41" s="84">
        <v>5980823304</v>
      </c>
      <c r="F41" s="83" t="s">
        <v>103</v>
      </c>
      <c r="G41" s="83">
        <v>0</v>
      </c>
      <c r="H41" s="83">
        <v>100</v>
      </c>
      <c r="K41" s="83">
        <v>1</v>
      </c>
      <c r="L41" s="83" t="s">
        <v>101</v>
      </c>
      <c r="M41" s="83" t="s">
        <v>410</v>
      </c>
      <c r="N41" s="83" t="s">
        <v>102</v>
      </c>
      <c r="P41" s="83">
        <v>0</v>
      </c>
      <c r="U41" s="83">
        <v>4</v>
      </c>
      <c r="V41" s="83">
        <v>1</v>
      </c>
      <c r="W41" s="83" t="s">
        <v>103</v>
      </c>
      <c r="X41" s="83">
        <v>0</v>
      </c>
    </row>
    <row r="42" spans="1:25" x14ac:dyDescent="0.2">
      <c r="A42" s="83">
        <v>1</v>
      </c>
      <c r="B42" s="84">
        <v>5701603304307</v>
      </c>
      <c r="C42" s="83">
        <v>50</v>
      </c>
      <c r="D42" s="84">
        <v>5980933304</v>
      </c>
      <c r="F42" s="83" t="s">
        <v>103</v>
      </c>
      <c r="G42" s="83">
        <v>0</v>
      </c>
      <c r="H42" s="83">
        <v>100</v>
      </c>
      <c r="K42" s="83">
        <v>1</v>
      </c>
      <c r="L42" s="83" t="s">
        <v>101</v>
      </c>
      <c r="M42" s="83" t="s">
        <v>410</v>
      </c>
      <c r="N42" s="83" t="s">
        <v>102</v>
      </c>
      <c r="P42" s="83">
        <v>0</v>
      </c>
      <c r="U42" s="83">
        <v>4</v>
      </c>
      <c r="V42" s="83">
        <v>1</v>
      </c>
      <c r="W42" s="83" t="s">
        <v>103</v>
      </c>
      <c r="X42" s="83">
        <v>0</v>
      </c>
    </row>
    <row r="43" spans="1:25" x14ac:dyDescent="0.2">
      <c r="A43" s="83">
        <v>1</v>
      </c>
      <c r="B43" s="84">
        <v>5701603304307</v>
      </c>
      <c r="C43" s="83">
        <v>60</v>
      </c>
      <c r="D43" s="84">
        <v>1010286</v>
      </c>
      <c r="F43" s="83" t="s">
        <v>103</v>
      </c>
      <c r="G43" s="83">
        <v>0</v>
      </c>
      <c r="H43" s="83">
        <v>100</v>
      </c>
      <c r="K43" s="83">
        <v>8</v>
      </c>
      <c r="L43" s="83" t="s">
        <v>101</v>
      </c>
      <c r="M43" s="83" t="s">
        <v>410</v>
      </c>
      <c r="N43" s="83" t="s">
        <v>102</v>
      </c>
      <c r="P43" s="83">
        <v>0</v>
      </c>
      <c r="U43" s="83">
        <v>4</v>
      </c>
      <c r="V43" s="83">
        <v>1</v>
      </c>
      <c r="W43" s="83" t="s">
        <v>103</v>
      </c>
      <c r="X43" s="83">
        <v>0</v>
      </c>
    </row>
    <row r="44" spans="1:25" x14ac:dyDescent="0.2">
      <c r="A44" s="83">
        <v>1</v>
      </c>
      <c r="B44" s="84">
        <v>5701603304307</v>
      </c>
      <c r="C44" s="83">
        <v>70</v>
      </c>
      <c r="D44" s="84">
        <v>1010288</v>
      </c>
      <c r="F44" s="83" t="s">
        <v>103</v>
      </c>
      <c r="G44" s="83">
        <v>0</v>
      </c>
      <c r="H44" s="83">
        <v>100</v>
      </c>
      <c r="K44" s="83">
        <v>4</v>
      </c>
      <c r="L44" s="83" t="s">
        <v>101</v>
      </c>
      <c r="M44" s="83" t="s">
        <v>410</v>
      </c>
      <c r="N44" s="83" t="s">
        <v>102</v>
      </c>
      <c r="P44" s="83">
        <v>0</v>
      </c>
      <c r="U44" s="83">
        <v>4</v>
      </c>
      <c r="V44" s="83">
        <v>1</v>
      </c>
      <c r="W44" s="83" t="s">
        <v>103</v>
      </c>
      <c r="X44" s="83">
        <v>0</v>
      </c>
    </row>
    <row r="45" spans="1:25" x14ac:dyDescent="0.2">
      <c r="A45" s="83">
        <v>1</v>
      </c>
      <c r="B45" s="84">
        <v>5701603304307</v>
      </c>
      <c r="C45" s="83">
        <v>80</v>
      </c>
      <c r="D45" s="84">
        <v>1020145</v>
      </c>
      <c r="F45" s="83" t="s">
        <v>103</v>
      </c>
      <c r="G45" s="83">
        <v>0</v>
      </c>
      <c r="H45" s="83">
        <v>100</v>
      </c>
      <c r="K45" s="83" t="s">
        <v>408</v>
      </c>
      <c r="L45" s="83" t="s">
        <v>101</v>
      </c>
      <c r="M45" s="83" t="s">
        <v>410</v>
      </c>
      <c r="N45" s="83" t="s">
        <v>102</v>
      </c>
      <c r="P45" s="83">
        <v>0</v>
      </c>
      <c r="U45" s="83">
        <v>4</v>
      </c>
      <c r="V45" s="83">
        <v>1</v>
      </c>
      <c r="W45" s="83" t="s">
        <v>103</v>
      </c>
      <c r="X45" s="83">
        <v>0</v>
      </c>
    </row>
    <row r="46" spans="1:25" x14ac:dyDescent="0.2">
      <c r="A46" s="83">
        <v>1</v>
      </c>
      <c r="B46" s="84">
        <v>5701603304307</v>
      </c>
      <c r="C46" s="83">
        <v>90</v>
      </c>
      <c r="D46" s="84">
        <v>777500307</v>
      </c>
      <c r="F46" s="83" t="s">
        <v>103</v>
      </c>
      <c r="G46" s="83">
        <v>0</v>
      </c>
      <c r="H46" s="83">
        <v>100</v>
      </c>
      <c r="K46" s="83">
        <v>1</v>
      </c>
      <c r="L46" s="83" t="s">
        <v>101</v>
      </c>
      <c r="M46" s="83" t="s">
        <v>410</v>
      </c>
      <c r="N46" s="83" t="s">
        <v>102</v>
      </c>
      <c r="P46" s="83">
        <v>0</v>
      </c>
      <c r="U46" s="83">
        <v>4</v>
      </c>
      <c r="V46" s="83">
        <v>1</v>
      </c>
      <c r="W46" s="83" t="s">
        <v>103</v>
      </c>
      <c r="X46" s="83">
        <v>0</v>
      </c>
    </row>
    <row r="47" spans="1:25" x14ac:dyDescent="0.2">
      <c r="A47" s="83">
        <v>1</v>
      </c>
      <c r="B47" s="84">
        <v>5701603305307</v>
      </c>
      <c r="C47" s="83">
        <v>10</v>
      </c>
      <c r="D47" s="84">
        <v>5980463305</v>
      </c>
      <c r="F47" s="83" t="s">
        <v>103</v>
      </c>
      <c r="G47" s="83">
        <v>0</v>
      </c>
      <c r="H47" s="83">
        <v>100</v>
      </c>
      <c r="K47" s="83">
        <v>1</v>
      </c>
      <c r="L47" s="83" t="s">
        <v>101</v>
      </c>
      <c r="M47" s="83" t="s">
        <v>410</v>
      </c>
      <c r="N47" s="83" t="s">
        <v>102</v>
      </c>
      <c r="P47" s="83">
        <v>0</v>
      </c>
      <c r="U47" s="83">
        <v>4</v>
      </c>
      <c r="V47" s="83">
        <v>1</v>
      </c>
      <c r="W47" s="83" t="s">
        <v>103</v>
      </c>
      <c r="X47" s="83">
        <v>0</v>
      </c>
      <c r="Y47" s="83" t="str">
        <f>LEFT(D47,6)</f>
        <v>598046</v>
      </c>
    </row>
    <row r="48" spans="1:25" x14ac:dyDescent="0.2">
      <c r="A48" s="83">
        <v>1</v>
      </c>
      <c r="B48" s="84">
        <v>5701603305307</v>
      </c>
      <c r="C48" s="83">
        <v>20</v>
      </c>
      <c r="D48" s="84">
        <v>5980543305</v>
      </c>
      <c r="F48" s="83" t="s">
        <v>103</v>
      </c>
      <c r="G48" s="83">
        <v>0</v>
      </c>
      <c r="H48" s="83">
        <v>100</v>
      </c>
      <c r="K48" s="83">
        <v>1</v>
      </c>
      <c r="L48" s="83" t="s">
        <v>101</v>
      </c>
      <c r="M48" s="83" t="s">
        <v>410</v>
      </c>
      <c r="N48" s="83" t="s">
        <v>102</v>
      </c>
      <c r="P48" s="83">
        <v>0</v>
      </c>
      <c r="U48" s="83">
        <v>4</v>
      </c>
      <c r="V48" s="83">
        <v>1</v>
      </c>
      <c r="W48" s="83" t="s">
        <v>103</v>
      </c>
      <c r="X48" s="83">
        <v>0</v>
      </c>
    </row>
    <row r="49" spans="1:25" x14ac:dyDescent="0.2">
      <c r="A49" s="83">
        <v>1</v>
      </c>
      <c r="B49" s="84">
        <v>5701603305307</v>
      </c>
      <c r="C49" s="83">
        <v>30</v>
      </c>
      <c r="D49" s="84">
        <v>5980623305</v>
      </c>
      <c r="F49" s="83" t="s">
        <v>103</v>
      </c>
      <c r="G49" s="83">
        <v>0</v>
      </c>
      <c r="H49" s="83">
        <v>100</v>
      </c>
      <c r="K49" s="83">
        <v>1</v>
      </c>
      <c r="L49" s="83" t="s">
        <v>101</v>
      </c>
      <c r="M49" s="83" t="s">
        <v>410</v>
      </c>
      <c r="N49" s="83" t="s">
        <v>102</v>
      </c>
      <c r="P49" s="83">
        <v>0</v>
      </c>
      <c r="U49" s="83">
        <v>4</v>
      </c>
      <c r="V49" s="83">
        <v>1</v>
      </c>
      <c r="W49" s="83" t="s">
        <v>103</v>
      </c>
      <c r="X49" s="83">
        <v>0</v>
      </c>
    </row>
    <row r="50" spans="1:25" x14ac:dyDescent="0.2">
      <c r="A50" s="83">
        <v>1</v>
      </c>
      <c r="B50" s="84">
        <v>5701603305307</v>
      </c>
      <c r="C50" s="83">
        <v>40</v>
      </c>
      <c r="D50" s="84">
        <v>5980823305</v>
      </c>
      <c r="F50" s="83" t="s">
        <v>103</v>
      </c>
      <c r="G50" s="83">
        <v>0</v>
      </c>
      <c r="H50" s="83">
        <v>100</v>
      </c>
      <c r="K50" s="83">
        <v>1</v>
      </c>
      <c r="L50" s="83" t="s">
        <v>101</v>
      </c>
      <c r="M50" s="83" t="s">
        <v>410</v>
      </c>
      <c r="N50" s="83" t="s">
        <v>102</v>
      </c>
      <c r="P50" s="83">
        <v>0</v>
      </c>
      <c r="U50" s="83">
        <v>4</v>
      </c>
      <c r="V50" s="83">
        <v>1</v>
      </c>
      <c r="W50" s="83" t="s">
        <v>103</v>
      </c>
      <c r="X50" s="83">
        <v>0</v>
      </c>
    </row>
    <row r="51" spans="1:25" x14ac:dyDescent="0.2">
      <c r="A51" s="83">
        <v>1</v>
      </c>
      <c r="B51" s="84">
        <v>5701603305307</v>
      </c>
      <c r="C51" s="83">
        <v>50</v>
      </c>
      <c r="D51" s="84">
        <v>5980933305</v>
      </c>
      <c r="F51" s="83" t="s">
        <v>103</v>
      </c>
      <c r="G51" s="83">
        <v>0</v>
      </c>
      <c r="H51" s="83">
        <v>100</v>
      </c>
      <c r="K51" s="83">
        <v>1</v>
      </c>
      <c r="L51" s="83" t="s">
        <v>101</v>
      </c>
      <c r="M51" s="83" t="s">
        <v>410</v>
      </c>
      <c r="N51" s="83" t="s">
        <v>102</v>
      </c>
      <c r="P51" s="83">
        <v>0</v>
      </c>
      <c r="U51" s="83">
        <v>4</v>
      </c>
      <c r="V51" s="83">
        <v>1</v>
      </c>
      <c r="W51" s="83" t="s">
        <v>103</v>
      </c>
      <c r="X51" s="83">
        <v>0</v>
      </c>
    </row>
    <row r="52" spans="1:25" x14ac:dyDescent="0.2">
      <c r="A52" s="83">
        <v>1</v>
      </c>
      <c r="B52" s="84">
        <v>5701603305307</v>
      </c>
      <c r="C52" s="83">
        <v>60</v>
      </c>
      <c r="D52" s="84">
        <v>1010286</v>
      </c>
      <c r="F52" s="83" t="s">
        <v>103</v>
      </c>
      <c r="G52" s="83">
        <v>0</v>
      </c>
      <c r="H52" s="83">
        <v>100</v>
      </c>
      <c r="K52" s="83">
        <v>8</v>
      </c>
      <c r="L52" s="83" t="s">
        <v>101</v>
      </c>
      <c r="M52" s="83" t="s">
        <v>410</v>
      </c>
      <c r="N52" s="83" t="s">
        <v>102</v>
      </c>
      <c r="P52" s="83">
        <v>0</v>
      </c>
      <c r="U52" s="83">
        <v>4</v>
      </c>
      <c r="V52" s="83">
        <v>1</v>
      </c>
      <c r="W52" s="83" t="s">
        <v>103</v>
      </c>
      <c r="X52" s="83">
        <v>0</v>
      </c>
    </row>
    <row r="53" spans="1:25" x14ac:dyDescent="0.2">
      <c r="A53" s="83">
        <v>1</v>
      </c>
      <c r="B53" s="84">
        <v>5701603305307</v>
      </c>
      <c r="C53" s="83">
        <v>70</v>
      </c>
      <c r="D53" s="84">
        <v>1010288</v>
      </c>
      <c r="F53" s="83" t="s">
        <v>103</v>
      </c>
      <c r="G53" s="83">
        <v>0</v>
      </c>
      <c r="H53" s="83">
        <v>100</v>
      </c>
      <c r="K53" s="83">
        <v>4</v>
      </c>
      <c r="L53" s="83" t="s">
        <v>101</v>
      </c>
      <c r="M53" s="83" t="s">
        <v>410</v>
      </c>
      <c r="N53" s="83" t="s">
        <v>102</v>
      </c>
      <c r="P53" s="83">
        <v>0</v>
      </c>
      <c r="U53" s="83">
        <v>4</v>
      </c>
      <c r="V53" s="83">
        <v>1</v>
      </c>
      <c r="W53" s="83" t="s">
        <v>103</v>
      </c>
      <c r="X53" s="83">
        <v>0</v>
      </c>
    </row>
    <row r="54" spans="1:25" x14ac:dyDescent="0.2">
      <c r="A54" s="83">
        <v>1</v>
      </c>
      <c r="B54" s="84">
        <v>5701603305307</v>
      </c>
      <c r="C54" s="83">
        <v>80</v>
      </c>
      <c r="D54" s="84">
        <v>1020145</v>
      </c>
      <c r="F54" s="83" t="s">
        <v>103</v>
      </c>
      <c r="G54" s="83">
        <v>0</v>
      </c>
      <c r="H54" s="83">
        <v>100</v>
      </c>
      <c r="K54" s="83" t="s">
        <v>408</v>
      </c>
      <c r="L54" s="83" t="s">
        <v>101</v>
      </c>
      <c r="M54" s="83" t="s">
        <v>410</v>
      </c>
      <c r="N54" s="83" t="s">
        <v>102</v>
      </c>
      <c r="P54" s="83">
        <v>0</v>
      </c>
      <c r="U54" s="83">
        <v>4</v>
      </c>
      <c r="V54" s="83">
        <v>1</v>
      </c>
      <c r="W54" s="83" t="s">
        <v>103</v>
      </c>
      <c r="X54" s="83">
        <v>0</v>
      </c>
    </row>
    <row r="55" spans="1:25" x14ac:dyDescent="0.2">
      <c r="A55" s="83">
        <v>1</v>
      </c>
      <c r="B55" s="84">
        <v>5701603305307</v>
      </c>
      <c r="C55" s="83">
        <v>90</v>
      </c>
      <c r="D55" s="84">
        <v>777500307</v>
      </c>
      <c r="F55" s="83" t="s">
        <v>103</v>
      </c>
      <c r="G55" s="83">
        <v>0</v>
      </c>
      <c r="H55" s="83">
        <v>100</v>
      </c>
      <c r="K55" s="83">
        <v>1</v>
      </c>
      <c r="L55" s="83" t="s">
        <v>101</v>
      </c>
      <c r="M55" s="83" t="s">
        <v>410</v>
      </c>
      <c r="N55" s="83" t="s">
        <v>102</v>
      </c>
      <c r="P55" s="83">
        <v>0</v>
      </c>
      <c r="U55" s="83">
        <v>4</v>
      </c>
      <c r="V55" s="83">
        <v>1</v>
      </c>
      <c r="W55" s="83" t="s">
        <v>103</v>
      </c>
      <c r="X55" s="83">
        <v>0</v>
      </c>
    </row>
    <row r="56" spans="1:25" x14ac:dyDescent="0.2">
      <c r="A56" s="83">
        <v>1</v>
      </c>
      <c r="B56" s="84">
        <v>5701603306307</v>
      </c>
      <c r="C56" s="83">
        <v>10</v>
      </c>
      <c r="D56" s="84">
        <v>5980463306</v>
      </c>
      <c r="F56" s="83" t="s">
        <v>103</v>
      </c>
      <c r="G56" s="83">
        <v>0</v>
      </c>
      <c r="H56" s="83">
        <v>100</v>
      </c>
      <c r="K56" s="83">
        <v>1</v>
      </c>
      <c r="L56" s="83" t="s">
        <v>101</v>
      </c>
      <c r="M56" s="83" t="s">
        <v>410</v>
      </c>
      <c r="N56" s="83" t="s">
        <v>102</v>
      </c>
      <c r="P56" s="83">
        <v>0</v>
      </c>
      <c r="U56" s="83">
        <v>4</v>
      </c>
      <c r="V56" s="83">
        <v>1</v>
      </c>
      <c r="W56" s="83" t="s">
        <v>103</v>
      </c>
      <c r="X56" s="83">
        <v>0</v>
      </c>
      <c r="Y56" s="83" t="str">
        <f>LEFT(D56,6)</f>
        <v>598046</v>
      </c>
    </row>
    <row r="57" spans="1:25" x14ac:dyDescent="0.2">
      <c r="A57" s="83">
        <v>1</v>
      </c>
      <c r="B57" s="84">
        <v>5701603306307</v>
      </c>
      <c r="C57" s="83">
        <v>20</v>
      </c>
      <c r="D57" s="84">
        <v>5980543306</v>
      </c>
      <c r="F57" s="83" t="s">
        <v>103</v>
      </c>
      <c r="G57" s="83">
        <v>0</v>
      </c>
      <c r="H57" s="83">
        <v>100</v>
      </c>
      <c r="K57" s="83">
        <v>1</v>
      </c>
      <c r="L57" s="83" t="s">
        <v>101</v>
      </c>
      <c r="M57" s="83" t="s">
        <v>410</v>
      </c>
      <c r="N57" s="83" t="s">
        <v>102</v>
      </c>
      <c r="P57" s="83">
        <v>0</v>
      </c>
      <c r="U57" s="83">
        <v>4</v>
      </c>
      <c r="V57" s="83">
        <v>1</v>
      </c>
      <c r="W57" s="83" t="s">
        <v>103</v>
      </c>
      <c r="X57" s="83">
        <v>0</v>
      </c>
    </row>
    <row r="58" spans="1:25" x14ac:dyDescent="0.2">
      <c r="A58" s="83">
        <v>1</v>
      </c>
      <c r="B58" s="84">
        <v>5701603306307</v>
      </c>
      <c r="C58" s="83">
        <v>30</v>
      </c>
      <c r="D58" s="84">
        <v>5980623306</v>
      </c>
      <c r="F58" s="83" t="s">
        <v>103</v>
      </c>
      <c r="G58" s="83">
        <v>0</v>
      </c>
      <c r="H58" s="83">
        <v>100</v>
      </c>
      <c r="K58" s="83">
        <v>1</v>
      </c>
      <c r="L58" s="83" t="s">
        <v>101</v>
      </c>
      <c r="M58" s="83" t="s">
        <v>410</v>
      </c>
      <c r="N58" s="83" t="s">
        <v>102</v>
      </c>
      <c r="P58" s="83">
        <v>0</v>
      </c>
      <c r="U58" s="83">
        <v>4</v>
      </c>
      <c r="V58" s="83">
        <v>1</v>
      </c>
      <c r="W58" s="83" t="s">
        <v>103</v>
      </c>
      <c r="X58" s="83">
        <v>0</v>
      </c>
    </row>
    <row r="59" spans="1:25" x14ac:dyDescent="0.2">
      <c r="A59" s="83">
        <v>1</v>
      </c>
      <c r="B59" s="84">
        <v>5701603306307</v>
      </c>
      <c r="C59" s="83">
        <v>40</v>
      </c>
      <c r="D59" s="84">
        <v>5980823306</v>
      </c>
      <c r="F59" s="83" t="s">
        <v>103</v>
      </c>
      <c r="G59" s="83">
        <v>0</v>
      </c>
      <c r="H59" s="83">
        <v>100</v>
      </c>
      <c r="K59" s="83">
        <v>1</v>
      </c>
      <c r="L59" s="83" t="s">
        <v>101</v>
      </c>
      <c r="M59" s="83" t="s">
        <v>410</v>
      </c>
      <c r="N59" s="83" t="s">
        <v>102</v>
      </c>
      <c r="P59" s="83">
        <v>0</v>
      </c>
      <c r="U59" s="83">
        <v>4</v>
      </c>
      <c r="V59" s="83">
        <v>1</v>
      </c>
      <c r="W59" s="83" t="s">
        <v>103</v>
      </c>
      <c r="X59" s="83">
        <v>0</v>
      </c>
    </row>
    <row r="60" spans="1:25" x14ac:dyDescent="0.2">
      <c r="A60" s="83">
        <v>1</v>
      </c>
      <c r="B60" s="84">
        <v>5701603306307</v>
      </c>
      <c r="C60" s="83">
        <v>50</v>
      </c>
      <c r="D60" s="84">
        <v>5980933306</v>
      </c>
      <c r="F60" s="83" t="s">
        <v>103</v>
      </c>
      <c r="G60" s="83">
        <v>0</v>
      </c>
      <c r="H60" s="83">
        <v>100</v>
      </c>
      <c r="K60" s="83">
        <v>1</v>
      </c>
      <c r="L60" s="83" t="s">
        <v>101</v>
      </c>
      <c r="M60" s="83" t="s">
        <v>410</v>
      </c>
      <c r="N60" s="83" t="s">
        <v>102</v>
      </c>
      <c r="P60" s="83">
        <v>0</v>
      </c>
      <c r="U60" s="83">
        <v>4</v>
      </c>
      <c r="V60" s="83">
        <v>1</v>
      </c>
      <c r="W60" s="83" t="s">
        <v>103</v>
      </c>
      <c r="X60" s="83">
        <v>0</v>
      </c>
    </row>
    <row r="61" spans="1:25" x14ac:dyDescent="0.2">
      <c r="A61" s="83">
        <v>1</v>
      </c>
      <c r="B61" s="84">
        <v>5701603306307</v>
      </c>
      <c r="C61" s="83">
        <v>60</v>
      </c>
      <c r="D61" s="84">
        <v>1010286</v>
      </c>
      <c r="F61" s="83" t="s">
        <v>103</v>
      </c>
      <c r="G61" s="83">
        <v>0</v>
      </c>
      <c r="H61" s="83">
        <v>100</v>
      </c>
      <c r="K61" s="83">
        <v>8</v>
      </c>
      <c r="L61" s="83" t="s">
        <v>101</v>
      </c>
      <c r="M61" s="83" t="s">
        <v>410</v>
      </c>
      <c r="N61" s="83" t="s">
        <v>102</v>
      </c>
      <c r="P61" s="83">
        <v>0</v>
      </c>
      <c r="U61" s="83">
        <v>4</v>
      </c>
      <c r="V61" s="83">
        <v>1</v>
      </c>
      <c r="W61" s="83" t="s">
        <v>103</v>
      </c>
      <c r="X61" s="83">
        <v>0</v>
      </c>
    </row>
    <row r="62" spans="1:25" x14ac:dyDescent="0.2">
      <c r="A62" s="83">
        <v>1</v>
      </c>
      <c r="B62" s="84">
        <v>5701603306307</v>
      </c>
      <c r="C62" s="83">
        <v>70</v>
      </c>
      <c r="D62" s="84">
        <v>1010287</v>
      </c>
      <c r="F62" s="83" t="s">
        <v>103</v>
      </c>
      <c r="G62" s="83">
        <v>0</v>
      </c>
      <c r="H62" s="83">
        <v>100</v>
      </c>
      <c r="K62" s="83">
        <v>4</v>
      </c>
      <c r="L62" s="83" t="s">
        <v>101</v>
      </c>
      <c r="M62" s="83" t="s">
        <v>410</v>
      </c>
      <c r="N62" s="83" t="s">
        <v>102</v>
      </c>
      <c r="P62" s="83">
        <v>0</v>
      </c>
      <c r="U62" s="83">
        <v>4</v>
      </c>
      <c r="V62" s="83">
        <v>1</v>
      </c>
      <c r="W62" s="83" t="s">
        <v>103</v>
      </c>
      <c r="X62" s="83">
        <v>0</v>
      </c>
    </row>
    <row r="63" spans="1:25" x14ac:dyDescent="0.2">
      <c r="A63" s="83">
        <v>1</v>
      </c>
      <c r="B63" s="84">
        <v>5701603306307</v>
      </c>
      <c r="C63" s="83">
        <v>80</v>
      </c>
      <c r="D63" s="84">
        <v>1020145</v>
      </c>
      <c r="F63" s="83" t="s">
        <v>103</v>
      </c>
      <c r="G63" s="83">
        <v>0</v>
      </c>
      <c r="H63" s="83">
        <v>100</v>
      </c>
      <c r="K63" s="83" t="s">
        <v>408</v>
      </c>
      <c r="L63" s="83" t="s">
        <v>101</v>
      </c>
      <c r="M63" s="83" t="s">
        <v>410</v>
      </c>
      <c r="N63" s="83" t="s">
        <v>102</v>
      </c>
      <c r="P63" s="83">
        <v>0</v>
      </c>
      <c r="U63" s="83">
        <v>4</v>
      </c>
      <c r="V63" s="83">
        <v>1</v>
      </c>
      <c r="W63" s="83" t="s">
        <v>103</v>
      </c>
      <c r="X63" s="83">
        <v>0</v>
      </c>
    </row>
    <row r="64" spans="1:25" x14ac:dyDescent="0.2">
      <c r="A64" s="83">
        <v>1</v>
      </c>
      <c r="B64" s="84">
        <v>5701603306307</v>
      </c>
      <c r="C64" s="83">
        <v>90</v>
      </c>
      <c r="D64" s="84">
        <v>777500307</v>
      </c>
      <c r="F64" s="83" t="s">
        <v>103</v>
      </c>
      <c r="G64" s="83">
        <v>0</v>
      </c>
      <c r="H64" s="83">
        <v>100</v>
      </c>
      <c r="K64" s="83">
        <v>1</v>
      </c>
      <c r="L64" s="83" t="s">
        <v>101</v>
      </c>
      <c r="M64" s="83" t="s">
        <v>410</v>
      </c>
      <c r="N64" s="83" t="s">
        <v>102</v>
      </c>
      <c r="P64" s="83">
        <v>0</v>
      </c>
      <c r="U64" s="83">
        <v>4</v>
      </c>
      <c r="V64" s="83">
        <v>1</v>
      </c>
      <c r="W64" s="83" t="s">
        <v>103</v>
      </c>
      <c r="X64" s="83">
        <v>0</v>
      </c>
    </row>
    <row r="65" spans="1:25" x14ac:dyDescent="0.2">
      <c r="A65" s="83">
        <v>1</v>
      </c>
      <c r="B65" s="84">
        <v>5701603307307</v>
      </c>
      <c r="C65" s="83">
        <v>10</v>
      </c>
      <c r="D65" s="84">
        <v>5980463307</v>
      </c>
      <c r="F65" s="83" t="s">
        <v>103</v>
      </c>
      <c r="G65" s="83">
        <v>0</v>
      </c>
      <c r="H65" s="83">
        <v>100</v>
      </c>
      <c r="K65" s="83">
        <v>1</v>
      </c>
      <c r="L65" s="83" t="s">
        <v>101</v>
      </c>
      <c r="M65" s="83" t="s">
        <v>410</v>
      </c>
      <c r="N65" s="83" t="s">
        <v>102</v>
      </c>
      <c r="P65" s="83">
        <v>0</v>
      </c>
      <c r="U65" s="83">
        <v>4</v>
      </c>
      <c r="V65" s="83">
        <v>1</v>
      </c>
      <c r="W65" s="83" t="s">
        <v>103</v>
      </c>
      <c r="X65" s="83">
        <v>0</v>
      </c>
      <c r="Y65" s="83" t="str">
        <f>LEFT(D65,6)</f>
        <v>598046</v>
      </c>
    </row>
    <row r="66" spans="1:25" x14ac:dyDescent="0.2">
      <c r="A66" s="83">
        <v>1</v>
      </c>
      <c r="B66" s="84">
        <v>5701603307307</v>
      </c>
      <c r="C66" s="83">
        <v>20</v>
      </c>
      <c r="D66" s="84">
        <v>5980543307</v>
      </c>
      <c r="F66" s="83" t="s">
        <v>103</v>
      </c>
      <c r="G66" s="83">
        <v>0</v>
      </c>
      <c r="H66" s="83">
        <v>100</v>
      </c>
      <c r="K66" s="83">
        <v>1</v>
      </c>
      <c r="L66" s="83" t="s">
        <v>101</v>
      </c>
      <c r="M66" s="83" t="s">
        <v>410</v>
      </c>
      <c r="N66" s="83" t="s">
        <v>102</v>
      </c>
      <c r="P66" s="83">
        <v>0</v>
      </c>
      <c r="U66" s="83">
        <v>4</v>
      </c>
      <c r="V66" s="83">
        <v>1</v>
      </c>
      <c r="W66" s="83" t="s">
        <v>103</v>
      </c>
      <c r="X66" s="83">
        <v>0</v>
      </c>
    </row>
    <row r="67" spans="1:25" x14ac:dyDescent="0.2">
      <c r="A67" s="83">
        <v>1</v>
      </c>
      <c r="B67" s="84">
        <v>5701603307307</v>
      </c>
      <c r="C67" s="83">
        <v>30</v>
      </c>
      <c r="D67" s="84">
        <v>5980623307</v>
      </c>
      <c r="F67" s="83" t="s">
        <v>103</v>
      </c>
      <c r="G67" s="83">
        <v>0</v>
      </c>
      <c r="H67" s="83">
        <v>100</v>
      </c>
      <c r="K67" s="83">
        <v>1</v>
      </c>
      <c r="L67" s="83" t="s">
        <v>101</v>
      </c>
      <c r="M67" s="83" t="s">
        <v>410</v>
      </c>
      <c r="N67" s="83" t="s">
        <v>102</v>
      </c>
      <c r="P67" s="83">
        <v>0</v>
      </c>
      <c r="U67" s="83">
        <v>4</v>
      </c>
      <c r="V67" s="83">
        <v>1</v>
      </c>
      <c r="W67" s="83" t="s">
        <v>103</v>
      </c>
      <c r="X67" s="83">
        <v>0</v>
      </c>
    </row>
    <row r="68" spans="1:25" x14ac:dyDescent="0.2">
      <c r="A68" s="83">
        <v>1</v>
      </c>
      <c r="B68" s="84">
        <v>5701603307307</v>
      </c>
      <c r="C68" s="83">
        <v>40</v>
      </c>
      <c r="D68" s="84">
        <v>5980823307</v>
      </c>
      <c r="F68" s="83" t="s">
        <v>103</v>
      </c>
      <c r="G68" s="83">
        <v>0</v>
      </c>
      <c r="H68" s="83">
        <v>100</v>
      </c>
      <c r="K68" s="83">
        <v>1</v>
      </c>
      <c r="L68" s="83" t="s">
        <v>101</v>
      </c>
      <c r="M68" s="83" t="s">
        <v>410</v>
      </c>
      <c r="N68" s="83" t="s">
        <v>102</v>
      </c>
      <c r="P68" s="83">
        <v>0</v>
      </c>
      <c r="U68" s="83">
        <v>4</v>
      </c>
      <c r="V68" s="83">
        <v>1</v>
      </c>
      <c r="W68" s="83" t="s">
        <v>103</v>
      </c>
      <c r="X68" s="83">
        <v>0</v>
      </c>
    </row>
    <row r="69" spans="1:25" x14ac:dyDescent="0.2">
      <c r="A69" s="83">
        <v>1</v>
      </c>
      <c r="B69" s="84">
        <v>5701603307307</v>
      </c>
      <c r="C69" s="83">
        <v>50</v>
      </c>
      <c r="D69" s="84">
        <v>5980933307</v>
      </c>
      <c r="F69" s="83" t="s">
        <v>103</v>
      </c>
      <c r="G69" s="83">
        <v>0</v>
      </c>
      <c r="H69" s="83">
        <v>100</v>
      </c>
      <c r="K69" s="83">
        <v>1</v>
      </c>
      <c r="L69" s="83" t="s">
        <v>101</v>
      </c>
      <c r="M69" s="83" t="s">
        <v>410</v>
      </c>
      <c r="N69" s="83" t="s">
        <v>102</v>
      </c>
      <c r="P69" s="83">
        <v>0</v>
      </c>
      <c r="U69" s="83">
        <v>4</v>
      </c>
      <c r="V69" s="83">
        <v>1</v>
      </c>
      <c r="W69" s="83" t="s">
        <v>103</v>
      </c>
      <c r="X69" s="83">
        <v>0</v>
      </c>
    </row>
    <row r="70" spans="1:25" x14ac:dyDescent="0.2">
      <c r="A70" s="83">
        <v>1</v>
      </c>
      <c r="B70" s="84">
        <v>5701603307307</v>
      </c>
      <c r="C70" s="83">
        <v>60</v>
      </c>
      <c r="D70" s="84">
        <v>1010286</v>
      </c>
      <c r="F70" s="83" t="s">
        <v>103</v>
      </c>
      <c r="G70" s="83">
        <v>0</v>
      </c>
      <c r="H70" s="83">
        <v>100</v>
      </c>
      <c r="K70" s="83">
        <v>8</v>
      </c>
      <c r="L70" s="83" t="s">
        <v>101</v>
      </c>
      <c r="M70" s="83" t="s">
        <v>410</v>
      </c>
      <c r="N70" s="83" t="s">
        <v>102</v>
      </c>
      <c r="P70" s="83">
        <v>0</v>
      </c>
      <c r="U70" s="83">
        <v>4</v>
      </c>
      <c r="V70" s="83">
        <v>1</v>
      </c>
      <c r="W70" s="83" t="s">
        <v>103</v>
      </c>
      <c r="X70" s="83">
        <v>0</v>
      </c>
    </row>
    <row r="71" spans="1:25" x14ac:dyDescent="0.2">
      <c r="A71" s="83">
        <v>1</v>
      </c>
      <c r="B71" s="84">
        <v>5701603307307</v>
      </c>
      <c r="C71" s="83">
        <v>70</v>
      </c>
      <c r="D71" s="84">
        <v>1010287</v>
      </c>
      <c r="F71" s="83" t="s">
        <v>103</v>
      </c>
      <c r="G71" s="83">
        <v>0</v>
      </c>
      <c r="H71" s="83">
        <v>100</v>
      </c>
      <c r="K71" s="83">
        <v>4</v>
      </c>
      <c r="L71" s="83" t="s">
        <v>101</v>
      </c>
      <c r="M71" s="83" t="s">
        <v>410</v>
      </c>
      <c r="N71" s="83" t="s">
        <v>102</v>
      </c>
      <c r="P71" s="83">
        <v>0</v>
      </c>
      <c r="U71" s="83">
        <v>4</v>
      </c>
      <c r="V71" s="83">
        <v>1</v>
      </c>
      <c r="W71" s="83" t="s">
        <v>103</v>
      </c>
      <c r="X71" s="83">
        <v>0</v>
      </c>
    </row>
    <row r="72" spans="1:25" x14ac:dyDescent="0.2">
      <c r="A72" s="83">
        <v>1</v>
      </c>
      <c r="B72" s="84">
        <v>5701603307307</v>
      </c>
      <c r="C72" s="83">
        <v>80</v>
      </c>
      <c r="D72" s="84">
        <v>1020145</v>
      </c>
      <c r="F72" s="83" t="s">
        <v>103</v>
      </c>
      <c r="G72" s="83">
        <v>0</v>
      </c>
      <c r="H72" s="83">
        <v>100</v>
      </c>
      <c r="K72" s="83" t="s">
        <v>408</v>
      </c>
      <c r="L72" s="83" t="s">
        <v>101</v>
      </c>
      <c r="M72" s="83" t="s">
        <v>410</v>
      </c>
      <c r="N72" s="83" t="s">
        <v>102</v>
      </c>
      <c r="P72" s="83">
        <v>0</v>
      </c>
      <c r="U72" s="83">
        <v>4</v>
      </c>
      <c r="V72" s="83">
        <v>1</v>
      </c>
      <c r="W72" s="83" t="s">
        <v>103</v>
      </c>
      <c r="X72" s="83">
        <v>0</v>
      </c>
    </row>
    <row r="73" spans="1:25" x14ac:dyDescent="0.2">
      <c r="A73" s="83">
        <v>1</v>
      </c>
      <c r="B73" s="84">
        <v>5701603307307</v>
      </c>
      <c r="C73" s="83">
        <v>90</v>
      </c>
      <c r="D73" s="84">
        <v>777500307</v>
      </c>
      <c r="F73" s="83" t="s">
        <v>103</v>
      </c>
      <c r="G73" s="83">
        <v>0</v>
      </c>
      <c r="H73" s="83">
        <v>100</v>
      </c>
      <c r="K73" s="83">
        <v>1</v>
      </c>
      <c r="L73" s="83" t="s">
        <v>101</v>
      </c>
      <c r="M73" s="83" t="s">
        <v>410</v>
      </c>
      <c r="N73" s="83" t="s">
        <v>102</v>
      </c>
      <c r="P73" s="83">
        <v>0</v>
      </c>
      <c r="U73" s="83">
        <v>4</v>
      </c>
      <c r="V73" s="83">
        <v>1</v>
      </c>
      <c r="W73" s="83" t="s">
        <v>103</v>
      </c>
      <c r="X73" s="83">
        <v>0</v>
      </c>
    </row>
    <row r="74" spans="1:25" x14ac:dyDescent="0.2">
      <c r="A74" s="83">
        <v>1</v>
      </c>
      <c r="B74" s="84">
        <v>5701603308307</v>
      </c>
      <c r="C74" s="83">
        <v>10</v>
      </c>
      <c r="D74" s="84">
        <v>5980463308</v>
      </c>
      <c r="F74" s="83" t="s">
        <v>103</v>
      </c>
      <c r="G74" s="83">
        <v>0</v>
      </c>
      <c r="H74" s="83">
        <v>100</v>
      </c>
      <c r="K74" s="83">
        <v>1</v>
      </c>
      <c r="L74" s="83" t="s">
        <v>101</v>
      </c>
      <c r="M74" s="83" t="s">
        <v>410</v>
      </c>
      <c r="N74" s="83" t="s">
        <v>102</v>
      </c>
      <c r="P74" s="83">
        <v>0</v>
      </c>
      <c r="U74" s="83">
        <v>4</v>
      </c>
      <c r="V74" s="83">
        <v>1</v>
      </c>
      <c r="W74" s="83" t="s">
        <v>103</v>
      </c>
      <c r="X74" s="83">
        <v>0</v>
      </c>
      <c r="Y74" s="83" t="str">
        <f>LEFT(D74,6)</f>
        <v>598046</v>
      </c>
    </row>
    <row r="75" spans="1:25" x14ac:dyDescent="0.2">
      <c r="A75" s="83">
        <v>1</v>
      </c>
      <c r="B75" s="84">
        <v>5701603308307</v>
      </c>
      <c r="C75" s="83">
        <v>20</v>
      </c>
      <c r="D75" s="85">
        <v>5980543308</v>
      </c>
      <c r="F75" s="83" t="s">
        <v>103</v>
      </c>
      <c r="G75" s="83">
        <v>0</v>
      </c>
      <c r="H75" s="83">
        <v>100</v>
      </c>
      <c r="K75" s="83">
        <v>1</v>
      </c>
      <c r="L75" s="83" t="s">
        <v>101</v>
      </c>
      <c r="M75" s="83" t="s">
        <v>410</v>
      </c>
      <c r="N75" s="83" t="s">
        <v>102</v>
      </c>
      <c r="P75" s="83">
        <v>0</v>
      </c>
      <c r="U75" s="83">
        <v>4</v>
      </c>
      <c r="V75" s="83">
        <v>1</v>
      </c>
      <c r="W75" s="83" t="s">
        <v>103</v>
      </c>
      <c r="X75" s="83">
        <v>0</v>
      </c>
    </row>
    <row r="76" spans="1:25" x14ac:dyDescent="0.2">
      <c r="A76" s="83">
        <v>1</v>
      </c>
      <c r="B76" s="84">
        <v>5701603308307</v>
      </c>
      <c r="C76" s="83">
        <v>30</v>
      </c>
      <c r="D76" s="84">
        <v>5980623308</v>
      </c>
      <c r="F76" s="83" t="s">
        <v>103</v>
      </c>
      <c r="G76" s="83">
        <v>0</v>
      </c>
      <c r="H76" s="83">
        <v>100</v>
      </c>
      <c r="K76" s="83">
        <v>1</v>
      </c>
      <c r="L76" s="83" t="s">
        <v>101</v>
      </c>
      <c r="M76" s="83" t="s">
        <v>410</v>
      </c>
      <c r="N76" s="83" t="s">
        <v>102</v>
      </c>
      <c r="P76" s="83">
        <v>0</v>
      </c>
      <c r="U76" s="83">
        <v>4</v>
      </c>
      <c r="V76" s="83">
        <v>1</v>
      </c>
      <c r="W76" s="83" t="s">
        <v>103</v>
      </c>
      <c r="X76" s="83">
        <v>0</v>
      </c>
    </row>
    <row r="77" spans="1:25" x14ac:dyDescent="0.2">
      <c r="A77" s="83">
        <v>1</v>
      </c>
      <c r="B77" s="84">
        <v>5701603308307</v>
      </c>
      <c r="C77" s="83">
        <v>40</v>
      </c>
      <c r="D77" s="84">
        <v>5980823308</v>
      </c>
      <c r="F77" s="83" t="s">
        <v>103</v>
      </c>
      <c r="G77" s="83">
        <v>0</v>
      </c>
      <c r="H77" s="83">
        <v>100</v>
      </c>
      <c r="K77" s="83">
        <v>1</v>
      </c>
      <c r="L77" s="83" t="s">
        <v>101</v>
      </c>
      <c r="M77" s="83" t="s">
        <v>410</v>
      </c>
      <c r="N77" s="83" t="s">
        <v>102</v>
      </c>
      <c r="P77" s="83">
        <v>0</v>
      </c>
      <c r="U77" s="83">
        <v>4</v>
      </c>
      <c r="V77" s="83">
        <v>1</v>
      </c>
      <c r="W77" s="83" t="s">
        <v>103</v>
      </c>
      <c r="X77" s="83">
        <v>0</v>
      </c>
    </row>
    <row r="78" spans="1:25" x14ac:dyDescent="0.2">
      <c r="A78" s="83">
        <v>1</v>
      </c>
      <c r="B78" s="84">
        <v>5701603308307</v>
      </c>
      <c r="C78" s="83">
        <v>50</v>
      </c>
      <c r="D78" s="84">
        <v>5980933308</v>
      </c>
      <c r="F78" s="83" t="s">
        <v>103</v>
      </c>
      <c r="G78" s="83">
        <v>0</v>
      </c>
      <c r="H78" s="83">
        <v>100</v>
      </c>
      <c r="K78" s="83">
        <v>1</v>
      </c>
      <c r="L78" s="83" t="s">
        <v>101</v>
      </c>
      <c r="M78" s="83" t="s">
        <v>410</v>
      </c>
      <c r="N78" s="83" t="s">
        <v>102</v>
      </c>
      <c r="P78" s="83">
        <v>0</v>
      </c>
      <c r="U78" s="83">
        <v>4</v>
      </c>
      <c r="V78" s="83">
        <v>1</v>
      </c>
      <c r="W78" s="83" t="s">
        <v>103</v>
      </c>
      <c r="X78" s="83">
        <v>0</v>
      </c>
    </row>
    <row r="79" spans="1:25" x14ac:dyDescent="0.2">
      <c r="A79" s="83">
        <v>1</v>
      </c>
      <c r="B79" s="84">
        <v>5701603308307</v>
      </c>
      <c r="C79" s="83">
        <v>60</v>
      </c>
      <c r="D79" s="84">
        <v>1010286</v>
      </c>
      <c r="F79" s="83" t="s">
        <v>103</v>
      </c>
      <c r="G79" s="83">
        <v>0</v>
      </c>
      <c r="H79" s="83">
        <v>100</v>
      </c>
      <c r="K79" s="83">
        <v>8</v>
      </c>
      <c r="L79" s="83" t="s">
        <v>101</v>
      </c>
      <c r="M79" s="83" t="s">
        <v>410</v>
      </c>
      <c r="N79" s="83" t="s">
        <v>102</v>
      </c>
      <c r="P79" s="83">
        <v>0</v>
      </c>
      <c r="U79" s="83">
        <v>4</v>
      </c>
      <c r="V79" s="83">
        <v>1</v>
      </c>
      <c r="W79" s="83" t="s">
        <v>103</v>
      </c>
      <c r="X79" s="83">
        <v>0</v>
      </c>
    </row>
    <row r="80" spans="1:25" x14ac:dyDescent="0.2">
      <c r="A80" s="83">
        <v>1</v>
      </c>
      <c r="B80" s="84">
        <v>5701603308307</v>
      </c>
      <c r="C80" s="83">
        <v>70</v>
      </c>
      <c r="D80" s="84">
        <v>1010288</v>
      </c>
      <c r="F80" s="83" t="s">
        <v>103</v>
      </c>
      <c r="G80" s="83">
        <v>0</v>
      </c>
      <c r="H80" s="83">
        <v>100</v>
      </c>
      <c r="K80" s="83">
        <v>4</v>
      </c>
      <c r="L80" s="83" t="s">
        <v>101</v>
      </c>
      <c r="M80" s="83" t="s">
        <v>410</v>
      </c>
      <c r="N80" s="83" t="s">
        <v>102</v>
      </c>
      <c r="P80" s="83">
        <v>0</v>
      </c>
      <c r="U80" s="83">
        <v>4</v>
      </c>
      <c r="V80" s="83">
        <v>1</v>
      </c>
      <c r="W80" s="83" t="s">
        <v>103</v>
      </c>
      <c r="X80" s="83">
        <v>0</v>
      </c>
    </row>
    <row r="81" spans="1:25" x14ac:dyDescent="0.2">
      <c r="A81" s="83">
        <v>1</v>
      </c>
      <c r="B81" s="84">
        <v>5701603308307</v>
      </c>
      <c r="C81" s="83">
        <v>80</v>
      </c>
      <c r="D81" s="84">
        <v>1020145</v>
      </c>
      <c r="F81" s="83" t="s">
        <v>103</v>
      </c>
      <c r="G81" s="83">
        <v>0</v>
      </c>
      <c r="H81" s="83">
        <v>100</v>
      </c>
      <c r="K81" s="83" t="s">
        <v>408</v>
      </c>
      <c r="L81" s="83" t="s">
        <v>101</v>
      </c>
      <c r="M81" s="83" t="s">
        <v>410</v>
      </c>
      <c r="N81" s="83" t="s">
        <v>102</v>
      </c>
      <c r="P81" s="83">
        <v>0</v>
      </c>
      <c r="U81" s="83">
        <v>4</v>
      </c>
      <c r="V81" s="83">
        <v>1</v>
      </c>
      <c r="W81" s="83" t="s">
        <v>103</v>
      </c>
      <c r="X81" s="83">
        <v>0</v>
      </c>
    </row>
    <row r="82" spans="1:25" x14ac:dyDescent="0.2">
      <c r="A82" s="83">
        <v>1</v>
      </c>
      <c r="B82" s="84">
        <v>5701603308307</v>
      </c>
      <c r="C82" s="83">
        <v>90</v>
      </c>
      <c r="D82" s="84">
        <v>777500307</v>
      </c>
      <c r="F82" s="83" t="s">
        <v>103</v>
      </c>
      <c r="G82" s="83">
        <v>0</v>
      </c>
      <c r="H82" s="83">
        <v>100</v>
      </c>
      <c r="K82" s="83">
        <v>1</v>
      </c>
      <c r="L82" s="83" t="s">
        <v>101</v>
      </c>
      <c r="M82" s="83" t="s">
        <v>410</v>
      </c>
      <c r="N82" s="83" t="s">
        <v>102</v>
      </c>
      <c r="P82" s="83">
        <v>0</v>
      </c>
      <c r="U82" s="83">
        <v>4</v>
      </c>
      <c r="V82" s="83">
        <v>1</v>
      </c>
      <c r="W82" s="83" t="s">
        <v>103</v>
      </c>
      <c r="X82" s="83">
        <v>0</v>
      </c>
    </row>
    <row r="83" spans="1:25" x14ac:dyDescent="0.2">
      <c r="A83" s="83">
        <v>1</v>
      </c>
      <c r="B83" s="84">
        <v>5701603309307</v>
      </c>
      <c r="C83" s="83">
        <v>10</v>
      </c>
      <c r="D83" s="84">
        <v>5980463309</v>
      </c>
      <c r="F83" s="83" t="s">
        <v>103</v>
      </c>
      <c r="G83" s="83">
        <v>0</v>
      </c>
      <c r="H83" s="83">
        <v>100</v>
      </c>
      <c r="K83" s="83">
        <v>1</v>
      </c>
      <c r="L83" s="83" t="s">
        <v>101</v>
      </c>
      <c r="M83" s="83" t="s">
        <v>410</v>
      </c>
      <c r="N83" s="83" t="s">
        <v>102</v>
      </c>
      <c r="P83" s="83">
        <v>0</v>
      </c>
      <c r="U83" s="83">
        <v>4</v>
      </c>
      <c r="V83" s="83">
        <v>1</v>
      </c>
      <c r="W83" s="83" t="s">
        <v>103</v>
      </c>
      <c r="X83" s="83">
        <v>0</v>
      </c>
      <c r="Y83" s="83" t="str">
        <f>LEFT(D83,6)</f>
        <v>598046</v>
      </c>
    </row>
    <row r="84" spans="1:25" x14ac:dyDescent="0.2">
      <c r="A84" s="83">
        <v>1</v>
      </c>
      <c r="B84" s="84">
        <v>5701603309307</v>
      </c>
      <c r="C84" s="83">
        <v>20</v>
      </c>
      <c r="D84" s="84">
        <v>5980543309</v>
      </c>
      <c r="F84" s="83" t="s">
        <v>103</v>
      </c>
      <c r="G84" s="83">
        <v>0</v>
      </c>
      <c r="H84" s="83">
        <v>100</v>
      </c>
      <c r="K84" s="83">
        <v>1</v>
      </c>
      <c r="L84" s="83" t="s">
        <v>101</v>
      </c>
      <c r="M84" s="83" t="s">
        <v>410</v>
      </c>
      <c r="N84" s="83" t="s">
        <v>102</v>
      </c>
      <c r="P84" s="83">
        <v>0</v>
      </c>
      <c r="U84" s="83">
        <v>4</v>
      </c>
      <c r="V84" s="83">
        <v>1</v>
      </c>
      <c r="W84" s="83" t="s">
        <v>103</v>
      </c>
      <c r="X84" s="83">
        <v>0</v>
      </c>
    </row>
    <row r="85" spans="1:25" x14ac:dyDescent="0.2">
      <c r="A85" s="83">
        <v>1</v>
      </c>
      <c r="B85" s="84">
        <v>5701603309307</v>
      </c>
      <c r="C85" s="83">
        <v>30</v>
      </c>
      <c r="D85" s="84">
        <v>5980623309</v>
      </c>
      <c r="F85" s="83" t="s">
        <v>103</v>
      </c>
      <c r="G85" s="83">
        <v>0</v>
      </c>
      <c r="H85" s="83">
        <v>100</v>
      </c>
      <c r="K85" s="83">
        <v>1</v>
      </c>
      <c r="L85" s="83" t="s">
        <v>101</v>
      </c>
      <c r="M85" s="83" t="s">
        <v>410</v>
      </c>
      <c r="N85" s="83" t="s">
        <v>102</v>
      </c>
      <c r="P85" s="83">
        <v>0</v>
      </c>
      <c r="U85" s="83">
        <v>4</v>
      </c>
      <c r="V85" s="83">
        <v>1</v>
      </c>
      <c r="W85" s="83" t="s">
        <v>103</v>
      </c>
      <c r="X85" s="83">
        <v>0</v>
      </c>
    </row>
    <row r="86" spans="1:25" x14ac:dyDescent="0.2">
      <c r="A86" s="83">
        <v>1</v>
      </c>
      <c r="B86" s="84">
        <v>5701603309307</v>
      </c>
      <c r="C86" s="83">
        <v>40</v>
      </c>
      <c r="D86" s="84">
        <v>5980823309</v>
      </c>
      <c r="F86" s="83" t="s">
        <v>103</v>
      </c>
      <c r="G86" s="83">
        <v>0</v>
      </c>
      <c r="H86" s="83">
        <v>100</v>
      </c>
      <c r="K86" s="83">
        <v>1</v>
      </c>
      <c r="L86" s="83" t="s">
        <v>101</v>
      </c>
      <c r="M86" s="83" t="s">
        <v>410</v>
      </c>
      <c r="N86" s="83" t="s">
        <v>102</v>
      </c>
      <c r="P86" s="83">
        <v>0</v>
      </c>
      <c r="U86" s="83">
        <v>4</v>
      </c>
      <c r="V86" s="83">
        <v>1</v>
      </c>
      <c r="W86" s="83" t="s">
        <v>103</v>
      </c>
      <c r="X86" s="83">
        <v>0</v>
      </c>
    </row>
    <row r="87" spans="1:25" x14ac:dyDescent="0.2">
      <c r="A87" s="83">
        <v>1</v>
      </c>
      <c r="B87" s="84">
        <v>5701603309307</v>
      </c>
      <c r="C87" s="83">
        <v>50</v>
      </c>
      <c r="D87" s="84">
        <v>5980933309</v>
      </c>
      <c r="F87" s="83" t="s">
        <v>103</v>
      </c>
      <c r="G87" s="83">
        <v>0</v>
      </c>
      <c r="H87" s="83">
        <v>100</v>
      </c>
      <c r="K87" s="83">
        <v>1</v>
      </c>
      <c r="L87" s="83" t="s">
        <v>101</v>
      </c>
      <c r="M87" s="83" t="s">
        <v>410</v>
      </c>
      <c r="N87" s="83" t="s">
        <v>102</v>
      </c>
      <c r="P87" s="83">
        <v>0</v>
      </c>
      <c r="U87" s="83">
        <v>4</v>
      </c>
      <c r="V87" s="83">
        <v>1</v>
      </c>
      <c r="W87" s="83" t="s">
        <v>103</v>
      </c>
      <c r="X87" s="83">
        <v>0</v>
      </c>
    </row>
    <row r="88" spans="1:25" x14ac:dyDescent="0.2">
      <c r="A88" s="83">
        <v>1</v>
      </c>
      <c r="B88" s="84">
        <v>5701603309307</v>
      </c>
      <c r="C88" s="83">
        <v>60</v>
      </c>
      <c r="D88" s="84">
        <v>1010286</v>
      </c>
      <c r="F88" s="83" t="s">
        <v>103</v>
      </c>
      <c r="G88" s="83">
        <v>0</v>
      </c>
      <c r="H88" s="83">
        <v>100</v>
      </c>
      <c r="K88" s="83">
        <v>8</v>
      </c>
      <c r="L88" s="83" t="s">
        <v>101</v>
      </c>
      <c r="M88" s="83" t="s">
        <v>410</v>
      </c>
      <c r="N88" s="83" t="s">
        <v>102</v>
      </c>
      <c r="P88" s="83">
        <v>0</v>
      </c>
      <c r="U88" s="83">
        <v>4</v>
      </c>
      <c r="V88" s="83">
        <v>1</v>
      </c>
      <c r="W88" s="83" t="s">
        <v>103</v>
      </c>
      <c r="X88" s="83">
        <v>0</v>
      </c>
    </row>
    <row r="89" spans="1:25" x14ac:dyDescent="0.2">
      <c r="A89" s="83">
        <v>1</v>
      </c>
      <c r="B89" s="84">
        <v>5701603309307</v>
      </c>
      <c r="C89" s="83">
        <v>70</v>
      </c>
      <c r="D89" s="84">
        <v>1010287</v>
      </c>
      <c r="F89" s="83" t="s">
        <v>103</v>
      </c>
      <c r="G89" s="83">
        <v>0</v>
      </c>
      <c r="H89" s="83">
        <v>100</v>
      </c>
      <c r="K89" s="83">
        <v>4</v>
      </c>
      <c r="L89" s="83" t="s">
        <v>101</v>
      </c>
      <c r="M89" s="83" t="s">
        <v>410</v>
      </c>
      <c r="N89" s="83" t="s">
        <v>102</v>
      </c>
      <c r="P89" s="83">
        <v>0</v>
      </c>
      <c r="U89" s="83">
        <v>4</v>
      </c>
      <c r="V89" s="83">
        <v>1</v>
      </c>
      <c r="W89" s="83" t="s">
        <v>103</v>
      </c>
      <c r="X89" s="83">
        <v>0</v>
      </c>
    </row>
    <row r="90" spans="1:25" x14ac:dyDescent="0.2">
      <c r="A90" s="83">
        <v>1</v>
      </c>
      <c r="B90" s="84">
        <v>5701603309307</v>
      </c>
      <c r="C90" s="83">
        <v>80</v>
      </c>
      <c r="D90" s="84">
        <v>1020145</v>
      </c>
      <c r="F90" s="83" t="s">
        <v>103</v>
      </c>
      <c r="G90" s="83">
        <v>0</v>
      </c>
      <c r="H90" s="83">
        <v>100</v>
      </c>
      <c r="K90" s="83" t="s">
        <v>408</v>
      </c>
      <c r="L90" s="83" t="s">
        <v>101</v>
      </c>
      <c r="M90" s="83" t="s">
        <v>410</v>
      </c>
      <c r="N90" s="83" t="s">
        <v>102</v>
      </c>
      <c r="P90" s="83">
        <v>0</v>
      </c>
      <c r="U90" s="83">
        <v>4</v>
      </c>
      <c r="V90" s="83">
        <v>1</v>
      </c>
      <c r="W90" s="83" t="s">
        <v>103</v>
      </c>
      <c r="X90" s="83">
        <v>0</v>
      </c>
    </row>
    <row r="91" spans="1:25" x14ac:dyDescent="0.2">
      <c r="A91" s="83">
        <v>1</v>
      </c>
      <c r="B91" s="84">
        <v>5701603309307</v>
      </c>
      <c r="C91" s="83">
        <v>90</v>
      </c>
      <c r="D91" s="84">
        <v>777500307</v>
      </c>
      <c r="F91" s="83" t="s">
        <v>103</v>
      </c>
      <c r="G91" s="83">
        <v>0</v>
      </c>
      <c r="H91" s="83">
        <v>100</v>
      </c>
      <c r="K91" s="83">
        <v>1</v>
      </c>
      <c r="L91" s="83" t="s">
        <v>101</v>
      </c>
      <c r="M91" s="83" t="s">
        <v>410</v>
      </c>
      <c r="N91" s="83" t="s">
        <v>102</v>
      </c>
      <c r="P91" s="83">
        <v>0</v>
      </c>
      <c r="U91" s="83">
        <v>4</v>
      </c>
      <c r="V91" s="83">
        <v>1</v>
      </c>
      <c r="W91" s="83" t="s">
        <v>103</v>
      </c>
      <c r="X91" s="83">
        <v>0</v>
      </c>
    </row>
    <row r="92" spans="1:25" x14ac:dyDescent="0.2">
      <c r="A92" s="83">
        <v>1</v>
      </c>
      <c r="B92" s="84">
        <v>5701603310307</v>
      </c>
      <c r="C92" s="83">
        <v>10</v>
      </c>
      <c r="D92" s="84">
        <v>5980463310</v>
      </c>
      <c r="F92" s="83" t="s">
        <v>103</v>
      </c>
      <c r="G92" s="83">
        <v>0</v>
      </c>
      <c r="H92" s="83">
        <v>100</v>
      </c>
      <c r="K92" s="83">
        <v>1</v>
      </c>
      <c r="L92" s="83" t="s">
        <v>101</v>
      </c>
      <c r="M92" s="83" t="s">
        <v>410</v>
      </c>
      <c r="N92" s="83" t="s">
        <v>102</v>
      </c>
      <c r="P92" s="83">
        <v>0</v>
      </c>
      <c r="U92" s="83">
        <v>4</v>
      </c>
      <c r="V92" s="83">
        <v>1</v>
      </c>
      <c r="W92" s="83" t="s">
        <v>103</v>
      </c>
      <c r="X92" s="83">
        <v>0</v>
      </c>
      <c r="Y92" s="83" t="str">
        <f>LEFT(D92,6)</f>
        <v>598046</v>
      </c>
    </row>
    <row r="93" spans="1:25" x14ac:dyDescent="0.2">
      <c r="A93" s="83">
        <v>1</v>
      </c>
      <c r="B93" s="84">
        <v>5701603310307</v>
      </c>
      <c r="C93" s="83">
        <v>20</v>
      </c>
      <c r="D93" s="84">
        <v>5980543310</v>
      </c>
      <c r="F93" s="83" t="s">
        <v>103</v>
      </c>
      <c r="G93" s="83">
        <v>0</v>
      </c>
      <c r="H93" s="83">
        <v>100</v>
      </c>
      <c r="K93" s="83">
        <v>1</v>
      </c>
      <c r="L93" s="83" t="s">
        <v>101</v>
      </c>
      <c r="M93" s="83" t="s">
        <v>410</v>
      </c>
      <c r="N93" s="83" t="s">
        <v>102</v>
      </c>
      <c r="P93" s="83">
        <v>0</v>
      </c>
      <c r="U93" s="83">
        <v>4</v>
      </c>
      <c r="V93" s="83">
        <v>1</v>
      </c>
      <c r="W93" s="83" t="s">
        <v>103</v>
      </c>
      <c r="X93" s="83">
        <v>0</v>
      </c>
    </row>
    <row r="94" spans="1:25" x14ac:dyDescent="0.2">
      <c r="A94" s="83">
        <v>1</v>
      </c>
      <c r="B94" s="84">
        <v>5701603310307</v>
      </c>
      <c r="C94" s="83">
        <v>30</v>
      </c>
      <c r="D94" s="84">
        <v>5980623310</v>
      </c>
      <c r="F94" s="83" t="s">
        <v>103</v>
      </c>
      <c r="G94" s="83">
        <v>0</v>
      </c>
      <c r="H94" s="83">
        <v>100</v>
      </c>
      <c r="K94" s="83">
        <v>1</v>
      </c>
      <c r="L94" s="83" t="s">
        <v>101</v>
      </c>
      <c r="M94" s="83" t="s">
        <v>410</v>
      </c>
      <c r="N94" s="83" t="s">
        <v>102</v>
      </c>
      <c r="P94" s="83">
        <v>0</v>
      </c>
      <c r="U94" s="83">
        <v>4</v>
      </c>
      <c r="V94" s="83">
        <v>1</v>
      </c>
      <c r="W94" s="83" t="s">
        <v>103</v>
      </c>
      <c r="X94" s="83">
        <v>0</v>
      </c>
    </row>
    <row r="95" spans="1:25" x14ac:dyDescent="0.2">
      <c r="A95" s="83">
        <v>1</v>
      </c>
      <c r="B95" s="84">
        <v>5701603310307</v>
      </c>
      <c r="C95" s="83">
        <v>40</v>
      </c>
      <c r="D95" s="84">
        <v>5980823310</v>
      </c>
      <c r="F95" s="83" t="s">
        <v>103</v>
      </c>
      <c r="G95" s="83">
        <v>0</v>
      </c>
      <c r="H95" s="83">
        <v>100</v>
      </c>
      <c r="K95" s="83">
        <v>1</v>
      </c>
      <c r="L95" s="83" t="s">
        <v>101</v>
      </c>
      <c r="M95" s="83" t="s">
        <v>410</v>
      </c>
      <c r="N95" s="83" t="s">
        <v>102</v>
      </c>
      <c r="P95" s="83">
        <v>0</v>
      </c>
      <c r="U95" s="83">
        <v>4</v>
      </c>
      <c r="V95" s="83">
        <v>1</v>
      </c>
      <c r="W95" s="83" t="s">
        <v>103</v>
      </c>
      <c r="X95" s="83">
        <v>0</v>
      </c>
    </row>
    <row r="96" spans="1:25" x14ac:dyDescent="0.2">
      <c r="A96" s="83">
        <v>1</v>
      </c>
      <c r="B96" s="84">
        <v>5701603310307</v>
      </c>
      <c r="C96" s="83">
        <v>50</v>
      </c>
      <c r="D96" s="84">
        <v>5980933310</v>
      </c>
      <c r="F96" s="83" t="s">
        <v>103</v>
      </c>
      <c r="G96" s="83">
        <v>0</v>
      </c>
      <c r="H96" s="83">
        <v>100</v>
      </c>
      <c r="K96" s="83">
        <v>1</v>
      </c>
      <c r="L96" s="83" t="s">
        <v>101</v>
      </c>
      <c r="M96" s="83" t="s">
        <v>410</v>
      </c>
      <c r="N96" s="83" t="s">
        <v>102</v>
      </c>
      <c r="P96" s="83">
        <v>0</v>
      </c>
      <c r="U96" s="83">
        <v>4</v>
      </c>
      <c r="V96" s="83">
        <v>1</v>
      </c>
      <c r="W96" s="83" t="s">
        <v>103</v>
      </c>
      <c r="X96" s="83">
        <v>0</v>
      </c>
    </row>
    <row r="97" spans="1:25" x14ac:dyDescent="0.2">
      <c r="A97" s="83">
        <v>1</v>
      </c>
      <c r="B97" s="84">
        <v>5701603310307</v>
      </c>
      <c r="C97" s="83">
        <v>60</v>
      </c>
      <c r="D97" s="84">
        <v>1010286</v>
      </c>
      <c r="F97" s="83" t="s">
        <v>103</v>
      </c>
      <c r="G97" s="83">
        <v>0</v>
      </c>
      <c r="H97" s="83">
        <v>100</v>
      </c>
      <c r="K97" s="83">
        <v>8</v>
      </c>
      <c r="L97" s="83" t="s">
        <v>101</v>
      </c>
      <c r="M97" s="83" t="s">
        <v>410</v>
      </c>
      <c r="N97" s="83" t="s">
        <v>102</v>
      </c>
      <c r="P97" s="83">
        <v>0</v>
      </c>
      <c r="U97" s="83">
        <v>4</v>
      </c>
      <c r="V97" s="83">
        <v>1</v>
      </c>
      <c r="W97" s="83" t="s">
        <v>103</v>
      </c>
      <c r="X97" s="83">
        <v>0</v>
      </c>
    </row>
    <row r="98" spans="1:25" x14ac:dyDescent="0.2">
      <c r="A98" s="83">
        <v>1</v>
      </c>
      <c r="B98" s="84">
        <v>5701603310307</v>
      </c>
      <c r="C98" s="83">
        <v>70</v>
      </c>
      <c r="D98" s="84">
        <v>1010287</v>
      </c>
      <c r="F98" s="83" t="s">
        <v>103</v>
      </c>
      <c r="G98" s="83">
        <v>0</v>
      </c>
      <c r="H98" s="83">
        <v>100</v>
      </c>
      <c r="K98" s="83">
        <v>4</v>
      </c>
      <c r="L98" s="83" t="s">
        <v>101</v>
      </c>
      <c r="M98" s="83" t="s">
        <v>410</v>
      </c>
      <c r="N98" s="83" t="s">
        <v>102</v>
      </c>
      <c r="P98" s="83">
        <v>0</v>
      </c>
      <c r="U98" s="83">
        <v>4</v>
      </c>
      <c r="V98" s="83">
        <v>1</v>
      </c>
      <c r="W98" s="83" t="s">
        <v>103</v>
      </c>
      <c r="X98" s="83">
        <v>0</v>
      </c>
    </row>
    <row r="99" spans="1:25" x14ac:dyDescent="0.2">
      <c r="A99" s="83">
        <v>1</v>
      </c>
      <c r="B99" s="84">
        <v>5701603310307</v>
      </c>
      <c r="C99" s="83">
        <v>80</v>
      </c>
      <c r="D99" s="84">
        <v>1020145</v>
      </c>
      <c r="F99" s="83" t="s">
        <v>103</v>
      </c>
      <c r="G99" s="83">
        <v>0</v>
      </c>
      <c r="H99" s="83">
        <v>100</v>
      </c>
      <c r="K99" s="83" t="s">
        <v>408</v>
      </c>
      <c r="L99" s="83" t="s">
        <v>101</v>
      </c>
      <c r="M99" s="83" t="s">
        <v>410</v>
      </c>
      <c r="N99" s="83" t="s">
        <v>102</v>
      </c>
      <c r="P99" s="83">
        <v>0</v>
      </c>
      <c r="U99" s="83">
        <v>4</v>
      </c>
      <c r="V99" s="83">
        <v>1</v>
      </c>
      <c r="W99" s="83" t="s">
        <v>103</v>
      </c>
      <c r="X99" s="83">
        <v>0</v>
      </c>
    </row>
    <row r="100" spans="1:25" x14ac:dyDescent="0.2">
      <c r="A100" s="83">
        <v>1</v>
      </c>
      <c r="B100" s="84">
        <v>5701603310307</v>
      </c>
      <c r="C100" s="83">
        <v>90</v>
      </c>
      <c r="D100" s="84">
        <v>777500307</v>
      </c>
      <c r="F100" s="83" t="s">
        <v>103</v>
      </c>
      <c r="G100" s="83">
        <v>0</v>
      </c>
      <c r="H100" s="83">
        <v>100</v>
      </c>
      <c r="K100" s="83">
        <v>1</v>
      </c>
      <c r="L100" s="83" t="s">
        <v>101</v>
      </c>
      <c r="M100" s="83" t="s">
        <v>410</v>
      </c>
      <c r="N100" s="83" t="s">
        <v>102</v>
      </c>
      <c r="P100" s="83">
        <v>0</v>
      </c>
      <c r="U100" s="83">
        <v>4</v>
      </c>
      <c r="V100" s="83">
        <v>1</v>
      </c>
      <c r="W100" s="83" t="s">
        <v>103</v>
      </c>
      <c r="X100" s="83">
        <v>0</v>
      </c>
    </row>
    <row r="101" spans="1:25" x14ac:dyDescent="0.2">
      <c r="A101" s="83">
        <v>1</v>
      </c>
      <c r="B101" s="84">
        <v>5701603300302</v>
      </c>
      <c r="C101" s="83">
        <v>10</v>
      </c>
      <c r="D101" s="84">
        <v>5980463399</v>
      </c>
      <c r="F101" s="83" t="s">
        <v>103</v>
      </c>
      <c r="G101" s="83">
        <v>0</v>
      </c>
      <c r="H101" s="83">
        <v>100</v>
      </c>
      <c r="K101" s="83">
        <v>1</v>
      </c>
      <c r="L101" s="83" t="s">
        <v>101</v>
      </c>
      <c r="M101" s="83" t="s">
        <v>410</v>
      </c>
      <c r="N101" s="83" t="s">
        <v>102</v>
      </c>
      <c r="P101" s="83">
        <v>0</v>
      </c>
      <c r="U101" s="83">
        <v>4</v>
      </c>
      <c r="V101" s="83">
        <v>1</v>
      </c>
      <c r="W101" s="83" t="s">
        <v>103</v>
      </c>
      <c r="X101" s="83">
        <v>0</v>
      </c>
      <c r="Y101" s="83" t="str">
        <f>LEFT(D101,6)</f>
        <v>598046</v>
      </c>
    </row>
    <row r="102" spans="1:25" x14ac:dyDescent="0.2">
      <c r="A102" s="83">
        <v>1</v>
      </c>
      <c r="B102" s="84">
        <v>5701603300302</v>
      </c>
      <c r="C102" s="83">
        <v>20</v>
      </c>
      <c r="D102" s="84">
        <v>5980543399</v>
      </c>
      <c r="F102" s="83" t="s">
        <v>103</v>
      </c>
      <c r="G102" s="83">
        <v>0</v>
      </c>
      <c r="H102" s="83">
        <v>100</v>
      </c>
      <c r="K102" s="83">
        <v>1</v>
      </c>
      <c r="L102" s="83" t="s">
        <v>101</v>
      </c>
      <c r="M102" s="83" t="s">
        <v>410</v>
      </c>
      <c r="N102" s="83" t="s">
        <v>102</v>
      </c>
      <c r="P102" s="83">
        <v>0</v>
      </c>
      <c r="U102" s="83">
        <v>4</v>
      </c>
      <c r="V102" s="83">
        <v>1</v>
      </c>
      <c r="W102" s="83" t="s">
        <v>103</v>
      </c>
      <c r="X102" s="83">
        <v>0</v>
      </c>
    </row>
    <row r="103" spans="1:25" x14ac:dyDescent="0.2">
      <c r="A103" s="83">
        <v>1</v>
      </c>
      <c r="B103" s="84">
        <v>5701603300302</v>
      </c>
      <c r="C103" s="83">
        <v>30</v>
      </c>
      <c r="D103" s="84">
        <v>5980623399</v>
      </c>
      <c r="F103" s="83" t="s">
        <v>103</v>
      </c>
      <c r="G103" s="83">
        <v>0</v>
      </c>
      <c r="H103" s="83">
        <v>100</v>
      </c>
      <c r="K103" s="83">
        <v>1</v>
      </c>
      <c r="L103" s="83" t="s">
        <v>101</v>
      </c>
      <c r="M103" s="83" t="s">
        <v>410</v>
      </c>
      <c r="N103" s="83" t="s">
        <v>102</v>
      </c>
      <c r="P103" s="83">
        <v>0</v>
      </c>
      <c r="U103" s="83">
        <v>4</v>
      </c>
      <c r="V103" s="83">
        <v>1</v>
      </c>
      <c r="W103" s="83" t="s">
        <v>103</v>
      </c>
      <c r="X103" s="83">
        <v>0</v>
      </c>
    </row>
    <row r="104" spans="1:25" x14ac:dyDescent="0.2">
      <c r="A104" s="83">
        <v>1</v>
      </c>
      <c r="B104" s="84">
        <v>5701603300302</v>
      </c>
      <c r="C104" s="83">
        <v>40</v>
      </c>
      <c r="D104" s="84">
        <v>5980823399</v>
      </c>
      <c r="F104" s="83" t="s">
        <v>103</v>
      </c>
      <c r="G104" s="83">
        <v>0</v>
      </c>
      <c r="H104" s="83">
        <v>100</v>
      </c>
      <c r="K104" s="83">
        <v>1</v>
      </c>
      <c r="L104" s="83" t="s">
        <v>101</v>
      </c>
      <c r="M104" s="83" t="s">
        <v>410</v>
      </c>
      <c r="N104" s="83" t="s">
        <v>102</v>
      </c>
      <c r="P104" s="83">
        <v>0</v>
      </c>
      <c r="U104" s="83">
        <v>4</v>
      </c>
      <c r="V104" s="83">
        <v>1</v>
      </c>
      <c r="W104" s="83" t="s">
        <v>103</v>
      </c>
      <c r="X104" s="83">
        <v>0</v>
      </c>
    </row>
    <row r="105" spans="1:25" x14ac:dyDescent="0.2">
      <c r="A105" s="83">
        <v>1</v>
      </c>
      <c r="B105" s="84">
        <v>5701603300302</v>
      </c>
      <c r="C105" s="83">
        <v>50</v>
      </c>
      <c r="D105" s="85">
        <v>1010277</v>
      </c>
      <c r="F105" s="83" t="s">
        <v>103</v>
      </c>
      <c r="G105" s="83">
        <v>0</v>
      </c>
      <c r="H105" s="83">
        <v>100</v>
      </c>
      <c r="K105" s="83">
        <v>1</v>
      </c>
      <c r="L105" s="83" t="s">
        <v>101</v>
      </c>
      <c r="M105" s="83" t="s">
        <v>410</v>
      </c>
      <c r="N105" s="83" t="s">
        <v>102</v>
      </c>
      <c r="P105" s="83">
        <v>0</v>
      </c>
      <c r="U105" s="83">
        <v>4</v>
      </c>
      <c r="V105" s="83">
        <v>1</v>
      </c>
      <c r="W105" s="83" t="s">
        <v>103</v>
      </c>
      <c r="X105" s="83">
        <v>0</v>
      </c>
    </row>
    <row r="106" spans="1:25" x14ac:dyDescent="0.2">
      <c r="A106" s="83">
        <v>1</v>
      </c>
      <c r="B106" s="84">
        <v>5701603300302</v>
      </c>
      <c r="C106" s="83">
        <v>60</v>
      </c>
      <c r="D106" s="84">
        <v>1010286</v>
      </c>
      <c r="F106" s="83" t="s">
        <v>103</v>
      </c>
      <c r="G106" s="83">
        <v>0</v>
      </c>
      <c r="H106" s="83">
        <v>100</v>
      </c>
      <c r="K106" s="83">
        <v>8</v>
      </c>
      <c r="L106" s="83" t="s">
        <v>101</v>
      </c>
      <c r="M106" s="83" t="s">
        <v>410</v>
      </c>
      <c r="N106" s="83" t="s">
        <v>102</v>
      </c>
      <c r="P106" s="83">
        <v>0</v>
      </c>
      <c r="U106" s="83">
        <v>4</v>
      </c>
      <c r="V106" s="83">
        <v>1</v>
      </c>
      <c r="W106" s="83" t="s">
        <v>103</v>
      </c>
      <c r="X106" s="83">
        <v>0</v>
      </c>
    </row>
    <row r="107" spans="1:25" x14ac:dyDescent="0.2">
      <c r="A107" s="83">
        <v>1</v>
      </c>
      <c r="B107" s="84">
        <v>5701603300302</v>
      </c>
      <c r="C107" s="83">
        <v>70</v>
      </c>
      <c r="D107" s="84">
        <v>1010287</v>
      </c>
      <c r="F107" s="83" t="s">
        <v>103</v>
      </c>
      <c r="G107" s="83">
        <v>0</v>
      </c>
      <c r="H107" s="83">
        <v>100</v>
      </c>
      <c r="K107" s="83">
        <v>4</v>
      </c>
      <c r="L107" s="83" t="s">
        <v>101</v>
      </c>
      <c r="M107" s="83" t="s">
        <v>410</v>
      </c>
      <c r="N107" s="83" t="s">
        <v>102</v>
      </c>
      <c r="P107" s="83">
        <v>0</v>
      </c>
      <c r="U107" s="83">
        <v>4</v>
      </c>
      <c r="V107" s="83">
        <v>1</v>
      </c>
      <c r="W107" s="83" t="s">
        <v>103</v>
      </c>
      <c r="X107" s="83">
        <v>0</v>
      </c>
    </row>
    <row r="108" spans="1:25" x14ac:dyDescent="0.2">
      <c r="A108" s="83">
        <v>1</v>
      </c>
      <c r="B108" s="84">
        <v>5701603300302</v>
      </c>
      <c r="C108" s="83">
        <v>80</v>
      </c>
      <c r="D108" s="84">
        <v>1020145</v>
      </c>
      <c r="F108" s="83" t="s">
        <v>103</v>
      </c>
      <c r="G108" s="83">
        <v>0</v>
      </c>
      <c r="H108" s="83">
        <v>100</v>
      </c>
      <c r="K108" s="83" t="s">
        <v>408</v>
      </c>
      <c r="L108" s="83" t="s">
        <v>101</v>
      </c>
      <c r="M108" s="83" t="s">
        <v>410</v>
      </c>
      <c r="N108" s="83" t="s">
        <v>102</v>
      </c>
      <c r="P108" s="83">
        <v>0</v>
      </c>
      <c r="U108" s="83">
        <v>4</v>
      </c>
      <c r="V108" s="83">
        <v>1</v>
      </c>
      <c r="W108" s="83" t="s">
        <v>103</v>
      </c>
      <c r="X108" s="83">
        <v>0</v>
      </c>
    </row>
    <row r="109" spans="1:25" x14ac:dyDescent="0.2">
      <c r="A109" s="83">
        <v>1</v>
      </c>
      <c r="B109" s="84">
        <v>5701603300302</v>
      </c>
      <c r="C109" s="83">
        <v>90</v>
      </c>
      <c r="D109" s="84">
        <v>777500302</v>
      </c>
      <c r="F109" s="83" t="s">
        <v>103</v>
      </c>
      <c r="G109" s="83">
        <v>0</v>
      </c>
      <c r="H109" s="83">
        <v>100</v>
      </c>
      <c r="K109" s="83">
        <v>1</v>
      </c>
      <c r="L109" s="83" t="s">
        <v>101</v>
      </c>
      <c r="M109" s="83" t="s">
        <v>410</v>
      </c>
      <c r="N109" s="83" t="s">
        <v>102</v>
      </c>
      <c r="P109" s="83">
        <v>0</v>
      </c>
      <c r="U109" s="83">
        <v>4</v>
      </c>
      <c r="V109" s="83">
        <v>1</v>
      </c>
      <c r="W109" s="83" t="s">
        <v>103</v>
      </c>
      <c r="X109" s="83">
        <v>0</v>
      </c>
    </row>
    <row r="110" spans="1:25" x14ac:dyDescent="0.2">
      <c r="A110" s="83">
        <v>1</v>
      </c>
      <c r="B110" s="84">
        <v>5701603301302</v>
      </c>
      <c r="C110" s="83">
        <v>10</v>
      </c>
      <c r="D110" s="84">
        <v>5980463301</v>
      </c>
      <c r="F110" s="83" t="s">
        <v>103</v>
      </c>
      <c r="G110" s="83">
        <v>0</v>
      </c>
      <c r="H110" s="83">
        <v>100</v>
      </c>
      <c r="K110" s="83">
        <v>1</v>
      </c>
      <c r="L110" s="83" t="s">
        <v>101</v>
      </c>
      <c r="M110" s="83" t="s">
        <v>410</v>
      </c>
      <c r="N110" s="83" t="s">
        <v>102</v>
      </c>
      <c r="P110" s="83">
        <v>0</v>
      </c>
      <c r="U110" s="83">
        <v>4</v>
      </c>
      <c r="V110" s="83">
        <v>1</v>
      </c>
      <c r="W110" s="83" t="s">
        <v>103</v>
      </c>
      <c r="X110" s="83">
        <v>0</v>
      </c>
      <c r="Y110" s="83" t="str">
        <f>LEFT(D110,6)</f>
        <v>598046</v>
      </c>
    </row>
    <row r="111" spans="1:25" x14ac:dyDescent="0.2">
      <c r="A111" s="83">
        <v>1</v>
      </c>
      <c r="B111" s="84">
        <v>5701603301302</v>
      </c>
      <c r="C111" s="83">
        <v>20</v>
      </c>
      <c r="D111" s="84">
        <v>5980543301</v>
      </c>
      <c r="F111" s="83" t="s">
        <v>103</v>
      </c>
      <c r="G111" s="83">
        <v>0</v>
      </c>
      <c r="H111" s="83">
        <v>100</v>
      </c>
      <c r="K111" s="83">
        <v>1</v>
      </c>
      <c r="L111" s="83" t="s">
        <v>101</v>
      </c>
      <c r="M111" s="83" t="s">
        <v>410</v>
      </c>
      <c r="N111" s="83" t="s">
        <v>102</v>
      </c>
      <c r="P111" s="83">
        <v>0</v>
      </c>
      <c r="U111" s="83">
        <v>4</v>
      </c>
      <c r="V111" s="83">
        <v>1</v>
      </c>
      <c r="W111" s="83" t="s">
        <v>103</v>
      </c>
      <c r="X111" s="83">
        <v>0</v>
      </c>
    </row>
    <row r="112" spans="1:25" x14ac:dyDescent="0.2">
      <c r="A112" s="83">
        <v>1</v>
      </c>
      <c r="B112" s="84">
        <v>5701603301302</v>
      </c>
      <c r="C112" s="83">
        <v>30</v>
      </c>
      <c r="D112" s="84">
        <v>5980623301</v>
      </c>
      <c r="F112" s="83" t="s">
        <v>103</v>
      </c>
      <c r="G112" s="83">
        <v>0</v>
      </c>
      <c r="H112" s="83">
        <v>100</v>
      </c>
      <c r="K112" s="83">
        <v>1</v>
      </c>
      <c r="L112" s="83" t="s">
        <v>101</v>
      </c>
      <c r="M112" s="83" t="s">
        <v>410</v>
      </c>
      <c r="N112" s="83" t="s">
        <v>102</v>
      </c>
      <c r="P112" s="83">
        <v>0</v>
      </c>
      <c r="U112" s="83">
        <v>4</v>
      </c>
      <c r="V112" s="83">
        <v>1</v>
      </c>
      <c r="W112" s="83" t="s">
        <v>103</v>
      </c>
      <c r="X112" s="83">
        <v>0</v>
      </c>
    </row>
    <row r="113" spans="1:25" x14ac:dyDescent="0.2">
      <c r="A113" s="83">
        <v>1</v>
      </c>
      <c r="B113" s="84">
        <v>5701603301302</v>
      </c>
      <c r="C113" s="83">
        <v>40</v>
      </c>
      <c r="D113" s="84">
        <v>5980823301</v>
      </c>
      <c r="F113" s="83" t="s">
        <v>103</v>
      </c>
      <c r="G113" s="83">
        <v>0</v>
      </c>
      <c r="H113" s="83">
        <v>100</v>
      </c>
      <c r="K113" s="83">
        <v>1</v>
      </c>
      <c r="L113" s="83" t="s">
        <v>101</v>
      </c>
      <c r="M113" s="83" t="s">
        <v>410</v>
      </c>
      <c r="N113" s="83" t="s">
        <v>102</v>
      </c>
      <c r="P113" s="83">
        <v>0</v>
      </c>
      <c r="U113" s="83">
        <v>4</v>
      </c>
      <c r="V113" s="83">
        <v>1</v>
      </c>
      <c r="W113" s="83" t="s">
        <v>103</v>
      </c>
      <c r="X113" s="83">
        <v>0</v>
      </c>
    </row>
    <row r="114" spans="1:25" x14ac:dyDescent="0.2">
      <c r="A114" s="83">
        <v>1</v>
      </c>
      <c r="B114" s="84">
        <v>5701603301302</v>
      </c>
      <c r="C114" s="83">
        <v>50</v>
      </c>
      <c r="D114" s="84">
        <v>5980933301</v>
      </c>
      <c r="F114" s="83" t="s">
        <v>103</v>
      </c>
      <c r="G114" s="83">
        <v>0</v>
      </c>
      <c r="H114" s="83">
        <v>100</v>
      </c>
      <c r="K114" s="83">
        <v>1</v>
      </c>
      <c r="L114" s="83" t="s">
        <v>101</v>
      </c>
      <c r="M114" s="83" t="s">
        <v>410</v>
      </c>
      <c r="N114" s="83" t="s">
        <v>102</v>
      </c>
      <c r="P114" s="83">
        <v>0</v>
      </c>
      <c r="U114" s="83">
        <v>4</v>
      </c>
      <c r="V114" s="83">
        <v>1</v>
      </c>
      <c r="W114" s="83" t="s">
        <v>103</v>
      </c>
      <c r="X114" s="83">
        <v>0</v>
      </c>
    </row>
    <row r="115" spans="1:25" x14ac:dyDescent="0.2">
      <c r="A115" s="83">
        <v>1</v>
      </c>
      <c r="B115" s="84">
        <v>5701603301302</v>
      </c>
      <c r="C115" s="83">
        <v>60</v>
      </c>
      <c r="D115" s="84">
        <v>1010286</v>
      </c>
      <c r="F115" s="83" t="s">
        <v>103</v>
      </c>
      <c r="G115" s="83">
        <v>0</v>
      </c>
      <c r="H115" s="83">
        <v>100</v>
      </c>
      <c r="K115" s="83">
        <v>8</v>
      </c>
      <c r="L115" s="83" t="s">
        <v>101</v>
      </c>
      <c r="M115" s="83" t="s">
        <v>410</v>
      </c>
      <c r="N115" s="83" t="s">
        <v>102</v>
      </c>
      <c r="P115" s="83">
        <v>0</v>
      </c>
      <c r="U115" s="83">
        <v>4</v>
      </c>
      <c r="V115" s="83">
        <v>1</v>
      </c>
      <c r="W115" s="83" t="s">
        <v>103</v>
      </c>
      <c r="X115" s="83">
        <v>0</v>
      </c>
    </row>
    <row r="116" spans="1:25" x14ac:dyDescent="0.2">
      <c r="A116" s="83">
        <v>1</v>
      </c>
      <c r="B116" s="84">
        <v>5701603301302</v>
      </c>
      <c r="C116" s="83">
        <v>70</v>
      </c>
      <c r="D116" s="84">
        <v>1010287</v>
      </c>
      <c r="F116" s="83" t="s">
        <v>103</v>
      </c>
      <c r="G116" s="83">
        <v>0</v>
      </c>
      <c r="H116" s="83">
        <v>100</v>
      </c>
      <c r="K116" s="83">
        <v>4</v>
      </c>
      <c r="L116" s="83" t="s">
        <v>101</v>
      </c>
      <c r="M116" s="83" t="s">
        <v>410</v>
      </c>
      <c r="N116" s="83" t="s">
        <v>102</v>
      </c>
      <c r="P116" s="83">
        <v>0</v>
      </c>
      <c r="U116" s="83">
        <v>4</v>
      </c>
      <c r="V116" s="83">
        <v>1</v>
      </c>
      <c r="W116" s="83" t="s">
        <v>103</v>
      </c>
      <c r="X116" s="83">
        <v>0</v>
      </c>
    </row>
    <row r="117" spans="1:25" x14ac:dyDescent="0.2">
      <c r="A117" s="83">
        <v>1</v>
      </c>
      <c r="B117" s="84">
        <v>5701603301302</v>
      </c>
      <c r="C117" s="83">
        <v>80</v>
      </c>
      <c r="D117" s="84">
        <v>1020145</v>
      </c>
      <c r="F117" s="83" t="s">
        <v>103</v>
      </c>
      <c r="G117" s="83">
        <v>0</v>
      </c>
      <c r="H117" s="83">
        <v>100</v>
      </c>
      <c r="K117" s="83" t="s">
        <v>408</v>
      </c>
      <c r="L117" s="83" t="s">
        <v>101</v>
      </c>
      <c r="M117" s="83" t="s">
        <v>410</v>
      </c>
      <c r="N117" s="83" t="s">
        <v>102</v>
      </c>
      <c r="P117" s="83">
        <v>0</v>
      </c>
      <c r="U117" s="83">
        <v>4</v>
      </c>
      <c r="V117" s="83">
        <v>1</v>
      </c>
      <c r="W117" s="83" t="s">
        <v>103</v>
      </c>
      <c r="X117" s="83">
        <v>0</v>
      </c>
    </row>
    <row r="118" spans="1:25" x14ac:dyDescent="0.2">
      <c r="A118" s="83">
        <v>1</v>
      </c>
      <c r="B118" s="84">
        <v>5701603301302</v>
      </c>
      <c r="C118" s="83">
        <v>90</v>
      </c>
      <c r="D118" s="84">
        <v>777500302</v>
      </c>
      <c r="F118" s="83" t="s">
        <v>103</v>
      </c>
      <c r="G118" s="83">
        <v>0</v>
      </c>
      <c r="H118" s="83">
        <v>100</v>
      </c>
      <c r="K118" s="83">
        <v>1</v>
      </c>
      <c r="L118" s="83" t="s">
        <v>101</v>
      </c>
      <c r="M118" s="83" t="s">
        <v>410</v>
      </c>
      <c r="N118" s="83" t="s">
        <v>102</v>
      </c>
      <c r="P118" s="83">
        <v>0</v>
      </c>
      <c r="U118" s="83">
        <v>4</v>
      </c>
      <c r="V118" s="83">
        <v>1</v>
      </c>
      <c r="W118" s="83" t="s">
        <v>103</v>
      </c>
      <c r="X118" s="83">
        <v>0</v>
      </c>
    </row>
    <row r="119" spans="1:25" x14ac:dyDescent="0.2">
      <c r="A119" s="83">
        <v>1</v>
      </c>
      <c r="B119" s="84">
        <v>5701603302302</v>
      </c>
      <c r="C119" s="83">
        <v>10</v>
      </c>
      <c r="D119" s="84">
        <v>5980463302</v>
      </c>
      <c r="F119" s="83" t="s">
        <v>103</v>
      </c>
      <c r="G119" s="83">
        <v>0</v>
      </c>
      <c r="H119" s="83">
        <v>100</v>
      </c>
      <c r="K119" s="83">
        <v>1</v>
      </c>
      <c r="L119" s="83" t="s">
        <v>101</v>
      </c>
      <c r="M119" s="83" t="s">
        <v>410</v>
      </c>
      <c r="N119" s="83" t="s">
        <v>102</v>
      </c>
      <c r="P119" s="83">
        <v>0</v>
      </c>
      <c r="U119" s="83">
        <v>4</v>
      </c>
      <c r="V119" s="83">
        <v>1</v>
      </c>
      <c r="W119" s="83" t="s">
        <v>103</v>
      </c>
      <c r="X119" s="83">
        <v>0</v>
      </c>
      <c r="Y119" s="83" t="str">
        <f>LEFT(D119,6)</f>
        <v>598046</v>
      </c>
    </row>
    <row r="120" spans="1:25" x14ac:dyDescent="0.2">
      <c r="A120" s="83">
        <v>1</v>
      </c>
      <c r="B120" s="84">
        <v>5701603302302</v>
      </c>
      <c r="C120" s="83">
        <v>20</v>
      </c>
      <c r="D120" s="84">
        <v>5980543302</v>
      </c>
      <c r="F120" s="83" t="s">
        <v>103</v>
      </c>
      <c r="G120" s="83">
        <v>0</v>
      </c>
      <c r="H120" s="83">
        <v>100</v>
      </c>
      <c r="K120" s="83">
        <v>1</v>
      </c>
      <c r="L120" s="83" t="s">
        <v>101</v>
      </c>
      <c r="M120" s="83" t="s">
        <v>410</v>
      </c>
      <c r="N120" s="83" t="s">
        <v>102</v>
      </c>
      <c r="P120" s="83">
        <v>0</v>
      </c>
      <c r="U120" s="83">
        <v>4</v>
      </c>
      <c r="V120" s="83">
        <v>1</v>
      </c>
      <c r="W120" s="83" t="s">
        <v>103</v>
      </c>
      <c r="X120" s="83">
        <v>0</v>
      </c>
    </row>
    <row r="121" spans="1:25" x14ac:dyDescent="0.2">
      <c r="A121" s="83">
        <v>1</v>
      </c>
      <c r="B121" s="84">
        <v>5701603302302</v>
      </c>
      <c r="C121" s="83">
        <v>30</v>
      </c>
      <c r="D121" s="84">
        <v>5980623302</v>
      </c>
      <c r="F121" s="83" t="s">
        <v>103</v>
      </c>
      <c r="G121" s="83">
        <v>0</v>
      </c>
      <c r="H121" s="83">
        <v>100</v>
      </c>
      <c r="K121" s="83">
        <v>1</v>
      </c>
      <c r="L121" s="83" t="s">
        <v>101</v>
      </c>
      <c r="M121" s="83" t="s">
        <v>410</v>
      </c>
      <c r="N121" s="83" t="s">
        <v>102</v>
      </c>
      <c r="P121" s="83">
        <v>0</v>
      </c>
      <c r="U121" s="83">
        <v>4</v>
      </c>
      <c r="V121" s="83">
        <v>1</v>
      </c>
      <c r="W121" s="83" t="s">
        <v>103</v>
      </c>
      <c r="X121" s="83">
        <v>0</v>
      </c>
    </row>
    <row r="122" spans="1:25" x14ac:dyDescent="0.2">
      <c r="A122" s="83">
        <v>1</v>
      </c>
      <c r="B122" s="84">
        <v>5701603302302</v>
      </c>
      <c r="C122" s="83">
        <v>40</v>
      </c>
      <c r="D122" s="84">
        <v>5980823302</v>
      </c>
      <c r="F122" s="83" t="s">
        <v>103</v>
      </c>
      <c r="G122" s="83">
        <v>0</v>
      </c>
      <c r="H122" s="83">
        <v>100</v>
      </c>
      <c r="K122" s="83">
        <v>1</v>
      </c>
      <c r="L122" s="83" t="s">
        <v>101</v>
      </c>
      <c r="M122" s="83" t="s">
        <v>410</v>
      </c>
      <c r="N122" s="83" t="s">
        <v>102</v>
      </c>
      <c r="P122" s="83">
        <v>0</v>
      </c>
      <c r="U122" s="83">
        <v>4</v>
      </c>
      <c r="V122" s="83">
        <v>1</v>
      </c>
      <c r="W122" s="83" t="s">
        <v>103</v>
      </c>
      <c r="X122" s="83">
        <v>0</v>
      </c>
    </row>
    <row r="123" spans="1:25" x14ac:dyDescent="0.2">
      <c r="A123" s="83">
        <v>1</v>
      </c>
      <c r="B123" s="84">
        <v>5701603302302</v>
      </c>
      <c r="C123" s="83">
        <v>50</v>
      </c>
      <c r="D123" s="84">
        <v>5980933302</v>
      </c>
      <c r="F123" s="83" t="s">
        <v>103</v>
      </c>
      <c r="G123" s="83">
        <v>0</v>
      </c>
      <c r="H123" s="83">
        <v>100</v>
      </c>
      <c r="K123" s="83">
        <v>1</v>
      </c>
      <c r="L123" s="83" t="s">
        <v>101</v>
      </c>
      <c r="M123" s="83" t="s">
        <v>410</v>
      </c>
      <c r="N123" s="83" t="s">
        <v>102</v>
      </c>
      <c r="P123" s="83">
        <v>0</v>
      </c>
      <c r="U123" s="83">
        <v>4</v>
      </c>
      <c r="V123" s="83">
        <v>1</v>
      </c>
      <c r="W123" s="83" t="s">
        <v>103</v>
      </c>
      <c r="X123" s="83">
        <v>0</v>
      </c>
    </row>
    <row r="124" spans="1:25" x14ac:dyDescent="0.2">
      <c r="A124" s="83">
        <v>1</v>
      </c>
      <c r="B124" s="84">
        <v>5701603302302</v>
      </c>
      <c r="C124" s="83">
        <v>60</v>
      </c>
      <c r="D124" s="84">
        <v>1010286</v>
      </c>
      <c r="F124" s="83" t="s">
        <v>103</v>
      </c>
      <c r="G124" s="83">
        <v>0</v>
      </c>
      <c r="H124" s="83">
        <v>100</v>
      </c>
      <c r="K124" s="83">
        <v>8</v>
      </c>
      <c r="L124" s="83" t="s">
        <v>101</v>
      </c>
      <c r="M124" s="83" t="s">
        <v>410</v>
      </c>
      <c r="N124" s="83" t="s">
        <v>102</v>
      </c>
      <c r="P124" s="83">
        <v>0</v>
      </c>
      <c r="U124" s="83">
        <v>4</v>
      </c>
      <c r="V124" s="83">
        <v>1</v>
      </c>
      <c r="W124" s="83" t="s">
        <v>103</v>
      </c>
      <c r="X124" s="83">
        <v>0</v>
      </c>
    </row>
    <row r="125" spans="1:25" x14ac:dyDescent="0.2">
      <c r="A125" s="83">
        <v>1</v>
      </c>
      <c r="B125" s="84">
        <v>5701603302302</v>
      </c>
      <c r="C125" s="83">
        <v>70</v>
      </c>
      <c r="D125" s="84">
        <v>1010288</v>
      </c>
      <c r="F125" s="83" t="s">
        <v>103</v>
      </c>
      <c r="G125" s="83">
        <v>0</v>
      </c>
      <c r="H125" s="83">
        <v>100</v>
      </c>
      <c r="K125" s="83">
        <v>4</v>
      </c>
      <c r="L125" s="83" t="s">
        <v>101</v>
      </c>
      <c r="M125" s="83" t="s">
        <v>410</v>
      </c>
      <c r="N125" s="83" t="s">
        <v>102</v>
      </c>
      <c r="P125" s="83">
        <v>0</v>
      </c>
      <c r="U125" s="83">
        <v>4</v>
      </c>
      <c r="V125" s="83">
        <v>1</v>
      </c>
      <c r="W125" s="83" t="s">
        <v>103</v>
      </c>
      <c r="X125" s="83">
        <v>0</v>
      </c>
    </row>
    <row r="126" spans="1:25" x14ac:dyDescent="0.2">
      <c r="A126" s="83">
        <v>1</v>
      </c>
      <c r="B126" s="84">
        <v>5701603302302</v>
      </c>
      <c r="C126" s="83">
        <v>80</v>
      </c>
      <c r="D126" s="84">
        <v>1020145</v>
      </c>
      <c r="F126" s="83" t="s">
        <v>103</v>
      </c>
      <c r="G126" s="83">
        <v>0</v>
      </c>
      <c r="H126" s="83">
        <v>100</v>
      </c>
      <c r="K126" s="83" t="s">
        <v>408</v>
      </c>
      <c r="L126" s="83" t="s">
        <v>101</v>
      </c>
      <c r="M126" s="83" t="s">
        <v>410</v>
      </c>
      <c r="N126" s="83" t="s">
        <v>102</v>
      </c>
      <c r="P126" s="83">
        <v>0</v>
      </c>
      <c r="U126" s="83">
        <v>4</v>
      </c>
      <c r="V126" s="83">
        <v>1</v>
      </c>
      <c r="W126" s="83" t="s">
        <v>103</v>
      </c>
      <c r="X126" s="83">
        <v>0</v>
      </c>
    </row>
    <row r="127" spans="1:25" x14ac:dyDescent="0.2">
      <c r="A127" s="83">
        <v>1</v>
      </c>
      <c r="B127" s="84">
        <v>5701603302302</v>
      </c>
      <c r="C127" s="83">
        <v>90</v>
      </c>
      <c r="D127" s="84">
        <v>777500302</v>
      </c>
      <c r="F127" s="83" t="s">
        <v>103</v>
      </c>
      <c r="G127" s="83">
        <v>0</v>
      </c>
      <c r="H127" s="83">
        <v>100</v>
      </c>
      <c r="K127" s="83">
        <v>1</v>
      </c>
      <c r="L127" s="83" t="s">
        <v>101</v>
      </c>
      <c r="M127" s="83" t="s">
        <v>410</v>
      </c>
      <c r="N127" s="83" t="s">
        <v>102</v>
      </c>
      <c r="P127" s="83">
        <v>0</v>
      </c>
      <c r="U127" s="83">
        <v>4</v>
      </c>
      <c r="V127" s="83">
        <v>1</v>
      </c>
      <c r="W127" s="83" t="s">
        <v>103</v>
      </c>
      <c r="X127" s="83">
        <v>0</v>
      </c>
    </row>
    <row r="128" spans="1:25" x14ac:dyDescent="0.2">
      <c r="A128" s="83">
        <v>1</v>
      </c>
      <c r="B128" s="84">
        <v>5701603303302</v>
      </c>
      <c r="C128" s="83">
        <v>10</v>
      </c>
      <c r="D128" s="84">
        <v>5980463303</v>
      </c>
      <c r="F128" s="83" t="s">
        <v>103</v>
      </c>
      <c r="G128" s="83">
        <v>0</v>
      </c>
      <c r="H128" s="83">
        <v>100</v>
      </c>
      <c r="K128" s="83">
        <v>1</v>
      </c>
      <c r="L128" s="83" t="s">
        <v>101</v>
      </c>
      <c r="M128" s="83" t="s">
        <v>410</v>
      </c>
      <c r="N128" s="83" t="s">
        <v>102</v>
      </c>
      <c r="P128" s="83">
        <v>0</v>
      </c>
      <c r="U128" s="83">
        <v>4</v>
      </c>
      <c r="V128" s="83">
        <v>1</v>
      </c>
      <c r="W128" s="83" t="s">
        <v>103</v>
      </c>
      <c r="X128" s="83">
        <v>0</v>
      </c>
      <c r="Y128" s="83" t="str">
        <f>LEFT(D128,6)</f>
        <v>598046</v>
      </c>
    </row>
    <row r="129" spans="1:25" x14ac:dyDescent="0.2">
      <c r="A129" s="83">
        <v>1</v>
      </c>
      <c r="B129" s="84">
        <v>5701603303302</v>
      </c>
      <c r="C129" s="83">
        <v>20</v>
      </c>
      <c r="D129" s="84">
        <v>5980543303</v>
      </c>
      <c r="F129" s="83" t="s">
        <v>103</v>
      </c>
      <c r="G129" s="83">
        <v>0</v>
      </c>
      <c r="H129" s="83">
        <v>100</v>
      </c>
      <c r="K129" s="83">
        <v>1</v>
      </c>
      <c r="L129" s="83" t="s">
        <v>101</v>
      </c>
      <c r="M129" s="83" t="s">
        <v>410</v>
      </c>
      <c r="N129" s="83" t="s">
        <v>102</v>
      </c>
      <c r="P129" s="83">
        <v>0</v>
      </c>
      <c r="U129" s="83">
        <v>4</v>
      </c>
      <c r="V129" s="83">
        <v>1</v>
      </c>
      <c r="W129" s="83" t="s">
        <v>103</v>
      </c>
      <c r="X129" s="83">
        <v>0</v>
      </c>
    </row>
    <row r="130" spans="1:25" x14ac:dyDescent="0.2">
      <c r="A130" s="83">
        <v>1</v>
      </c>
      <c r="B130" s="84">
        <v>5701603303302</v>
      </c>
      <c r="C130" s="83">
        <v>30</v>
      </c>
      <c r="D130" s="84">
        <v>5980623303</v>
      </c>
      <c r="F130" s="83" t="s">
        <v>103</v>
      </c>
      <c r="G130" s="83">
        <v>0</v>
      </c>
      <c r="H130" s="83">
        <v>100</v>
      </c>
      <c r="K130" s="83">
        <v>1</v>
      </c>
      <c r="L130" s="83" t="s">
        <v>101</v>
      </c>
      <c r="M130" s="83" t="s">
        <v>410</v>
      </c>
      <c r="N130" s="83" t="s">
        <v>102</v>
      </c>
      <c r="P130" s="83">
        <v>0</v>
      </c>
      <c r="U130" s="83">
        <v>4</v>
      </c>
      <c r="V130" s="83">
        <v>1</v>
      </c>
      <c r="W130" s="83" t="s">
        <v>103</v>
      </c>
      <c r="X130" s="83">
        <v>0</v>
      </c>
    </row>
    <row r="131" spans="1:25" x14ac:dyDescent="0.2">
      <c r="A131" s="83">
        <v>1</v>
      </c>
      <c r="B131" s="84">
        <v>5701603303302</v>
      </c>
      <c r="C131" s="83">
        <v>40</v>
      </c>
      <c r="D131" s="84">
        <v>5980823303</v>
      </c>
      <c r="F131" s="83" t="s">
        <v>103</v>
      </c>
      <c r="G131" s="83">
        <v>0</v>
      </c>
      <c r="H131" s="83">
        <v>100</v>
      </c>
      <c r="K131" s="83">
        <v>1</v>
      </c>
      <c r="L131" s="83" t="s">
        <v>101</v>
      </c>
      <c r="M131" s="83" t="s">
        <v>410</v>
      </c>
      <c r="N131" s="83" t="s">
        <v>102</v>
      </c>
      <c r="P131" s="83">
        <v>0</v>
      </c>
      <c r="U131" s="83">
        <v>4</v>
      </c>
      <c r="V131" s="83">
        <v>1</v>
      </c>
      <c r="W131" s="83" t="s">
        <v>103</v>
      </c>
      <c r="X131" s="83">
        <v>0</v>
      </c>
    </row>
    <row r="132" spans="1:25" x14ac:dyDescent="0.2">
      <c r="A132" s="83">
        <v>1</v>
      </c>
      <c r="B132" s="84">
        <v>5701603303302</v>
      </c>
      <c r="C132" s="83">
        <v>50</v>
      </c>
      <c r="D132" s="84">
        <v>5980933303</v>
      </c>
      <c r="F132" s="83" t="s">
        <v>103</v>
      </c>
      <c r="G132" s="83">
        <v>0</v>
      </c>
      <c r="H132" s="83">
        <v>100</v>
      </c>
      <c r="K132" s="83">
        <v>1</v>
      </c>
      <c r="L132" s="83" t="s">
        <v>101</v>
      </c>
      <c r="M132" s="83" t="s">
        <v>410</v>
      </c>
      <c r="N132" s="83" t="s">
        <v>102</v>
      </c>
      <c r="P132" s="83">
        <v>0</v>
      </c>
      <c r="U132" s="83">
        <v>4</v>
      </c>
      <c r="V132" s="83">
        <v>1</v>
      </c>
      <c r="W132" s="83" t="s">
        <v>103</v>
      </c>
      <c r="X132" s="83">
        <v>0</v>
      </c>
    </row>
    <row r="133" spans="1:25" x14ac:dyDescent="0.2">
      <c r="A133" s="83">
        <v>1</v>
      </c>
      <c r="B133" s="84">
        <v>5701603303302</v>
      </c>
      <c r="C133" s="83">
        <v>60</v>
      </c>
      <c r="D133" s="84">
        <v>1010286</v>
      </c>
      <c r="F133" s="83" t="s">
        <v>103</v>
      </c>
      <c r="G133" s="83">
        <v>0</v>
      </c>
      <c r="H133" s="83">
        <v>100</v>
      </c>
      <c r="K133" s="83">
        <v>8</v>
      </c>
      <c r="L133" s="83" t="s">
        <v>101</v>
      </c>
      <c r="M133" s="83" t="s">
        <v>410</v>
      </c>
      <c r="N133" s="83" t="s">
        <v>102</v>
      </c>
      <c r="P133" s="83">
        <v>0</v>
      </c>
      <c r="U133" s="83">
        <v>4</v>
      </c>
      <c r="V133" s="83">
        <v>1</v>
      </c>
      <c r="W133" s="83" t="s">
        <v>103</v>
      </c>
      <c r="X133" s="83">
        <v>0</v>
      </c>
    </row>
    <row r="134" spans="1:25" x14ac:dyDescent="0.2">
      <c r="A134" s="83">
        <v>1</v>
      </c>
      <c r="B134" s="84">
        <v>5701603303302</v>
      </c>
      <c r="C134" s="83">
        <v>70</v>
      </c>
      <c r="D134" s="84">
        <v>1010287</v>
      </c>
      <c r="F134" s="83" t="s">
        <v>103</v>
      </c>
      <c r="G134" s="83">
        <v>0</v>
      </c>
      <c r="H134" s="83">
        <v>100</v>
      </c>
      <c r="K134" s="83">
        <v>4</v>
      </c>
      <c r="L134" s="83" t="s">
        <v>101</v>
      </c>
      <c r="M134" s="83" t="s">
        <v>410</v>
      </c>
      <c r="N134" s="83" t="s">
        <v>102</v>
      </c>
      <c r="P134" s="83">
        <v>0</v>
      </c>
      <c r="U134" s="83">
        <v>4</v>
      </c>
      <c r="V134" s="83">
        <v>1</v>
      </c>
      <c r="W134" s="83" t="s">
        <v>103</v>
      </c>
      <c r="X134" s="83">
        <v>0</v>
      </c>
    </row>
    <row r="135" spans="1:25" x14ac:dyDescent="0.2">
      <c r="A135" s="83">
        <v>1</v>
      </c>
      <c r="B135" s="84">
        <v>5701603303302</v>
      </c>
      <c r="C135" s="83">
        <v>80</v>
      </c>
      <c r="D135" s="84">
        <v>1020145</v>
      </c>
      <c r="F135" s="83" t="s">
        <v>103</v>
      </c>
      <c r="G135" s="83">
        <v>0</v>
      </c>
      <c r="H135" s="83">
        <v>100</v>
      </c>
      <c r="K135" s="83" t="s">
        <v>408</v>
      </c>
      <c r="L135" s="83" t="s">
        <v>101</v>
      </c>
      <c r="M135" s="83" t="s">
        <v>410</v>
      </c>
      <c r="N135" s="83" t="s">
        <v>102</v>
      </c>
      <c r="P135" s="83">
        <v>0</v>
      </c>
      <c r="U135" s="83">
        <v>4</v>
      </c>
      <c r="V135" s="83">
        <v>1</v>
      </c>
      <c r="W135" s="83" t="s">
        <v>103</v>
      </c>
      <c r="X135" s="83">
        <v>0</v>
      </c>
    </row>
    <row r="136" spans="1:25" x14ac:dyDescent="0.2">
      <c r="A136" s="83">
        <v>1</v>
      </c>
      <c r="B136" s="84">
        <v>5701603303302</v>
      </c>
      <c r="C136" s="83">
        <v>90</v>
      </c>
      <c r="D136" s="84">
        <v>777500302</v>
      </c>
      <c r="F136" s="83" t="s">
        <v>103</v>
      </c>
      <c r="G136" s="83">
        <v>0</v>
      </c>
      <c r="H136" s="83">
        <v>100</v>
      </c>
      <c r="K136" s="83">
        <v>1</v>
      </c>
      <c r="L136" s="83" t="s">
        <v>101</v>
      </c>
      <c r="M136" s="83" t="s">
        <v>410</v>
      </c>
      <c r="N136" s="83" t="s">
        <v>102</v>
      </c>
      <c r="P136" s="83">
        <v>0</v>
      </c>
      <c r="U136" s="83">
        <v>4</v>
      </c>
      <c r="V136" s="83">
        <v>1</v>
      </c>
      <c r="W136" s="83" t="s">
        <v>103</v>
      </c>
      <c r="X136" s="83">
        <v>0</v>
      </c>
    </row>
    <row r="137" spans="1:25" x14ac:dyDescent="0.2">
      <c r="A137" s="83">
        <v>1</v>
      </c>
      <c r="B137" s="84">
        <v>5701603304302</v>
      </c>
      <c r="C137" s="83">
        <v>10</v>
      </c>
      <c r="D137" s="84">
        <v>5980463304</v>
      </c>
      <c r="F137" s="83" t="s">
        <v>103</v>
      </c>
      <c r="G137" s="83">
        <v>0</v>
      </c>
      <c r="H137" s="83">
        <v>100</v>
      </c>
      <c r="K137" s="83">
        <v>1</v>
      </c>
      <c r="L137" s="83" t="s">
        <v>101</v>
      </c>
      <c r="M137" s="83" t="s">
        <v>410</v>
      </c>
      <c r="N137" s="83" t="s">
        <v>102</v>
      </c>
      <c r="P137" s="83">
        <v>0</v>
      </c>
      <c r="U137" s="83">
        <v>4</v>
      </c>
      <c r="V137" s="83">
        <v>1</v>
      </c>
      <c r="W137" s="83" t="s">
        <v>103</v>
      </c>
      <c r="X137" s="83">
        <v>0</v>
      </c>
      <c r="Y137" s="83" t="str">
        <f>LEFT(D137,6)</f>
        <v>598046</v>
      </c>
    </row>
    <row r="138" spans="1:25" x14ac:dyDescent="0.2">
      <c r="A138" s="83">
        <v>1</v>
      </c>
      <c r="B138" s="84">
        <v>5701603304302</v>
      </c>
      <c r="C138" s="83">
        <v>20</v>
      </c>
      <c r="D138" s="84">
        <v>5980543304</v>
      </c>
      <c r="F138" s="83" t="s">
        <v>103</v>
      </c>
      <c r="G138" s="83">
        <v>0</v>
      </c>
      <c r="H138" s="83">
        <v>100</v>
      </c>
      <c r="K138" s="83">
        <v>1</v>
      </c>
      <c r="L138" s="83" t="s">
        <v>101</v>
      </c>
      <c r="M138" s="83" t="s">
        <v>410</v>
      </c>
      <c r="N138" s="83" t="s">
        <v>102</v>
      </c>
      <c r="P138" s="83">
        <v>0</v>
      </c>
      <c r="U138" s="83">
        <v>4</v>
      </c>
      <c r="V138" s="83">
        <v>1</v>
      </c>
      <c r="W138" s="83" t="s">
        <v>103</v>
      </c>
      <c r="X138" s="83">
        <v>0</v>
      </c>
    </row>
    <row r="139" spans="1:25" x14ac:dyDescent="0.2">
      <c r="A139" s="83">
        <v>1</v>
      </c>
      <c r="B139" s="84">
        <v>5701603304302</v>
      </c>
      <c r="C139" s="83">
        <v>30</v>
      </c>
      <c r="D139" s="84">
        <v>5980623304</v>
      </c>
      <c r="F139" s="83" t="s">
        <v>103</v>
      </c>
      <c r="G139" s="83">
        <v>0</v>
      </c>
      <c r="H139" s="83">
        <v>100</v>
      </c>
      <c r="K139" s="83">
        <v>1</v>
      </c>
      <c r="L139" s="83" t="s">
        <v>101</v>
      </c>
      <c r="M139" s="83" t="s">
        <v>410</v>
      </c>
      <c r="N139" s="83" t="s">
        <v>102</v>
      </c>
      <c r="P139" s="83">
        <v>0</v>
      </c>
      <c r="U139" s="83">
        <v>4</v>
      </c>
      <c r="V139" s="83">
        <v>1</v>
      </c>
      <c r="W139" s="83" t="s">
        <v>103</v>
      </c>
      <c r="X139" s="83">
        <v>0</v>
      </c>
    </row>
    <row r="140" spans="1:25" x14ac:dyDescent="0.2">
      <c r="A140" s="83">
        <v>1</v>
      </c>
      <c r="B140" s="84">
        <v>5701603304302</v>
      </c>
      <c r="C140" s="83">
        <v>40</v>
      </c>
      <c r="D140" s="84">
        <v>5980823304</v>
      </c>
      <c r="F140" s="83" t="s">
        <v>103</v>
      </c>
      <c r="G140" s="83">
        <v>0</v>
      </c>
      <c r="H140" s="83">
        <v>100</v>
      </c>
      <c r="K140" s="83">
        <v>1</v>
      </c>
      <c r="L140" s="83" t="s">
        <v>101</v>
      </c>
      <c r="M140" s="83" t="s">
        <v>410</v>
      </c>
      <c r="N140" s="83" t="s">
        <v>102</v>
      </c>
      <c r="P140" s="83">
        <v>0</v>
      </c>
      <c r="U140" s="83">
        <v>4</v>
      </c>
      <c r="V140" s="83">
        <v>1</v>
      </c>
      <c r="W140" s="83" t="s">
        <v>103</v>
      </c>
      <c r="X140" s="83">
        <v>0</v>
      </c>
    </row>
    <row r="141" spans="1:25" x14ac:dyDescent="0.2">
      <c r="A141" s="83">
        <v>1</v>
      </c>
      <c r="B141" s="84">
        <v>5701603304302</v>
      </c>
      <c r="C141" s="83">
        <v>50</v>
      </c>
      <c r="D141" s="84">
        <v>5980933304</v>
      </c>
      <c r="F141" s="83" t="s">
        <v>103</v>
      </c>
      <c r="G141" s="83">
        <v>0</v>
      </c>
      <c r="H141" s="83">
        <v>100</v>
      </c>
      <c r="K141" s="83">
        <v>1</v>
      </c>
      <c r="L141" s="83" t="s">
        <v>101</v>
      </c>
      <c r="M141" s="83" t="s">
        <v>410</v>
      </c>
      <c r="N141" s="83" t="s">
        <v>102</v>
      </c>
      <c r="P141" s="83">
        <v>0</v>
      </c>
      <c r="U141" s="83">
        <v>4</v>
      </c>
      <c r="V141" s="83">
        <v>1</v>
      </c>
      <c r="W141" s="83" t="s">
        <v>103</v>
      </c>
      <c r="X141" s="83">
        <v>0</v>
      </c>
    </row>
    <row r="142" spans="1:25" x14ac:dyDescent="0.2">
      <c r="A142" s="83">
        <v>1</v>
      </c>
      <c r="B142" s="84">
        <v>5701603304302</v>
      </c>
      <c r="C142" s="83">
        <v>60</v>
      </c>
      <c r="D142" s="84">
        <v>1010286</v>
      </c>
      <c r="F142" s="83" t="s">
        <v>103</v>
      </c>
      <c r="G142" s="83">
        <v>0</v>
      </c>
      <c r="H142" s="83">
        <v>100</v>
      </c>
      <c r="K142" s="83">
        <v>8</v>
      </c>
      <c r="L142" s="83" t="s">
        <v>101</v>
      </c>
      <c r="M142" s="83" t="s">
        <v>410</v>
      </c>
      <c r="N142" s="83" t="s">
        <v>102</v>
      </c>
      <c r="P142" s="83">
        <v>0</v>
      </c>
      <c r="U142" s="83">
        <v>4</v>
      </c>
      <c r="V142" s="83">
        <v>1</v>
      </c>
      <c r="W142" s="83" t="s">
        <v>103</v>
      </c>
      <c r="X142" s="83">
        <v>0</v>
      </c>
    </row>
    <row r="143" spans="1:25" x14ac:dyDescent="0.2">
      <c r="A143" s="83">
        <v>1</v>
      </c>
      <c r="B143" s="84">
        <v>5701603304302</v>
      </c>
      <c r="C143" s="83">
        <v>70</v>
      </c>
      <c r="D143" s="84">
        <v>1010288</v>
      </c>
      <c r="F143" s="83" t="s">
        <v>103</v>
      </c>
      <c r="G143" s="83">
        <v>0</v>
      </c>
      <c r="H143" s="83">
        <v>100</v>
      </c>
      <c r="K143" s="83">
        <v>4</v>
      </c>
      <c r="L143" s="83" t="s">
        <v>101</v>
      </c>
      <c r="M143" s="83" t="s">
        <v>410</v>
      </c>
      <c r="N143" s="83" t="s">
        <v>102</v>
      </c>
      <c r="P143" s="83">
        <v>0</v>
      </c>
      <c r="U143" s="83">
        <v>4</v>
      </c>
      <c r="V143" s="83">
        <v>1</v>
      </c>
      <c r="W143" s="83" t="s">
        <v>103</v>
      </c>
      <c r="X143" s="83">
        <v>0</v>
      </c>
    </row>
    <row r="144" spans="1:25" x14ac:dyDescent="0.2">
      <c r="A144" s="83">
        <v>1</v>
      </c>
      <c r="B144" s="84">
        <v>5701603304302</v>
      </c>
      <c r="C144" s="83">
        <v>80</v>
      </c>
      <c r="D144" s="85">
        <v>1020145</v>
      </c>
      <c r="F144" s="83" t="s">
        <v>103</v>
      </c>
      <c r="G144" s="83">
        <v>0</v>
      </c>
      <c r="H144" s="83">
        <v>100</v>
      </c>
      <c r="K144" s="83" t="s">
        <v>408</v>
      </c>
      <c r="L144" s="83" t="s">
        <v>101</v>
      </c>
      <c r="M144" s="83" t="s">
        <v>410</v>
      </c>
      <c r="N144" s="83" t="s">
        <v>102</v>
      </c>
      <c r="P144" s="83">
        <v>0</v>
      </c>
      <c r="U144" s="83">
        <v>4</v>
      </c>
      <c r="V144" s="83">
        <v>1</v>
      </c>
      <c r="W144" s="83" t="s">
        <v>103</v>
      </c>
      <c r="X144" s="83">
        <v>0</v>
      </c>
    </row>
    <row r="145" spans="1:25" x14ac:dyDescent="0.2">
      <c r="A145" s="83">
        <v>1</v>
      </c>
      <c r="B145" s="84">
        <v>5701603304302</v>
      </c>
      <c r="C145" s="83">
        <v>90</v>
      </c>
      <c r="D145" s="84">
        <v>777500302</v>
      </c>
      <c r="F145" s="83" t="s">
        <v>103</v>
      </c>
      <c r="G145" s="83">
        <v>0</v>
      </c>
      <c r="H145" s="83">
        <v>100</v>
      </c>
      <c r="K145" s="83">
        <v>1</v>
      </c>
      <c r="L145" s="83" t="s">
        <v>101</v>
      </c>
      <c r="M145" s="83" t="s">
        <v>410</v>
      </c>
      <c r="N145" s="83" t="s">
        <v>102</v>
      </c>
      <c r="P145" s="83">
        <v>0</v>
      </c>
      <c r="U145" s="83">
        <v>4</v>
      </c>
      <c r="V145" s="83">
        <v>1</v>
      </c>
      <c r="W145" s="83" t="s">
        <v>103</v>
      </c>
      <c r="X145" s="83">
        <v>0</v>
      </c>
    </row>
    <row r="146" spans="1:25" x14ac:dyDescent="0.2">
      <c r="A146" s="83">
        <v>1</v>
      </c>
      <c r="B146" s="84">
        <v>5701603305302</v>
      </c>
      <c r="C146" s="83">
        <v>10</v>
      </c>
      <c r="D146" s="84">
        <v>5980463305</v>
      </c>
      <c r="F146" s="83" t="s">
        <v>103</v>
      </c>
      <c r="G146" s="83">
        <v>0</v>
      </c>
      <c r="H146" s="83">
        <v>100</v>
      </c>
      <c r="K146" s="83">
        <v>1</v>
      </c>
      <c r="L146" s="83" t="s">
        <v>101</v>
      </c>
      <c r="M146" s="83" t="s">
        <v>410</v>
      </c>
      <c r="N146" s="83" t="s">
        <v>102</v>
      </c>
      <c r="P146" s="83">
        <v>0</v>
      </c>
      <c r="U146" s="83">
        <v>4</v>
      </c>
      <c r="V146" s="83">
        <v>1</v>
      </c>
      <c r="W146" s="83" t="s">
        <v>103</v>
      </c>
      <c r="X146" s="83">
        <v>0</v>
      </c>
      <c r="Y146" s="83" t="str">
        <f>LEFT(D146,6)</f>
        <v>598046</v>
      </c>
    </row>
    <row r="147" spans="1:25" x14ac:dyDescent="0.2">
      <c r="A147" s="83">
        <v>1</v>
      </c>
      <c r="B147" s="84">
        <v>5701603305302</v>
      </c>
      <c r="C147" s="83">
        <v>20</v>
      </c>
      <c r="D147" s="84">
        <v>5980543305</v>
      </c>
      <c r="F147" s="83" t="s">
        <v>103</v>
      </c>
      <c r="G147" s="83">
        <v>0</v>
      </c>
      <c r="H147" s="83">
        <v>100</v>
      </c>
      <c r="K147" s="83">
        <v>1</v>
      </c>
      <c r="L147" s="83" t="s">
        <v>101</v>
      </c>
      <c r="M147" s="83" t="s">
        <v>410</v>
      </c>
      <c r="N147" s="83" t="s">
        <v>102</v>
      </c>
      <c r="P147" s="83">
        <v>0</v>
      </c>
      <c r="U147" s="83">
        <v>4</v>
      </c>
      <c r="V147" s="83">
        <v>1</v>
      </c>
      <c r="W147" s="83" t="s">
        <v>103</v>
      </c>
      <c r="X147" s="83">
        <v>0</v>
      </c>
    </row>
    <row r="148" spans="1:25" x14ac:dyDescent="0.2">
      <c r="A148" s="83">
        <v>1</v>
      </c>
      <c r="B148" s="84">
        <v>5701603305302</v>
      </c>
      <c r="C148" s="83">
        <v>30</v>
      </c>
      <c r="D148" s="84">
        <v>5980623305</v>
      </c>
      <c r="F148" s="83" t="s">
        <v>103</v>
      </c>
      <c r="G148" s="83">
        <v>0</v>
      </c>
      <c r="H148" s="83">
        <v>100</v>
      </c>
      <c r="K148" s="83">
        <v>1</v>
      </c>
      <c r="L148" s="83" t="s">
        <v>101</v>
      </c>
      <c r="M148" s="83" t="s">
        <v>410</v>
      </c>
      <c r="N148" s="83" t="s">
        <v>102</v>
      </c>
      <c r="P148" s="83">
        <v>0</v>
      </c>
      <c r="U148" s="83">
        <v>4</v>
      </c>
      <c r="V148" s="83">
        <v>1</v>
      </c>
      <c r="W148" s="83" t="s">
        <v>103</v>
      </c>
      <c r="X148" s="83">
        <v>0</v>
      </c>
    </row>
    <row r="149" spans="1:25" x14ac:dyDescent="0.2">
      <c r="A149" s="83">
        <v>1</v>
      </c>
      <c r="B149" s="84">
        <v>5701603305302</v>
      </c>
      <c r="C149" s="83">
        <v>40</v>
      </c>
      <c r="D149" s="84">
        <v>5980823305</v>
      </c>
      <c r="F149" s="83" t="s">
        <v>103</v>
      </c>
      <c r="G149" s="83">
        <v>0</v>
      </c>
      <c r="H149" s="83">
        <v>100</v>
      </c>
      <c r="K149" s="83">
        <v>1</v>
      </c>
      <c r="L149" s="83" t="s">
        <v>101</v>
      </c>
      <c r="M149" s="83" t="s">
        <v>410</v>
      </c>
      <c r="N149" s="83" t="s">
        <v>102</v>
      </c>
      <c r="P149" s="83">
        <v>0</v>
      </c>
      <c r="U149" s="83">
        <v>4</v>
      </c>
      <c r="V149" s="83">
        <v>1</v>
      </c>
      <c r="W149" s="83" t="s">
        <v>103</v>
      </c>
      <c r="X149" s="83">
        <v>0</v>
      </c>
    </row>
    <row r="150" spans="1:25" x14ac:dyDescent="0.2">
      <c r="A150" s="83">
        <v>1</v>
      </c>
      <c r="B150" s="84">
        <v>5701603305302</v>
      </c>
      <c r="C150" s="83">
        <v>50</v>
      </c>
      <c r="D150" s="84">
        <v>5980933305</v>
      </c>
      <c r="F150" s="83" t="s">
        <v>103</v>
      </c>
      <c r="G150" s="83">
        <v>0</v>
      </c>
      <c r="H150" s="83">
        <v>100</v>
      </c>
      <c r="K150" s="83">
        <v>1</v>
      </c>
      <c r="L150" s="83" t="s">
        <v>101</v>
      </c>
      <c r="M150" s="83" t="s">
        <v>410</v>
      </c>
      <c r="N150" s="83" t="s">
        <v>102</v>
      </c>
      <c r="P150" s="83">
        <v>0</v>
      </c>
      <c r="U150" s="83">
        <v>4</v>
      </c>
      <c r="V150" s="83">
        <v>1</v>
      </c>
      <c r="W150" s="83" t="s">
        <v>103</v>
      </c>
      <c r="X150" s="83">
        <v>0</v>
      </c>
    </row>
    <row r="151" spans="1:25" x14ac:dyDescent="0.2">
      <c r="A151" s="83">
        <v>1</v>
      </c>
      <c r="B151" s="84">
        <v>5701603305302</v>
      </c>
      <c r="C151" s="83">
        <v>60</v>
      </c>
      <c r="D151" s="84">
        <v>1010286</v>
      </c>
      <c r="F151" s="83" t="s">
        <v>103</v>
      </c>
      <c r="G151" s="83">
        <v>0</v>
      </c>
      <c r="H151" s="83">
        <v>100</v>
      </c>
      <c r="K151" s="83">
        <v>8</v>
      </c>
      <c r="L151" s="83" t="s">
        <v>101</v>
      </c>
      <c r="M151" s="83" t="s">
        <v>410</v>
      </c>
      <c r="N151" s="83" t="s">
        <v>102</v>
      </c>
      <c r="P151" s="83">
        <v>0</v>
      </c>
      <c r="U151" s="83">
        <v>4</v>
      </c>
      <c r="V151" s="83">
        <v>1</v>
      </c>
      <c r="W151" s="83" t="s">
        <v>103</v>
      </c>
      <c r="X151" s="83">
        <v>0</v>
      </c>
    </row>
    <row r="152" spans="1:25" x14ac:dyDescent="0.2">
      <c r="A152" s="83">
        <v>1</v>
      </c>
      <c r="B152" s="84">
        <v>5701603305302</v>
      </c>
      <c r="C152" s="83">
        <v>70</v>
      </c>
      <c r="D152" s="84">
        <v>1010288</v>
      </c>
      <c r="F152" s="83" t="s">
        <v>103</v>
      </c>
      <c r="G152" s="83">
        <v>0</v>
      </c>
      <c r="H152" s="83">
        <v>100</v>
      </c>
      <c r="K152" s="83">
        <v>4</v>
      </c>
      <c r="L152" s="83" t="s">
        <v>101</v>
      </c>
      <c r="M152" s="83" t="s">
        <v>410</v>
      </c>
      <c r="N152" s="83" t="s">
        <v>102</v>
      </c>
      <c r="P152" s="83">
        <v>0</v>
      </c>
      <c r="U152" s="83">
        <v>4</v>
      </c>
      <c r="V152" s="83">
        <v>1</v>
      </c>
      <c r="W152" s="83" t="s">
        <v>103</v>
      </c>
      <c r="X152" s="83">
        <v>0</v>
      </c>
    </row>
    <row r="153" spans="1:25" x14ac:dyDescent="0.2">
      <c r="A153" s="83">
        <v>1</v>
      </c>
      <c r="B153" s="84">
        <v>5701603305302</v>
      </c>
      <c r="C153" s="83">
        <v>80</v>
      </c>
      <c r="D153" s="84">
        <v>1020145</v>
      </c>
      <c r="F153" s="83" t="s">
        <v>103</v>
      </c>
      <c r="G153" s="83">
        <v>0</v>
      </c>
      <c r="H153" s="83">
        <v>100</v>
      </c>
      <c r="K153" s="83" t="s">
        <v>408</v>
      </c>
      <c r="L153" s="83" t="s">
        <v>101</v>
      </c>
      <c r="M153" s="83" t="s">
        <v>410</v>
      </c>
      <c r="N153" s="83" t="s">
        <v>102</v>
      </c>
      <c r="P153" s="83">
        <v>0</v>
      </c>
      <c r="U153" s="83">
        <v>4</v>
      </c>
      <c r="V153" s="83">
        <v>1</v>
      </c>
      <c r="W153" s="83" t="s">
        <v>103</v>
      </c>
      <c r="X153" s="83">
        <v>0</v>
      </c>
    </row>
    <row r="154" spans="1:25" x14ac:dyDescent="0.2">
      <c r="A154" s="83">
        <v>1</v>
      </c>
      <c r="B154" s="84">
        <v>5701603305302</v>
      </c>
      <c r="C154" s="83">
        <v>90</v>
      </c>
      <c r="D154" s="84">
        <v>777500302</v>
      </c>
      <c r="F154" s="83" t="s">
        <v>103</v>
      </c>
      <c r="G154" s="83">
        <v>0</v>
      </c>
      <c r="H154" s="83">
        <v>100</v>
      </c>
      <c r="K154" s="83">
        <v>1</v>
      </c>
      <c r="L154" s="83" t="s">
        <v>101</v>
      </c>
      <c r="M154" s="83" t="s">
        <v>410</v>
      </c>
      <c r="N154" s="83" t="s">
        <v>102</v>
      </c>
      <c r="P154" s="83">
        <v>0</v>
      </c>
      <c r="U154" s="83">
        <v>4</v>
      </c>
      <c r="V154" s="83">
        <v>1</v>
      </c>
      <c r="W154" s="83" t="s">
        <v>103</v>
      </c>
      <c r="X154" s="83">
        <v>0</v>
      </c>
    </row>
    <row r="155" spans="1:25" x14ac:dyDescent="0.2">
      <c r="A155" s="83">
        <v>1</v>
      </c>
      <c r="B155" s="84">
        <v>5701603306302</v>
      </c>
      <c r="C155" s="83">
        <v>10</v>
      </c>
      <c r="D155" s="84">
        <v>5980463306</v>
      </c>
      <c r="F155" s="83" t="s">
        <v>103</v>
      </c>
      <c r="G155" s="83">
        <v>0</v>
      </c>
      <c r="H155" s="83">
        <v>100</v>
      </c>
      <c r="K155" s="83">
        <v>1</v>
      </c>
      <c r="L155" s="83" t="s">
        <v>101</v>
      </c>
      <c r="M155" s="83" t="s">
        <v>410</v>
      </c>
      <c r="N155" s="83" t="s">
        <v>102</v>
      </c>
      <c r="P155" s="83">
        <v>0</v>
      </c>
      <c r="U155" s="83">
        <v>4</v>
      </c>
      <c r="V155" s="83">
        <v>1</v>
      </c>
      <c r="W155" s="83" t="s">
        <v>103</v>
      </c>
      <c r="X155" s="83">
        <v>0</v>
      </c>
      <c r="Y155" s="83" t="str">
        <f>LEFT(D155,6)</f>
        <v>598046</v>
      </c>
    </row>
    <row r="156" spans="1:25" x14ac:dyDescent="0.2">
      <c r="A156" s="83">
        <v>1</v>
      </c>
      <c r="B156" s="84">
        <v>5701603306302</v>
      </c>
      <c r="C156" s="83">
        <v>20</v>
      </c>
      <c r="D156" s="84">
        <v>5980543306</v>
      </c>
      <c r="F156" s="83" t="s">
        <v>103</v>
      </c>
      <c r="G156" s="83">
        <v>0</v>
      </c>
      <c r="H156" s="83">
        <v>100</v>
      </c>
      <c r="K156" s="83">
        <v>1</v>
      </c>
      <c r="L156" s="83" t="s">
        <v>101</v>
      </c>
      <c r="M156" s="83" t="s">
        <v>410</v>
      </c>
      <c r="N156" s="83" t="s">
        <v>102</v>
      </c>
      <c r="P156" s="83">
        <v>0</v>
      </c>
      <c r="U156" s="83">
        <v>4</v>
      </c>
      <c r="V156" s="83">
        <v>1</v>
      </c>
      <c r="W156" s="83" t="s">
        <v>103</v>
      </c>
      <c r="X156" s="83">
        <v>0</v>
      </c>
    </row>
    <row r="157" spans="1:25" x14ac:dyDescent="0.2">
      <c r="A157" s="83">
        <v>1</v>
      </c>
      <c r="B157" s="84">
        <v>5701603306302</v>
      </c>
      <c r="C157" s="83">
        <v>30</v>
      </c>
      <c r="D157" s="84">
        <v>5980623306</v>
      </c>
      <c r="F157" s="83" t="s">
        <v>103</v>
      </c>
      <c r="G157" s="83">
        <v>0</v>
      </c>
      <c r="H157" s="83">
        <v>100</v>
      </c>
      <c r="K157" s="83">
        <v>1</v>
      </c>
      <c r="L157" s="83" t="s">
        <v>101</v>
      </c>
      <c r="M157" s="83" t="s">
        <v>410</v>
      </c>
      <c r="N157" s="83" t="s">
        <v>102</v>
      </c>
      <c r="P157" s="83">
        <v>0</v>
      </c>
      <c r="U157" s="83">
        <v>4</v>
      </c>
      <c r="V157" s="83">
        <v>1</v>
      </c>
      <c r="W157" s="83" t="s">
        <v>103</v>
      </c>
      <c r="X157" s="83">
        <v>0</v>
      </c>
    </row>
    <row r="158" spans="1:25" x14ac:dyDescent="0.2">
      <c r="A158" s="83">
        <v>1</v>
      </c>
      <c r="B158" s="84">
        <v>5701603306302</v>
      </c>
      <c r="C158" s="83">
        <v>40</v>
      </c>
      <c r="D158" s="84">
        <v>5980823306</v>
      </c>
      <c r="F158" s="83" t="s">
        <v>103</v>
      </c>
      <c r="G158" s="83">
        <v>0</v>
      </c>
      <c r="H158" s="83">
        <v>100</v>
      </c>
      <c r="K158" s="83">
        <v>1</v>
      </c>
      <c r="L158" s="83" t="s">
        <v>101</v>
      </c>
      <c r="M158" s="83" t="s">
        <v>410</v>
      </c>
      <c r="N158" s="83" t="s">
        <v>102</v>
      </c>
      <c r="P158" s="83">
        <v>0</v>
      </c>
      <c r="U158" s="83">
        <v>4</v>
      </c>
      <c r="V158" s="83">
        <v>1</v>
      </c>
      <c r="W158" s="83" t="s">
        <v>103</v>
      </c>
      <c r="X158" s="83">
        <v>0</v>
      </c>
    </row>
    <row r="159" spans="1:25" x14ac:dyDescent="0.2">
      <c r="A159" s="83">
        <v>1</v>
      </c>
      <c r="B159" s="84">
        <v>5701603306302</v>
      </c>
      <c r="C159" s="83">
        <v>50</v>
      </c>
      <c r="D159" s="84">
        <v>5980933306</v>
      </c>
      <c r="F159" s="83" t="s">
        <v>103</v>
      </c>
      <c r="G159" s="83">
        <v>0</v>
      </c>
      <c r="H159" s="83">
        <v>100</v>
      </c>
      <c r="K159" s="83">
        <v>1</v>
      </c>
      <c r="L159" s="83" t="s">
        <v>101</v>
      </c>
      <c r="M159" s="83" t="s">
        <v>410</v>
      </c>
      <c r="N159" s="83" t="s">
        <v>102</v>
      </c>
      <c r="P159" s="83">
        <v>0</v>
      </c>
      <c r="U159" s="83">
        <v>4</v>
      </c>
      <c r="V159" s="83">
        <v>1</v>
      </c>
      <c r="W159" s="83" t="s">
        <v>103</v>
      </c>
      <c r="X159" s="83">
        <v>0</v>
      </c>
    </row>
    <row r="160" spans="1:25" x14ac:dyDescent="0.2">
      <c r="A160" s="83">
        <v>1</v>
      </c>
      <c r="B160" s="84">
        <v>5701603306302</v>
      </c>
      <c r="C160" s="83">
        <v>60</v>
      </c>
      <c r="D160" s="84">
        <v>1010286</v>
      </c>
      <c r="F160" s="83" t="s">
        <v>103</v>
      </c>
      <c r="G160" s="83">
        <v>0</v>
      </c>
      <c r="H160" s="83">
        <v>100</v>
      </c>
      <c r="K160" s="83">
        <v>8</v>
      </c>
      <c r="L160" s="83" t="s">
        <v>101</v>
      </c>
      <c r="M160" s="83" t="s">
        <v>410</v>
      </c>
      <c r="N160" s="83" t="s">
        <v>102</v>
      </c>
      <c r="P160" s="83">
        <v>0</v>
      </c>
      <c r="U160" s="83">
        <v>4</v>
      </c>
      <c r="V160" s="83">
        <v>1</v>
      </c>
      <c r="W160" s="83" t="s">
        <v>103</v>
      </c>
      <c r="X160" s="83">
        <v>0</v>
      </c>
    </row>
    <row r="161" spans="1:25" x14ac:dyDescent="0.2">
      <c r="A161" s="83">
        <v>1</v>
      </c>
      <c r="B161" s="84">
        <v>5701603306302</v>
      </c>
      <c r="C161" s="83">
        <v>70</v>
      </c>
      <c r="D161" s="84">
        <v>1010287</v>
      </c>
      <c r="F161" s="83" t="s">
        <v>103</v>
      </c>
      <c r="G161" s="83">
        <v>0</v>
      </c>
      <c r="H161" s="83">
        <v>100</v>
      </c>
      <c r="K161" s="83">
        <v>4</v>
      </c>
      <c r="L161" s="83" t="s">
        <v>101</v>
      </c>
      <c r="M161" s="83" t="s">
        <v>410</v>
      </c>
      <c r="N161" s="83" t="s">
        <v>102</v>
      </c>
      <c r="P161" s="83">
        <v>0</v>
      </c>
      <c r="U161" s="83">
        <v>4</v>
      </c>
      <c r="V161" s="83">
        <v>1</v>
      </c>
      <c r="W161" s="83" t="s">
        <v>103</v>
      </c>
      <c r="X161" s="83">
        <v>0</v>
      </c>
    </row>
    <row r="162" spans="1:25" x14ac:dyDescent="0.2">
      <c r="A162" s="83">
        <v>1</v>
      </c>
      <c r="B162" s="84">
        <v>5701603306302</v>
      </c>
      <c r="C162" s="83">
        <v>80</v>
      </c>
      <c r="D162" s="84">
        <v>1020145</v>
      </c>
      <c r="F162" s="83" t="s">
        <v>103</v>
      </c>
      <c r="G162" s="83">
        <v>0</v>
      </c>
      <c r="H162" s="83">
        <v>100</v>
      </c>
      <c r="K162" s="83" t="s">
        <v>408</v>
      </c>
      <c r="L162" s="83" t="s">
        <v>101</v>
      </c>
      <c r="M162" s="83" t="s">
        <v>410</v>
      </c>
      <c r="N162" s="83" t="s">
        <v>102</v>
      </c>
      <c r="P162" s="83">
        <v>0</v>
      </c>
      <c r="U162" s="83">
        <v>4</v>
      </c>
      <c r="V162" s="83">
        <v>1</v>
      </c>
      <c r="W162" s="83" t="s">
        <v>103</v>
      </c>
      <c r="X162" s="83">
        <v>0</v>
      </c>
    </row>
    <row r="163" spans="1:25" x14ac:dyDescent="0.2">
      <c r="A163" s="83">
        <v>1</v>
      </c>
      <c r="B163" s="84">
        <v>5701603306302</v>
      </c>
      <c r="C163" s="83">
        <v>90</v>
      </c>
      <c r="D163" s="84">
        <v>777500302</v>
      </c>
      <c r="F163" s="83" t="s">
        <v>103</v>
      </c>
      <c r="G163" s="83">
        <v>0</v>
      </c>
      <c r="H163" s="83">
        <v>100</v>
      </c>
      <c r="K163" s="83">
        <v>1</v>
      </c>
      <c r="L163" s="83" t="s">
        <v>101</v>
      </c>
      <c r="M163" s="83" t="s">
        <v>410</v>
      </c>
      <c r="N163" s="83" t="s">
        <v>102</v>
      </c>
      <c r="P163" s="83">
        <v>0</v>
      </c>
      <c r="U163" s="83">
        <v>4</v>
      </c>
      <c r="V163" s="83">
        <v>1</v>
      </c>
      <c r="W163" s="83" t="s">
        <v>103</v>
      </c>
      <c r="X163" s="83">
        <v>0</v>
      </c>
    </row>
    <row r="164" spans="1:25" x14ac:dyDescent="0.2">
      <c r="A164" s="83">
        <v>1</v>
      </c>
      <c r="B164" s="84">
        <v>5701603307302</v>
      </c>
      <c r="C164" s="83">
        <v>10</v>
      </c>
      <c r="D164" s="84">
        <v>5980463307</v>
      </c>
      <c r="F164" s="83" t="s">
        <v>103</v>
      </c>
      <c r="G164" s="83">
        <v>0</v>
      </c>
      <c r="H164" s="83">
        <v>100</v>
      </c>
      <c r="K164" s="83">
        <v>1</v>
      </c>
      <c r="L164" s="83" t="s">
        <v>101</v>
      </c>
      <c r="M164" s="83" t="s">
        <v>410</v>
      </c>
      <c r="N164" s="83" t="s">
        <v>102</v>
      </c>
      <c r="P164" s="83">
        <v>0</v>
      </c>
      <c r="U164" s="83">
        <v>4</v>
      </c>
      <c r="V164" s="83">
        <v>1</v>
      </c>
      <c r="W164" s="83" t="s">
        <v>103</v>
      </c>
      <c r="X164" s="83">
        <v>0</v>
      </c>
      <c r="Y164" s="83" t="str">
        <f>LEFT(D164,6)</f>
        <v>598046</v>
      </c>
    </row>
    <row r="165" spans="1:25" x14ac:dyDescent="0.2">
      <c r="A165" s="83">
        <v>1</v>
      </c>
      <c r="B165" s="84">
        <v>5701603307302</v>
      </c>
      <c r="C165" s="83">
        <v>20</v>
      </c>
      <c r="D165" s="84">
        <v>5980543307</v>
      </c>
      <c r="F165" s="83" t="s">
        <v>103</v>
      </c>
      <c r="G165" s="83">
        <v>0</v>
      </c>
      <c r="H165" s="83">
        <v>100</v>
      </c>
      <c r="K165" s="83">
        <v>1</v>
      </c>
      <c r="L165" s="83" t="s">
        <v>101</v>
      </c>
      <c r="M165" s="83" t="s">
        <v>410</v>
      </c>
      <c r="N165" s="83" t="s">
        <v>102</v>
      </c>
      <c r="P165" s="83">
        <v>0</v>
      </c>
      <c r="U165" s="83">
        <v>4</v>
      </c>
      <c r="V165" s="83">
        <v>1</v>
      </c>
      <c r="W165" s="83" t="s">
        <v>103</v>
      </c>
      <c r="X165" s="83">
        <v>0</v>
      </c>
    </row>
    <row r="166" spans="1:25" x14ac:dyDescent="0.2">
      <c r="A166" s="83">
        <v>1</v>
      </c>
      <c r="B166" s="84">
        <v>5701603307302</v>
      </c>
      <c r="C166" s="83">
        <v>30</v>
      </c>
      <c r="D166" s="84">
        <v>5980623307</v>
      </c>
      <c r="F166" s="83" t="s">
        <v>103</v>
      </c>
      <c r="G166" s="83">
        <v>0</v>
      </c>
      <c r="H166" s="83">
        <v>100</v>
      </c>
      <c r="K166" s="83">
        <v>1</v>
      </c>
      <c r="L166" s="83" t="s">
        <v>101</v>
      </c>
      <c r="M166" s="83" t="s">
        <v>410</v>
      </c>
      <c r="N166" s="83" t="s">
        <v>102</v>
      </c>
      <c r="P166" s="83">
        <v>0</v>
      </c>
      <c r="U166" s="83">
        <v>4</v>
      </c>
      <c r="V166" s="83">
        <v>1</v>
      </c>
      <c r="W166" s="83" t="s">
        <v>103</v>
      </c>
      <c r="X166" s="83">
        <v>0</v>
      </c>
    </row>
    <row r="167" spans="1:25" x14ac:dyDescent="0.2">
      <c r="A167" s="83">
        <v>1</v>
      </c>
      <c r="B167" s="84">
        <v>5701603307302</v>
      </c>
      <c r="C167" s="83">
        <v>40</v>
      </c>
      <c r="D167" s="84">
        <v>5980823307</v>
      </c>
      <c r="F167" s="83" t="s">
        <v>103</v>
      </c>
      <c r="G167" s="83">
        <v>0</v>
      </c>
      <c r="H167" s="83">
        <v>100</v>
      </c>
      <c r="K167" s="83">
        <v>1</v>
      </c>
      <c r="L167" s="83" t="s">
        <v>101</v>
      </c>
      <c r="M167" s="83" t="s">
        <v>410</v>
      </c>
      <c r="N167" s="83" t="s">
        <v>102</v>
      </c>
      <c r="P167" s="83">
        <v>0</v>
      </c>
      <c r="U167" s="83">
        <v>4</v>
      </c>
      <c r="V167" s="83">
        <v>1</v>
      </c>
      <c r="W167" s="83" t="s">
        <v>103</v>
      </c>
      <c r="X167" s="83">
        <v>0</v>
      </c>
    </row>
    <row r="168" spans="1:25" x14ac:dyDescent="0.2">
      <c r="A168" s="83">
        <v>1</v>
      </c>
      <c r="B168" s="84">
        <v>5701603307302</v>
      </c>
      <c r="C168" s="83">
        <v>50</v>
      </c>
      <c r="D168" s="84">
        <v>5980933307</v>
      </c>
      <c r="F168" s="83" t="s">
        <v>103</v>
      </c>
      <c r="G168" s="83">
        <v>0</v>
      </c>
      <c r="H168" s="83">
        <v>100</v>
      </c>
      <c r="K168" s="83">
        <v>1</v>
      </c>
      <c r="L168" s="83" t="s">
        <v>101</v>
      </c>
      <c r="M168" s="83" t="s">
        <v>410</v>
      </c>
      <c r="N168" s="83" t="s">
        <v>102</v>
      </c>
      <c r="P168" s="83">
        <v>0</v>
      </c>
      <c r="U168" s="83">
        <v>4</v>
      </c>
      <c r="V168" s="83">
        <v>1</v>
      </c>
      <c r="W168" s="83" t="s">
        <v>103</v>
      </c>
      <c r="X168" s="83">
        <v>0</v>
      </c>
    </row>
    <row r="169" spans="1:25" x14ac:dyDescent="0.2">
      <c r="A169" s="83">
        <v>1</v>
      </c>
      <c r="B169" s="84">
        <v>5701603307302</v>
      </c>
      <c r="C169" s="83">
        <v>60</v>
      </c>
      <c r="D169" s="84">
        <v>1010286</v>
      </c>
      <c r="F169" s="83" t="s">
        <v>103</v>
      </c>
      <c r="G169" s="83">
        <v>0</v>
      </c>
      <c r="H169" s="83">
        <v>100</v>
      </c>
      <c r="K169" s="83">
        <v>8</v>
      </c>
      <c r="L169" s="83" t="s">
        <v>101</v>
      </c>
      <c r="M169" s="83" t="s">
        <v>410</v>
      </c>
      <c r="N169" s="83" t="s">
        <v>102</v>
      </c>
      <c r="P169" s="83">
        <v>0</v>
      </c>
      <c r="U169" s="83">
        <v>4</v>
      </c>
      <c r="V169" s="83">
        <v>1</v>
      </c>
      <c r="W169" s="83" t="s">
        <v>103</v>
      </c>
      <c r="X169" s="83">
        <v>0</v>
      </c>
    </row>
    <row r="170" spans="1:25" x14ac:dyDescent="0.2">
      <c r="A170" s="83">
        <v>1</v>
      </c>
      <c r="B170" s="84">
        <v>5701603307302</v>
      </c>
      <c r="C170" s="83">
        <v>70</v>
      </c>
      <c r="D170" s="84">
        <v>1010287</v>
      </c>
      <c r="F170" s="83" t="s">
        <v>103</v>
      </c>
      <c r="G170" s="83">
        <v>0</v>
      </c>
      <c r="H170" s="83">
        <v>100</v>
      </c>
      <c r="K170" s="83">
        <v>4</v>
      </c>
      <c r="L170" s="83" t="s">
        <v>101</v>
      </c>
      <c r="M170" s="83" t="s">
        <v>410</v>
      </c>
      <c r="N170" s="83" t="s">
        <v>102</v>
      </c>
      <c r="P170" s="83">
        <v>0</v>
      </c>
      <c r="U170" s="83">
        <v>4</v>
      </c>
      <c r="V170" s="83">
        <v>1</v>
      </c>
      <c r="W170" s="83" t="s">
        <v>103</v>
      </c>
      <c r="X170" s="83">
        <v>0</v>
      </c>
    </row>
    <row r="171" spans="1:25" x14ac:dyDescent="0.2">
      <c r="A171" s="83">
        <v>1</v>
      </c>
      <c r="B171" s="84">
        <v>5701603307302</v>
      </c>
      <c r="C171" s="83">
        <v>80</v>
      </c>
      <c r="D171" s="84">
        <v>1020145</v>
      </c>
      <c r="F171" s="83" t="s">
        <v>103</v>
      </c>
      <c r="G171" s="83">
        <v>0</v>
      </c>
      <c r="H171" s="83">
        <v>100</v>
      </c>
      <c r="K171" s="83" t="s">
        <v>408</v>
      </c>
      <c r="L171" s="83" t="s">
        <v>101</v>
      </c>
      <c r="M171" s="83" t="s">
        <v>410</v>
      </c>
      <c r="N171" s="83" t="s">
        <v>102</v>
      </c>
      <c r="P171" s="83">
        <v>0</v>
      </c>
      <c r="U171" s="83">
        <v>4</v>
      </c>
      <c r="V171" s="83">
        <v>1</v>
      </c>
      <c r="W171" s="83" t="s">
        <v>103</v>
      </c>
      <c r="X171" s="83">
        <v>0</v>
      </c>
    </row>
    <row r="172" spans="1:25" x14ac:dyDescent="0.2">
      <c r="A172" s="83">
        <v>1</v>
      </c>
      <c r="B172" s="84">
        <v>5701603307302</v>
      </c>
      <c r="C172" s="83">
        <v>90</v>
      </c>
      <c r="D172" s="84">
        <v>777500302</v>
      </c>
      <c r="F172" s="83" t="s">
        <v>103</v>
      </c>
      <c r="G172" s="83">
        <v>0</v>
      </c>
      <c r="H172" s="83">
        <v>100</v>
      </c>
      <c r="K172" s="83">
        <v>1</v>
      </c>
      <c r="L172" s="83" t="s">
        <v>101</v>
      </c>
      <c r="M172" s="83" t="s">
        <v>410</v>
      </c>
      <c r="N172" s="83" t="s">
        <v>102</v>
      </c>
      <c r="P172" s="83">
        <v>0</v>
      </c>
      <c r="U172" s="83">
        <v>4</v>
      </c>
      <c r="V172" s="83">
        <v>1</v>
      </c>
      <c r="W172" s="83" t="s">
        <v>103</v>
      </c>
      <c r="X172" s="83">
        <v>0</v>
      </c>
    </row>
    <row r="173" spans="1:25" x14ac:dyDescent="0.2">
      <c r="A173" s="83">
        <v>1</v>
      </c>
      <c r="B173" s="84">
        <v>5701603308302</v>
      </c>
      <c r="C173" s="83">
        <v>10</v>
      </c>
      <c r="D173" s="84">
        <v>5980463308</v>
      </c>
      <c r="F173" s="83" t="s">
        <v>103</v>
      </c>
      <c r="G173" s="83">
        <v>0</v>
      </c>
      <c r="H173" s="83">
        <v>100</v>
      </c>
      <c r="K173" s="83">
        <v>1</v>
      </c>
      <c r="L173" s="83" t="s">
        <v>101</v>
      </c>
      <c r="M173" s="83" t="s">
        <v>410</v>
      </c>
      <c r="N173" s="83" t="s">
        <v>102</v>
      </c>
      <c r="P173" s="83">
        <v>0</v>
      </c>
      <c r="U173" s="83">
        <v>4</v>
      </c>
      <c r="V173" s="83">
        <v>1</v>
      </c>
      <c r="W173" s="83" t="s">
        <v>103</v>
      </c>
      <c r="X173" s="83">
        <v>0</v>
      </c>
      <c r="Y173" s="83" t="str">
        <f>LEFT(D173,6)</f>
        <v>598046</v>
      </c>
    </row>
    <row r="174" spans="1:25" x14ac:dyDescent="0.2">
      <c r="A174" s="83">
        <v>1</v>
      </c>
      <c r="B174" s="84">
        <v>5701603308302</v>
      </c>
      <c r="C174" s="83">
        <v>20</v>
      </c>
      <c r="D174" s="84">
        <v>5980543308</v>
      </c>
      <c r="F174" s="83" t="s">
        <v>103</v>
      </c>
      <c r="G174" s="83">
        <v>0</v>
      </c>
      <c r="H174" s="83">
        <v>100</v>
      </c>
      <c r="K174" s="83">
        <v>1</v>
      </c>
      <c r="L174" s="83" t="s">
        <v>101</v>
      </c>
      <c r="M174" s="83" t="s">
        <v>410</v>
      </c>
      <c r="N174" s="83" t="s">
        <v>102</v>
      </c>
      <c r="P174" s="83">
        <v>0</v>
      </c>
      <c r="U174" s="83">
        <v>4</v>
      </c>
      <c r="V174" s="83">
        <v>1</v>
      </c>
      <c r="W174" s="83" t="s">
        <v>103</v>
      </c>
      <c r="X174" s="83">
        <v>0</v>
      </c>
    </row>
    <row r="175" spans="1:25" x14ac:dyDescent="0.2">
      <c r="A175" s="83">
        <v>1</v>
      </c>
      <c r="B175" s="84">
        <v>5701603308302</v>
      </c>
      <c r="C175" s="83">
        <v>30</v>
      </c>
      <c r="D175" s="84">
        <v>5980623308</v>
      </c>
      <c r="F175" s="83" t="s">
        <v>103</v>
      </c>
      <c r="G175" s="83">
        <v>0</v>
      </c>
      <c r="H175" s="83">
        <v>100</v>
      </c>
      <c r="K175" s="83">
        <v>1</v>
      </c>
      <c r="L175" s="83" t="s">
        <v>101</v>
      </c>
      <c r="M175" s="83" t="s">
        <v>410</v>
      </c>
      <c r="N175" s="83" t="s">
        <v>102</v>
      </c>
      <c r="P175" s="83">
        <v>0</v>
      </c>
      <c r="U175" s="83">
        <v>4</v>
      </c>
      <c r="V175" s="83">
        <v>1</v>
      </c>
      <c r="W175" s="83" t="s">
        <v>103</v>
      </c>
      <c r="X175" s="83">
        <v>0</v>
      </c>
    </row>
    <row r="176" spans="1:25" x14ac:dyDescent="0.2">
      <c r="A176" s="83">
        <v>1</v>
      </c>
      <c r="B176" s="84">
        <v>5701603308302</v>
      </c>
      <c r="C176" s="83">
        <v>40</v>
      </c>
      <c r="D176" s="84">
        <v>5980823308</v>
      </c>
      <c r="F176" s="83" t="s">
        <v>103</v>
      </c>
      <c r="G176" s="83">
        <v>0</v>
      </c>
      <c r="H176" s="83">
        <v>100</v>
      </c>
      <c r="K176" s="83">
        <v>1</v>
      </c>
      <c r="L176" s="83" t="s">
        <v>101</v>
      </c>
      <c r="M176" s="83" t="s">
        <v>410</v>
      </c>
      <c r="N176" s="83" t="s">
        <v>102</v>
      </c>
      <c r="P176" s="83">
        <v>0</v>
      </c>
      <c r="U176" s="83">
        <v>4</v>
      </c>
      <c r="V176" s="83">
        <v>1</v>
      </c>
      <c r="W176" s="83" t="s">
        <v>103</v>
      </c>
      <c r="X176" s="83">
        <v>0</v>
      </c>
    </row>
    <row r="177" spans="1:25" x14ac:dyDescent="0.2">
      <c r="A177" s="83">
        <v>1</v>
      </c>
      <c r="B177" s="84">
        <v>5701603308302</v>
      </c>
      <c r="C177" s="83">
        <v>50</v>
      </c>
      <c r="D177" s="84">
        <v>5980933308</v>
      </c>
      <c r="F177" s="83" t="s">
        <v>103</v>
      </c>
      <c r="G177" s="83">
        <v>0</v>
      </c>
      <c r="H177" s="83">
        <v>100</v>
      </c>
      <c r="K177" s="83">
        <v>1</v>
      </c>
      <c r="L177" s="83" t="s">
        <v>101</v>
      </c>
      <c r="M177" s="83" t="s">
        <v>410</v>
      </c>
      <c r="N177" s="83" t="s">
        <v>102</v>
      </c>
      <c r="P177" s="83">
        <v>0</v>
      </c>
      <c r="U177" s="83">
        <v>4</v>
      </c>
      <c r="V177" s="83">
        <v>1</v>
      </c>
      <c r="W177" s="83" t="s">
        <v>103</v>
      </c>
      <c r="X177" s="83">
        <v>0</v>
      </c>
    </row>
    <row r="178" spans="1:25" x14ac:dyDescent="0.2">
      <c r="A178" s="83">
        <v>1</v>
      </c>
      <c r="B178" s="84">
        <v>5701603308302</v>
      </c>
      <c r="C178" s="83">
        <v>60</v>
      </c>
      <c r="D178" s="84">
        <v>1010286</v>
      </c>
      <c r="F178" s="83" t="s">
        <v>103</v>
      </c>
      <c r="G178" s="83">
        <v>0</v>
      </c>
      <c r="H178" s="83">
        <v>100</v>
      </c>
      <c r="K178" s="83">
        <v>8</v>
      </c>
      <c r="L178" s="83" t="s">
        <v>101</v>
      </c>
      <c r="M178" s="83" t="s">
        <v>410</v>
      </c>
      <c r="N178" s="83" t="s">
        <v>102</v>
      </c>
      <c r="P178" s="83">
        <v>0</v>
      </c>
      <c r="U178" s="83">
        <v>4</v>
      </c>
      <c r="V178" s="83">
        <v>1</v>
      </c>
      <c r="W178" s="83" t="s">
        <v>103</v>
      </c>
      <c r="X178" s="83">
        <v>0</v>
      </c>
    </row>
    <row r="179" spans="1:25" x14ac:dyDescent="0.2">
      <c r="A179" s="83">
        <v>1</v>
      </c>
      <c r="B179" s="84">
        <v>5701603308302</v>
      </c>
      <c r="C179" s="83">
        <v>70</v>
      </c>
      <c r="D179" s="84">
        <v>1010288</v>
      </c>
      <c r="F179" s="83" t="s">
        <v>103</v>
      </c>
      <c r="G179" s="83">
        <v>0</v>
      </c>
      <c r="H179" s="83">
        <v>100</v>
      </c>
      <c r="K179" s="83">
        <v>4</v>
      </c>
      <c r="L179" s="83" t="s">
        <v>101</v>
      </c>
      <c r="M179" s="83" t="s">
        <v>410</v>
      </c>
      <c r="N179" s="83" t="s">
        <v>102</v>
      </c>
      <c r="P179" s="83">
        <v>0</v>
      </c>
      <c r="U179" s="83">
        <v>4</v>
      </c>
      <c r="V179" s="83">
        <v>1</v>
      </c>
      <c r="W179" s="83" t="s">
        <v>103</v>
      </c>
      <c r="X179" s="83">
        <v>0</v>
      </c>
    </row>
    <row r="180" spans="1:25" x14ac:dyDescent="0.2">
      <c r="A180" s="83">
        <v>1</v>
      </c>
      <c r="B180" s="84">
        <v>5701603308302</v>
      </c>
      <c r="C180" s="83">
        <v>80</v>
      </c>
      <c r="D180" s="84">
        <v>1020145</v>
      </c>
      <c r="F180" s="83" t="s">
        <v>103</v>
      </c>
      <c r="G180" s="83">
        <v>0</v>
      </c>
      <c r="H180" s="83">
        <v>100</v>
      </c>
      <c r="K180" s="83" t="s">
        <v>408</v>
      </c>
      <c r="L180" s="83" t="s">
        <v>101</v>
      </c>
      <c r="M180" s="83" t="s">
        <v>410</v>
      </c>
      <c r="N180" s="83" t="s">
        <v>102</v>
      </c>
      <c r="P180" s="83">
        <v>0</v>
      </c>
      <c r="U180" s="83">
        <v>4</v>
      </c>
      <c r="V180" s="83">
        <v>1</v>
      </c>
      <c r="W180" s="83" t="s">
        <v>103</v>
      </c>
      <c r="X180" s="83">
        <v>0</v>
      </c>
    </row>
    <row r="181" spans="1:25" x14ac:dyDescent="0.2">
      <c r="A181" s="83">
        <v>1</v>
      </c>
      <c r="B181" s="84">
        <v>5701603308302</v>
      </c>
      <c r="C181" s="83">
        <v>90</v>
      </c>
      <c r="D181" s="84">
        <v>777500302</v>
      </c>
      <c r="F181" s="83" t="s">
        <v>103</v>
      </c>
      <c r="G181" s="83">
        <v>0</v>
      </c>
      <c r="H181" s="83">
        <v>100</v>
      </c>
      <c r="K181" s="83">
        <v>1</v>
      </c>
      <c r="L181" s="83" t="s">
        <v>101</v>
      </c>
      <c r="M181" s="83" t="s">
        <v>410</v>
      </c>
      <c r="N181" s="83" t="s">
        <v>102</v>
      </c>
      <c r="P181" s="83">
        <v>0</v>
      </c>
      <c r="U181" s="83">
        <v>4</v>
      </c>
      <c r="V181" s="83">
        <v>1</v>
      </c>
      <c r="W181" s="83" t="s">
        <v>103</v>
      </c>
      <c r="X181" s="83">
        <v>0</v>
      </c>
    </row>
    <row r="182" spans="1:25" x14ac:dyDescent="0.2">
      <c r="A182" s="83">
        <v>1</v>
      </c>
      <c r="B182" s="84">
        <v>5701603309302</v>
      </c>
      <c r="C182" s="83">
        <v>10</v>
      </c>
      <c r="D182" s="84">
        <v>5980463309</v>
      </c>
      <c r="F182" s="83" t="s">
        <v>103</v>
      </c>
      <c r="G182" s="83">
        <v>0</v>
      </c>
      <c r="H182" s="83">
        <v>100</v>
      </c>
      <c r="K182" s="83">
        <v>1</v>
      </c>
      <c r="L182" s="83" t="s">
        <v>101</v>
      </c>
      <c r="M182" s="83" t="s">
        <v>410</v>
      </c>
      <c r="N182" s="83" t="s">
        <v>102</v>
      </c>
      <c r="P182" s="83">
        <v>0</v>
      </c>
      <c r="U182" s="83">
        <v>4</v>
      </c>
      <c r="V182" s="83">
        <v>1</v>
      </c>
      <c r="W182" s="83" t="s">
        <v>103</v>
      </c>
      <c r="X182" s="83">
        <v>0</v>
      </c>
      <c r="Y182" s="83" t="str">
        <f>LEFT(D182,6)</f>
        <v>598046</v>
      </c>
    </row>
    <row r="183" spans="1:25" x14ac:dyDescent="0.2">
      <c r="A183" s="83">
        <v>1</v>
      </c>
      <c r="B183" s="84">
        <v>5701603309302</v>
      </c>
      <c r="C183" s="83">
        <v>20</v>
      </c>
      <c r="D183" s="84">
        <v>5980543309</v>
      </c>
      <c r="F183" s="83" t="s">
        <v>103</v>
      </c>
      <c r="G183" s="83">
        <v>0</v>
      </c>
      <c r="H183" s="83">
        <v>100</v>
      </c>
      <c r="K183" s="83">
        <v>1</v>
      </c>
      <c r="L183" s="83" t="s">
        <v>101</v>
      </c>
      <c r="M183" s="83" t="s">
        <v>410</v>
      </c>
      <c r="N183" s="83" t="s">
        <v>102</v>
      </c>
      <c r="P183" s="83">
        <v>0</v>
      </c>
      <c r="U183" s="83">
        <v>4</v>
      </c>
      <c r="V183" s="83">
        <v>1</v>
      </c>
      <c r="W183" s="83" t="s">
        <v>103</v>
      </c>
      <c r="X183" s="83">
        <v>0</v>
      </c>
    </row>
    <row r="184" spans="1:25" x14ac:dyDescent="0.2">
      <c r="A184" s="83">
        <v>1</v>
      </c>
      <c r="B184" s="84">
        <v>5701603309302</v>
      </c>
      <c r="C184" s="83">
        <v>30</v>
      </c>
      <c r="D184" s="84">
        <v>5980623309</v>
      </c>
      <c r="F184" s="83" t="s">
        <v>103</v>
      </c>
      <c r="G184" s="83">
        <v>0</v>
      </c>
      <c r="H184" s="83">
        <v>100</v>
      </c>
      <c r="K184" s="83">
        <v>1</v>
      </c>
      <c r="L184" s="83" t="s">
        <v>101</v>
      </c>
      <c r="M184" s="83" t="s">
        <v>410</v>
      </c>
      <c r="N184" s="83" t="s">
        <v>102</v>
      </c>
      <c r="P184" s="83">
        <v>0</v>
      </c>
      <c r="U184" s="83">
        <v>4</v>
      </c>
      <c r="V184" s="83">
        <v>1</v>
      </c>
      <c r="W184" s="83" t="s">
        <v>103</v>
      </c>
      <c r="X184" s="83">
        <v>0</v>
      </c>
    </row>
    <row r="185" spans="1:25" x14ac:dyDescent="0.2">
      <c r="A185" s="83">
        <v>1</v>
      </c>
      <c r="B185" s="84">
        <v>5701603309302</v>
      </c>
      <c r="C185" s="83">
        <v>40</v>
      </c>
      <c r="D185" s="84">
        <v>5980823309</v>
      </c>
      <c r="F185" s="83" t="s">
        <v>103</v>
      </c>
      <c r="G185" s="83">
        <v>0</v>
      </c>
      <c r="H185" s="83">
        <v>100</v>
      </c>
      <c r="K185" s="83">
        <v>1</v>
      </c>
      <c r="L185" s="83" t="s">
        <v>101</v>
      </c>
      <c r="M185" s="83" t="s">
        <v>410</v>
      </c>
      <c r="N185" s="83" t="s">
        <v>102</v>
      </c>
      <c r="P185" s="83">
        <v>0</v>
      </c>
      <c r="U185" s="83">
        <v>4</v>
      </c>
      <c r="V185" s="83">
        <v>1</v>
      </c>
      <c r="W185" s="83" t="s">
        <v>103</v>
      </c>
      <c r="X185" s="83">
        <v>0</v>
      </c>
    </row>
    <row r="186" spans="1:25" x14ac:dyDescent="0.2">
      <c r="A186" s="83">
        <v>1</v>
      </c>
      <c r="B186" s="84">
        <v>5701603309302</v>
      </c>
      <c r="C186" s="83">
        <v>50</v>
      </c>
      <c r="D186" s="84">
        <v>5980933309</v>
      </c>
      <c r="F186" s="83" t="s">
        <v>103</v>
      </c>
      <c r="G186" s="83">
        <v>0</v>
      </c>
      <c r="H186" s="83">
        <v>100</v>
      </c>
      <c r="K186" s="83">
        <v>1</v>
      </c>
      <c r="L186" s="83" t="s">
        <v>101</v>
      </c>
      <c r="M186" s="83" t="s">
        <v>410</v>
      </c>
      <c r="N186" s="83" t="s">
        <v>102</v>
      </c>
      <c r="P186" s="83">
        <v>0</v>
      </c>
      <c r="U186" s="83">
        <v>4</v>
      </c>
      <c r="V186" s="83">
        <v>1</v>
      </c>
      <c r="W186" s="83" t="s">
        <v>103</v>
      </c>
      <c r="X186" s="83">
        <v>0</v>
      </c>
    </row>
    <row r="187" spans="1:25" x14ac:dyDescent="0.2">
      <c r="A187" s="83">
        <v>1</v>
      </c>
      <c r="B187" s="84">
        <v>5701603309302</v>
      </c>
      <c r="C187" s="83">
        <v>60</v>
      </c>
      <c r="D187" s="84">
        <v>1010286</v>
      </c>
      <c r="F187" s="83" t="s">
        <v>103</v>
      </c>
      <c r="G187" s="83">
        <v>0</v>
      </c>
      <c r="H187" s="83">
        <v>100</v>
      </c>
      <c r="K187" s="83">
        <v>8</v>
      </c>
      <c r="L187" s="83" t="s">
        <v>101</v>
      </c>
      <c r="M187" s="83" t="s">
        <v>410</v>
      </c>
      <c r="N187" s="83" t="s">
        <v>102</v>
      </c>
      <c r="P187" s="83">
        <v>0</v>
      </c>
      <c r="U187" s="83">
        <v>4</v>
      </c>
      <c r="V187" s="83">
        <v>1</v>
      </c>
      <c r="W187" s="83" t="s">
        <v>103</v>
      </c>
      <c r="X187" s="83">
        <v>0</v>
      </c>
    </row>
    <row r="188" spans="1:25" x14ac:dyDescent="0.2">
      <c r="A188" s="83">
        <v>1</v>
      </c>
      <c r="B188" s="84">
        <v>5701603309302</v>
      </c>
      <c r="C188" s="83">
        <v>70</v>
      </c>
      <c r="D188" s="84">
        <v>1010287</v>
      </c>
      <c r="F188" s="83" t="s">
        <v>103</v>
      </c>
      <c r="G188" s="83">
        <v>0</v>
      </c>
      <c r="H188" s="83">
        <v>100</v>
      </c>
      <c r="K188" s="83">
        <v>4</v>
      </c>
      <c r="L188" s="83" t="s">
        <v>101</v>
      </c>
      <c r="M188" s="83" t="s">
        <v>410</v>
      </c>
      <c r="N188" s="83" t="s">
        <v>102</v>
      </c>
      <c r="P188" s="83">
        <v>0</v>
      </c>
      <c r="U188" s="83">
        <v>4</v>
      </c>
      <c r="V188" s="83">
        <v>1</v>
      </c>
      <c r="W188" s="83" t="s">
        <v>103</v>
      </c>
      <c r="X188" s="83">
        <v>0</v>
      </c>
    </row>
    <row r="189" spans="1:25" x14ac:dyDescent="0.2">
      <c r="A189" s="83">
        <v>1</v>
      </c>
      <c r="B189" s="84">
        <v>5701603309302</v>
      </c>
      <c r="C189" s="83">
        <v>80</v>
      </c>
      <c r="D189" s="84">
        <v>1020145</v>
      </c>
      <c r="F189" s="83" t="s">
        <v>103</v>
      </c>
      <c r="G189" s="83">
        <v>0</v>
      </c>
      <c r="H189" s="83">
        <v>100</v>
      </c>
      <c r="K189" s="83" t="s">
        <v>408</v>
      </c>
      <c r="L189" s="83" t="s">
        <v>101</v>
      </c>
      <c r="M189" s="83" t="s">
        <v>410</v>
      </c>
      <c r="N189" s="83" t="s">
        <v>102</v>
      </c>
      <c r="P189" s="83">
        <v>0</v>
      </c>
      <c r="U189" s="83">
        <v>4</v>
      </c>
      <c r="V189" s="83">
        <v>1</v>
      </c>
      <c r="W189" s="83" t="s">
        <v>103</v>
      </c>
      <c r="X189" s="83">
        <v>0</v>
      </c>
    </row>
    <row r="190" spans="1:25" x14ac:dyDescent="0.2">
      <c r="A190" s="83">
        <v>1</v>
      </c>
      <c r="B190" s="84">
        <v>5701603309302</v>
      </c>
      <c r="C190" s="83">
        <v>90</v>
      </c>
      <c r="D190" s="84">
        <v>777500302</v>
      </c>
      <c r="F190" s="83" t="s">
        <v>103</v>
      </c>
      <c r="G190" s="83">
        <v>0</v>
      </c>
      <c r="H190" s="83">
        <v>100</v>
      </c>
      <c r="K190" s="83">
        <v>1</v>
      </c>
      <c r="L190" s="83" t="s">
        <v>101</v>
      </c>
      <c r="M190" s="83" t="s">
        <v>410</v>
      </c>
      <c r="N190" s="83" t="s">
        <v>102</v>
      </c>
      <c r="P190" s="83">
        <v>0</v>
      </c>
      <c r="U190" s="83">
        <v>4</v>
      </c>
      <c r="V190" s="83">
        <v>1</v>
      </c>
      <c r="W190" s="83" t="s">
        <v>103</v>
      </c>
      <c r="X190" s="83">
        <v>0</v>
      </c>
    </row>
    <row r="191" spans="1:25" x14ac:dyDescent="0.2">
      <c r="A191" s="83">
        <v>1</v>
      </c>
      <c r="B191" s="84">
        <v>5701603310302</v>
      </c>
      <c r="C191" s="83">
        <v>10</v>
      </c>
      <c r="D191" s="84">
        <v>5980463310</v>
      </c>
      <c r="F191" s="83" t="s">
        <v>103</v>
      </c>
      <c r="G191" s="83">
        <v>0</v>
      </c>
      <c r="H191" s="83">
        <v>100</v>
      </c>
      <c r="K191" s="83">
        <v>1</v>
      </c>
      <c r="L191" s="83" t="s">
        <v>101</v>
      </c>
      <c r="M191" s="83" t="s">
        <v>410</v>
      </c>
      <c r="N191" s="83" t="s">
        <v>102</v>
      </c>
      <c r="P191" s="83">
        <v>0</v>
      </c>
      <c r="U191" s="83">
        <v>4</v>
      </c>
      <c r="V191" s="83">
        <v>1</v>
      </c>
      <c r="W191" s="83" t="s">
        <v>103</v>
      </c>
      <c r="X191" s="83">
        <v>0</v>
      </c>
      <c r="Y191" s="83" t="str">
        <f>LEFT(D191,6)</f>
        <v>598046</v>
      </c>
    </row>
    <row r="192" spans="1:25" x14ac:dyDescent="0.2">
      <c r="A192" s="83">
        <v>1</v>
      </c>
      <c r="B192" s="84">
        <v>5701603310302</v>
      </c>
      <c r="C192" s="83">
        <v>20</v>
      </c>
      <c r="D192" s="84">
        <v>5980543310</v>
      </c>
      <c r="F192" s="83" t="s">
        <v>103</v>
      </c>
      <c r="G192" s="83">
        <v>0</v>
      </c>
      <c r="H192" s="83">
        <v>100</v>
      </c>
      <c r="K192" s="83">
        <v>1</v>
      </c>
      <c r="L192" s="83" t="s">
        <v>101</v>
      </c>
      <c r="M192" s="83" t="s">
        <v>410</v>
      </c>
      <c r="N192" s="83" t="s">
        <v>102</v>
      </c>
      <c r="P192" s="83">
        <v>0</v>
      </c>
      <c r="U192" s="83">
        <v>4</v>
      </c>
      <c r="V192" s="83">
        <v>1</v>
      </c>
      <c r="W192" s="83" t="s">
        <v>103</v>
      </c>
      <c r="X192" s="83">
        <v>0</v>
      </c>
    </row>
    <row r="193" spans="1:25" x14ac:dyDescent="0.2">
      <c r="A193" s="83">
        <v>1</v>
      </c>
      <c r="B193" s="84">
        <v>5701603310302</v>
      </c>
      <c r="C193" s="83">
        <v>30</v>
      </c>
      <c r="D193" s="84">
        <v>5980623310</v>
      </c>
      <c r="F193" s="83" t="s">
        <v>103</v>
      </c>
      <c r="G193" s="83">
        <v>0</v>
      </c>
      <c r="H193" s="83">
        <v>100</v>
      </c>
      <c r="K193" s="83">
        <v>1</v>
      </c>
      <c r="L193" s="83" t="s">
        <v>101</v>
      </c>
      <c r="M193" s="83" t="s">
        <v>410</v>
      </c>
      <c r="N193" s="83" t="s">
        <v>102</v>
      </c>
      <c r="P193" s="83">
        <v>0</v>
      </c>
      <c r="U193" s="83">
        <v>4</v>
      </c>
      <c r="V193" s="83">
        <v>1</v>
      </c>
      <c r="W193" s="83" t="s">
        <v>103</v>
      </c>
      <c r="X193" s="83">
        <v>0</v>
      </c>
    </row>
    <row r="194" spans="1:25" x14ac:dyDescent="0.2">
      <c r="A194" s="83">
        <v>1</v>
      </c>
      <c r="B194" s="84">
        <v>5701603310302</v>
      </c>
      <c r="C194" s="83">
        <v>40</v>
      </c>
      <c r="D194" s="84">
        <v>5980823310</v>
      </c>
      <c r="F194" s="83" t="s">
        <v>103</v>
      </c>
      <c r="G194" s="83">
        <v>0</v>
      </c>
      <c r="H194" s="83">
        <v>100</v>
      </c>
      <c r="K194" s="83">
        <v>1</v>
      </c>
      <c r="L194" s="83" t="s">
        <v>101</v>
      </c>
      <c r="M194" s="83" t="s">
        <v>410</v>
      </c>
      <c r="N194" s="83" t="s">
        <v>102</v>
      </c>
      <c r="P194" s="83">
        <v>0</v>
      </c>
      <c r="U194" s="83">
        <v>4</v>
      </c>
      <c r="V194" s="83">
        <v>1</v>
      </c>
      <c r="W194" s="83" t="s">
        <v>103</v>
      </c>
      <c r="X194" s="83">
        <v>0</v>
      </c>
    </row>
    <row r="195" spans="1:25" x14ac:dyDescent="0.2">
      <c r="A195" s="83">
        <v>1</v>
      </c>
      <c r="B195" s="84">
        <v>5701603310302</v>
      </c>
      <c r="C195" s="83">
        <v>50</v>
      </c>
      <c r="D195" s="84">
        <v>5980933310</v>
      </c>
      <c r="F195" s="83" t="s">
        <v>103</v>
      </c>
      <c r="G195" s="83">
        <v>0</v>
      </c>
      <c r="H195" s="83">
        <v>100</v>
      </c>
      <c r="K195" s="83">
        <v>1</v>
      </c>
      <c r="L195" s="83" t="s">
        <v>101</v>
      </c>
      <c r="M195" s="83" t="s">
        <v>410</v>
      </c>
      <c r="N195" s="83" t="s">
        <v>102</v>
      </c>
      <c r="P195" s="83">
        <v>0</v>
      </c>
      <c r="U195" s="83">
        <v>4</v>
      </c>
      <c r="V195" s="83">
        <v>1</v>
      </c>
      <c r="W195" s="83" t="s">
        <v>103</v>
      </c>
      <c r="X195" s="83">
        <v>0</v>
      </c>
    </row>
    <row r="196" spans="1:25" x14ac:dyDescent="0.2">
      <c r="A196" s="83">
        <v>1</v>
      </c>
      <c r="B196" s="84">
        <v>5701603310302</v>
      </c>
      <c r="C196" s="83">
        <v>60</v>
      </c>
      <c r="D196" s="84">
        <v>1010286</v>
      </c>
      <c r="F196" s="83" t="s">
        <v>103</v>
      </c>
      <c r="G196" s="83">
        <v>0</v>
      </c>
      <c r="H196" s="83">
        <v>100</v>
      </c>
      <c r="K196" s="83">
        <v>8</v>
      </c>
      <c r="L196" s="83" t="s">
        <v>101</v>
      </c>
      <c r="M196" s="83" t="s">
        <v>410</v>
      </c>
      <c r="N196" s="83" t="s">
        <v>102</v>
      </c>
      <c r="P196" s="83">
        <v>0</v>
      </c>
      <c r="U196" s="83">
        <v>4</v>
      </c>
      <c r="V196" s="83">
        <v>1</v>
      </c>
      <c r="W196" s="83" t="s">
        <v>103</v>
      </c>
      <c r="X196" s="83">
        <v>0</v>
      </c>
    </row>
    <row r="197" spans="1:25" x14ac:dyDescent="0.2">
      <c r="A197" s="83">
        <v>1</v>
      </c>
      <c r="B197" s="84">
        <v>5701603310302</v>
      </c>
      <c r="C197" s="83">
        <v>70</v>
      </c>
      <c r="D197" s="84">
        <v>1010287</v>
      </c>
      <c r="F197" s="83" t="s">
        <v>103</v>
      </c>
      <c r="G197" s="83">
        <v>0</v>
      </c>
      <c r="H197" s="83">
        <v>100</v>
      </c>
      <c r="K197" s="83">
        <v>4</v>
      </c>
      <c r="L197" s="83" t="s">
        <v>101</v>
      </c>
      <c r="M197" s="83" t="s">
        <v>410</v>
      </c>
      <c r="N197" s="83" t="s">
        <v>102</v>
      </c>
      <c r="P197" s="83">
        <v>0</v>
      </c>
      <c r="U197" s="83">
        <v>4</v>
      </c>
      <c r="V197" s="83">
        <v>1</v>
      </c>
      <c r="W197" s="83" t="s">
        <v>103</v>
      </c>
      <c r="X197" s="83">
        <v>0</v>
      </c>
    </row>
    <row r="198" spans="1:25" x14ac:dyDescent="0.2">
      <c r="A198" s="83">
        <v>1</v>
      </c>
      <c r="B198" s="84">
        <v>5701603310302</v>
      </c>
      <c r="C198" s="83">
        <v>80</v>
      </c>
      <c r="D198" s="84">
        <v>1020145</v>
      </c>
      <c r="F198" s="83" t="s">
        <v>103</v>
      </c>
      <c r="G198" s="83">
        <v>0</v>
      </c>
      <c r="H198" s="83">
        <v>100</v>
      </c>
      <c r="K198" s="83" t="s">
        <v>408</v>
      </c>
      <c r="L198" s="83" t="s">
        <v>101</v>
      </c>
      <c r="M198" s="83" t="s">
        <v>410</v>
      </c>
      <c r="N198" s="83" t="s">
        <v>102</v>
      </c>
      <c r="P198" s="83">
        <v>0</v>
      </c>
      <c r="U198" s="83">
        <v>4</v>
      </c>
      <c r="V198" s="83">
        <v>1</v>
      </c>
      <c r="W198" s="83" t="s">
        <v>103</v>
      </c>
      <c r="X198" s="83">
        <v>0</v>
      </c>
    </row>
    <row r="199" spans="1:25" x14ac:dyDescent="0.2">
      <c r="A199" s="83">
        <v>1</v>
      </c>
      <c r="B199" s="84">
        <v>5701603310302</v>
      </c>
      <c r="C199" s="83">
        <v>90</v>
      </c>
      <c r="D199" s="84">
        <v>777500302</v>
      </c>
      <c r="F199" s="83" t="s">
        <v>103</v>
      </c>
      <c r="G199" s="83">
        <v>0</v>
      </c>
      <c r="H199" s="83">
        <v>100</v>
      </c>
      <c r="K199" s="83">
        <v>1</v>
      </c>
      <c r="L199" s="83" t="s">
        <v>101</v>
      </c>
      <c r="M199" s="83" t="s">
        <v>410</v>
      </c>
      <c r="N199" s="83" t="s">
        <v>102</v>
      </c>
      <c r="P199" s="83">
        <v>0</v>
      </c>
      <c r="U199" s="83">
        <v>4</v>
      </c>
      <c r="V199" s="83">
        <v>1</v>
      </c>
      <c r="W199" s="83" t="s">
        <v>103</v>
      </c>
      <c r="X199" s="83">
        <v>0</v>
      </c>
    </row>
    <row r="200" spans="1:25" x14ac:dyDescent="0.2">
      <c r="A200" s="83">
        <v>1</v>
      </c>
      <c r="B200" s="84">
        <v>5701603300308</v>
      </c>
      <c r="C200" s="83">
        <v>10</v>
      </c>
      <c r="D200" s="84">
        <v>5980463399</v>
      </c>
      <c r="F200" s="83" t="s">
        <v>103</v>
      </c>
      <c r="G200" s="83">
        <v>0</v>
      </c>
      <c r="H200" s="83">
        <v>100</v>
      </c>
      <c r="K200" s="83">
        <v>1</v>
      </c>
      <c r="L200" s="83" t="s">
        <v>101</v>
      </c>
      <c r="M200" s="83" t="s">
        <v>410</v>
      </c>
      <c r="N200" s="83" t="s">
        <v>102</v>
      </c>
      <c r="P200" s="83">
        <v>0</v>
      </c>
      <c r="U200" s="83">
        <v>4</v>
      </c>
      <c r="V200" s="83">
        <v>1</v>
      </c>
      <c r="W200" s="83" t="s">
        <v>103</v>
      </c>
      <c r="X200" s="83">
        <v>0</v>
      </c>
      <c r="Y200" s="83" t="str">
        <f>LEFT(D200,6)</f>
        <v>598046</v>
      </c>
    </row>
    <row r="201" spans="1:25" x14ac:dyDescent="0.2">
      <c r="A201" s="83">
        <v>1</v>
      </c>
      <c r="B201" s="84">
        <v>5701603300308</v>
      </c>
      <c r="C201" s="83">
        <v>20</v>
      </c>
      <c r="D201" s="84">
        <v>5980543399</v>
      </c>
      <c r="F201" s="83" t="s">
        <v>103</v>
      </c>
      <c r="G201" s="83">
        <v>0</v>
      </c>
      <c r="H201" s="83">
        <v>100</v>
      </c>
      <c r="K201" s="83">
        <v>1</v>
      </c>
      <c r="L201" s="83" t="s">
        <v>101</v>
      </c>
      <c r="M201" s="83" t="s">
        <v>410</v>
      </c>
      <c r="N201" s="83" t="s">
        <v>102</v>
      </c>
      <c r="P201" s="83">
        <v>0</v>
      </c>
      <c r="U201" s="83">
        <v>4</v>
      </c>
      <c r="V201" s="83">
        <v>1</v>
      </c>
      <c r="W201" s="83" t="s">
        <v>103</v>
      </c>
      <c r="X201" s="83">
        <v>0</v>
      </c>
    </row>
    <row r="202" spans="1:25" x14ac:dyDescent="0.2">
      <c r="A202" s="83">
        <v>1</v>
      </c>
      <c r="B202" s="84">
        <v>5701603300308</v>
      </c>
      <c r="C202" s="83">
        <v>30</v>
      </c>
      <c r="D202" s="84">
        <v>5980623399</v>
      </c>
      <c r="F202" s="83" t="s">
        <v>103</v>
      </c>
      <c r="G202" s="83">
        <v>0</v>
      </c>
      <c r="H202" s="83">
        <v>100</v>
      </c>
      <c r="K202" s="83">
        <v>1</v>
      </c>
      <c r="L202" s="83" t="s">
        <v>101</v>
      </c>
      <c r="M202" s="83" t="s">
        <v>410</v>
      </c>
      <c r="N202" s="83" t="s">
        <v>102</v>
      </c>
      <c r="P202" s="83">
        <v>0</v>
      </c>
      <c r="U202" s="83">
        <v>4</v>
      </c>
      <c r="V202" s="83">
        <v>1</v>
      </c>
      <c r="W202" s="83" t="s">
        <v>103</v>
      </c>
      <c r="X202" s="83">
        <v>0</v>
      </c>
    </row>
    <row r="203" spans="1:25" x14ac:dyDescent="0.2">
      <c r="A203" s="83">
        <v>1</v>
      </c>
      <c r="B203" s="84">
        <v>5701603300308</v>
      </c>
      <c r="C203" s="83">
        <v>40</v>
      </c>
      <c r="D203" s="84">
        <v>5980823399</v>
      </c>
      <c r="F203" s="83" t="s">
        <v>103</v>
      </c>
      <c r="G203" s="83">
        <v>0</v>
      </c>
      <c r="H203" s="83">
        <v>100</v>
      </c>
      <c r="K203" s="83">
        <v>1</v>
      </c>
      <c r="L203" s="83" t="s">
        <v>101</v>
      </c>
      <c r="M203" s="83" t="s">
        <v>410</v>
      </c>
      <c r="N203" s="83" t="s">
        <v>102</v>
      </c>
      <c r="P203" s="83">
        <v>0</v>
      </c>
      <c r="U203" s="83">
        <v>4</v>
      </c>
      <c r="V203" s="83">
        <v>1</v>
      </c>
      <c r="W203" s="83" t="s">
        <v>103</v>
      </c>
      <c r="X203" s="83">
        <v>0</v>
      </c>
    </row>
    <row r="204" spans="1:25" x14ac:dyDescent="0.2">
      <c r="A204" s="83">
        <v>1</v>
      </c>
      <c r="B204" s="84">
        <v>5701603300308</v>
      </c>
      <c r="C204" s="83">
        <v>50</v>
      </c>
      <c r="D204" s="85">
        <v>1010277</v>
      </c>
      <c r="F204" s="83" t="s">
        <v>103</v>
      </c>
      <c r="G204" s="83">
        <v>0</v>
      </c>
      <c r="H204" s="83">
        <v>100</v>
      </c>
      <c r="K204" s="83">
        <v>1</v>
      </c>
      <c r="L204" s="83" t="s">
        <v>101</v>
      </c>
      <c r="M204" s="83" t="s">
        <v>410</v>
      </c>
      <c r="N204" s="83" t="s">
        <v>102</v>
      </c>
      <c r="P204" s="83">
        <v>0</v>
      </c>
      <c r="U204" s="83">
        <v>4</v>
      </c>
      <c r="V204" s="83">
        <v>1</v>
      </c>
      <c r="W204" s="83" t="s">
        <v>103</v>
      </c>
      <c r="X204" s="83">
        <v>0</v>
      </c>
    </row>
    <row r="205" spans="1:25" x14ac:dyDescent="0.2">
      <c r="A205" s="83">
        <v>1</v>
      </c>
      <c r="B205" s="84">
        <v>5701603300308</v>
      </c>
      <c r="C205" s="83">
        <v>60</v>
      </c>
      <c r="D205" s="84">
        <v>1010286</v>
      </c>
      <c r="F205" s="83" t="s">
        <v>103</v>
      </c>
      <c r="G205" s="83">
        <v>0</v>
      </c>
      <c r="H205" s="83">
        <v>100</v>
      </c>
      <c r="K205" s="83">
        <v>8</v>
      </c>
      <c r="L205" s="83" t="s">
        <v>101</v>
      </c>
      <c r="M205" s="83" t="s">
        <v>410</v>
      </c>
      <c r="N205" s="83" t="s">
        <v>102</v>
      </c>
      <c r="P205" s="83">
        <v>0</v>
      </c>
      <c r="U205" s="83">
        <v>4</v>
      </c>
      <c r="V205" s="83">
        <v>1</v>
      </c>
      <c r="W205" s="83" t="s">
        <v>103</v>
      </c>
      <c r="X205" s="83">
        <v>0</v>
      </c>
    </row>
    <row r="206" spans="1:25" x14ac:dyDescent="0.2">
      <c r="A206" s="83">
        <v>1</v>
      </c>
      <c r="B206" s="84">
        <v>5701603300308</v>
      </c>
      <c r="C206" s="83">
        <v>70</v>
      </c>
      <c r="D206" s="84">
        <v>1010287</v>
      </c>
      <c r="F206" s="83" t="s">
        <v>103</v>
      </c>
      <c r="G206" s="83">
        <v>0</v>
      </c>
      <c r="H206" s="83">
        <v>100</v>
      </c>
      <c r="K206" s="83">
        <v>4</v>
      </c>
      <c r="L206" s="83" t="s">
        <v>101</v>
      </c>
      <c r="M206" s="83" t="s">
        <v>410</v>
      </c>
      <c r="N206" s="83" t="s">
        <v>102</v>
      </c>
      <c r="P206" s="83">
        <v>0</v>
      </c>
      <c r="U206" s="83">
        <v>4</v>
      </c>
      <c r="V206" s="83">
        <v>1</v>
      </c>
      <c r="W206" s="83" t="s">
        <v>103</v>
      </c>
      <c r="X206" s="83">
        <v>0</v>
      </c>
    </row>
    <row r="207" spans="1:25" x14ac:dyDescent="0.2">
      <c r="A207" s="83">
        <v>1</v>
      </c>
      <c r="B207" s="84">
        <v>5701603300308</v>
      </c>
      <c r="C207" s="83">
        <v>80</v>
      </c>
      <c r="D207" s="84">
        <v>1020145</v>
      </c>
      <c r="F207" s="83" t="s">
        <v>103</v>
      </c>
      <c r="G207" s="83">
        <v>0</v>
      </c>
      <c r="H207" s="83">
        <v>100</v>
      </c>
      <c r="K207" s="83" t="s">
        <v>408</v>
      </c>
      <c r="L207" s="83" t="s">
        <v>101</v>
      </c>
      <c r="M207" s="83" t="s">
        <v>410</v>
      </c>
      <c r="N207" s="83" t="s">
        <v>102</v>
      </c>
      <c r="P207" s="83">
        <v>0</v>
      </c>
      <c r="U207" s="83">
        <v>4</v>
      </c>
      <c r="V207" s="83">
        <v>1</v>
      </c>
      <c r="W207" s="83" t="s">
        <v>103</v>
      </c>
      <c r="X207" s="83">
        <v>0</v>
      </c>
    </row>
    <row r="208" spans="1:25" x14ac:dyDescent="0.2">
      <c r="A208" s="83">
        <v>1</v>
      </c>
      <c r="B208" s="84">
        <v>5701603300308</v>
      </c>
      <c r="C208" s="83">
        <v>90</v>
      </c>
      <c r="D208" s="84">
        <v>777500308</v>
      </c>
      <c r="F208" s="83" t="s">
        <v>103</v>
      </c>
      <c r="G208" s="83">
        <v>0</v>
      </c>
      <c r="H208" s="83">
        <v>100</v>
      </c>
      <c r="K208" s="83">
        <v>1</v>
      </c>
      <c r="L208" s="83" t="s">
        <v>101</v>
      </c>
      <c r="M208" s="83" t="s">
        <v>410</v>
      </c>
      <c r="N208" s="83" t="s">
        <v>102</v>
      </c>
      <c r="P208" s="83">
        <v>0</v>
      </c>
      <c r="U208" s="83">
        <v>4</v>
      </c>
      <c r="V208" s="83">
        <v>1</v>
      </c>
      <c r="W208" s="83" t="s">
        <v>103</v>
      </c>
      <c r="X208" s="83">
        <v>0</v>
      </c>
    </row>
    <row r="209" spans="1:25" x14ac:dyDescent="0.2">
      <c r="A209" s="83">
        <v>1</v>
      </c>
      <c r="B209" s="84">
        <v>5701603301308</v>
      </c>
      <c r="C209" s="83">
        <v>10</v>
      </c>
      <c r="D209" s="84">
        <v>5980463301</v>
      </c>
      <c r="F209" s="83" t="s">
        <v>103</v>
      </c>
      <c r="G209" s="83">
        <v>0</v>
      </c>
      <c r="H209" s="83">
        <v>100</v>
      </c>
      <c r="K209" s="83">
        <v>1</v>
      </c>
      <c r="L209" s="83" t="s">
        <v>101</v>
      </c>
      <c r="M209" s="83" t="s">
        <v>410</v>
      </c>
      <c r="N209" s="83" t="s">
        <v>102</v>
      </c>
      <c r="P209" s="83">
        <v>0</v>
      </c>
      <c r="U209" s="83">
        <v>4</v>
      </c>
      <c r="V209" s="83">
        <v>1</v>
      </c>
      <c r="W209" s="83" t="s">
        <v>103</v>
      </c>
      <c r="X209" s="83">
        <v>0</v>
      </c>
      <c r="Y209" s="83" t="str">
        <f>LEFT(D209,6)</f>
        <v>598046</v>
      </c>
    </row>
    <row r="210" spans="1:25" x14ac:dyDescent="0.2">
      <c r="A210" s="83">
        <v>1</v>
      </c>
      <c r="B210" s="84">
        <v>5701603301308</v>
      </c>
      <c r="C210" s="83">
        <v>20</v>
      </c>
      <c r="D210" s="84">
        <v>5980543301</v>
      </c>
      <c r="F210" s="83" t="s">
        <v>103</v>
      </c>
      <c r="G210" s="83">
        <v>0</v>
      </c>
      <c r="H210" s="83">
        <v>100</v>
      </c>
      <c r="K210" s="83">
        <v>1</v>
      </c>
      <c r="L210" s="83" t="s">
        <v>101</v>
      </c>
      <c r="M210" s="83" t="s">
        <v>410</v>
      </c>
      <c r="N210" s="83" t="s">
        <v>102</v>
      </c>
      <c r="P210" s="83">
        <v>0</v>
      </c>
      <c r="U210" s="83">
        <v>4</v>
      </c>
      <c r="V210" s="83">
        <v>1</v>
      </c>
      <c r="W210" s="83" t="s">
        <v>103</v>
      </c>
      <c r="X210" s="83">
        <v>0</v>
      </c>
    </row>
    <row r="211" spans="1:25" x14ac:dyDescent="0.2">
      <c r="A211" s="83">
        <v>1</v>
      </c>
      <c r="B211" s="84">
        <v>5701603301308</v>
      </c>
      <c r="C211" s="83">
        <v>30</v>
      </c>
      <c r="D211" s="84">
        <v>5980623301</v>
      </c>
      <c r="F211" s="83" t="s">
        <v>103</v>
      </c>
      <c r="G211" s="83">
        <v>0</v>
      </c>
      <c r="H211" s="83">
        <v>100</v>
      </c>
      <c r="K211" s="83">
        <v>1</v>
      </c>
      <c r="L211" s="83" t="s">
        <v>101</v>
      </c>
      <c r="M211" s="83" t="s">
        <v>410</v>
      </c>
      <c r="N211" s="83" t="s">
        <v>102</v>
      </c>
      <c r="P211" s="83">
        <v>0</v>
      </c>
      <c r="U211" s="83">
        <v>4</v>
      </c>
      <c r="V211" s="83">
        <v>1</v>
      </c>
      <c r="W211" s="83" t="s">
        <v>103</v>
      </c>
      <c r="X211" s="83">
        <v>0</v>
      </c>
    </row>
    <row r="212" spans="1:25" x14ac:dyDescent="0.2">
      <c r="A212" s="83">
        <v>1</v>
      </c>
      <c r="B212" s="84">
        <v>5701603301308</v>
      </c>
      <c r="C212" s="83">
        <v>40</v>
      </c>
      <c r="D212" s="84">
        <v>5980823301</v>
      </c>
      <c r="F212" s="83" t="s">
        <v>103</v>
      </c>
      <c r="G212" s="83">
        <v>0</v>
      </c>
      <c r="H212" s="83">
        <v>100</v>
      </c>
      <c r="K212" s="83">
        <v>1</v>
      </c>
      <c r="L212" s="83" t="s">
        <v>101</v>
      </c>
      <c r="M212" s="83" t="s">
        <v>410</v>
      </c>
      <c r="N212" s="83" t="s">
        <v>102</v>
      </c>
      <c r="P212" s="83">
        <v>0</v>
      </c>
      <c r="U212" s="83">
        <v>4</v>
      </c>
      <c r="V212" s="83">
        <v>1</v>
      </c>
      <c r="W212" s="83" t="s">
        <v>103</v>
      </c>
      <c r="X212" s="83">
        <v>0</v>
      </c>
    </row>
    <row r="213" spans="1:25" x14ac:dyDescent="0.2">
      <c r="A213" s="83">
        <v>1</v>
      </c>
      <c r="B213" s="84">
        <v>5701603301308</v>
      </c>
      <c r="C213" s="83">
        <v>50</v>
      </c>
      <c r="D213" s="85">
        <v>5980933301</v>
      </c>
      <c r="F213" s="83" t="s">
        <v>103</v>
      </c>
      <c r="G213" s="83">
        <v>0</v>
      </c>
      <c r="H213" s="83">
        <v>100</v>
      </c>
      <c r="K213" s="83">
        <v>1</v>
      </c>
      <c r="L213" s="83" t="s">
        <v>101</v>
      </c>
      <c r="M213" s="83" t="s">
        <v>410</v>
      </c>
      <c r="N213" s="83" t="s">
        <v>102</v>
      </c>
      <c r="P213" s="83">
        <v>0</v>
      </c>
      <c r="U213" s="83">
        <v>4</v>
      </c>
      <c r="V213" s="83">
        <v>1</v>
      </c>
      <c r="W213" s="83" t="s">
        <v>103</v>
      </c>
      <c r="X213" s="83">
        <v>0</v>
      </c>
    </row>
    <row r="214" spans="1:25" x14ac:dyDescent="0.2">
      <c r="A214" s="83">
        <v>1</v>
      </c>
      <c r="B214" s="84">
        <v>5701603301308</v>
      </c>
      <c r="C214" s="83">
        <v>60</v>
      </c>
      <c r="D214" s="84">
        <v>1010286</v>
      </c>
      <c r="F214" s="83" t="s">
        <v>103</v>
      </c>
      <c r="G214" s="83">
        <v>0</v>
      </c>
      <c r="H214" s="83">
        <v>100</v>
      </c>
      <c r="K214" s="83">
        <v>8</v>
      </c>
      <c r="L214" s="83" t="s">
        <v>101</v>
      </c>
      <c r="M214" s="83" t="s">
        <v>410</v>
      </c>
      <c r="N214" s="83" t="s">
        <v>102</v>
      </c>
      <c r="P214" s="83">
        <v>0</v>
      </c>
      <c r="U214" s="83">
        <v>4</v>
      </c>
      <c r="V214" s="83">
        <v>1</v>
      </c>
      <c r="W214" s="83" t="s">
        <v>103</v>
      </c>
      <c r="X214" s="83">
        <v>0</v>
      </c>
    </row>
    <row r="215" spans="1:25" x14ac:dyDescent="0.2">
      <c r="A215" s="83">
        <v>1</v>
      </c>
      <c r="B215" s="84">
        <v>5701603301308</v>
      </c>
      <c r="C215" s="83">
        <v>70</v>
      </c>
      <c r="D215" s="84">
        <v>1010287</v>
      </c>
      <c r="F215" s="83" t="s">
        <v>103</v>
      </c>
      <c r="G215" s="83">
        <v>0</v>
      </c>
      <c r="H215" s="83">
        <v>100</v>
      </c>
      <c r="K215" s="83">
        <v>4</v>
      </c>
      <c r="L215" s="83" t="s">
        <v>101</v>
      </c>
      <c r="M215" s="83" t="s">
        <v>410</v>
      </c>
      <c r="N215" s="83" t="s">
        <v>102</v>
      </c>
      <c r="P215" s="83">
        <v>0</v>
      </c>
      <c r="U215" s="83">
        <v>4</v>
      </c>
      <c r="V215" s="83">
        <v>1</v>
      </c>
      <c r="W215" s="83" t="s">
        <v>103</v>
      </c>
      <c r="X215" s="83">
        <v>0</v>
      </c>
    </row>
    <row r="216" spans="1:25" x14ac:dyDescent="0.2">
      <c r="A216" s="83">
        <v>1</v>
      </c>
      <c r="B216" s="84">
        <v>5701603301308</v>
      </c>
      <c r="C216" s="83">
        <v>80</v>
      </c>
      <c r="D216" s="84">
        <v>1020145</v>
      </c>
      <c r="F216" s="83" t="s">
        <v>103</v>
      </c>
      <c r="G216" s="83">
        <v>0</v>
      </c>
      <c r="H216" s="83">
        <v>100</v>
      </c>
      <c r="K216" s="83" t="s">
        <v>408</v>
      </c>
      <c r="L216" s="83" t="s">
        <v>101</v>
      </c>
      <c r="M216" s="83" t="s">
        <v>410</v>
      </c>
      <c r="N216" s="83" t="s">
        <v>102</v>
      </c>
      <c r="P216" s="83">
        <v>0</v>
      </c>
      <c r="U216" s="83">
        <v>4</v>
      </c>
      <c r="V216" s="83">
        <v>1</v>
      </c>
      <c r="W216" s="83" t="s">
        <v>103</v>
      </c>
      <c r="X216" s="83">
        <v>0</v>
      </c>
    </row>
    <row r="217" spans="1:25" x14ac:dyDescent="0.2">
      <c r="A217" s="83">
        <v>1</v>
      </c>
      <c r="B217" s="84">
        <v>5701603301308</v>
      </c>
      <c r="C217" s="83">
        <v>90</v>
      </c>
      <c r="D217" s="84">
        <v>777500308</v>
      </c>
      <c r="F217" s="83" t="s">
        <v>103</v>
      </c>
      <c r="G217" s="83">
        <v>0</v>
      </c>
      <c r="H217" s="83">
        <v>100</v>
      </c>
      <c r="K217" s="83">
        <v>1</v>
      </c>
      <c r="L217" s="83" t="s">
        <v>101</v>
      </c>
      <c r="M217" s="83" t="s">
        <v>410</v>
      </c>
      <c r="N217" s="83" t="s">
        <v>102</v>
      </c>
      <c r="P217" s="83">
        <v>0</v>
      </c>
      <c r="U217" s="83">
        <v>4</v>
      </c>
      <c r="V217" s="83">
        <v>1</v>
      </c>
      <c r="W217" s="83" t="s">
        <v>103</v>
      </c>
      <c r="X217" s="83">
        <v>0</v>
      </c>
    </row>
    <row r="218" spans="1:25" x14ac:dyDescent="0.2">
      <c r="A218" s="83">
        <v>1</v>
      </c>
      <c r="B218" s="84">
        <v>5701603302308</v>
      </c>
      <c r="C218" s="83">
        <v>10</v>
      </c>
      <c r="D218" s="84">
        <v>5980463302</v>
      </c>
      <c r="F218" s="83" t="s">
        <v>103</v>
      </c>
      <c r="G218" s="83">
        <v>0</v>
      </c>
      <c r="H218" s="83">
        <v>100</v>
      </c>
      <c r="K218" s="83">
        <v>1</v>
      </c>
      <c r="L218" s="83" t="s">
        <v>101</v>
      </c>
      <c r="M218" s="83" t="s">
        <v>410</v>
      </c>
      <c r="N218" s="83" t="s">
        <v>102</v>
      </c>
      <c r="P218" s="83">
        <v>0</v>
      </c>
      <c r="U218" s="83">
        <v>4</v>
      </c>
      <c r="V218" s="83">
        <v>1</v>
      </c>
      <c r="W218" s="83" t="s">
        <v>103</v>
      </c>
      <c r="X218" s="83">
        <v>0</v>
      </c>
      <c r="Y218" s="83" t="str">
        <f>LEFT(D218,6)</f>
        <v>598046</v>
      </c>
    </row>
    <row r="219" spans="1:25" x14ac:dyDescent="0.2">
      <c r="A219" s="83">
        <v>1</v>
      </c>
      <c r="B219" s="84">
        <v>5701603302308</v>
      </c>
      <c r="C219" s="83">
        <v>20</v>
      </c>
      <c r="D219" s="84">
        <v>5980543302</v>
      </c>
      <c r="F219" s="83" t="s">
        <v>103</v>
      </c>
      <c r="G219" s="83">
        <v>0</v>
      </c>
      <c r="H219" s="83">
        <v>100</v>
      </c>
      <c r="K219" s="83">
        <v>1</v>
      </c>
      <c r="L219" s="83" t="s">
        <v>101</v>
      </c>
      <c r="M219" s="83" t="s">
        <v>410</v>
      </c>
      <c r="N219" s="83" t="s">
        <v>102</v>
      </c>
      <c r="P219" s="83">
        <v>0</v>
      </c>
      <c r="U219" s="83">
        <v>4</v>
      </c>
      <c r="V219" s="83">
        <v>1</v>
      </c>
      <c r="W219" s="83" t="s">
        <v>103</v>
      </c>
      <c r="X219" s="83">
        <v>0</v>
      </c>
    </row>
    <row r="220" spans="1:25" x14ac:dyDescent="0.2">
      <c r="A220" s="83">
        <v>1</v>
      </c>
      <c r="B220" s="84">
        <v>5701603302308</v>
      </c>
      <c r="C220" s="83">
        <v>30</v>
      </c>
      <c r="D220" s="84">
        <v>5980623302</v>
      </c>
      <c r="F220" s="83" t="s">
        <v>103</v>
      </c>
      <c r="G220" s="83">
        <v>0</v>
      </c>
      <c r="H220" s="83">
        <v>100</v>
      </c>
      <c r="K220" s="83">
        <v>1</v>
      </c>
      <c r="L220" s="83" t="s">
        <v>101</v>
      </c>
      <c r="M220" s="83" t="s">
        <v>410</v>
      </c>
      <c r="N220" s="83" t="s">
        <v>102</v>
      </c>
      <c r="P220" s="83">
        <v>0</v>
      </c>
      <c r="U220" s="83">
        <v>4</v>
      </c>
      <c r="V220" s="83">
        <v>1</v>
      </c>
      <c r="W220" s="83" t="s">
        <v>103</v>
      </c>
      <c r="X220" s="83">
        <v>0</v>
      </c>
    </row>
    <row r="221" spans="1:25" x14ac:dyDescent="0.2">
      <c r="A221" s="83">
        <v>1</v>
      </c>
      <c r="B221" s="84">
        <v>5701603302308</v>
      </c>
      <c r="C221" s="83">
        <v>40</v>
      </c>
      <c r="D221" s="84">
        <v>5980823302</v>
      </c>
      <c r="F221" s="83" t="s">
        <v>103</v>
      </c>
      <c r="G221" s="83">
        <v>0</v>
      </c>
      <c r="H221" s="83">
        <v>100</v>
      </c>
      <c r="K221" s="83">
        <v>1</v>
      </c>
      <c r="L221" s="83" t="s">
        <v>101</v>
      </c>
      <c r="M221" s="83" t="s">
        <v>410</v>
      </c>
      <c r="N221" s="83" t="s">
        <v>102</v>
      </c>
      <c r="P221" s="83">
        <v>0</v>
      </c>
      <c r="U221" s="83">
        <v>4</v>
      </c>
      <c r="V221" s="83">
        <v>1</v>
      </c>
      <c r="W221" s="83" t="s">
        <v>103</v>
      </c>
      <c r="X221" s="83">
        <v>0</v>
      </c>
    </row>
    <row r="222" spans="1:25" x14ac:dyDescent="0.2">
      <c r="A222" s="83">
        <v>1</v>
      </c>
      <c r="B222" s="84">
        <v>5701603302308</v>
      </c>
      <c r="C222" s="83">
        <v>50</v>
      </c>
      <c r="D222" s="84">
        <v>5980933302</v>
      </c>
      <c r="F222" s="83" t="s">
        <v>103</v>
      </c>
      <c r="G222" s="83">
        <v>0</v>
      </c>
      <c r="H222" s="83">
        <v>100</v>
      </c>
      <c r="K222" s="83">
        <v>1</v>
      </c>
      <c r="L222" s="83" t="s">
        <v>101</v>
      </c>
      <c r="M222" s="83" t="s">
        <v>410</v>
      </c>
      <c r="N222" s="83" t="s">
        <v>102</v>
      </c>
      <c r="P222" s="83">
        <v>0</v>
      </c>
      <c r="U222" s="83">
        <v>4</v>
      </c>
      <c r="V222" s="83">
        <v>1</v>
      </c>
      <c r="W222" s="83" t="s">
        <v>103</v>
      </c>
      <c r="X222" s="83">
        <v>0</v>
      </c>
    </row>
    <row r="223" spans="1:25" x14ac:dyDescent="0.2">
      <c r="A223" s="83">
        <v>1</v>
      </c>
      <c r="B223" s="84">
        <v>5701603302308</v>
      </c>
      <c r="C223" s="83">
        <v>60</v>
      </c>
      <c r="D223" s="84">
        <v>1010286</v>
      </c>
      <c r="F223" s="83" t="s">
        <v>103</v>
      </c>
      <c r="G223" s="83">
        <v>0</v>
      </c>
      <c r="H223" s="83">
        <v>100</v>
      </c>
      <c r="K223" s="83">
        <v>8</v>
      </c>
      <c r="L223" s="83" t="s">
        <v>101</v>
      </c>
      <c r="M223" s="83" t="s">
        <v>410</v>
      </c>
      <c r="N223" s="83" t="s">
        <v>102</v>
      </c>
      <c r="P223" s="83">
        <v>0</v>
      </c>
      <c r="U223" s="83">
        <v>4</v>
      </c>
      <c r="V223" s="83">
        <v>1</v>
      </c>
      <c r="W223" s="83" t="s">
        <v>103</v>
      </c>
      <c r="X223" s="83">
        <v>0</v>
      </c>
    </row>
    <row r="224" spans="1:25" x14ac:dyDescent="0.2">
      <c r="A224" s="83">
        <v>1</v>
      </c>
      <c r="B224" s="84">
        <v>5701603302308</v>
      </c>
      <c r="C224" s="83">
        <v>70</v>
      </c>
      <c r="D224" s="84">
        <v>1010288</v>
      </c>
      <c r="F224" s="83" t="s">
        <v>103</v>
      </c>
      <c r="G224" s="83">
        <v>0</v>
      </c>
      <c r="H224" s="83">
        <v>100</v>
      </c>
      <c r="K224" s="83">
        <v>4</v>
      </c>
      <c r="L224" s="83" t="s">
        <v>101</v>
      </c>
      <c r="M224" s="83" t="s">
        <v>410</v>
      </c>
      <c r="N224" s="83" t="s">
        <v>102</v>
      </c>
      <c r="P224" s="83">
        <v>0</v>
      </c>
      <c r="U224" s="83">
        <v>4</v>
      </c>
      <c r="V224" s="83">
        <v>1</v>
      </c>
      <c r="W224" s="83" t="s">
        <v>103</v>
      </c>
      <c r="X224" s="83">
        <v>0</v>
      </c>
    </row>
    <row r="225" spans="1:25" x14ac:dyDescent="0.2">
      <c r="A225" s="83">
        <v>1</v>
      </c>
      <c r="B225" s="84">
        <v>5701603302308</v>
      </c>
      <c r="C225" s="83">
        <v>80</v>
      </c>
      <c r="D225" s="84">
        <v>1020145</v>
      </c>
      <c r="F225" s="83" t="s">
        <v>103</v>
      </c>
      <c r="G225" s="83">
        <v>0</v>
      </c>
      <c r="H225" s="83">
        <v>100</v>
      </c>
      <c r="K225" s="83" t="s">
        <v>408</v>
      </c>
      <c r="L225" s="83" t="s">
        <v>101</v>
      </c>
      <c r="M225" s="83" t="s">
        <v>410</v>
      </c>
      <c r="N225" s="83" t="s">
        <v>102</v>
      </c>
      <c r="P225" s="83">
        <v>0</v>
      </c>
      <c r="U225" s="83">
        <v>4</v>
      </c>
      <c r="V225" s="83">
        <v>1</v>
      </c>
      <c r="W225" s="83" t="s">
        <v>103</v>
      </c>
      <c r="X225" s="83">
        <v>0</v>
      </c>
    </row>
    <row r="226" spans="1:25" x14ac:dyDescent="0.2">
      <c r="A226" s="83">
        <v>1</v>
      </c>
      <c r="B226" s="84">
        <v>5701603302308</v>
      </c>
      <c r="C226" s="83">
        <v>90</v>
      </c>
      <c r="D226" s="84">
        <v>777500308</v>
      </c>
      <c r="F226" s="83" t="s">
        <v>103</v>
      </c>
      <c r="G226" s="83">
        <v>0</v>
      </c>
      <c r="H226" s="83">
        <v>100</v>
      </c>
      <c r="K226" s="83">
        <v>1</v>
      </c>
      <c r="L226" s="83" t="s">
        <v>101</v>
      </c>
      <c r="M226" s="83" t="s">
        <v>410</v>
      </c>
      <c r="N226" s="83" t="s">
        <v>102</v>
      </c>
      <c r="P226" s="83">
        <v>0</v>
      </c>
      <c r="U226" s="83">
        <v>4</v>
      </c>
      <c r="V226" s="83">
        <v>1</v>
      </c>
      <c r="W226" s="83" t="s">
        <v>103</v>
      </c>
      <c r="X226" s="83">
        <v>0</v>
      </c>
    </row>
    <row r="227" spans="1:25" x14ac:dyDescent="0.2">
      <c r="A227" s="83">
        <v>1</v>
      </c>
      <c r="B227" s="84">
        <v>5701603303308</v>
      </c>
      <c r="C227" s="83">
        <v>10</v>
      </c>
      <c r="D227" s="84">
        <v>5980463303</v>
      </c>
      <c r="F227" s="83" t="s">
        <v>103</v>
      </c>
      <c r="G227" s="83">
        <v>0</v>
      </c>
      <c r="H227" s="83">
        <v>100</v>
      </c>
      <c r="K227" s="83">
        <v>1</v>
      </c>
      <c r="L227" s="83" t="s">
        <v>101</v>
      </c>
      <c r="M227" s="83" t="s">
        <v>410</v>
      </c>
      <c r="N227" s="83" t="s">
        <v>102</v>
      </c>
      <c r="P227" s="83">
        <v>0</v>
      </c>
      <c r="U227" s="83">
        <v>4</v>
      </c>
      <c r="V227" s="83">
        <v>1</v>
      </c>
      <c r="W227" s="83" t="s">
        <v>103</v>
      </c>
      <c r="X227" s="83">
        <v>0</v>
      </c>
      <c r="Y227" s="83" t="str">
        <f>LEFT(D227,6)</f>
        <v>598046</v>
      </c>
    </row>
    <row r="228" spans="1:25" x14ac:dyDescent="0.2">
      <c r="A228" s="83">
        <v>1</v>
      </c>
      <c r="B228" s="84">
        <v>5701603303308</v>
      </c>
      <c r="C228" s="83">
        <v>20</v>
      </c>
      <c r="D228" s="84">
        <v>5980543303</v>
      </c>
      <c r="F228" s="83" t="s">
        <v>103</v>
      </c>
      <c r="G228" s="83">
        <v>0</v>
      </c>
      <c r="H228" s="83">
        <v>100</v>
      </c>
      <c r="K228" s="83">
        <v>1</v>
      </c>
      <c r="L228" s="83" t="s">
        <v>101</v>
      </c>
      <c r="M228" s="83" t="s">
        <v>410</v>
      </c>
      <c r="N228" s="83" t="s">
        <v>102</v>
      </c>
      <c r="P228" s="83">
        <v>0</v>
      </c>
      <c r="U228" s="83">
        <v>4</v>
      </c>
      <c r="V228" s="83">
        <v>1</v>
      </c>
      <c r="W228" s="83" t="s">
        <v>103</v>
      </c>
      <c r="X228" s="83">
        <v>0</v>
      </c>
    </row>
    <row r="229" spans="1:25" x14ac:dyDescent="0.2">
      <c r="A229" s="83">
        <v>1</v>
      </c>
      <c r="B229" s="84">
        <v>5701603303308</v>
      </c>
      <c r="C229" s="83">
        <v>30</v>
      </c>
      <c r="D229" s="84">
        <v>5980623303</v>
      </c>
      <c r="F229" s="83" t="s">
        <v>103</v>
      </c>
      <c r="G229" s="83">
        <v>0</v>
      </c>
      <c r="H229" s="83">
        <v>100</v>
      </c>
      <c r="K229" s="83">
        <v>1</v>
      </c>
      <c r="L229" s="83" t="s">
        <v>101</v>
      </c>
      <c r="M229" s="83" t="s">
        <v>410</v>
      </c>
      <c r="N229" s="83" t="s">
        <v>102</v>
      </c>
      <c r="P229" s="83">
        <v>0</v>
      </c>
      <c r="U229" s="83">
        <v>4</v>
      </c>
      <c r="V229" s="83">
        <v>1</v>
      </c>
      <c r="W229" s="83" t="s">
        <v>103</v>
      </c>
      <c r="X229" s="83">
        <v>0</v>
      </c>
    </row>
    <row r="230" spans="1:25" x14ac:dyDescent="0.2">
      <c r="A230" s="83">
        <v>1</v>
      </c>
      <c r="B230" s="84">
        <v>5701603303308</v>
      </c>
      <c r="C230" s="83">
        <v>40</v>
      </c>
      <c r="D230" s="84">
        <v>5980823303</v>
      </c>
      <c r="F230" s="83" t="s">
        <v>103</v>
      </c>
      <c r="G230" s="83">
        <v>0</v>
      </c>
      <c r="H230" s="83">
        <v>100</v>
      </c>
      <c r="K230" s="83">
        <v>1</v>
      </c>
      <c r="L230" s="83" t="s">
        <v>101</v>
      </c>
      <c r="M230" s="83" t="s">
        <v>410</v>
      </c>
      <c r="N230" s="83" t="s">
        <v>102</v>
      </c>
      <c r="P230" s="83">
        <v>0</v>
      </c>
      <c r="U230" s="83">
        <v>4</v>
      </c>
      <c r="V230" s="83">
        <v>1</v>
      </c>
      <c r="W230" s="83" t="s">
        <v>103</v>
      </c>
      <c r="X230" s="83">
        <v>0</v>
      </c>
    </row>
    <row r="231" spans="1:25" x14ac:dyDescent="0.2">
      <c r="A231" s="83">
        <v>1</v>
      </c>
      <c r="B231" s="84">
        <v>5701603303308</v>
      </c>
      <c r="C231" s="83">
        <v>50</v>
      </c>
      <c r="D231" s="84">
        <v>5980933303</v>
      </c>
      <c r="F231" s="83" t="s">
        <v>103</v>
      </c>
      <c r="G231" s="83">
        <v>0</v>
      </c>
      <c r="H231" s="83">
        <v>100</v>
      </c>
      <c r="K231" s="83">
        <v>1</v>
      </c>
      <c r="L231" s="83" t="s">
        <v>101</v>
      </c>
      <c r="M231" s="83" t="s">
        <v>410</v>
      </c>
      <c r="N231" s="83" t="s">
        <v>102</v>
      </c>
      <c r="P231" s="83">
        <v>0</v>
      </c>
      <c r="U231" s="83">
        <v>4</v>
      </c>
      <c r="V231" s="83">
        <v>1</v>
      </c>
      <c r="W231" s="83" t="s">
        <v>103</v>
      </c>
      <c r="X231" s="83">
        <v>0</v>
      </c>
    </row>
    <row r="232" spans="1:25" x14ac:dyDescent="0.2">
      <c r="A232" s="83">
        <v>1</v>
      </c>
      <c r="B232" s="84">
        <v>5701603303308</v>
      </c>
      <c r="C232" s="83">
        <v>60</v>
      </c>
      <c r="D232" s="84">
        <v>1010286</v>
      </c>
      <c r="F232" s="83" t="s">
        <v>103</v>
      </c>
      <c r="G232" s="83">
        <v>0</v>
      </c>
      <c r="H232" s="83">
        <v>100</v>
      </c>
      <c r="K232" s="83">
        <v>8</v>
      </c>
      <c r="L232" s="83" t="s">
        <v>101</v>
      </c>
      <c r="M232" s="83" t="s">
        <v>410</v>
      </c>
      <c r="N232" s="83" t="s">
        <v>102</v>
      </c>
      <c r="P232" s="83">
        <v>0</v>
      </c>
      <c r="U232" s="83">
        <v>4</v>
      </c>
      <c r="V232" s="83">
        <v>1</v>
      </c>
      <c r="W232" s="83" t="s">
        <v>103</v>
      </c>
      <c r="X232" s="83">
        <v>0</v>
      </c>
    </row>
    <row r="233" spans="1:25" x14ac:dyDescent="0.2">
      <c r="A233" s="83">
        <v>1</v>
      </c>
      <c r="B233" s="84">
        <v>5701603303308</v>
      </c>
      <c r="C233" s="83">
        <v>70</v>
      </c>
      <c r="D233" s="84">
        <v>1010287</v>
      </c>
      <c r="F233" s="83" t="s">
        <v>103</v>
      </c>
      <c r="G233" s="83">
        <v>0</v>
      </c>
      <c r="H233" s="83">
        <v>100</v>
      </c>
      <c r="K233" s="83">
        <v>4</v>
      </c>
      <c r="L233" s="83" t="s">
        <v>101</v>
      </c>
      <c r="M233" s="83" t="s">
        <v>410</v>
      </c>
      <c r="N233" s="83" t="s">
        <v>102</v>
      </c>
      <c r="P233" s="83">
        <v>0</v>
      </c>
      <c r="U233" s="83">
        <v>4</v>
      </c>
      <c r="V233" s="83">
        <v>1</v>
      </c>
      <c r="W233" s="83" t="s">
        <v>103</v>
      </c>
      <c r="X233" s="83">
        <v>0</v>
      </c>
    </row>
    <row r="234" spans="1:25" x14ac:dyDescent="0.2">
      <c r="A234" s="83">
        <v>1</v>
      </c>
      <c r="B234" s="84">
        <v>5701603303308</v>
      </c>
      <c r="C234" s="83">
        <v>80</v>
      </c>
      <c r="D234" s="84">
        <v>1020145</v>
      </c>
      <c r="F234" s="83" t="s">
        <v>103</v>
      </c>
      <c r="G234" s="83">
        <v>0</v>
      </c>
      <c r="H234" s="83">
        <v>100</v>
      </c>
      <c r="K234" s="83" t="s">
        <v>408</v>
      </c>
      <c r="L234" s="83" t="s">
        <v>101</v>
      </c>
      <c r="M234" s="83" t="s">
        <v>410</v>
      </c>
      <c r="N234" s="83" t="s">
        <v>102</v>
      </c>
      <c r="P234" s="83">
        <v>0</v>
      </c>
      <c r="U234" s="83">
        <v>4</v>
      </c>
      <c r="V234" s="83">
        <v>1</v>
      </c>
      <c r="W234" s="83" t="s">
        <v>103</v>
      </c>
      <c r="X234" s="83">
        <v>0</v>
      </c>
    </row>
    <row r="235" spans="1:25" x14ac:dyDescent="0.2">
      <c r="A235" s="83">
        <v>1</v>
      </c>
      <c r="B235" s="84">
        <v>5701603303308</v>
      </c>
      <c r="C235" s="83">
        <v>90</v>
      </c>
      <c r="D235" s="84">
        <v>777500308</v>
      </c>
      <c r="F235" s="83" t="s">
        <v>103</v>
      </c>
      <c r="G235" s="83">
        <v>0</v>
      </c>
      <c r="H235" s="83">
        <v>100</v>
      </c>
      <c r="K235" s="83">
        <v>1</v>
      </c>
      <c r="L235" s="83" t="s">
        <v>101</v>
      </c>
      <c r="M235" s="83" t="s">
        <v>410</v>
      </c>
      <c r="N235" s="83" t="s">
        <v>102</v>
      </c>
      <c r="P235" s="83">
        <v>0</v>
      </c>
      <c r="U235" s="83">
        <v>4</v>
      </c>
      <c r="V235" s="83">
        <v>1</v>
      </c>
      <c r="W235" s="83" t="s">
        <v>103</v>
      </c>
      <c r="X235" s="83">
        <v>0</v>
      </c>
    </row>
    <row r="236" spans="1:25" x14ac:dyDescent="0.2">
      <c r="A236" s="83">
        <v>1</v>
      </c>
      <c r="B236" s="84">
        <v>5701603304308</v>
      </c>
      <c r="C236" s="83">
        <v>10</v>
      </c>
      <c r="D236" s="84">
        <v>5980463304</v>
      </c>
      <c r="F236" s="83" t="s">
        <v>103</v>
      </c>
      <c r="G236" s="83">
        <v>0</v>
      </c>
      <c r="H236" s="83">
        <v>100</v>
      </c>
      <c r="K236" s="83">
        <v>1</v>
      </c>
      <c r="L236" s="83" t="s">
        <v>101</v>
      </c>
      <c r="M236" s="83" t="s">
        <v>410</v>
      </c>
      <c r="N236" s="83" t="s">
        <v>102</v>
      </c>
      <c r="P236" s="83">
        <v>0</v>
      </c>
      <c r="U236" s="83">
        <v>4</v>
      </c>
      <c r="V236" s="83">
        <v>1</v>
      </c>
      <c r="W236" s="83" t="s">
        <v>103</v>
      </c>
      <c r="X236" s="83">
        <v>0</v>
      </c>
      <c r="Y236" s="83" t="str">
        <f>LEFT(D236,6)</f>
        <v>598046</v>
      </c>
    </row>
    <row r="237" spans="1:25" x14ac:dyDescent="0.2">
      <c r="A237" s="83">
        <v>1</v>
      </c>
      <c r="B237" s="84">
        <v>5701603304308</v>
      </c>
      <c r="C237" s="83">
        <v>20</v>
      </c>
      <c r="D237" s="84">
        <v>5980543304</v>
      </c>
      <c r="F237" s="83" t="s">
        <v>103</v>
      </c>
      <c r="G237" s="83">
        <v>0</v>
      </c>
      <c r="H237" s="83">
        <v>100</v>
      </c>
      <c r="K237" s="83">
        <v>1</v>
      </c>
      <c r="L237" s="83" t="s">
        <v>101</v>
      </c>
      <c r="M237" s="83" t="s">
        <v>410</v>
      </c>
      <c r="N237" s="83" t="s">
        <v>102</v>
      </c>
      <c r="P237" s="83">
        <v>0</v>
      </c>
      <c r="U237" s="83">
        <v>4</v>
      </c>
      <c r="V237" s="83">
        <v>1</v>
      </c>
      <c r="W237" s="83" t="s">
        <v>103</v>
      </c>
      <c r="X237" s="83">
        <v>0</v>
      </c>
    </row>
    <row r="238" spans="1:25" x14ac:dyDescent="0.2">
      <c r="A238" s="83">
        <v>1</v>
      </c>
      <c r="B238" s="84">
        <v>5701603304308</v>
      </c>
      <c r="C238" s="83">
        <v>30</v>
      </c>
      <c r="D238" s="84">
        <v>5980623304</v>
      </c>
      <c r="F238" s="83" t="s">
        <v>103</v>
      </c>
      <c r="G238" s="83">
        <v>0</v>
      </c>
      <c r="H238" s="83">
        <v>100</v>
      </c>
      <c r="K238" s="83">
        <v>1</v>
      </c>
      <c r="L238" s="83" t="s">
        <v>101</v>
      </c>
      <c r="M238" s="83" t="s">
        <v>410</v>
      </c>
      <c r="N238" s="83" t="s">
        <v>102</v>
      </c>
      <c r="P238" s="83">
        <v>0</v>
      </c>
      <c r="U238" s="83">
        <v>4</v>
      </c>
      <c r="V238" s="83">
        <v>1</v>
      </c>
      <c r="W238" s="83" t="s">
        <v>103</v>
      </c>
      <c r="X238" s="83">
        <v>0</v>
      </c>
    </row>
    <row r="239" spans="1:25" x14ac:dyDescent="0.2">
      <c r="A239" s="83">
        <v>1</v>
      </c>
      <c r="B239" s="84">
        <v>5701603304308</v>
      </c>
      <c r="C239" s="83">
        <v>40</v>
      </c>
      <c r="D239" s="84">
        <v>5980823304</v>
      </c>
      <c r="F239" s="83" t="s">
        <v>103</v>
      </c>
      <c r="G239" s="83">
        <v>0</v>
      </c>
      <c r="H239" s="83">
        <v>100</v>
      </c>
      <c r="K239" s="83">
        <v>1</v>
      </c>
      <c r="L239" s="83" t="s">
        <v>101</v>
      </c>
      <c r="M239" s="83" t="s">
        <v>410</v>
      </c>
      <c r="N239" s="83" t="s">
        <v>102</v>
      </c>
      <c r="P239" s="83">
        <v>0</v>
      </c>
      <c r="U239" s="83">
        <v>4</v>
      </c>
      <c r="V239" s="83">
        <v>1</v>
      </c>
      <c r="W239" s="83" t="s">
        <v>103</v>
      </c>
      <c r="X239" s="83">
        <v>0</v>
      </c>
    </row>
    <row r="240" spans="1:25" x14ac:dyDescent="0.2">
      <c r="A240" s="83">
        <v>1</v>
      </c>
      <c r="B240" s="84">
        <v>5701603304308</v>
      </c>
      <c r="C240" s="83">
        <v>50</v>
      </c>
      <c r="D240" s="84">
        <v>5980933304</v>
      </c>
      <c r="F240" s="83" t="s">
        <v>103</v>
      </c>
      <c r="G240" s="83">
        <v>0</v>
      </c>
      <c r="H240" s="83">
        <v>100</v>
      </c>
      <c r="K240" s="83">
        <v>1</v>
      </c>
      <c r="L240" s="83" t="s">
        <v>101</v>
      </c>
      <c r="M240" s="83" t="s">
        <v>410</v>
      </c>
      <c r="N240" s="83" t="s">
        <v>102</v>
      </c>
      <c r="P240" s="83">
        <v>0</v>
      </c>
      <c r="U240" s="83">
        <v>4</v>
      </c>
      <c r="V240" s="83">
        <v>1</v>
      </c>
      <c r="W240" s="83" t="s">
        <v>103</v>
      </c>
      <c r="X240" s="83">
        <v>0</v>
      </c>
    </row>
    <row r="241" spans="1:25" x14ac:dyDescent="0.2">
      <c r="A241" s="83">
        <v>1</v>
      </c>
      <c r="B241" s="84">
        <v>5701603304308</v>
      </c>
      <c r="C241" s="83">
        <v>60</v>
      </c>
      <c r="D241" s="84">
        <v>1010286</v>
      </c>
      <c r="F241" s="83" t="s">
        <v>103</v>
      </c>
      <c r="G241" s="83">
        <v>0</v>
      </c>
      <c r="H241" s="83">
        <v>100</v>
      </c>
      <c r="K241" s="83">
        <v>8</v>
      </c>
      <c r="L241" s="83" t="s">
        <v>101</v>
      </c>
      <c r="M241" s="83" t="s">
        <v>410</v>
      </c>
      <c r="N241" s="83" t="s">
        <v>102</v>
      </c>
      <c r="P241" s="83">
        <v>0</v>
      </c>
      <c r="U241" s="83">
        <v>4</v>
      </c>
      <c r="V241" s="83">
        <v>1</v>
      </c>
      <c r="W241" s="83" t="s">
        <v>103</v>
      </c>
      <c r="X241" s="83">
        <v>0</v>
      </c>
    </row>
    <row r="242" spans="1:25" x14ac:dyDescent="0.2">
      <c r="A242" s="83">
        <v>1</v>
      </c>
      <c r="B242" s="84">
        <v>5701603304308</v>
      </c>
      <c r="C242" s="83">
        <v>70</v>
      </c>
      <c r="D242" s="84">
        <v>1010288</v>
      </c>
      <c r="F242" s="83" t="s">
        <v>103</v>
      </c>
      <c r="G242" s="83">
        <v>0</v>
      </c>
      <c r="H242" s="83">
        <v>100</v>
      </c>
      <c r="K242" s="83">
        <v>4</v>
      </c>
      <c r="L242" s="83" t="s">
        <v>101</v>
      </c>
      <c r="M242" s="83" t="s">
        <v>410</v>
      </c>
      <c r="N242" s="83" t="s">
        <v>102</v>
      </c>
      <c r="P242" s="83">
        <v>0</v>
      </c>
      <c r="U242" s="83">
        <v>4</v>
      </c>
      <c r="V242" s="83">
        <v>1</v>
      </c>
      <c r="W242" s="83" t="s">
        <v>103</v>
      </c>
      <c r="X242" s="83">
        <v>0</v>
      </c>
    </row>
    <row r="243" spans="1:25" x14ac:dyDescent="0.2">
      <c r="A243" s="83">
        <v>1</v>
      </c>
      <c r="B243" s="84">
        <v>5701603304308</v>
      </c>
      <c r="C243" s="83">
        <v>80</v>
      </c>
      <c r="D243" s="84">
        <v>1020145</v>
      </c>
      <c r="F243" s="83" t="s">
        <v>103</v>
      </c>
      <c r="G243" s="83">
        <v>0</v>
      </c>
      <c r="H243" s="83">
        <v>100</v>
      </c>
      <c r="K243" s="83" t="s">
        <v>408</v>
      </c>
      <c r="L243" s="83" t="s">
        <v>101</v>
      </c>
      <c r="M243" s="83" t="s">
        <v>410</v>
      </c>
      <c r="N243" s="83" t="s">
        <v>102</v>
      </c>
      <c r="P243" s="83">
        <v>0</v>
      </c>
      <c r="U243" s="83">
        <v>4</v>
      </c>
      <c r="V243" s="83">
        <v>1</v>
      </c>
      <c r="W243" s="83" t="s">
        <v>103</v>
      </c>
      <c r="X243" s="83">
        <v>0</v>
      </c>
    </row>
    <row r="244" spans="1:25" x14ac:dyDescent="0.2">
      <c r="A244" s="83">
        <v>1</v>
      </c>
      <c r="B244" s="84">
        <v>5701603304308</v>
      </c>
      <c r="C244" s="83">
        <v>90</v>
      </c>
      <c r="D244" s="84">
        <v>777500308</v>
      </c>
      <c r="F244" s="83" t="s">
        <v>103</v>
      </c>
      <c r="G244" s="83">
        <v>0</v>
      </c>
      <c r="H244" s="83">
        <v>100</v>
      </c>
      <c r="K244" s="83">
        <v>1</v>
      </c>
      <c r="L244" s="83" t="s">
        <v>101</v>
      </c>
      <c r="M244" s="83" t="s">
        <v>410</v>
      </c>
      <c r="N244" s="83" t="s">
        <v>102</v>
      </c>
      <c r="P244" s="83">
        <v>0</v>
      </c>
      <c r="U244" s="83">
        <v>4</v>
      </c>
      <c r="V244" s="83">
        <v>1</v>
      </c>
      <c r="W244" s="83" t="s">
        <v>103</v>
      </c>
      <c r="X244" s="83">
        <v>0</v>
      </c>
    </row>
    <row r="245" spans="1:25" x14ac:dyDescent="0.2">
      <c r="A245" s="83">
        <v>1</v>
      </c>
      <c r="B245" s="84">
        <v>5701603305308</v>
      </c>
      <c r="C245" s="83">
        <v>10</v>
      </c>
      <c r="D245" s="84">
        <v>5980463305</v>
      </c>
      <c r="F245" s="83" t="s">
        <v>103</v>
      </c>
      <c r="G245" s="83">
        <v>0</v>
      </c>
      <c r="H245" s="83">
        <v>100</v>
      </c>
      <c r="K245" s="83">
        <v>1</v>
      </c>
      <c r="L245" s="83" t="s">
        <v>101</v>
      </c>
      <c r="M245" s="83" t="s">
        <v>410</v>
      </c>
      <c r="N245" s="83" t="s">
        <v>102</v>
      </c>
      <c r="P245" s="83">
        <v>0</v>
      </c>
      <c r="U245" s="83">
        <v>4</v>
      </c>
      <c r="V245" s="83">
        <v>1</v>
      </c>
      <c r="W245" s="83" t="s">
        <v>103</v>
      </c>
      <c r="X245" s="83">
        <v>0</v>
      </c>
      <c r="Y245" s="83" t="str">
        <f>LEFT(D245,6)</f>
        <v>598046</v>
      </c>
    </row>
    <row r="246" spans="1:25" x14ac:dyDescent="0.2">
      <c r="A246" s="83">
        <v>1</v>
      </c>
      <c r="B246" s="84">
        <v>5701603305308</v>
      </c>
      <c r="C246" s="83">
        <v>20</v>
      </c>
      <c r="D246" s="84">
        <v>5980543305</v>
      </c>
      <c r="F246" s="83" t="s">
        <v>103</v>
      </c>
      <c r="G246" s="83">
        <v>0</v>
      </c>
      <c r="H246" s="83">
        <v>100</v>
      </c>
      <c r="K246" s="83">
        <v>1</v>
      </c>
      <c r="L246" s="83" t="s">
        <v>101</v>
      </c>
      <c r="M246" s="83" t="s">
        <v>410</v>
      </c>
      <c r="N246" s="83" t="s">
        <v>102</v>
      </c>
      <c r="P246" s="83">
        <v>0</v>
      </c>
      <c r="U246" s="83">
        <v>4</v>
      </c>
      <c r="V246" s="83">
        <v>1</v>
      </c>
      <c r="W246" s="83" t="s">
        <v>103</v>
      </c>
      <c r="X246" s="83">
        <v>0</v>
      </c>
    </row>
    <row r="247" spans="1:25" x14ac:dyDescent="0.2">
      <c r="A247" s="83">
        <v>1</v>
      </c>
      <c r="B247" s="84">
        <v>5701603305308</v>
      </c>
      <c r="C247" s="83">
        <v>30</v>
      </c>
      <c r="D247" s="84">
        <v>5980623305</v>
      </c>
      <c r="F247" s="83" t="s">
        <v>103</v>
      </c>
      <c r="G247" s="83">
        <v>0</v>
      </c>
      <c r="H247" s="83">
        <v>100</v>
      </c>
      <c r="K247" s="83">
        <v>1</v>
      </c>
      <c r="L247" s="83" t="s">
        <v>101</v>
      </c>
      <c r="M247" s="83" t="s">
        <v>410</v>
      </c>
      <c r="N247" s="83" t="s">
        <v>102</v>
      </c>
      <c r="P247" s="83">
        <v>0</v>
      </c>
      <c r="U247" s="83">
        <v>4</v>
      </c>
      <c r="V247" s="83">
        <v>1</v>
      </c>
      <c r="W247" s="83" t="s">
        <v>103</v>
      </c>
      <c r="X247" s="83">
        <v>0</v>
      </c>
    </row>
    <row r="248" spans="1:25" x14ac:dyDescent="0.2">
      <c r="A248" s="83">
        <v>1</v>
      </c>
      <c r="B248" s="84">
        <v>5701603305308</v>
      </c>
      <c r="C248" s="83">
        <v>40</v>
      </c>
      <c r="D248" s="84">
        <v>5980823305</v>
      </c>
      <c r="F248" s="83" t="s">
        <v>103</v>
      </c>
      <c r="G248" s="83">
        <v>0</v>
      </c>
      <c r="H248" s="83">
        <v>100</v>
      </c>
      <c r="K248" s="83">
        <v>1</v>
      </c>
      <c r="L248" s="83" t="s">
        <v>101</v>
      </c>
      <c r="M248" s="83" t="s">
        <v>410</v>
      </c>
      <c r="N248" s="83" t="s">
        <v>102</v>
      </c>
      <c r="P248" s="83">
        <v>0</v>
      </c>
      <c r="U248" s="83">
        <v>4</v>
      </c>
      <c r="V248" s="83">
        <v>1</v>
      </c>
      <c r="W248" s="83" t="s">
        <v>103</v>
      </c>
      <c r="X248" s="83">
        <v>0</v>
      </c>
    </row>
    <row r="249" spans="1:25" x14ac:dyDescent="0.2">
      <c r="A249" s="83">
        <v>1</v>
      </c>
      <c r="B249" s="84">
        <v>5701603305308</v>
      </c>
      <c r="C249" s="83">
        <v>50</v>
      </c>
      <c r="D249" s="84">
        <v>5980933305</v>
      </c>
      <c r="F249" s="83" t="s">
        <v>103</v>
      </c>
      <c r="G249" s="83">
        <v>0</v>
      </c>
      <c r="H249" s="83">
        <v>100</v>
      </c>
      <c r="K249" s="83">
        <v>1</v>
      </c>
      <c r="L249" s="83" t="s">
        <v>101</v>
      </c>
      <c r="M249" s="83" t="s">
        <v>410</v>
      </c>
      <c r="N249" s="83" t="s">
        <v>102</v>
      </c>
      <c r="P249" s="83">
        <v>0</v>
      </c>
      <c r="U249" s="83">
        <v>4</v>
      </c>
      <c r="V249" s="83">
        <v>1</v>
      </c>
      <c r="W249" s="83" t="s">
        <v>103</v>
      </c>
      <c r="X249" s="83">
        <v>0</v>
      </c>
    </row>
    <row r="250" spans="1:25" x14ac:dyDescent="0.2">
      <c r="A250" s="83">
        <v>1</v>
      </c>
      <c r="B250" s="84">
        <v>5701603305308</v>
      </c>
      <c r="C250" s="83">
        <v>60</v>
      </c>
      <c r="D250" s="84">
        <v>1010286</v>
      </c>
      <c r="F250" s="83" t="s">
        <v>103</v>
      </c>
      <c r="G250" s="83">
        <v>0</v>
      </c>
      <c r="H250" s="83">
        <v>100</v>
      </c>
      <c r="K250" s="83">
        <v>8</v>
      </c>
      <c r="L250" s="83" t="s">
        <v>101</v>
      </c>
      <c r="M250" s="83" t="s">
        <v>410</v>
      </c>
      <c r="N250" s="83" t="s">
        <v>102</v>
      </c>
      <c r="P250" s="83">
        <v>0</v>
      </c>
      <c r="U250" s="83">
        <v>4</v>
      </c>
      <c r="V250" s="83">
        <v>1</v>
      </c>
      <c r="W250" s="83" t="s">
        <v>103</v>
      </c>
      <c r="X250" s="83">
        <v>0</v>
      </c>
    </row>
    <row r="251" spans="1:25" x14ac:dyDescent="0.2">
      <c r="A251" s="83">
        <v>1</v>
      </c>
      <c r="B251" s="84">
        <v>5701603305308</v>
      </c>
      <c r="C251" s="83">
        <v>70</v>
      </c>
      <c r="D251" s="84">
        <v>1010288</v>
      </c>
      <c r="F251" s="83" t="s">
        <v>103</v>
      </c>
      <c r="G251" s="83">
        <v>0</v>
      </c>
      <c r="H251" s="83">
        <v>100</v>
      </c>
      <c r="K251" s="83">
        <v>4</v>
      </c>
      <c r="L251" s="83" t="s">
        <v>101</v>
      </c>
      <c r="M251" s="83" t="s">
        <v>410</v>
      </c>
      <c r="N251" s="83" t="s">
        <v>102</v>
      </c>
      <c r="P251" s="83">
        <v>0</v>
      </c>
      <c r="U251" s="83">
        <v>4</v>
      </c>
      <c r="V251" s="83">
        <v>1</v>
      </c>
      <c r="W251" s="83" t="s">
        <v>103</v>
      </c>
      <c r="X251" s="83">
        <v>0</v>
      </c>
    </row>
    <row r="252" spans="1:25" x14ac:dyDescent="0.2">
      <c r="A252" s="83">
        <v>1</v>
      </c>
      <c r="B252" s="84">
        <v>5701603305308</v>
      </c>
      <c r="C252" s="83">
        <v>80</v>
      </c>
      <c r="D252" s="84">
        <v>1020145</v>
      </c>
      <c r="F252" s="83" t="s">
        <v>103</v>
      </c>
      <c r="G252" s="83">
        <v>0</v>
      </c>
      <c r="H252" s="83">
        <v>100</v>
      </c>
      <c r="K252" s="83" t="s">
        <v>408</v>
      </c>
      <c r="L252" s="83" t="s">
        <v>101</v>
      </c>
      <c r="M252" s="83" t="s">
        <v>410</v>
      </c>
      <c r="N252" s="83" t="s">
        <v>102</v>
      </c>
      <c r="P252" s="83">
        <v>0</v>
      </c>
      <c r="U252" s="83">
        <v>4</v>
      </c>
      <c r="V252" s="83">
        <v>1</v>
      </c>
      <c r="W252" s="83" t="s">
        <v>103</v>
      </c>
      <c r="X252" s="83">
        <v>0</v>
      </c>
    </row>
    <row r="253" spans="1:25" x14ac:dyDescent="0.2">
      <c r="A253" s="83">
        <v>1</v>
      </c>
      <c r="B253" s="84">
        <v>5701603305308</v>
      </c>
      <c r="C253" s="83">
        <v>90</v>
      </c>
      <c r="D253" s="84">
        <v>777500308</v>
      </c>
      <c r="F253" s="83" t="s">
        <v>103</v>
      </c>
      <c r="G253" s="83">
        <v>0</v>
      </c>
      <c r="H253" s="83">
        <v>100</v>
      </c>
      <c r="K253" s="83">
        <v>1</v>
      </c>
      <c r="L253" s="83" t="s">
        <v>101</v>
      </c>
      <c r="M253" s="83" t="s">
        <v>410</v>
      </c>
      <c r="N253" s="83" t="s">
        <v>102</v>
      </c>
      <c r="P253" s="83">
        <v>0</v>
      </c>
      <c r="U253" s="83">
        <v>4</v>
      </c>
      <c r="V253" s="83">
        <v>1</v>
      </c>
      <c r="W253" s="83" t="s">
        <v>103</v>
      </c>
      <c r="X253" s="83">
        <v>0</v>
      </c>
    </row>
    <row r="254" spans="1:25" x14ac:dyDescent="0.2">
      <c r="A254" s="83">
        <v>1</v>
      </c>
      <c r="B254" s="84">
        <v>5701603306308</v>
      </c>
      <c r="C254" s="83">
        <v>10</v>
      </c>
      <c r="D254" s="84">
        <v>5980463306</v>
      </c>
      <c r="F254" s="83" t="s">
        <v>103</v>
      </c>
      <c r="G254" s="83">
        <v>0</v>
      </c>
      <c r="H254" s="83">
        <v>100</v>
      </c>
      <c r="K254" s="83">
        <v>1</v>
      </c>
      <c r="L254" s="83" t="s">
        <v>101</v>
      </c>
      <c r="M254" s="83" t="s">
        <v>410</v>
      </c>
      <c r="N254" s="83" t="s">
        <v>102</v>
      </c>
      <c r="P254" s="83">
        <v>0</v>
      </c>
      <c r="U254" s="83">
        <v>4</v>
      </c>
      <c r="V254" s="83">
        <v>1</v>
      </c>
      <c r="W254" s="83" t="s">
        <v>103</v>
      </c>
      <c r="X254" s="83">
        <v>0</v>
      </c>
      <c r="Y254" s="83" t="str">
        <f>LEFT(D254,6)</f>
        <v>598046</v>
      </c>
    </row>
    <row r="255" spans="1:25" x14ac:dyDescent="0.2">
      <c r="A255" s="83">
        <v>1</v>
      </c>
      <c r="B255" s="84">
        <v>5701603306308</v>
      </c>
      <c r="C255" s="83">
        <v>20</v>
      </c>
      <c r="D255" s="84">
        <v>5980543306</v>
      </c>
      <c r="F255" s="83" t="s">
        <v>103</v>
      </c>
      <c r="G255" s="83">
        <v>0</v>
      </c>
      <c r="H255" s="83">
        <v>100</v>
      </c>
      <c r="K255" s="83">
        <v>1</v>
      </c>
      <c r="L255" s="83" t="s">
        <v>101</v>
      </c>
      <c r="M255" s="83" t="s">
        <v>410</v>
      </c>
      <c r="N255" s="83" t="s">
        <v>102</v>
      </c>
      <c r="P255" s="83">
        <v>0</v>
      </c>
      <c r="U255" s="83">
        <v>4</v>
      </c>
      <c r="V255" s="83">
        <v>1</v>
      </c>
      <c r="W255" s="83" t="s">
        <v>103</v>
      </c>
      <c r="X255" s="83">
        <v>0</v>
      </c>
    </row>
    <row r="256" spans="1:25" x14ac:dyDescent="0.2">
      <c r="A256" s="83">
        <v>1</v>
      </c>
      <c r="B256" s="84">
        <v>5701603306308</v>
      </c>
      <c r="C256" s="83">
        <v>30</v>
      </c>
      <c r="D256" s="84">
        <v>5980623306</v>
      </c>
      <c r="F256" s="83" t="s">
        <v>103</v>
      </c>
      <c r="G256" s="83">
        <v>0</v>
      </c>
      <c r="H256" s="83">
        <v>100</v>
      </c>
      <c r="K256" s="83">
        <v>1</v>
      </c>
      <c r="L256" s="83" t="s">
        <v>101</v>
      </c>
      <c r="M256" s="83" t="s">
        <v>410</v>
      </c>
      <c r="N256" s="83" t="s">
        <v>102</v>
      </c>
      <c r="P256" s="83">
        <v>0</v>
      </c>
      <c r="U256" s="83">
        <v>4</v>
      </c>
      <c r="V256" s="83">
        <v>1</v>
      </c>
      <c r="W256" s="83" t="s">
        <v>103</v>
      </c>
      <c r="X256" s="83">
        <v>0</v>
      </c>
    </row>
    <row r="257" spans="1:25" x14ac:dyDescent="0.2">
      <c r="A257" s="83">
        <v>1</v>
      </c>
      <c r="B257" s="84">
        <v>5701603306308</v>
      </c>
      <c r="C257" s="83">
        <v>40</v>
      </c>
      <c r="D257" s="84">
        <v>5980823306</v>
      </c>
      <c r="F257" s="83" t="s">
        <v>103</v>
      </c>
      <c r="G257" s="83">
        <v>0</v>
      </c>
      <c r="H257" s="83">
        <v>100</v>
      </c>
      <c r="K257" s="83">
        <v>1</v>
      </c>
      <c r="L257" s="83" t="s">
        <v>101</v>
      </c>
      <c r="M257" s="83" t="s">
        <v>410</v>
      </c>
      <c r="N257" s="83" t="s">
        <v>102</v>
      </c>
      <c r="P257" s="83">
        <v>0</v>
      </c>
      <c r="U257" s="83">
        <v>4</v>
      </c>
      <c r="V257" s="83">
        <v>1</v>
      </c>
      <c r="W257" s="83" t="s">
        <v>103</v>
      </c>
      <c r="X257" s="83">
        <v>0</v>
      </c>
    </row>
    <row r="258" spans="1:25" x14ac:dyDescent="0.2">
      <c r="A258" s="83">
        <v>1</v>
      </c>
      <c r="B258" s="84">
        <v>5701603306308</v>
      </c>
      <c r="C258" s="83">
        <v>50</v>
      </c>
      <c r="D258" s="84">
        <v>5980933306</v>
      </c>
      <c r="F258" s="83" t="s">
        <v>103</v>
      </c>
      <c r="G258" s="83">
        <v>0</v>
      </c>
      <c r="H258" s="83">
        <v>100</v>
      </c>
      <c r="K258" s="83">
        <v>1</v>
      </c>
      <c r="L258" s="83" t="s">
        <v>101</v>
      </c>
      <c r="M258" s="83" t="s">
        <v>410</v>
      </c>
      <c r="N258" s="83" t="s">
        <v>102</v>
      </c>
      <c r="P258" s="83">
        <v>0</v>
      </c>
      <c r="U258" s="83">
        <v>4</v>
      </c>
      <c r="V258" s="83">
        <v>1</v>
      </c>
      <c r="W258" s="83" t="s">
        <v>103</v>
      </c>
      <c r="X258" s="83">
        <v>0</v>
      </c>
    </row>
    <row r="259" spans="1:25" x14ac:dyDescent="0.2">
      <c r="A259" s="83">
        <v>1</v>
      </c>
      <c r="B259" s="84">
        <v>5701603306308</v>
      </c>
      <c r="C259" s="83">
        <v>60</v>
      </c>
      <c r="D259" s="84">
        <v>1010286</v>
      </c>
      <c r="F259" s="83" t="s">
        <v>103</v>
      </c>
      <c r="G259" s="83">
        <v>0</v>
      </c>
      <c r="H259" s="83">
        <v>100</v>
      </c>
      <c r="K259" s="83">
        <v>8</v>
      </c>
      <c r="L259" s="83" t="s">
        <v>101</v>
      </c>
      <c r="M259" s="83" t="s">
        <v>410</v>
      </c>
      <c r="N259" s="83" t="s">
        <v>102</v>
      </c>
      <c r="P259" s="83">
        <v>0</v>
      </c>
      <c r="U259" s="83">
        <v>4</v>
      </c>
      <c r="V259" s="83">
        <v>1</v>
      </c>
      <c r="W259" s="83" t="s">
        <v>103</v>
      </c>
      <c r="X259" s="83">
        <v>0</v>
      </c>
    </row>
    <row r="260" spans="1:25" x14ac:dyDescent="0.2">
      <c r="A260" s="83">
        <v>1</v>
      </c>
      <c r="B260" s="84">
        <v>5701603306308</v>
      </c>
      <c r="C260" s="83">
        <v>70</v>
      </c>
      <c r="D260" s="84">
        <v>1010287</v>
      </c>
      <c r="F260" s="83" t="s">
        <v>103</v>
      </c>
      <c r="G260" s="83">
        <v>0</v>
      </c>
      <c r="H260" s="83">
        <v>100</v>
      </c>
      <c r="K260" s="83">
        <v>4</v>
      </c>
      <c r="L260" s="83" t="s">
        <v>101</v>
      </c>
      <c r="M260" s="83" t="s">
        <v>410</v>
      </c>
      <c r="N260" s="83" t="s">
        <v>102</v>
      </c>
      <c r="P260" s="83">
        <v>0</v>
      </c>
      <c r="U260" s="83">
        <v>4</v>
      </c>
      <c r="V260" s="83">
        <v>1</v>
      </c>
      <c r="W260" s="83" t="s">
        <v>103</v>
      </c>
      <c r="X260" s="83">
        <v>0</v>
      </c>
    </row>
    <row r="261" spans="1:25" x14ac:dyDescent="0.2">
      <c r="A261" s="83">
        <v>1</v>
      </c>
      <c r="B261" s="84">
        <v>5701603306308</v>
      </c>
      <c r="C261" s="83">
        <v>80</v>
      </c>
      <c r="D261" s="84">
        <v>1020145</v>
      </c>
      <c r="F261" s="83" t="s">
        <v>103</v>
      </c>
      <c r="G261" s="83">
        <v>0</v>
      </c>
      <c r="H261" s="83">
        <v>100</v>
      </c>
      <c r="K261" s="83" t="s">
        <v>408</v>
      </c>
      <c r="L261" s="83" t="s">
        <v>101</v>
      </c>
      <c r="M261" s="83" t="s">
        <v>410</v>
      </c>
      <c r="N261" s="83" t="s">
        <v>102</v>
      </c>
      <c r="P261" s="83">
        <v>0</v>
      </c>
      <c r="U261" s="83">
        <v>4</v>
      </c>
      <c r="V261" s="83">
        <v>1</v>
      </c>
      <c r="W261" s="83" t="s">
        <v>103</v>
      </c>
      <c r="X261" s="83">
        <v>0</v>
      </c>
    </row>
    <row r="262" spans="1:25" x14ac:dyDescent="0.2">
      <c r="A262" s="83">
        <v>1</v>
      </c>
      <c r="B262" s="84">
        <v>5701603306308</v>
      </c>
      <c r="C262" s="83">
        <v>90</v>
      </c>
      <c r="D262" s="84">
        <v>777500308</v>
      </c>
      <c r="F262" s="83" t="s">
        <v>103</v>
      </c>
      <c r="G262" s="83">
        <v>0</v>
      </c>
      <c r="H262" s="83">
        <v>100</v>
      </c>
      <c r="K262" s="83">
        <v>1</v>
      </c>
      <c r="L262" s="83" t="s">
        <v>101</v>
      </c>
      <c r="M262" s="83" t="s">
        <v>410</v>
      </c>
      <c r="N262" s="83" t="s">
        <v>102</v>
      </c>
      <c r="P262" s="83">
        <v>0</v>
      </c>
      <c r="U262" s="83">
        <v>4</v>
      </c>
      <c r="V262" s="83">
        <v>1</v>
      </c>
      <c r="W262" s="83" t="s">
        <v>103</v>
      </c>
      <c r="X262" s="83">
        <v>0</v>
      </c>
    </row>
    <row r="263" spans="1:25" x14ac:dyDescent="0.2">
      <c r="A263" s="83">
        <v>1</v>
      </c>
      <c r="B263" s="84">
        <v>5701603307308</v>
      </c>
      <c r="C263" s="83">
        <v>10</v>
      </c>
      <c r="D263" s="84">
        <v>5980463307</v>
      </c>
      <c r="F263" s="83" t="s">
        <v>103</v>
      </c>
      <c r="G263" s="83">
        <v>0</v>
      </c>
      <c r="H263" s="83">
        <v>100</v>
      </c>
      <c r="K263" s="83">
        <v>1</v>
      </c>
      <c r="L263" s="83" t="s">
        <v>101</v>
      </c>
      <c r="M263" s="83" t="s">
        <v>410</v>
      </c>
      <c r="N263" s="83" t="s">
        <v>102</v>
      </c>
      <c r="P263" s="83">
        <v>0</v>
      </c>
      <c r="U263" s="83">
        <v>4</v>
      </c>
      <c r="V263" s="83">
        <v>1</v>
      </c>
      <c r="W263" s="83" t="s">
        <v>103</v>
      </c>
      <c r="X263" s="83">
        <v>0</v>
      </c>
      <c r="Y263" s="83" t="str">
        <f>LEFT(D263,6)</f>
        <v>598046</v>
      </c>
    </row>
    <row r="264" spans="1:25" x14ac:dyDescent="0.2">
      <c r="A264" s="83">
        <v>1</v>
      </c>
      <c r="B264" s="84">
        <v>5701603307308</v>
      </c>
      <c r="C264" s="83">
        <v>20</v>
      </c>
      <c r="D264" s="84">
        <v>5980543307</v>
      </c>
      <c r="F264" s="83" t="s">
        <v>103</v>
      </c>
      <c r="G264" s="83">
        <v>0</v>
      </c>
      <c r="H264" s="83">
        <v>100</v>
      </c>
      <c r="K264" s="83">
        <v>1</v>
      </c>
      <c r="L264" s="83" t="s">
        <v>101</v>
      </c>
      <c r="M264" s="83" t="s">
        <v>410</v>
      </c>
      <c r="N264" s="83" t="s">
        <v>102</v>
      </c>
      <c r="P264" s="83">
        <v>0</v>
      </c>
      <c r="U264" s="83">
        <v>4</v>
      </c>
      <c r="V264" s="83">
        <v>1</v>
      </c>
      <c r="W264" s="83" t="s">
        <v>103</v>
      </c>
      <c r="X264" s="83">
        <v>0</v>
      </c>
    </row>
    <row r="265" spans="1:25" x14ac:dyDescent="0.2">
      <c r="A265" s="83">
        <v>1</v>
      </c>
      <c r="B265" s="84">
        <v>5701603307308</v>
      </c>
      <c r="C265" s="83">
        <v>30</v>
      </c>
      <c r="D265" s="84">
        <v>5980623307</v>
      </c>
      <c r="F265" s="83" t="s">
        <v>103</v>
      </c>
      <c r="G265" s="83">
        <v>0</v>
      </c>
      <c r="H265" s="83">
        <v>100</v>
      </c>
      <c r="K265" s="83">
        <v>1</v>
      </c>
      <c r="L265" s="83" t="s">
        <v>101</v>
      </c>
      <c r="M265" s="83" t="s">
        <v>410</v>
      </c>
      <c r="N265" s="83" t="s">
        <v>102</v>
      </c>
      <c r="P265" s="83">
        <v>0</v>
      </c>
      <c r="U265" s="83">
        <v>4</v>
      </c>
      <c r="V265" s="83">
        <v>1</v>
      </c>
      <c r="W265" s="83" t="s">
        <v>103</v>
      </c>
      <c r="X265" s="83">
        <v>0</v>
      </c>
    </row>
    <row r="266" spans="1:25" x14ac:dyDescent="0.2">
      <c r="A266" s="83">
        <v>1</v>
      </c>
      <c r="B266" s="84">
        <v>5701603307308</v>
      </c>
      <c r="C266" s="83">
        <v>40</v>
      </c>
      <c r="D266" s="84">
        <v>5980823307</v>
      </c>
      <c r="F266" s="83" t="s">
        <v>103</v>
      </c>
      <c r="G266" s="83">
        <v>0</v>
      </c>
      <c r="H266" s="83">
        <v>100</v>
      </c>
      <c r="K266" s="83">
        <v>1</v>
      </c>
      <c r="L266" s="83" t="s">
        <v>101</v>
      </c>
      <c r="M266" s="83" t="s">
        <v>410</v>
      </c>
      <c r="N266" s="83" t="s">
        <v>102</v>
      </c>
      <c r="P266" s="83">
        <v>0</v>
      </c>
      <c r="U266" s="83">
        <v>4</v>
      </c>
      <c r="V266" s="83">
        <v>1</v>
      </c>
      <c r="W266" s="83" t="s">
        <v>103</v>
      </c>
      <c r="X266" s="83">
        <v>0</v>
      </c>
    </row>
    <row r="267" spans="1:25" x14ac:dyDescent="0.2">
      <c r="A267" s="83">
        <v>1</v>
      </c>
      <c r="B267" s="84">
        <v>5701603307308</v>
      </c>
      <c r="C267" s="83">
        <v>50</v>
      </c>
      <c r="D267" s="84">
        <v>5980933307</v>
      </c>
      <c r="F267" s="83" t="s">
        <v>103</v>
      </c>
      <c r="G267" s="83">
        <v>0</v>
      </c>
      <c r="H267" s="83">
        <v>100</v>
      </c>
      <c r="K267" s="83">
        <v>1</v>
      </c>
      <c r="L267" s="83" t="s">
        <v>101</v>
      </c>
      <c r="M267" s="83" t="s">
        <v>410</v>
      </c>
      <c r="N267" s="83" t="s">
        <v>102</v>
      </c>
      <c r="P267" s="83">
        <v>0</v>
      </c>
      <c r="U267" s="83">
        <v>4</v>
      </c>
      <c r="V267" s="83">
        <v>1</v>
      </c>
      <c r="W267" s="83" t="s">
        <v>103</v>
      </c>
      <c r="X267" s="83">
        <v>0</v>
      </c>
    </row>
    <row r="268" spans="1:25" x14ac:dyDescent="0.2">
      <c r="A268" s="83">
        <v>1</v>
      </c>
      <c r="B268" s="84">
        <v>5701603307308</v>
      </c>
      <c r="C268" s="83">
        <v>60</v>
      </c>
      <c r="D268" s="84">
        <v>1010286</v>
      </c>
      <c r="F268" s="83" t="s">
        <v>103</v>
      </c>
      <c r="G268" s="83">
        <v>0</v>
      </c>
      <c r="H268" s="83">
        <v>100</v>
      </c>
      <c r="K268" s="83">
        <v>8</v>
      </c>
      <c r="L268" s="83" t="s">
        <v>101</v>
      </c>
      <c r="M268" s="83" t="s">
        <v>410</v>
      </c>
      <c r="N268" s="83" t="s">
        <v>102</v>
      </c>
      <c r="P268" s="83">
        <v>0</v>
      </c>
      <c r="U268" s="83">
        <v>4</v>
      </c>
      <c r="V268" s="83">
        <v>1</v>
      </c>
      <c r="W268" s="83" t="s">
        <v>103</v>
      </c>
      <c r="X268" s="83">
        <v>0</v>
      </c>
    </row>
    <row r="269" spans="1:25" x14ac:dyDescent="0.2">
      <c r="A269" s="83">
        <v>1</v>
      </c>
      <c r="B269" s="84">
        <v>5701603307308</v>
      </c>
      <c r="C269" s="83">
        <v>70</v>
      </c>
      <c r="D269" s="84">
        <v>1010287</v>
      </c>
      <c r="F269" s="83" t="s">
        <v>103</v>
      </c>
      <c r="G269" s="83">
        <v>0</v>
      </c>
      <c r="H269" s="83">
        <v>100</v>
      </c>
      <c r="K269" s="83">
        <v>4</v>
      </c>
      <c r="L269" s="83" t="s">
        <v>101</v>
      </c>
      <c r="M269" s="83" t="s">
        <v>410</v>
      </c>
      <c r="N269" s="83" t="s">
        <v>102</v>
      </c>
      <c r="P269" s="83">
        <v>0</v>
      </c>
      <c r="U269" s="83">
        <v>4</v>
      </c>
      <c r="V269" s="83">
        <v>1</v>
      </c>
      <c r="W269" s="83" t="s">
        <v>103</v>
      </c>
      <c r="X269" s="83">
        <v>0</v>
      </c>
    </row>
    <row r="270" spans="1:25" x14ac:dyDescent="0.2">
      <c r="A270" s="83">
        <v>1</v>
      </c>
      <c r="B270" s="84">
        <v>5701603307308</v>
      </c>
      <c r="C270" s="83">
        <v>80</v>
      </c>
      <c r="D270" s="84">
        <v>1020145</v>
      </c>
      <c r="F270" s="83" t="s">
        <v>103</v>
      </c>
      <c r="G270" s="83">
        <v>0</v>
      </c>
      <c r="H270" s="83">
        <v>100</v>
      </c>
      <c r="K270" s="83" t="s">
        <v>408</v>
      </c>
      <c r="L270" s="83" t="s">
        <v>101</v>
      </c>
      <c r="M270" s="83" t="s">
        <v>410</v>
      </c>
      <c r="N270" s="83" t="s">
        <v>102</v>
      </c>
      <c r="P270" s="83">
        <v>0</v>
      </c>
      <c r="U270" s="83">
        <v>4</v>
      </c>
      <c r="V270" s="83">
        <v>1</v>
      </c>
      <c r="W270" s="83" t="s">
        <v>103</v>
      </c>
      <c r="X270" s="83">
        <v>0</v>
      </c>
    </row>
    <row r="271" spans="1:25" x14ac:dyDescent="0.2">
      <c r="A271" s="83">
        <v>1</v>
      </c>
      <c r="B271" s="84">
        <v>5701603307308</v>
      </c>
      <c r="C271" s="83">
        <v>90</v>
      </c>
      <c r="D271" s="84">
        <v>777500308</v>
      </c>
      <c r="F271" s="83" t="s">
        <v>103</v>
      </c>
      <c r="G271" s="83">
        <v>0</v>
      </c>
      <c r="H271" s="83">
        <v>100</v>
      </c>
      <c r="K271" s="83">
        <v>1</v>
      </c>
      <c r="L271" s="83" t="s">
        <v>101</v>
      </c>
      <c r="M271" s="83" t="s">
        <v>410</v>
      </c>
      <c r="N271" s="83" t="s">
        <v>102</v>
      </c>
      <c r="P271" s="83">
        <v>0</v>
      </c>
      <c r="U271" s="83">
        <v>4</v>
      </c>
      <c r="V271" s="83">
        <v>1</v>
      </c>
      <c r="W271" s="83" t="s">
        <v>103</v>
      </c>
      <c r="X271" s="83">
        <v>0</v>
      </c>
    </row>
    <row r="272" spans="1:25" x14ac:dyDescent="0.2">
      <c r="A272" s="83">
        <v>1</v>
      </c>
      <c r="B272" s="84">
        <v>5701603308308</v>
      </c>
      <c r="C272" s="83">
        <v>10</v>
      </c>
      <c r="D272" s="84">
        <v>5980463308</v>
      </c>
      <c r="F272" s="83" t="s">
        <v>103</v>
      </c>
      <c r="G272" s="83">
        <v>0</v>
      </c>
      <c r="H272" s="83">
        <v>100</v>
      </c>
      <c r="K272" s="83">
        <v>1</v>
      </c>
      <c r="L272" s="83" t="s">
        <v>101</v>
      </c>
      <c r="M272" s="83" t="s">
        <v>410</v>
      </c>
      <c r="N272" s="83" t="s">
        <v>102</v>
      </c>
      <c r="P272" s="83">
        <v>0</v>
      </c>
      <c r="U272" s="83">
        <v>4</v>
      </c>
      <c r="V272" s="83">
        <v>1</v>
      </c>
      <c r="W272" s="83" t="s">
        <v>103</v>
      </c>
      <c r="X272" s="83">
        <v>0</v>
      </c>
      <c r="Y272" s="83" t="str">
        <f>LEFT(D272,6)</f>
        <v>598046</v>
      </c>
    </row>
    <row r="273" spans="1:25" x14ac:dyDescent="0.2">
      <c r="A273" s="83">
        <v>1</v>
      </c>
      <c r="B273" s="84">
        <v>5701603308308</v>
      </c>
      <c r="C273" s="83">
        <v>20</v>
      </c>
      <c r="D273" s="84">
        <v>5980543308</v>
      </c>
      <c r="F273" s="83" t="s">
        <v>103</v>
      </c>
      <c r="G273" s="83">
        <v>0</v>
      </c>
      <c r="H273" s="83">
        <v>100</v>
      </c>
      <c r="K273" s="83">
        <v>1</v>
      </c>
      <c r="L273" s="83" t="s">
        <v>101</v>
      </c>
      <c r="M273" s="83" t="s">
        <v>410</v>
      </c>
      <c r="N273" s="83" t="s">
        <v>102</v>
      </c>
      <c r="P273" s="83">
        <v>0</v>
      </c>
      <c r="U273" s="83">
        <v>4</v>
      </c>
      <c r="V273" s="83">
        <v>1</v>
      </c>
      <c r="W273" s="83" t="s">
        <v>103</v>
      </c>
      <c r="X273" s="83">
        <v>0</v>
      </c>
    </row>
    <row r="274" spans="1:25" x14ac:dyDescent="0.2">
      <c r="A274" s="83">
        <v>1</v>
      </c>
      <c r="B274" s="84">
        <v>5701603308308</v>
      </c>
      <c r="C274" s="83">
        <v>30</v>
      </c>
      <c r="D274" s="84">
        <v>5980623308</v>
      </c>
      <c r="F274" s="83" t="s">
        <v>103</v>
      </c>
      <c r="G274" s="83">
        <v>0</v>
      </c>
      <c r="H274" s="83">
        <v>100</v>
      </c>
      <c r="K274" s="83">
        <v>1</v>
      </c>
      <c r="L274" s="83" t="s">
        <v>101</v>
      </c>
      <c r="M274" s="83" t="s">
        <v>410</v>
      </c>
      <c r="N274" s="83" t="s">
        <v>102</v>
      </c>
      <c r="P274" s="83">
        <v>0</v>
      </c>
      <c r="U274" s="83">
        <v>4</v>
      </c>
      <c r="V274" s="83">
        <v>1</v>
      </c>
      <c r="W274" s="83" t="s">
        <v>103</v>
      </c>
      <c r="X274" s="83">
        <v>0</v>
      </c>
    </row>
    <row r="275" spans="1:25" x14ac:dyDescent="0.2">
      <c r="A275" s="83">
        <v>1</v>
      </c>
      <c r="B275" s="84">
        <v>5701603308308</v>
      </c>
      <c r="C275" s="83">
        <v>40</v>
      </c>
      <c r="D275" s="84">
        <v>5980823308</v>
      </c>
      <c r="F275" s="83" t="s">
        <v>103</v>
      </c>
      <c r="G275" s="83">
        <v>0</v>
      </c>
      <c r="H275" s="83">
        <v>100</v>
      </c>
      <c r="K275" s="83">
        <v>1</v>
      </c>
      <c r="L275" s="83" t="s">
        <v>101</v>
      </c>
      <c r="M275" s="83" t="s">
        <v>410</v>
      </c>
      <c r="N275" s="83" t="s">
        <v>102</v>
      </c>
      <c r="P275" s="83">
        <v>0</v>
      </c>
      <c r="U275" s="83">
        <v>4</v>
      </c>
      <c r="V275" s="83">
        <v>1</v>
      </c>
      <c r="W275" s="83" t="s">
        <v>103</v>
      </c>
      <c r="X275" s="83">
        <v>0</v>
      </c>
    </row>
    <row r="276" spans="1:25" x14ac:dyDescent="0.2">
      <c r="A276" s="83">
        <v>1</v>
      </c>
      <c r="B276" s="84">
        <v>5701603308308</v>
      </c>
      <c r="C276" s="83">
        <v>50</v>
      </c>
      <c r="D276" s="84">
        <v>5980933308</v>
      </c>
      <c r="F276" s="83" t="s">
        <v>103</v>
      </c>
      <c r="G276" s="83">
        <v>0</v>
      </c>
      <c r="H276" s="83">
        <v>100</v>
      </c>
      <c r="K276" s="83">
        <v>1</v>
      </c>
      <c r="L276" s="83" t="s">
        <v>101</v>
      </c>
      <c r="M276" s="83" t="s">
        <v>410</v>
      </c>
      <c r="N276" s="83" t="s">
        <v>102</v>
      </c>
      <c r="P276" s="83">
        <v>0</v>
      </c>
      <c r="U276" s="83">
        <v>4</v>
      </c>
      <c r="V276" s="83">
        <v>1</v>
      </c>
      <c r="W276" s="83" t="s">
        <v>103</v>
      </c>
      <c r="X276" s="83">
        <v>0</v>
      </c>
    </row>
    <row r="277" spans="1:25" x14ac:dyDescent="0.2">
      <c r="A277" s="83">
        <v>1</v>
      </c>
      <c r="B277" s="84">
        <v>5701603308308</v>
      </c>
      <c r="C277" s="83">
        <v>60</v>
      </c>
      <c r="D277" s="84">
        <v>1010286</v>
      </c>
      <c r="F277" s="83" t="s">
        <v>103</v>
      </c>
      <c r="G277" s="83">
        <v>0</v>
      </c>
      <c r="H277" s="83">
        <v>100</v>
      </c>
      <c r="K277" s="83">
        <v>8</v>
      </c>
      <c r="L277" s="83" t="s">
        <v>101</v>
      </c>
      <c r="M277" s="83" t="s">
        <v>410</v>
      </c>
      <c r="N277" s="83" t="s">
        <v>102</v>
      </c>
      <c r="P277" s="83">
        <v>0</v>
      </c>
      <c r="U277" s="83">
        <v>4</v>
      </c>
      <c r="V277" s="83">
        <v>1</v>
      </c>
      <c r="W277" s="83" t="s">
        <v>103</v>
      </c>
      <c r="X277" s="83">
        <v>0</v>
      </c>
    </row>
    <row r="278" spans="1:25" x14ac:dyDescent="0.2">
      <c r="A278" s="83">
        <v>1</v>
      </c>
      <c r="B278" s="84">
        <v>5701603308308</v>
      </c>
      <c r="C278" s="83">
        <v>70</v>
      </c>
      <c r="D278" s="84">
        <v>1010288</v>
      </c>
      <c r="F278" s="83" t="s">
        <v>103</v>
      </c>
      <c r="G278" s="83">
        <v>0</v>
      </c>
      <c r="H278" s="83">
        <v>100</v>
      </c>
      <c r="K278" s="83">
        <v>4</v>
      </c>
      <c r="L278" s="83" t="s">
        <v>101</v>
      </c>
      <c r="M278" s="83" t="s">
        <v>410</v>
      </c>
      <c r="N278" s="83" t="s">
        <v>102</v>
      </c>
      <c r="P278" s="83">
        <v>0</v>
      </c>
      <c r="U278" s="83">
        <v>4</v>
      </c>
      <c r="V278" s="83">
        <v>1</v>
      </c>
      <c r="W278" s="83" t="s">
        <v>103</v>
      </c>
      <c r="X278" s="83">
        <v>0</v>
      </c>
    </row>
    <row r="279" spans="1:25" x14ac:dyDescent="0.2">
      <c r="A279" s="83">
        <v>1</v>
      </c>
      <c r="B279" s="84">
        <v>5701603308308</v>
      </c>
      <c r="C279" s="83">
        <v>80</v>
      </c>
      <c r="D279" s="84">
        <v>1020145</v>
      </c>
      <c r="F279" s="83" t="s">
        <v>103</v>
      </c>
      <c r="G279" s="83">
        <v>0</v>
      </c>
      <c r="H279" s="83">
        <v>100</v>
      </c>
      <c r="K279" s="83" t="s">
        <v>408</v>
      </c>
      <c r="L279" s="83" t="s">
        <v>101</v>
      </c>
      <c r="M279" s="83" t="s">
        <v>410</v>
      </c>
      <c r="N279" s="83" t="s">
        <v>102</v>
      </c>
      <c r="P279" s="83">
        <v>0</v>
      </c>
      <c r="U279" s="83">
        <v>4</v>
      </c>
      <c r="V279" s="83">
        <v>1</v>
      </c>
      <c r="W279" s="83" t="s">
        <v>103</v>
      </c>
      <c r="X279" s="83">
        <v>0</v>
      </c>
    </row>
    <row r="280" spans="1:25" x14ac:dyDescent="0.2">
      <c r="A280" s="83">
        <v>1</v>
      </c>
      <c r="B280" s="84">
        <v>5701603308308</v>
      </c>
      <c r="C280" s="83">
        <v>90</v>
      </c>
      <c r="D280" s="84">
        <v>777500308</v>
      </c>
      <c r="F280" s="83" t="s">
        <v>103</v>
      </c>
      <c r="G280" s="83">
        <v>0</v>
      </c>
      <c r="H280" s="83">
        <v>100</v>
      </c>
      <c r="K280" s="83">
        <v>1</v>
      </c>
      <c r="L280" s="83" t="s">
        <v>101</v>
      </c>
      <c r="M280" s="83" t="s">
        <v>410</v>
      </c>
      <c r="N280" s="83" t="s">
        <v>102</v>
      </c>
      <c r="P280" s="83">
        <v>0</v>
      </c>
      <c r="U280" s="83">
        <v>4</v>
      </c>
      <c r="V280" s="83">
        <v>1</v>
      </c>
      <c r="W280" s="83" t="s">
        <v>103</v>
      </c>
      <c r="X280" s="83">
        <v>0</v>
      </c>
    </row>
    <row r="281" spans="1:25" x14ac:dyDescent="0.2">
      <c r="A281" s="83">
        <v>1</v>
      </c>
      <c r="B281" s="84">
        <v>5701603309308</v>
      </c>
      <c r="C281" s="83">
        <v>10</v>
      </c>
      <c r="D281" s="84">
        <v>5980463309</v>
      </c>
      <c r="F281" s="83" t="s">
        <v>103</v>
      </c>
      <c r="G281" s="83">
        <v>0</v>
      </c>
      <c r="H281" s="83">
        <v>100</v>
      </c>
      <c r="K281" s="83">
        <v>1</v>
      </c>
      <c r="L281" s="83" t="s">
        <v>101</v>
      </c>
      <c r="M281" s="83" t="s">
        <v>410</v>
      </c>
      <c r="N281" s="83" t="s">
        <v>102</v>
      </c>
      <c r="P281" s="83">
        <v>0</v>
      </c>
      <c r="U281" s="83">
        <v>4</v>
      </c>
      <c r="V281" s="83">
        <v>1</v>
      </c>
      <c r="W281" s="83" t="s">
        <v>103</v>
      </c>
      <c r="X281" s="83">
        <v>0</v>
      </c>
      <c r="Y281" s="83" t="str">
        <f>LEFT(D281,6)</f>
        <v>598046</v>
      </c>
    </row>
    <row r="282" spans="1:25" x14ac:dyDescent="0.2">
      <c r="A282" s="83">
        <v>1</v>
      </c>
      <c r="B282" s="84">
        <v>5701603309308</v>
      </c>
      <c r="C282" s="83">
        <v>20</v>
      </c>
      <c r="D282" s="85">
        <v>5980543309</v>
      </c>
      <c r="F282" s="83" t="s">
        <v>103</v>
      </c>
      <c r="G282" s="83">
        <v>0</v>
      </c>
      <c r="H282" s="83">
        <v>100</v>
      </c>
      <c r="K282" s="83">
        <v>1</v>
      </c>
      <c r="L282" s="83" t="s">
        <v>101</v>
      </c>
      <c r="M282" s="83" t="s">
        <v>410</v>
      </c>
      <c r="N282" s="83" t="s">
        <v>102</v>
      </c>
      <c r="P282" s="83">
        <v>0</v>
      </c>
      <c r="U282" s="83">
        <v>4</v>
      </c>
      <c r="V282" s="83">
        <v>1</v>
      </c>
      <c r="W282" s="83" t="s">
        <v>103</v>
      </c>
      <c r="X282" s="83">
        <v>0</v>
      </c>
    </row>
    <row r="283" spans="1:25" x14ac:dyDescent="0.2">
      <c r="A283" s="83">
        <v>1</v>
      </c>
      <c r="B283" s="84">
        <v>5701603309308</v>
      </c>
      <c r="C283" s="83">
        <v>30</v>
      </c>
      <c r="D283" s="84">
        <v>5980623309</v>
      </c>
      <c r="F283" s="83" t="s">
        <v>103</v>
      </c>
      <c r="G283" s="83">
        <v>0</v>
      </c>
      <c r="H283" s="83">
        <v>100</v>
      </c>
      <c r="K283" s="83">
        <v>1</v>
      </c>
      <c r="L283" s="83" t="s">
        <v>101</v>
      </c>
      <c r="M283" s="83" t="s">
        <v>410</v>
      </c>
      <c r="N283" s="83" t="s">
        <v>102</v>
      </c>
      <c r="P283" s="83">
        <v>0</v>
      </c>
      <c r="U283" s="83">
        <v>4</v>
      </c>
      <c r="V283" s="83">
        <v>1</v>
      </c>
      <c r="W283" s="83" t="s">
        <v>103</v>
      </c>
      <c r="X283" s="83">
        <v>0</v>
      </c>
    </row>
    <row r="284" spans="1:25" x14ac:dyDescent="0.2">
      <c r="A284" s="83">
        <v>1</v>
      </c>
      <c r="B284" s="84">
        <v>5701603309308</v>
      </c>
      <c r="C284" s="83">
        <v>40</v>
      </c>
      <c r="D284" s="84">
        <v>5980823309</v>
      </c>
      <c r="F284" s="83" t="s">
        <v>103</v>
      </c>
      <c r="G284" s="83">
        <v>0</v>
      </c>
      <c r="H284" s="83">
        <v>100</v>
      </c>
      <c r="K284" s="83">
        <v>1</v>
      </c>
      <c r="L284" s="83" t="s">
        <v>101</v>
      </c>
      <c r="M284" s="83" t="s">
        <v>410</v>
      </c>
      <c r="N284" s="83" t="s">
        <v>102</v>
      </c>
      <c r="P284" s="83">
        <v>0</v>
      </c>
      <c r="U284" s="83">
        <v>4</v>
      </c>
      <c r="V284" s="83">
        <v>1</v>
      </c>
      <c r="W284" s="83" t="s">
        <v>103</v>
      </c>
      <c r="X284" s="83">
        <v>0</v>
      </c>
    </row>
    <row r="285" spans="1:25" x14ac:dyDescent="0.2">
      <c r="A285" s="83">
        <v>1</v>
      </c>
      <c r="B285" s="84">
        <v>5701603309308</v>
      </c>
      <c r="C285" s="83">
        <v>50</v>
      </c>
      <c r="D285" s="84">
        <v>5980933309</v>
      </c>
      <c r="F285" s="83" t="s">
        <v>103</v>
      </c>
      <c r="G285" s="83">
        <v>0</v>
      </c>
      <c r="H285" s="83">
        <v>100</v>
      </c>
      <c r="K285" s="83">
        <v>1</v>
      </c>
      <c r="L285" s="83" t="s">
        <v>101</v>
      </c>
      <c r="M285" s="83" t="s">
        <v>410</v>
      </c>
      <c r="N285" s="83" t="s">
        <v>102</v>
      </c>
      <c r="P285" s="83">
        <v>0</v>
      </c>
      <c r="U285" s="83">
        <v>4</v>
      </c>
      <c r="V285" s="83">
        <v>1</v>
      </c>
      <c r="W285" s="83" t="s">
        <v>103</v>
      </c>
      <c r="X285" s="83">
        <v>0</v>
      </c>
    </row>
    <row r="286" spans="1:25" x14ac:dyDescent="0.2">
      <c r="A286" s="83">
        <v>1</v>
      </c>
      <c r="B286" s="84">
        <v>5701603309308</v>
      </c>
      <c r="C286" s="83">
        <v>60</v>
      </c>
      <c r="D286" s="84">
        <v>1010286</v>
      </c>
      <c r="F286" s="83" t="s">
        <v>103</v>
      </c>
      <c r="G286" s="83">
        <v>0</v>
      </c>
      <c r="H286" s="83">
        <v>100</v>
      </c>
      <c r="K286" s="83">
        <v>8</v>
      </c>
      <c r="L286" s="83" t="s">
        <v>101</v>
      </c>
      <c r="M286" s="83" t="s">
        <v>410</v>
      </c>
      <c r="N286" s="83" t="s">
        <v>102</v>
      </c>
      <c r="P286" s="83">
        <v>0</v>
      </c>
      <c r="U286" s="83">
        <v>4</v>
      </c>
      <c r="V286" s="83">
        <v>1</v>
      </c>
      <c r="W286" s="83" t="s">
        <v>103</v>
      </c>
      <c r="X286" s="83">
        <v>0</v>
      </c>
    </row>
    <row r="287" spans="1:25" x14ac:dyDescent="0.2">
      <c r="A287" s="83">
        <v>1</v>
      </c>
      <c r="B287" s="84">
        <v>5701603309308</v>
      </c>
      <c r="C287" s="83">
        <v>70</v>
      </c>
      <c r="D287" s="84">
        <v>1010287</v>
      </c>
      <c r="F287" s="83" t="s">
        <v>103</v>
      </c>
      <c r="G287" s="83">
        <v>0</v>
      </c>
      <c r="H287" s="83">
        <v>100</v>
      </c>
      <c r="K287" s="83">
        <v>4</v>
      </c>
      <c r="L287" s="83" t="s">
        <v>101</v>
      </c>
      <c r="M287" s="83" t="s">
        <v>410</v>
      </c>
      <c r="N287" s="83" t="s">
        <v>102</v>
      </c>
      <c r="P287" s="83">
        <v>0</v>
      </c>
      <c r="U287" s="83">
        <v>4</v>
      </c>
      <c r="V287" s="83">
        <v>1</v>
      </c>
      <c r="W287" s="83" t="s">
        <v>103</v>
      </c>
      <c r="X287" s="83">
        <v>0</v>
      </c>
    </row>
    <row r="288" spans="1:25" x14ac:dyDescent="0.2">
      <c r="A288" s="83">
        <v>1</v>
      </c>
      <c r="B288" s="84">
        <v>5701603309308</v>
      </c>
      <c r="C288" s="83">
        <v>80</v>
      </c>
      <c r="D288" s="84">
        <v>1020145</v>
      </c>
      <c r="F288" s="83" t="s">
        <v>103</v>
      </c>
      <c r="G288" s="83">
        <v>0</v>
      </c>
      <c r="H288" s="83">
        <v>100</v>
      </c>
      <c r="K288" s="83" t="s">
        <v>408</v>
      </c>
      <c r="L288" s="83" t="s">
        <v>101</v>
      </c>
      <c r="M288" s="83" t="s">
        <v>410</v>
      </c>
      <c r="N288" s="83" t="s">
        <v>102</v>
      </c>
      <c r="P288" s="83">
        <v>0</v>
      </c>
      <c r="U288" s="83">
        <v>4</v>
      </c>
      <c r="V288" s="83">
        <v>1</v>
      </c>
      <c r="W288" s="83" t="s">
        <v>103</v>
      </c>
      <c r="X288" s="83">
        <v>0</v>
      </c>
    </row>
    <row r="289" spans="1:25" x14ac:dyDescent="0.2">
      <c r="A289" s="83">
        <v>1</v>
      </c>
      <c r="B289" s="84">
        <v>5701603309308</v>
      </c>
      <c r="C289" s="83">
        <v>90</v>
      </c>
      <c r="D289" s="84">
        <v>777500308</v>
      </c>
      <c r="F289" s="83" t="s">
        <v>103</v>
      </c>
      <c r="G289" s="83">
        <v>0</v>
      </c>
      <c r="H289" s="83">
        <v>100</v>
      </c>
      <c r="K289" s="83">
        <v>1</v>
      </c>
      <c r="L289" s="83" t="s">
        <v>101</v>
      </c>
      <c r="M289" s="83" t="s">
        <v>410</v>
      </c>
      <c r="N289" s="83" t="s">
        <v>102</v>
      </c>
      <c r="P289" s="83">
        <v>0</v>
      </c>
      <c r="U289" s="83">
        <v>4</v>
      </c>
      <c r="V289" s="83">
        <v>1</v>
      </c>
      <c r="W289" s="83" t="s">
        <v>103</v>
      </c>
      <c r="X289" s="83">
        <v>0</v>
      </c>
    </row>
    <row r="290" spans="1:25" x14ac:dyDescent="0.2">
      <c r="A290" s="83">
        <v>1</v>
      </c>
      <c r="B290" s="84">
        <v>5701603310308</v>
      </c>
      <c r="C290" s="83">
        <v>10</v>
      </c>
      <c r="D290" s="84">
        <v>5980463310</v>
      </c>
      <c r="F290" s="83" t="s">
        <v>103</v>
      </c>
      <c r="G290" s="83">
        <v>0</v>
      </c>
      <c r="H290" s="83">
        <v>100</v>
      </c>
      <c r="K290" s="83">
        <v>1</v>
      </c>
      <c r="L290" s="83" t="s">
        <v>101</v>
      </c>
      <c r="M290" s="83" t="s">
        <v>410</v>
      </c>
      <c r="N290" s="83" t="s">
        <v>102</v>
      </c>
      <c r="P290" s="83">
        <v>0</v>
      </c>
      <c r="U290" s="83">
        <v>4</v>
      </c>
      <c r="V290" s="83">
        <v>1</v>
      </c>
      <c r="W290" s="83" t="s">
        <v>103</v>
      </c>
      <c r="X290" s="83">
        <v>0</v>
      </c>
      <c r="Y290" s="83" t="str">
        <f>LEFT(D290,6)</f>
        <v>598046</v>
      </c>
    </row>
    <row r="291" spans="1:25" x14ac:dyDescent="0.2">
      <c r="A291" s="83">
        <v>1</v>
      </c>
      <c r="B291" s="84">
        <v>5701603310308</v>
      </c>
      <c r="C291" s="83">
        <v>20</v>
      </c>
      <c r="D291" s="84">
        <v>5980543310</v>
      </c>
      <c r="F291" s="83" t="s">
        <v>103</v>
      </c>
      <c r="G291" s="83">
        <v>0</v>
      </c>
      <c r="H291" s="83">
        <v>100</v>
      </c>
      <c r="K291" s="83">
        <v>1</v>
      </c>
      <c r="L291" s="83" t="s">
        <v>101</v>
      </c>
      <c r="M291" s="83" t="s">
        <v>410</v>
      </c>
      <c r="N291" s="83" t="s">
        <v>102</v>
      </c>
      <c r="P291" s="83">
        <v>0</v>
      </c>
      <c r="U291" s="83">
        <v>4</v>
      </c>
      <c r="V291" s="83">
        <v>1</v>
      </c>
      <c r="W291" s="83" t="s">
        <v>103</v>
      </c>
      <c r="X291" s="83">
        <v>0</v>
      </c>
    </row>
    <row r="292" spans="1:25" x14ac:dyDescent="0.2">
      <c r="A292" s="83">
        <v>1</v>
      </c>
      <c r="B292" s="84">
        <v>5701603310308</v>
      </c>
      <c r="C292" s="83">
        <v>30</v>
      </c>
      <c r="D292" s="84">
        <v>5980623310</v>
      </c>
      <c r="F292" s="83" t="s">
        <v>103</v>
      </c>
      <c r="G292" s="83">
        <v>0</v>
      </c>
      <c r="H292" s="83">
        <v>100</v>
      </c>
      <c r="K292" s="83">
        <v>1</v>
      </c>
      <c r="L292" s="83" t="s">
        <v>101</v>
      </c>
      <c r="M292" s="83" t="s">
        <v>410</v>
      </c>
      <c r="N292" s="83" t="s">
        <v>102</v>
      </c>
      <c r="P292" s="83">
        <v>0</v>
      </c>
      <c r="U292" s="83">
        <v>4</v>
      </c>
      <c r="V292" s="83">
        <v>1</v>
      </c>
      <c r="W292" s="83" t="s">
        <v>103</v>
      </c>
      <c r="X292" s="83">
        <v>0</v>
      </c>
    </row>
    <row r="293" spans="1:25" x14ac:dyDescent="0.2">
      <c r="A293" s="83">
        <v>1</v>
      </c>
      <c r="B293" s="84">
        <v>5701603310308</v>
      </c>
      <c r="C293" s="83">
        <v>40</v>
      </c>
      <c r="D293" s="84">
        <v>5980823310</v>
      </c>
      <c r="F293" s="83" t="s">
        <v>103</v>
      </c>
      <c r="G293" s="83">
        <v>0</v>
      </c>
      <c r="H293" s="83">
        <v>100</v>
      </c>
      <c r="K293" s="83">
        <v>1</v>
      </c>
      <c r="L293" s="83" t="s">
        <v>101</v>
      </c>
      <c r="M293" s="83" t="s">
        <v>410</v>
      </c>
      <c r="N293" s="83" t="s">
        <v>102</v>
      </c>
      <c r="P293" s="83">
        <v>0</v>
      </c>
      <c r="U293" s="83">
        <v>4</v>
      </c>
      <c r="V293" s="83">
        <v>1</v>
      </c>
      <c r="W293" s="83" t="s">
        <v>103</v>
      </c>
      <c r="X293" s="83">
        <v>0</v>
      </c>
    </row>
    <row r="294" spans="1:25" x14ac:dyDescent="0.2">
      <c r="A294" s="83">
        <v>1</v>
      </c>
      <c r="B294" s="84">
        <v>5701603310308</v>
      </c>
      <c r="C294" s="83">
        <v>50</v>
      </c>
      <c r="D294" s="84">
        <v>5980933310</v>
      </c>
      <c r="F294" s="83" t="s">
        <v>103</v>
      </c>
      <c r="G294" s="83">
        <v>0</v>
      </c>
      <c r="H294" s="83">
        <v>100</v>
      </c>
      <c r="K294" s="83">
        <v>1</v>
      </c>
      <c r="L294" s="83" t="s">
        <v>101</v>
      </c>
      <c r="M294" s="83" t="s">
        <v>410</v>
      </c>
      <c r="N294" s="83" t="s">
        <v>102</v>
      </c>
      <c r="P294" s="83">
        <v>0</v>
      </c>
      <c r="U294" s="83">
        <v>4</v>
      </c>
      <c r="V294" s="83">
        <v>1</v>
      </c>
      <c r="W294" s="83" t="s">
        <v>103</v>
      </c>
      <c r="X294" s="83">
        <v>0</v>
      </c>
    </row>
    <row r="295" spans="1:25" x14ac:dyDescent="0.2">
      <c r="A295" s="83">
        <v>1</v>
      </c>
      <c r="B295" s="84">
        <v>5701603310308</v>
      </c>
      <c r="C295" s="83">
        <v>60</v>
      </c>
      <c r="D295" s="84">
        <v>1010286</v>
      </c>
      <c r="F295" s="83" t="s">
        <v>103</v>
      </c>
      <c r="G295" s="83">
        <v>0</v>
      </c>
      <c r="H295" s="83">
        <v>100</v>
      </c>
      <c r="K295" s="83">
        <v>8</v>
      </c>
      <c r="L295" s="83" t="s">
        <v>101</v>
      </c>
      <c r="M295" s="83" t="s">
        <v>410</v>
      </c>
      <c r="N295" s="83" t="s">
        <v>102</v>
      </c>
      <c r="P295" s="83">
        <v>0</v>
      </c>
      <c r="U295" s="83">
        <v>4</v>
      </c>
      <c r="V295" s="83">
        <v>1</v>
      </c>
      <c r="W295" s="83" t="s">
        <v>103</v>
      </c>
      <c r="X295" s="83">
        <v>0</v>
      </c>
    </row>
    <row r="296" spans="1:25" x14ac:dyDescent="0.2">
      <c r="A296" s="83">
        <v>1</v>
      </c>
      <c r="B296" s="84">
        <v>5701603310308</v>
      </c>
      <c r="C296" s="83">
        <v>70</v>
      </c>
      <c r="D296" s="84">
        <v>1010287</v>
      </c>
      <c r="F296" s="83" t="s">
        <v>103</v>
      </c>
      <c r="G296" s="83">
        <v>0</v>
      </c>
      <c r="H296" s="83">
        <v>100</v>
      </c>
      <c r="K296" s="83">
        <v>4</v>
      </c>
      <c r="L296" s="83" t="s">
        <v>101</v>
      </c>
      <c r="M296" s="83" t="s">
        <v>410</v>
      </c>
      <c r="N296" s="83" t="s">
        <v>102</v>
      </c>
      <c r="P296" s="83">
        <v>0</v>
      </c>
      <c r="U296" s="83">
        <v>4</v>
      </c>
      <c r="V296" s="83">
        <v>1</v>
      </c>
      <c r="W296" s="83" t="s">
        <v>103</v>
      </c>
      <c r="X296" s="83">
        <v>0</v>
      </c>
    </row>
    <row r="297" spans="1:25" x14ac:dyDescent="0.2">
      <c r="A297" s="83">
        <v>1</v>
      </c>
      <c r="B297" s="84">
        <v>5701603310308</v>
      </c>
      <c r="C297" s="83">
        <v>80</v>
      </c>
      <c r="D297" s="84">
        <v>1020145</v>
      </c>
      <c r="F297" s="83" t="s">
        <v>103</v>
      </c>
      <c r="G297" s="83">
        <v>0</v>
      </c>
      <c r="H297" s="83">
        <v>100</v>
      </c>
      <c r="K297" s="83" t="s">
        <v>408</v>
      </c>
      <c r="L297" s="83" t="s">
        <v>101</v>
      </c>
      <c r="M297" s="83" t="s">
        <v>410</v>
      </c>
      <c r="N297" s="83" t="s">
        <v>102</v>
      </c>
      <c r="P297" s="83">
        <v>0</v>
      </c>
      <c r="U297" s="83">
        <v>4</v>
      </c>
      <c r="V297" s="83">
        <v>1</v>
      </c>
      <c r="W297" s="83" t="s">
        <v>103</v>
      </c>
      <c r="X297" s="83">
        <v>0</v>
      </c>
    </row>
    <row r="298" spans="1:25" x14ac:dyDescent="0.2">
      <c r="A298" s="83">
        <v>1</v>
      </c>
      <c r="B298" s="84">
        <v>5701603310308</v>
      </c>
      <c r="C298" s="83">
        <v>90</v>
      </c>
      <c r="D298" s="84">
        <v>777500308</v>
      </c>
      <c r="F298" s="83" t="s">
        <v>103</v>
      </c>
      <c r="G298" s="83">
        <v>0</v>
      </c>
      <c r="H298" s="83">
        <v>100</v>
      </c>
      <c r="K298" s="83">
        <v>1</v>
      </c>
      <c r="L298" s="83" t="s">
        <v>101</v>
      </c>
      <c r="M298" s="83" t="s">
        <v>410</v>
      </c>
      <c r="N298" s="83" t="s">
        <v>102</v>
      </c>
      <c r="P298" s="83">
        <v>0</v>
      </c>
      <c r="U298" s="83">
        <v>4</v>
      </c>
      <c r="V298" s="83">
        <v>1</v>
      </c>
      <c r="W298" s="83" t="s">
        <v>103</v>
      </c>
      <c r="X298" s="83">
        <v>0</v>
      </c>
    </row>
    <row r="299" spans="1:25" x14ac:dyDescent="0.2">
      <c r="A299" s="83">
        <v>1</v>
      </c>
      <c r="B299" s="84">
        <v>5701603300309</v>
      </c>
      <c r="C299" s="83">
        <v>10</v>
      </c>
      <c r="D299" s="84">
        <v>5980463399</v>
      </c>
      <c r="F299" s="83" t="s">
        <v>103</v>
      </c>
      <c r="G299" s="83">
        <v>0</v>
      </c>
      <c r="H299" s="83">
        <v>100</v>
      </c>
      <c r="K299" s="83">
        <v>1</v>
      </c>
      <c r="L299" s="83" t="s">
        <v>101</v>
      </c>
      <c r="M299" s="83" t="s">
        <v>410</v>
      </c>
      <c r="N299" s="83" t="s">
        <v>102</v>
      </c>
      <c r="P299" s="83">
        <v>0</v>
      </c>
      <c r="U299" s="83">
        <v>4</v>
      </c>
      <c r="V299" s="83">
        <v>1</v>
      </c>
      <c r="W299" s="83" t="s">
        <v>103</v>
      </c>
      <c r="X299" s="83">
        <v>0</v>
      </c>
      <c r="Y299" s="83" t="str">
        <f>LEFT(D299,6)</f>
        <v>598046</v>
      </c>
    </row>
    <row r="300" spans="1:25" x14ac:dyDescent="0.2">
      <c r="A300" s="83">
        <v>1</v>
      </c>
      <c r="B300" s="84">
        <v>5701603300309</v>
      </c>
      <c r="C300" s="83">
        <v>20</v>
      </c>
      <c r="D300" s="84">
        <v>5980543399</v>
      </c>
      <c r="F300" s="83" t="s">
        <v>103</v>
      </c>
      <c r="G300" s="83">
        <v>0</v>
      </c>
      <c r="H300" s="83">
        <v>100</v>
      </c>
      <c r="K300" s="83">
        <v>1</v>
      </c>
      <c r="L300" s="83" t="s">
        <v>101</v>
      </c>
      <c r="M300" s="83" t="s">
        <v>410</v>
      </c>
      <c r="N300" s="83" t="s">
        <v>102</v>
      </c>
      <c r="P300" s="83">
        <v>0</v>
      </c>
      <c r="U300" s="83">
        <v>4</v>
      </c>
      <c r="V300" s="83">
        <v>1</v>
      </c>
      <c r="W300" s="83" t="s">
        <v>103</v>
      </c>
      <c r="X300" s="83">
        <v>0</v>
      </c>
    </row>
    <row r="301" spans="1:25" x14ac:dyDescent="0.2">
      <c r="A301" s="83">
        <v>1</v>
      </c>
      <c r="B301" s="84">
        <v>5701603300309</v>
      </c>
      <c r="C301" s="83">
        <v>30</v>
      </c>
      <c r="D301" s="84">
        <v>5980623399</v>
      </c>
      <c r="F301" s="83" t="s">
        <v>103</v>
      </c>
      <c r="G301" s="83">
        <v>0</v>
      </c>
      <c r="H301" s="83">
        <v>100</v>
      </c>
      <c r="K301" s="83">
        <v>1</v>
      </c>
      <c r="L301" s="83" t="s">
        <v>101</v>
      </c>
      <c r="M301" s="83" t="s">
        <v>410</v>
      </c>
      <c r="N301" s="83" t="s">
        <v>102</v>
      </c>
      <c r="P301" s="83">
        <v>0</v>
      </c>
      <c r="U301" s="83">
        <v>4</v>
      </c>
      <c r="V301" s="83">
        <v>1</v>
      </c>
      <c r="W301" s="83" t="s">
        <v>103</v>
      </c>
      <c r="X301" s="83">
        <v>0</v>
      </c>
    </row>
    <row r="302" spans="1:25" x14ac:dyDescent="0.2">
      <c r="A302" s="83">
        <v>1</v>
      </c>
      <c r="B302" s="84">
        <v>5701603300309</v>
      </c>
      <c r="C302" s="83">
        <v>40</v>
      </c>
      <c r="D302" s="84">
        <v>5980823399</v>
      </c>
      <c r="F302" s="83" t="s">
        <v>103</v>
      </c>
      <c r="G302" s="83">
        <v>0</v>
      </c>
      <c r="H302" s="83">
        <v>100</v>
      </c>
      <c r="K302" s="83">
        <v>1</v>
      </c>
      <c r="L302" s="83" t="s">
        <v>101</v>
      </c>
      <c r="M302" s="83" t="s">
        <v>410</v>
      </c>
      <c r="N302" s="83" t="s">
        <v>102</v>
      </c>
      <c r="P302" s="83">
        <v>0</v>
      </c>
      <c r="U302" s="83">
        <v>4</v>
      </c>
      <c r="V302" s="83">
        <v>1</v>
      </c>
      <c r="W302" s="83" t="s">
        <v>103</v>
      </c>
      <c r="X302" s="83">
        <v>0</v>
      </c>
    </row>
    <row r="303" spans="1:25" x14ac:dyDescent="0.2">
      <c r="A303" s="83">
        <v>1</v>
      </c>
      <c r="B303" s="84">
        <v>5701603300309</v>
      </c>
      <c r="C303" s="83">
        <v>50</v>
      </c>
      <c r="D303" s="85">
        <v>1010277</v>
      </c>
      <c r="F303" s="83" t="s">
        <v>103</v>
      </c>
      <c r="G303" s="83">
        <v>0</v>
      </c>
      <c r="H303" s="83">
        <v>100</v>
      </c>
      <c r="K303" s="83">
        <v>1</v>
      </c>
      <c r="L303" s="83" t="s">
        <v>101</v>
      </c>
      <c r="M303" s="83" t="s">
        <v>410</v>
      </c>
      <c r="N303" s="83" t="s">
        <v>102</v>
      </c>
      <c r="P303" s="83">
        <v>0</v>
      </c>
      <c r="U303" s="83">
        <v>4</v>
      </c>
      <c r="V303" s="83">
        <v>1</v>
      </c>
      <c r="W303" s="83" t="s">
        <v>103</v>
      </c>
      <c r="X303" s="83">
        <v>0</v>
      </c>
    </row>
    <row r="304" spans="1:25" x14ac:dyDescent="0.2">
      <c r="A304" s="83">
        <v>1</v>
      </c>
      <c r="B304" s="84">
        <v>5701603300309</v>
      </c>
      <c r="C304" s="83">
        <v>60</v>
      </c>
      <c r="D304" s="84">
        <v>1010286</v>
      </c>
      <c r="F304" s="83" t="s">
        <v>103</v>
      </c>
      <c r="G304" s="83">
        <v>0</v>
      </c>
      <c r="H304" s="83">
        <v>100</v>
      </c>
      <c r="K304" s="83">
        <v>8</v>
      </c>
      <c r="L304" s="83" t="s">
        <v>101</v>
      </c>
      <c r="M304" s="83" t="s">
        <v>410</v>
      </c>
      <c r="N304" s="83" t="s">
        <v>102</v>
      </c>
      <c r="P304" s="83">
        <v>0</v>
      </c>
      <c r="U304" s="83">
        <v>4</v>
      </c>
      <c r="V304" s="83">
        <v>1</v>
      </c>
      <c r="W304" s="83" t="s">
        <v>103</v>
      </c>
      <c r="X304" s="83">
        <v>0</v>
      </c>
    </row>
    <row r="305" spans="1:25" x14ac:dyDescent="0.2">
      <c r="A305" s="83">
        <v>1</v>
      </c>
      <c r="B305" s="84">
        <v>5701603300309</v>
      </c>
      <c r="C305" s="83">
        <v>70</v>
      </c>
      <c r="D305" s="84">
        <v>1010287</v>
      </c>
      <c r="F305" s="83" t="s">
        <v>103</v>
      </c>
      <c r="G305" s="83">
        <v>0</v>
      </c>
      <c r="H305" s="83">
        <v>100</v>
      </c>
      <c r="K305" s="83">
        <v>4</v>
      </c>
      <c r="L305" s="83" t="s">
        <v>101</v>
      </c>
      <c r="M305" s="83" t="s">
        <v>410</v>
      </c>
      <c r="N305" s="83" t="s">
        <v>102</v>
      </c>
      <c r="P305" s="83">
        <v>0</v>
      </c>
      <c r="U305" s="83">
        <v>4</v>
      </c>
      <c r="V305" s="83">
        <v>1</v>
      </c>
      <c r="W305" s="83" t="s">
        <v>103</v>
      </c>
      <c r="X305" s="83">
        <v>0</v>
      </c>
    </row>
    <row r="306" spans="1:25" x14ac:dyDescent="0.2">
      <c r="A306" s="83">
        <v>1</v>
      </c>
      <c r="B306" s="84">
        <v>5701603300309</v>
      </c>
      <c r="C306" s="83">
        <v>80</v>
      </c>
      <c r="D306" s="84">
        <v>1020145</v>
      </c>
      <c r="F306" s="83" t="s">
        <v>103</v>
      </c>
      <c r="G306" s="83">
        <v>0</v>
      </c>
      <c r="H306" s="83">
        <v>100</v>
      </c>
      <c r="K306" s="83" t="s">
        <v>408</v>
      </c>
      <c r="L306" s="83" t="s">
        <v>101</v>
      </c>
      <c r="M306" s="83" t="s">
        <v>410</v>
      </c>
      <c r="N306" s="83" t="s">
        <v>102</v>
      </c>
      <c r="P306" s="83">
        <v>0</v>
      </c>
      <c r="U306" s="83">
        <v>4</v>
      </c>
      <c r="V306" s="83">
        <v>1</v>
      </c>
      <c r="W306" s="83" t="s">
        <v>103</v>
      </c>
      <c r="X306" s="83">
        <v>0</v>
      </c>
    </row>
    <row r="307" spans="1:25" x14ac:dyDescent="0.2">
      <c r="A307" s="83">
        <v>1</v>
      </c>
      <c r="B307" s="84">
        <v>5701603300309</v>
      </c>
      <c r="C307" s="83">
        <v>90</v>
      </c>
      <c r="D307" s="84">
        <v>777500309</v>
      </c>
      <c r="F307" s="83" t="s">
        <v>103</v>
      </c>
      <c r="G307" s="83">
        <v>0</v>
      </c>
      <c r="H307" s="83">
        <v>100</v>
      </c>
      <c r="K307" s="83">
        <v>1</v>
      </c>
      <c r="L307" s="83" t="s">
        <v>101</v>
      </c>
      <c r="M307" s="83" t="s">
        <v>410</v>
      </c>
      <c r="N307" s="83" t="s">
        <v>102</v>
      </c>
      <c r="P307" s="83">
        <v>0</v>
      </c>
      <c r="U307" s="83">
        <v>4</v>
      </c>
      <c r="V307" s="83">
        <v>1</v>
      </c>
      <c r="W307" s="83" t="s">
        <v>103</v>
      </c>
      <c r="X307" s="83">
        <v>0</v>
      </c>
    </row>
    <row r="308" spans="1:25" x14ac:dyDescent="0.2">
      <c r="A308" s="83">
        <v>1</v>
      </c>
      <c r="B308" s="84">
        <v>5701603301309</v>
      </c>
      <c r="C308" s="83">
        <v>10</v>
      </c>
      <c r="D308" s="84">
        <v>5980463301</v>
      </c>
      <c r="F308" s="83" t="s">
        <v>103</v>
      </c>
      <c r="G308" s="83">
        <v>0</v>
      </c>
      <c r="H308" s="83">
        <v>100</v>
      </c>
      <c r="K308" s="83">
        <v>1</v>
      </c>
      <c r="L308" s="83" t="s">
        <v>101</v>
      </c>
      <c r="M308" s="83" t="s">
        <v>410</v>
      </c>
      <c r="N308" s="83" t="s">
        <v>102</v>
      </c>
      <c r="P308" s="83">
        <v>0</v>
      </c>
      <c r="U308" s="83">
        <v>4</v>
      </c>
      <c r="V308" s="83">
        <v>1</v>
      </c>
      <c r="W308" s="83" t="s">
        <v>103</v>
      </c>
      <c r="X308" s="83">
        <v>0</v>
      </c>
      <c r="Y308" s="83" t="str">
        <f>LEFT(D308,6)</f>
        <v>598046</v>
      </c>
    </row>
    <row r="309" spans="1:25" x14ac:dyDescent="0.2">
      <c r="A309" s="83">
        <v>1</v>
      </c>
      <c r="B309" s="84">
        <v>5701603301309</v>
      </c>
      <c r="C309" s="83">
        <v>20</v>
      </c>
      <c r="D309" s="84">
        <v>5980543301</v>
      </c>
      <c r="F309" s="83" t="s">
        <v>103</v>
      </c>
      <c r="G309" s="83">
        <v>0</v>
      </c>
      <c r="H309" s="83">
        <v>100</v>
      </c>
      <c r="K309" s="83">
        <v>1</v>
      </c>
      <c r="L309" s="83" t="s">
        <v>101</v>
      </c>
      <c r="M309" s="83" t="s">
        <v>410</v>
      </c>
      <c r="N309" s="83" t="s">
        <v>102</v>
      </c>
      <c r="P309" s="83">
        <v>0</v>
      </c>
      <c r="U309" s="83">
        <v>4</v>
      </c>
      <c r="V309" s="83">
        <v>1</v>
      </c>
      <c r="W309" s="83" t="s">
        <v>103</v>
      </c>
      <c r="X309" s="83">
        <v>0</v>
      </c>
    </row>
    <row r="310" spans="1:25" x14ac:dyDescent="0.2">
      <c r="A310" s="83">
        <v>1</v>
      </c>
      <c r="B310" s="84">
        <v>5701603301309</v>
      </c>
      <c r="C310" s="83">
        <v>30</v>
      </c>
      <c r="D310" s="84">
        <v>5980623301</v>
      </c>
      <c r="F310" s="83" t="s">
        <v>103</v>
      </c>
      <c r="G310" s="83">
        <v>0</v>
      </c>
      <c r="H310" s="83">
        <v>100</v>
      </c>
      <c r="K310" s="83">
        <v>1</v>
      </c>
      <c r="L310" s="83" t="s">
        <v>101</v>
      </c>
      <c r="M310" s="83" t="s">
        <v>410</v>
      </c>
      <c r="N310" s="83" t="s">
        <v>102</v>
      </c>
      <c r="P310" s="83">
        <v>0</v>
      </c>
      <c r="U310" s="83">
        <v>4</v>
      </c>
      <c r="V310" s="83">
        <v>1</v>
      </c>
      <c r="W310" s="83" t="s">
        <v>103</v>
      </c>
      <c r="X310" s="83">
        <v>0</v>
      </c>
    </row>
    <row r="311" spans="1:25" x14ac:dyDescent="0.2">
      <c r="A311" s="83">
        <v>1</v>
      </c>
      <c r="B311" s="84">
        <v>5701603301309</v>
      </c>
      <c r="C311" s="83">
        <v>40</v>
      </c>
      <c r="D311" s="84">
        <v>5980823301</v>
      </c>
      <c r="F311" s="83" t="s">
        <v>103</v>
      </c>
      <c r="G311" s="83">
        <v>0</v>
      </c>
      <c r="H311" s="83">
        <v>100</v>
      </c>
      <c r="K311" s="83">
        <v>1</v>
      </c>
      <c r="L311" s="83" t="s">
        <v>101</v>
      </c>
      <c r="M311" s="83" t="s">
        <v>410</v>
      </c>
      <c r="N311" s="83" t="s">
        <v>102</v>
      </c>
      <c r="P311" s="83">
        <v>0</v>
      </c>
      <c r="U311" s="83">
        <v>4</v>
      </c>
      <c r="V311" s="83">
        <v>1</v>
      </c>
      <c r="W311" s="83" t="s">
        <v>103</v>
      </c>
      <c r="X311" s="83">
        <v>0</v>
      </c>
    </row>
    <row r="312" spans="1:25" x14ac:dyDescent="0.2">
      <c r="A312" s="83">
        <v>1</v>
      </c>
      <c r="B312" s="84">
        <v>5701603301309</v>
      </c>
      <c r="C312" s="83">
        <v>50</v>
      </c>
      <c r="D312" s="84">
        <v>5980933301</v>
      </c>
      <c r="F312" s="83" t="s">
        <v>103</v>
      </c>
      <c r="G312" s="83">
        <v>0</v>
      </c>
      <c r="H312" s="83">
        <v>100</v>
      </c>
      <c r="K312" s="83">
        <v>1</v>
      </c>
      <c r="L312" s="83" t="s">
        <v>101</v>
      </c>
      <c r="M312" s="83" t="s">
        <v>410</v>
      </c>
      <c r="N312" s="83" t="s">
        <v>102</v>
      </c>
      <c r="P312" s="83">
        <v>0</v>
      </c>
      <c r="U312" s="83">
        <v>4</v>
      </c>
      <c r="V312" s="83">
        <v>1</v>
      </c>
      <c r="W312" s="83" t="s">
        <v>103</v>
      </c>
      <c r="X312" s="83">
        <v>0</v>
      </c>
    </row>
    <row r="313" spans="1:25" x14ac:dyDescent="0.2">
      <c r="A313" s="83">
        <v>1</v>
      </c>
      <c r="B313" s="84">
        <v>5701603301309</v>
      </c>
      <c r="C313" s="83">
        <v>60</v>
      </c>
      <c r="D313" s="84">
        <v>1010286</v>
      </c>
      <c r="F313" s="83" t="s">
        <v>103</v>
      </c>
      <c r="G313" s="83">
        <v>0</v>
      </c>
      <c r="H313" s="83">
        <v>100</v>
      </c>
      <c r="K313" s="83">
        <v>8</v>
      </c>
      <c r="L313" s="83" t="s">
        <v>101</v>
      </c>
      <c r="M313" s="83" t="s">
        <v>410</v>
      </c>
      <c r="N313" s="83" t="s">
        <v>102</v>
      </c>
      <c r="P313" s="83">
        <v>0</v>
      </c>
      <c r="U313" s="83">
        <v>4</v>
      </c>
      <c r="V313" s="83">
        <v>1</v>
      </c>
      <c r="W313" s="83" t="s">
        <v>103</v>
      </c>
      <c r="X313" s="83">
        <v>0</v>
      </c>
    </row>
    <row r="314" spans="1:25" x14ac:dyDescent="0.2">
      <c r="A314" s="83">
        <v>1</v>
      </c>
      <c r="B314" s="84">
        <v>5701603301309</v>
      </c>
      <c r="C314" s="83">
        <v>70</v>
      </c>
      <c r="D314" s="84">
        <v>1010287</v>
      </c>
      <c r="F314" s="83" t="s">
        <v>103</v>
      </c>
      <c r="G314" s="83">
        <v>0</v>
      </c>
      <c r="H314" s="83">
        <v>100</v>
      </c>
      <c r="K314" s="83">
        <v>4</v>
      </c>
      <c r="L314" s="83" t="s">
        <v>101</v>
      </c>
      <c r="M314" s="83" t="s">
        <v>410</v>
      </c>
      <c r="N314" s="83" t="s">
        <v>102</v>
      </c>
      <c r="P314" s="83">
        <v>0</v>
      </c>
      <c r="U314" s="83">
        <v>4</v>
      </c>
      <c r="V314" s="83">
        <v>1</v>
      </c>
      <c r="W314" s="83" t="s">
        <v>103</v>
      </c>
      <c r="X314" s="83">
        <v>0</v>
      </c>
    </row>
    <row r="315" spans="1:25" x14ac:dyDescent="0.2">
      <c r="A315" s="83">
        <v>1</v>
      </c>
      <c r="B315" s="84">
        <v>5701603301309</v>
      </c>
      <c r="C315" s="83">
        <v>80</v>
      </c>
      <c r="D315" s="84">
        <v>1020145</v>
      </c>
      <c r="F315" s="83" t="s">
        <v>103</v>
      </c>
      <c r="G315" s="83">
        <v>0</v>
      </c>
      <c r="H315" s="83">
        <v>100</v>
      </c>
      <c r="K315" s="83" t="s">
        <v>408</v>
      </c>
      <c r="L315" s="83" t="s">
        <v>101</v>
      </c>
      <c r="M315" s="83" t="s">
        <v>410</v>
      </c>
      <c r="N315" s="83" t="s">
        <v>102</v>
      </c>
      <c r="P315" s="83">
        <v>0</v>
      </c>
      <c r="U315" s="83">
        <v>4</v>
      </c>
      <c r="V315" s="83">
        <v>1</v>
      </c>
      <c r="W315" s="83" t="s">
        <v>103</v>
      </c>
      <c r="X315" s="83">
        <v>0</v>
      </c>
    </row>
    <row r="316" spans="1:25" x14ac:dyDescent="0.2">
      <c r="A316" s="83">
        <v>1</v>
      </c>
      <c r="B316" s="84">
        <v>5701603301309</v>
      </c>
      <c r="C316" s="83">
        <v>90</v>
      </c>
      <c r="D316" s="84">
        <v>777500309</v>
      </c>
      <c r="F316" s="83" t="s">
        <v>103</v>
      </c>
      <c r="G316" s="83">
        <v>0</v>
      </c>
      <c r="H316" s="83">
        <v>100</v>
      </c>
      <c r="K316" s="83">
        <v>1</v>
      </c>
      <c r="L316" s="83" t="s">
        <v>101</v>
      </c>
      <c r="M316" s="83" t="s">
        <v>410</v>
      </c>
      <c r="N316" s="83" t="s">
        <v>102</v>
      </c>
      <c r="P316" s="83">
        <v>0</v>
      </c>
      <c r="U316" s="83">
        <v>4</v>
      </c>
      <c r="V316" s="83">
        <v>1</v>
      </c>
      <c r="W316" s="83" t="s">
        <v>103</v>
      </c>
      <c r="X316" s="83">
        <v>0</v>
      </c>
    </row>
    <row r="317" spans="1:25" x14ac:dyDescent="0.2">
      <c r="A317" s="83">
        <v>1</v>
      </c>
      <c r="B317" s="84">
        <v>5701603302309</v>
      </c>
      <c r="C317" s="83">
        <v>10</v>
      </c>
      <c r="D317" s="84">
        <v>5980463302</v>
      </c>
      <c r="F317" s="83" t="s">
        <v>103</v>
      </c>
      <c r="G317" s="83">
        <v>0</v>
      </c>
      <c r="H317" s="83">
        <v>100</v>
      </c>
      <c r="K317" s="83">
        <v>1</v>
      </c>
      <c r="L317" s="83" t="s">
        <v>101</v>
      </c>
      <c r="M317" s="83" t="s">
        <v>410</v>
      </c>
      <c r="N317" s="83" t="s">
        <v>102</v>
      </c>
      <c r="P317" s="83">
        <v>0</v>
      </c>
      <c r="U317" s="83">
        <v>4</v>
      </c>
      <c r="V317" s="83">
        <v>1</v>
      </c>
      <c r="W317" s="83" t="s">
        <v>103</v>
      </c>
      <c r="X317" s="83">
        <v>0</v>
      </c>
      <c r="Y317" s="83" t="str">
        <f>LEFT(D317,6)</f>
        <v>598046</v>
      </c>
    </row>
    <row r="318" spans="1:25" x14ac:dyDescent="0.2">
      <c r="A318" s="83">
        <v>1</v>
      </c>
      <c r="B318" s="84">
        <v>5701603302309</v>
      </c>
      <c r="C318" s="83">
        <v>20</v>
      </c>
      <c r="D318" s="84">
        <v>5980543302</v>
      </c>
      <c r="F318" s="83" t="s">
        <v>103</v>
      </c>
      <c r="G318" s="83">
        <v>0</v>
      </c>
      <c r="H318" s="83">
        <v>100</v>
      </c>
      <c r="K318" s="83">
        <v>1</v>
      </c>
      <c r="L318" s="83" t="s">
        <v>101</v>
      </c>
      <c r="M318" s="83" t="s">
        <v>410</v>
      </c>
      <c r="N318" s="83" t="s">
        <v>102</v>
      </c>
      <c r="P318" s="83">
        <v>0</v>
      </c>
      <c r="U318" s="83">
        <v>4</v>
      </c>
      <c r="V318" s="83">
        <v>1</v>
      </c>
      <c r="W318" s="83" t="s">
        <v>103</v>
      </c>
      <c r="X318" s="83">
        <v>0</v>
      </c>
    </row>
    <row r="319" spans="1:25" x14ac:dyDescent="0.2">
      <c r="A319" s="83">
        <v>1</v>
      </c>
      <c r="B319" s="84">
        <v>5701603302309</v>
      </c>
      <c r="C319" s="83">
        <v>30</v>
      </c>
      <c r="D319" s="84">
        <v>5980623302</v>
      </c>
      <c r="F319" s="83" t="s">
        <v>103</v>
      </c>
      <c r="G319" s="83">
        <v>0</v>
      </c>
      <c r="H319" s="83">
        <v>100</v>
      </c>
      <c r="K319" s="83">
        <v>1</v>
      </c>
      <c r="L319" s="83" t="s">
        <v>101</v>
      </c>
      <c r="M319" s="83" t="s">
        <v>410</v>
      </c>
      <c r="N319" s="83" t="s">
        <v>102</v>
      </c>
      <c r="P319" s="83">
        <v>0</v>
      </c>
      <c r="U319" s="83">
        <v>4</v>
      </c>
      <c r="V319" s="83">
        <v>1</v>
      </c>
      <c r="W319" s="83" t="s">
        <v>103</v>
      </c>
      <c r="X319" s="83">
        <v>0</v>
      </c>
    </row>
    <row r="320" spans="1:25" x14ac:dyDescent="0.2">
      <c r="A320" s="83">
        <v>1</v>
      </c>
      <c r="B320" s="84">
        <v>5701603302309</v>
      </c>
      <c r="C320" s="83">
        <v>40</v>
      </c>
      <c r="D320" s="84">
        <v>5980823302</v>
      </c>
      <c r="F320" s="83" t="s">
        <v>103</v>
      </c>
      <c r="G320" s="83">
        <v>0</v>
      </c>
      <c r="H320" s="83">
        <v>100</v>
      </c>
      <c r="K320" s="83">
        <v>1</v>
      </c>
      <c r="L320" s="83" t="s">
        <v>101</v>
      </c>
      <c r="M320" s="83" t="s">
        <v>410</v>
      </c>
      <c r="N320" s="83" t="s">
        <v>102</v>
      </c>
      <c r="P320" s="83">
        <v>0</v>
      </c>
      <c r="U320" s="83">
        <v>4</v>
      </c>
      <c r="V320" s="83">
        <v>1</v>
      </c>
      <c r="W320" s="83" t="s">
        <v>103</v>
      </c>
      <c r="X320" s="83">
        <v>0</v>
      </c>
    </row>
    <row r="321" spans="1:25" x14ac:dyDescent="0.2">
      <c r="A321" s="83">
        <v>1</v>
      </c>
      <c r="B321" s="84">
        <v>5701603302309</v>
      </c>
      <c r="C321" s="83">
        <v>50</v>
      </c>
      <c r="D321" s="84">
        <v>5980933302</v>
      </c>
      <c r="F321" s="83" t="s">
        <v>103</v>
      </c>
      <c r="G321" s="83">
        <v>0</v>
      </c>
      <c r="H321" s="83">
        <v>100</v>
      </c>
      <c r="K321" s="83">
        <v>1</v>
      </c>
      <c r="L321" s="83" t="s">
        <v>101</v>
      </c>
      <c r="M321" s="83" t="s">
        <v>410</v>
      </c>
      <c r="N321" s="83" t="s">
        <v>102</v>
      </c>
      <c r="P321" s="83">
        <v>0</v>
      </c>
      <c r="U321" s="83">
        <v>4</v>
      </c>
      <c r="V321" s="83">
        <v>1</v>
      </c>
      <c r="W321" s="83" t="s">
        <v>103</v>
      </c>
      <c r="X321" s="83">
        <v>0</v>
      </c>
    </row>
    <row r="322" spans="1:25" x14ac:dyDescent="0.2">
      <c r="A322" s="83">
        <v>1</v>
      </c>
      <c r="B322" s="84">
        <v>5701603302309</v>
      </c>
      <c r="C322" s="83">
        <v>60</v>
      </c>
      <c r="D322" s="84">
        <v>1010286</v>
      </c>
      <c r="F322" s="83" t="s">
        <v>103</v>
      </c>
      <c r="G322" s="83">
        <v>0</v>
      </c>
      <c r="H322" s="83">
        <v>100</v>
      </c>
      <c r="K322" s="83">
        <v>8</v>
      </c>
      <c r="L322" s="83" t="s">
        <v>101</v>
      </c>
      <c r="M322" s="83" t="s">
        <v>410</v>
      </c>
      <c r="N322" s="83" t="s">
        <v>102</v>
      </c>
      <c r="P322" s="83">
        <v>0</v>
      </c>
      <c r="U322" s="83">
        <v>4</v>
      </c>
      <c r="V322" s="83">
        <v>1</v>
      </c>
      <c r="W322" s="83" t="s">
        <v>103</v>
      </c>
      <c r="X322" s="83">
        <v>0</v>
      </c>
    </row>
    <row r="323" spans="1:25" x14ac:dyDescent="0.2">
      <c r="A323" s="83">
        <v>1</v>
      </c>
      <c r="B323" s="84">
        <v>5701603302309</v>
      </c>
      <c r="C323" s="83">
        <v>70</v>
      </c>
      <c r="D323" s="84">
        <v>1010288</v>
      </c>
      <c r="F323" s="83" t="s">
        <v>103</v>
      </c>
      <c r="G323" s="83">
        <v>0</v>
      </c>
      <c r="H323" s="83">
        <v>100</v>
      </c>
      <c r="K323" s="83">
        <v>4</v>
      </c>
      <c r="L323" s="83" t="s">
        <v>101</v>
      </c>
      <c r="M323" s="83" t="s">
        <v>410</v>
      </c>
      <c r="N323" s="83" t="s">
        <v>102</v>
      </c>
      <c r="P323" s="83">
        <v>0</v>
      </c>
      <c r="U323" s="83">
        <v>4</v>
      </c>
      <c r="V323" s="83">
        <v>1</v>
      </c>
      <c r="W323" s="83" t="s">
        <v>103</v>
      </c>
      <c r="X323" s="83">
        <v>0</v>
      </c>
    </row>
    <row r="324" spans="1:25" x14ac:dyDescent="0.2">
      <c r="A324" s="83">
        <v>1</v>
      </c>
      <c r="B324" s="84">
        <v>5701603302309</v>
      </c>
      <c r="C324" s="83">
        <v>80</v>
      </c>
      <c r="D324" s="84">
        <v>1020145</v>
      </c>
      <c r="F324" s="83" t="s">
        <v>103</v>
      </c>
      <c r="G324" s="83">
        <v>0</v>
      </c>
      <c r="H324" s="83">
        <v>100</v>
      </c>
      <c r="K324" s="83" t="s">
        <v>408</v>
      </c>
      <c r="L324" s="83" t="s">
        <v>101</v>
      </c>
      <c r="M324" s="83" t="s">
        <v>410</v>
      </c>
      <c r="N324" s="83" t="s">
        <v>102</v>
      </c>
      <c r="P324" s="83">
        <v>0</v>
      </c>
      <c r="U324" s="83">
        <v>4</v>
      </c>
      <c r="V324" s="83">
        <v>1</v>
      </c>
      <c r="W324" s="83" t="s">
        <v>103</v>
      </c>
      <c r="X324" s="83">
        <v>0</v>
      </c>
    </row>
    <row r="325" spans="1:25" x14ac:dyDescent="0.2">
      <c r="A325" s="83">
        <v>1</v>
      </c>
      <c r="B325" s="84">
        <v>5701603302309</v>
      </c>
      <c r="C325" s="83">
        <v>90</v>
      </c>
      <c r="D325" s="84">
        <v>777500309</v>
      </c>
      <c r="F325" s="83" t="s">
        <v>103</v>
      </c>
      <c r="G325" s="83">
        <v>0</v>
      </c>
      <c r="H325" s="83">
        <v>100</v>
      </c>
      <c r="K325" s="83">
        <v>1</v>
      </c>
      <c r="L325" s="83" t="s">
        <v>101</v>
      </c>
      <c r="M325" s="83" t="s">
        <v>410</v>
      </c>
      <c r="N325" s="83" t="s">
        <v>102</v>
      </c>
      <c r="P325" s="83">
        <v>0</v>
      </c>
      <c r="U325" s="83">
        <v>4</v>
      </c>
      <c r="V325" s="83">
        <v>1</v>
      </c>
      <c r="W325" s="83" t="s">
        <v>103</v>
      </c>
      <c r="X325" s="83">
        <v>0</v>
      </c>
    </row>
    <row r="326" spans="1:25" x14ac:dyDescent="0.2">
      <c r="A326" s="83">
        <v>1</v>
      </c>
      <c r="B326" s="84">
        <v>5701603303309</v>
      </c>
      <c r="C326" s="83">
        <v>10</v>
      </c>
      <c r="D326" s="84">
        <v>5980463303</v>
      </c>
      <c r="F326" s="83" t="s">
        <v>103</v>
      </c>
      <c r="G326" s="83">
        <v>0</v>
      </c>
      <c r="H326" s="83">
        <v>100</v>
      </c>
      <c r="K326" s="83">
        <v>1</v>
      </c>
      <c r="L326" s="83" t="s">
        <v>101</v>
      </c>
      <c r="M326" s="83" t="s">
        <v>410</v>
      </c>
      <c r="N326" s="83" t="s">
        <v>102</v>
      </c>
      <c r="P326" s="83">
        <v>0</v>
      </c>
      <c r="U326" s="83">
        <v>4</v>
      </c>
      <c r="V326" s="83">
        <v>1</v>
      </c>
      <c r="W326" s="83" t="s">
        <v>103</v>
      </c>
      <c r="X326" s="83">
        <v>0</v>
      </c>
      <c r="Y326" s="83" t="str">
        <f>LEFT(D326,6)</f>
        <v>598046</v>
      </c>
    </row>
    <row r="327" spans="1:25" x14ac:dyDescent="0.2">
      <c r="A327" s="83">
        <v>1</v>
      </c>
      <c r="B327" s="84">
        <v>5701603303309</v>
      </c>
      <c r="C327" s="83">
        <v>20</v>
      </c>
      <c r="D327" s="84">
        <v>5980543303</v>
      </c>
      <c r="F327" s="83" t="s">
        <v>103</v>
      </c>
      <c r="G327" s="83">
        <v>0</v>
      </c>
      <c r="H327" s="83">
        <v>100</v>
      </c>
      <c r="K327" s="83">
        <v>1</v>
      </c>
      <c r="L327" s="83" t="s">
        <v>101</v>
      </c>
      <c r="M327" s="83" t="s">
        <v>410</v>
      </c>
      <c r="N327" s="83" t="s">
        <v>102</v>
      </c>
      <c r="P327" s="83">
        <v>0</v>
      </c>
      <c r="U327" s="83">
        <v>4</v>
      </c>
      <c r="V327" s="83">
        <v>1</v>
      </c>
      <c r="W327" s="83" t="s">
        <v>103</v>
      </c>
      <c r="X327" s="83">
        <v>0</v>
      </c>
    </row>
    <row r="328" spans="1:25" x14ac:dyDescent="0.2">
      <c r="A328" s="83">
        <v>1</v>
      </c>
      <c r="B328" s="84">
        <v>5701603303309</v>
      </c>
      <c r="C328" s="83">
        <v>30</v>
      </c>
      <c r="D328" s="84">
        <v>5980623303</v>
      </c>
      <c r="F328" s="83" t="s">
        <v>103</v>
      </c>
      <c r="G328" s="83">
        <v>0</v>
      </c>
      <c r="H328" s="83">
        <v>100</v>
      </c>
      <c r="K328" s="83">
        <v>1</v>
      </c>
      <c r="L328" s="83" t="s">
        <v>101</v>
      </c>
      <c r="M328" s="83" t="s">
        <v>410</v>
      </c>
      <c r="N328" s="83" t="s">
        <v>102</v>
      </c>
      <c r="P328" s="83">
        <v>0</v>
      </c>
      <c r="U328" s="83">
        <v>4</v>
      </c>
      <c r="V328" s="83">
        <v>1</v>
      </c>
      <c r="W328" s="83" t="s">
        <v>103</v>
      </c>
      <c r="X328" s="83">
        <v>0</v>
      </c>
    </row>
    <row r="329" spans="1:25" x14ac:dyDescent="0.2">
      <c r="A329" s="83">
        <v>1</v>
      </c>
      <c r="B329" s="84">
        <v>5701603303309</v>
      </c>
      <c r="C329" s="83">
        <v>40</v>
      </c>
      <c r="D329" s="84">
        <v>5980823303</v>
      </c>
      <c r="F329" s="83" t="s">
        <v>103</v>
      </c>
      <c r="G329" s="83">
        <v>0</v>
      </c>
      <c r="H329" s="83">
        <v>100</v>
      </c>
      <c r="K329" s="83">
        <v>1</v>
      </c>
      <c r="L329" s="83" t="s">
        <v>101</v>
      </c>
      <c r="M329" s="83" t="s">
        <v>410</v>
      </c>
      <c r="N329" s="83" t="s">
        <v>102</v>
      </c>
      <c r="P329" s="83">
        <v>0</v>
      </c>
      <c r="U329" s="83">
        <v>4</v>
      </c>
      <c r="V329" s="83">
        <v>1</v>
      </c>
      <c r="W329" s="83" t="s">
        <v>103</v>
      </c>
      <c r="X329" s="83">
        <v>0</v>
      </c>
    </row>
    <row r="330" spans="1:25" x14ac:dyDescent="0.2">
      <c r="A330" s="83">
        <v>1</v>
      </c>
      <c r="B330" s="84">
        <v>5701603303309</v>
      </c>
      <c r="C330" s="83">
        <v>50</v>
      </c>
      <c r="D330" s="84">
        <v>5980933303</v>
      </c>
      <c r="F330" s="83" t="s">
        <v>103</v>
      </c>
      <c r="G330" s="83">
        <v>0</v>
      </c>
      <c r="H330" s="83">
        <v>100</v>
      </c>
      <c r="K330" s="83">
        <v>1</v>
      </c>
      <c r="L330" s="83" t="s">
        <v>101</v>
      </c>
      <c r="M330" s="83" t="s">
        <v>410</v>
      </c>
      <c r="N330" s="83" t="s">
        <v>102</v>
      </c>
      <c r="P330" s="83">
        <v>0</v>
      </c>
      <c r="U330" s="83">
        <v>4</v>
      </c>
      <c r="V330" s="83">
        <v>1</v>
      </c>
      <c r="W330" s="83" t="s">
        <v>103</v>
      </c>
      <c r="X330" s="83">
        <v>0</v>
      </c>
    </row>
    <row r="331" spans="1:25" x14ac:dyDescent="0.2">
      <c r="A331" s="83">
        <v>1</v>
      </c>
      <c r="B331" s="84">
        <v>5701603303309</v>
      </c>
      <c r="C331" s="83">
        <v>60</v>
      </c>
      <c r="D331" s="84">
        <v>1010286</v>
      </c>
      <c r="F331" s="83" t="s">
        <v>103</v>
      </c>
      <c r="G331" s="83">
        <v>0</v>
      </c>
      <c r="H331" s="83">
        <v>100</v>
      </c>
      <c r="K331" s="83">
        <v>8</v>
      </c>
      <c r="L331" s="83" t="s">
        <v>101</v>
      </c>
      <c r="M331" s="83" t="s">
        <v>410</v>
      </c>
      <c r="N331" s="83" t="s">
        <v>102</v>
      </c>
      <c r="P331" s="83">
        <v>0</v>
      </c>
      <c r="U331" s="83">
        <v>4</v>
      </c>
      <c r="V331" s="83">
        <v>1</v>
      </c>
      <c r="W331" s="83" t="s">
        <v>103</v>
      </c>
      <c r="X331" s="83">
        <v>0</v>
      </c>
    </row>
    <row r="332" spans="1:25" x14ac:dyDescent="0.2">
      <c r="A332" s="83">
        <v>1</v>
      </c>
      <c r="B332" s="84">
        <v>5701603303309</v>
      </c>
      <c r="C332" s="83">
        <v>70</v>
      </c>
      <c r="D332" s="84">
        <v>1010287</v>
      </c>
      <c r="F332" s="83" t="s">
        <v>103</v>
      </c>
      <c r="G332" s="83">
        <v>0</v>
      </c>
      <c r="H332" s="83">
        <v>100</v>
      </c>
      <c r="K332" s="83">
        <v>4</v>
      </c>
      <c r="L332" s="83" t="s">
        <v>101</v>
      </c>
      <c r="M332" s="83" t="s">
        <v>410</v>
      </c>
      <c r="N332" s="83" t="s">
        <v>102</v>
      </c>
      <c r="P332" s="83">
        <v>0</v>
      </c>
      <c r="U332" s="83">
        <v>4</v>
      </c>
      <c r="V332" s="83">
        <v>1</v>
      </c>
      <c r="W332" s="83" t="s">
        <v>103</v>
      </c>
      <c r="X332" s="83">
        <v>0</v>
      </c>
    </row>
    <row r="333" spans="1:25" x14ac:dyDescent="0.2">
      <c r="A333" s="83">
        <v>1</v>
      </c>
      <c r="B333" s="84">
        <v>5701603303309</v>
      </c>
      <c r="C333" s="83">
        <v>80</v>
      </c>
      <c r="D333" s="84">
        <v>1020145</v>
      </c>
      <c r="F333" s="83" t="s">
        <v>103</v>
      </c>
      <c r="G333" s="83">
        <v>0</v>
      </c>
      <c r="H333" s="83">
        <v>100</v>
      </c>
      <c r="K333" s="83" t="s">
        <v>408</v>
      </c>
      <c r="L333" s="83" t="s">
        <v>101</v>
      </c>
      <c r="M333" s="83" t="s">
        <v>410</v>
      </c>
      <c r="N333" s="83" t="s">
        <v>102</v>
      </c>
      <c r="P333" s="83">
        <v>0</v>
      </c>
      <c r="U333" s="83">
        <v>4</v>
      </c>
      <c r="V333" s="83">
        <v>1</v>
      </c>
      <c r="W333" s="83" t="s">
        <v>103</v>
      </c>
      <c r="X333" s="83">
        <v>0</v>
      </c>
    </row>
    <row r="334" spans="1:25" x14ac:dyDescent="0.2">
      <c r="A334" s="83">
        <v>1</v>
      </c>
      <c r="B334" s="84">
        <v>5701603303309</v>
      </c>
      <c r="C334" s="83">
        <v>90</v>
      </c>
      <c r="D334" s="84">
        <v>777500309</v>
      </c>
      <c r="F334" s="83" t="s">
        <v>103</v>
      </c>
      <c r="G334" s="83">
        <v>0</v>
      </c>
      <c r="H334" s="83">
        <v>100</v>
      </c>
      <c r="K334" s="83">
        <v>1</v>
      </c>
      <c r="L334" s="83" t="s">
        <v>101</v>
      </c>
      <c r="M334" s="83" t="s">
        <v>410</v>
      </c>
      <c r="N334" s="83" t="s">
        <v>102</v>
      </c>
      <c r="P334" s="83">
        <v>0</v>
      </c>
      <c r="U334" s="83">
        <v>4</v>
      </c>
      <c r="V334" s="83">
        <v>1</v>
      </c>
      <c r="W334" s="83" t="s">
        <v>103</v>
      </c>
      <c r="X334" s="83">
        <v>0</v>
      </c>
    </row>
    <row r="335" spans="1:25" x14ac:dyDescent="0.2">
      <c r="A335" s="83">
        <v>1</v>
      </c>
      <c r="B335" s="84">
        <v>5701603304309</v>
      </c>
      <c r="C335" s="83">
        <v>10</v>
      </c>
      <c r="D335" s="84">
        <v>5980463304</v>
      </c>
      <c r="F335" s="83" t="s">
        <v>103</v>
      </c>
      <c r="G335" s="83">
        <v>0</v>
      </c>
      <c r="H335" s="83">
        <v>100</v>
      </c>
      <c r="K335" s="83">
        <v>1</v>
      </c>
      <c r="L335" s="83" t="s">
        <v>101</v>
      </c>
      <c r="M335" s="83" t="s">
        <v>410</v>
      </c>
      <c r="N335" s="83" t="s">
        <v>102</v>
      </c>
      <c r="P335" s="83">
        <v>0</v>
      </c>
      <c r="U335" s="83">
        <v>4</v>
      </c>
      <c r="V335" s="83">
        <v>1</v>
      </c>
      <c r="W335" s="83" t="s">
        <v>103</v>
      </c>
      <c r="X335" s="83">
        <v>0</v>
      </c>
      <c r="Y335" s="83" t="str">
        <f>LEFT(D335,6)</f>
        <v>598046</v>
      </c>
    </row>
    <row r="336" spans="1:25" x14ac:dyDescent="0.2">
      <c r="A336" s="83">
        <v>1</v>
      </c>
      <c r="B336" s="84">
        <v>5701603304309</v>
      </c>
      <c r="C336" s="83">
        <v>20</v>
      </c>
      <c r="D336" s="84">
        <v>5980543304</v>
      </c>
      <c r="F336" s="83" t="s">
        <v>103</v>
      </c>
      <c r="G336" s="83">
        <v>0</v>
      </c>
      <c r="H336" s="83">
        <v>100</v>
      </c>
      <c r="K336" s="83">
        <v>1</v>
      </c>
      <c r="L336" s="83" t="s">
        <v>101</v>
      </c>
      <c r="M336" s="83" t="s">
        <v>410</v>
      </c>
      <c r="N336" s="83" t="s">
        <v>102</v>
      </c>
      <c r="P336" s="83">
        <v>0</v>
      </c>
      <c r="U336" s="83">
        <v>4</v>
      </c>
      <c r="V336" s="83">
        <v>1</v>
      </c>
      <c r="W336" s="83" t="s">
        <v>103</v>
      </c>
      <c r="X336" s="83">
        <v>0</v>
      </c>
    </row>
    <row r="337" spans="1:25" x14ac:dyDescent="0.2">
      <c r="A337" s="83">
        <v>1</v>
      </c>
      <c r="B337" s="84">
        <v>5701603304309</v>
      </c>
      <c r="C337" s="83">
        <v>30</v>
      </c>
      <c r="D337" s="84">
        <v>5980623304</v>
      </c>
      <c r="F337" s="83" t="s">
        <v>103</v>
      </c>
      <c r="G337" s="83">
        <v>0</v>
      </c>
      <c r="H337" s="83">
        <v>100</v>
      </c>
      <c r="K337" s="83">
        <v>1</v>
      </c>
      <c r="L337" s="83" t="s">
        <v>101</v>
      </c>
      <c r="M337" s="83" t="s">
        <v>410</v>
      </c>
      <c r="N337" s="83" t="s">
        <v>102</v>
      </c>
      <c r="P337" s="83">
        <v>0</v>
      </c>
      <c r="U337" s="83">
        <v>4</v>
      </c>
      <c r="V337" s="83">
        <v>1</v>
      </c>
      <c r="W337" s="83" t="s">
        <v>103</v>
      </c>
      <c r="X337" s="83">
        <v>0</v>
      </c>
    </row>
    <row r="338" spans="1:25" x14ac:dyDescent="0.2">
      <c r="A338" s="83">
        <v>1</v>
      </c>
      <c r="B338" s="84">
        <v>5701603304309</v>
      </c>
      <c r="C338" s="83">
        <v>40</v>
      </c>
      <c r="D338" s="84">
        <v>5980823304</v>
      </c>
      <c r="F338" s="83" t="s">
        <v>103</v>
      </c>
      <c r="G338" s="83">
        <v>0</v>
      </c>
      <c r="H338" s="83">
        <v>100</v>
      </c>
      <c r="K338" s="83">
        <v>1</v>
      </c>
      <c r="L338" s="83" t="s">
        <v>101</v>
      </c>
      <c r="M338" s="83" t="s">
        <v>410</v>
      </c>
      <c r="N338" s="83" t="s">
        <v>102</v>
      </c>
      <c r="P338" s="83">
        <v>0</v>
      </c>
      <c r="U338" s="83">
        <v>4</v>
      </c>
      <c r="V338" s="83">
        <v>1</v>
      </c>
      <c r="W338" s="83" t="s">
        <v>103</v>
      </c>
      <c r="X338" s="83">
        <v>0</v>
      </c>
    </row>
    <row r="339" spans="1:25" x14ac:dyDescent="0.2">
      <c r="A339" s="83">
        <v>1</v>
      </c>
      <c r="B339" s="84">
        <v>5701603304309</v>
      </c>
      <c r="C339" s="83">
        <v>50</v>
      </c>
      <c r="D339" s="84">
        <v>5980933304</v>
      </c>
      <c r="F339" s="83" t="s">
        <v>103</v>
      </c>
      <c r="G339" s="83">
        <v>0</v>
      </c>
      <c r="H339" s="83">
        <v>100</v>
      </c>
      <c r="K339" s="83">
        <v>1</v>
      </c>
      <c r="L339" s="83" t="s">
        <v>101</v>
      </c>
      <c r="M339" s="83" t="s">
        <v>410</v>
      </c>
      <c r="N339" s="83" t="s">
        <v>102</v>
      </c>
      <c r="P339" s="83">
        <v>0</v>
      </c>
      <c r="U339" s="83">
        <v>4</v>
      </c>
      <c r="V339" s="83">
        <v>1</v>
      </c>
      <c r="W339" s="83" t="s">
        <v>103</v>
      </c>
      <c r="X339" s="83">
        <v>0</v>
      </c>
    </row>
    <row r="340" spans="1:25" x14ac:dyDescent="0.2">
      <c r="A340" s="83">
        <v>1</v>
      </c>
      <c r="B340" s="84">
        <v>5701603304309</v>
      </c>
      <c r="C340" s="83">
        <v>60</v>
      </c>
      <c r="D340" s="84">
        <v>1010286</v>
      </c>
      <c r="F340" s="83" t="s">
        <v>103</v>
      </c>
      <c r="G340" s="83">
        <v>0</v>
      </c>
      <c r="H340" s="83">
        <v>100</v>
      </c>
      <c r="K340" s="83">
        <v>8</v>
      </c>
      <c r="L340" s="83" t="s">
        <v>101</v>
      </c>
      <c r="M340" s="83" t="s">
        <v>410</v>
      </c>
      <c r="N340" s="83" t="s">
        <v>102</v>
      </c>
      <c r="P340" s="83">
        <v>0</v>
      </c>
      <c r="U340" s="83">
        <v>4</v>
      </c>
      <c r="V340" s="83">
        <v>1</v>
      </c>
      <c r="W340" s="83" t="s">
        <v>103</v>
      </c>
      <c r="X340" s="83">
        <v>0</v>
      </c>
    </row>
    <row r="341" spans="1:25" x14ac:dyDescent="0.2">
      <c r="A341" s="83">
        <v>1</v>
      </c>
      <c r="B341" s="84">
        <v>5701603304309</v>
      </c>
      <c r="C341" s="83">
        <v>70</v>
      </c>
      <c r="D341" s="84">
        <v>1010288</v>
      </c>
      <c r="F341" s="83" t="s">
        <v>103</v>
      </c>
      <c r="G341" s="83">
        <v>0</v>
      </c>
      <c r="H341" s="83">
        <v>100</v>
      </c>
      <c r="K341" s="83">
        <v>4</v>
      </c>
      <c r="L341" s="83" t="s">
        <v>101</v>
      </c>
      <c r="M341" s="83" t="s">
        <v>410</v>
      </c>
      <c r="N341" s="83" t="s">
        <v>102</v>
      </c>
      <c r="P341" s="83">
        <v>0</v>
      </c>
      <c r="U341" s="83">
        <v>4</v>
      </c>
      <c r="V341" s="83">
        <v>1</v>
      </c>
      <c r="W341" s="83" t="s">
        <v>103</v>
      </c>
      <c r="X341" s="83">
        <v>0</v>
      </c>
    </row>
    <row r="342" spans="1:25" x14ac:dyDescent="0.2">
      <c r="A342" s="83">
        <v>1</v>
      </c>
      <c r="B342" s="84">
        <v>5701603304309</v>
      </c>
      <c r="C342" s="83">
        <v>80</v>
      </c>
      <c r="D342" s="84">
        <v>1020145</v>
      </c>
      <c r="F342" s="83" t="s">
        <v>103</v>
      </c>
      <c r="G342" s="83">
        <v>0</v>
      </c>
      <c r="H342" s="83">
        <v>100</v>
      </c>
      <c r="K342" s="83" t="s">
        <v>408</v>
      </c>
      <c r="L342" s="83" t="s">
        <v>101</v>
      </c>
      <c r="M342" s="83" t="s">
        <v>410</v>
      </c>
      <c r="N342" s="83" t="s">
        <v>102</v>
      </c>
      <c r="P342" s="83">
        <v>0</v>
      </c>
      <c r="U342" s="83">
        <v>4</v>
      </c>
      <c r="V342" s="83">
        <v>1</v>
      </c>
      <c r="W342" s="83" t="s">
        <v>103</v>
      </c>
      <c r="X342" s="83">
        <v>0</v>
      </c>
    </row>
    <row r="343" spans="1:25" x14ac:dyDescent="0.2">
      <c r="A343" s="83">
        <v>1</v>
      </c>
      <c r="B343" s="84">
        <v>5701603304309</v>
      </c>
      <c r="C343" s="83">
        <v>90</v>
      </c>
      <c r="D343" s="84">
        <v>777500309</v>
      </c>
      <c r="F343" s="83" t="s">
        <v>103</v>
      </c>
      <c r="G343" s="83">
        <v>0</v>
      </c>
      <c r="H343" s="83">
        <v>100</v>
      </c>
      <c r="K343" s="83">
        <v>1</v>
      </c>
      <c r="L343" s="83" t="s">
        <v>101</v>
      </c>
      <c r="M343" s="83" t="s">
        <v>410</v>
      </c>
      <c r="N343" s="83" t="s">
        <v>102</v>
      </c>
      <c r="P343" s="83">
        <v>0</v>
      </c>
      <c r="U343" s="83">
        <v>4</v>
      </c>
      <c r="V343" s="83">
        <v>1</v>
      </c>
      <c r="W343" s="83" t="s">
        <v>103</v>
      </c>
      <c r="X343" s="83">
        <v>0</v>
      </c>
    </row>
    <row r="344" spans="1:25" x14ac:dyDescent="0.2">
      <c r="A344" s="83">
        <v>1</v>
      </c>
      <c r="B344" s="84">
        <v>5701603305309</v>
      </c>
      <c r="C344" s="83">
        <v>10</v>
      </c>
      <c r="D344" s="84">
        <v>5980463305</v>
      </c>
      <c r="F344" s="83" t="s">
        <v>103</v>
      </c>
      <c r="G344" s="83">
        <v>0</v>
      </c>
      <c r="H344" s="83">
        <v>100</v>
      </c>
      <c r="K344" s="83">
        <v>1</v>
      </c>
      <c r="L344" s="83" t="s">
        <v>101</v>
      </c>
      <c r="M344" s="83" t="s">
        <v>410</v>
      </c>
      <c r="N344" s="83" t="s">
        <v>102</v>
      </c>
      <c r="P344" s="83">
        <v>0</v>
      </c>
      <c r="U344" s="83">
        <v>4</v>
      </c>
      <c r="V344" s="83">
        <v>1</v>
      </c>
      <c r="W344" s="83" t="s">
        <v>103</v>
      </c>
      <c r="X344" s="83">
        <v>0</v>
      </c>
      <c r="Y344" s="83" t="str">
        <f>LEFT(D344,6)</f>
        <v>598046</v>
      </c>
    </row>
    <row r="345" spans="1:25" x14ac:dyDescent="0.2">
      <c r="A345" s="83">
        <v>1</v>
      </c>
      <c r="B345" s="84">
        <v>5701603305309</v>
      </c>
      <c r="C345" s="83">
        <v>20</v>
      </c>
      <c r="D345" s="84">
        <v>5980543305</v>
      </c>
      <c r="F345" s="83" t="s">
        <v>103</v>
      </c>
      <c r="G345" s="83">
        <v>0</v>
      </c>
      <c r="H345" s="83">
        <v>100</v>
      </c>
      <c r="K345" s="83">
        <v>1</v>
      </c>
      <c r="L345" s="83" t="s">
        <v>101</v>
      </c>
      <c r="M345" s="83" t="s">
        <v>410</v>
      </c>
      <c r="N345" s="83" t="s">
        <v>102</v>
      </c>
      <c r="P345" s="83">
        <v>0</v>
      </c>
      <c r="U345" s="83">
        <v>4</v>
      </c>
      <c r="V345" s="83">
        <v>1</v>
      </c>
      <c r="W345" s="83" t="s">
        <v>103</v>
      </c>
      <c r="X345" s="83">
        <v>0</v>
      </c>
    </row>
    <row r="346" spans="1:25" x14ac:dyDescent="0.2">
      <c r="A346" s="83">
        <v>1</v>
      </c>
      <c r="B346" s="84">
        <v>5701603305309</v>
      </c>
      <c r="C346" s="83">
        <v>30</v>
      </c>
      <c r="D346" s="84">
        <v>5980623305</v>
      </c>
      <c r="F346" s="83" t="s">
        <v>103</v>
      </c>
      <c r="G346" s="83">
        <v>0</v>
      </c>
      <c r="H346" s="83">
        <v>100</v>
      </c>
      <c r="K346" s="83">
        <v>1</v>
      </c>
      <c r="L346" s="83" t="s">
        <v>101</v>
      </c>
      <c r="M346" s="83" t="s">
        <v>410</v>
      </c>
      <c r="N346" s="83" t="s">
        <v>102</v>
      </c>
      <c r="P346" s="83">
        <v>0</v>
      </c>
      <c r="U346" s="83">
        <v>4</v>
      </c>
      <c r="V346" s="83">
        <v>1</v>
      </c>
      <c r="W346" s="83" t="s">
        <v>103</v>
      </c>
      <c r="X346" s="83">
        <v>0</v>
      </c>
    </row>
    <row r="347" spans="1:25" x14ac:dyDescent="0.2">
      <c r="A347" s="83">
        <v>1</v>
      </c>
      <c r="B347" s="84">
        <v>5701603305309</v>
      </c>
      <c r="C347" s="83">
        <v>40</v>
      </c>
      <c r="D347" s="84">
        <v>5980823305</v>
      </c>
      <c r="F347" s="83" t="s">
        <v>103</v>
      </c>
      <c r="G347" s="83">
        <v>0</v>
      </c>
      <c r="H347" s="83">
        <v>100</v>
      </c>
      <c r="K347" s="83">
        <v>1</v>
      </c>
      <c r="L347" s="83" t="s">
        <v>101</v>
      </c>
      <c r="M347" s="83" t="s">
        <v>410</v>
      </c>
      <c r="N347" s="83" t="s">
        <v>102</v>
      </c>
      <c r="P347" s="83">
        <v>0</v>
      </c>
      <c r="U347" s="83">
        <v>4</v>
      </c>
      <c r="V347" s="83">
        <v>1</v>
      </c>
      <c r="W347" s="83" t="s">
        <v>103</v>
      </c>
      <c r="X347" s="83">
        <v>0</v>
      </c>
    </row>
    <row r="348" spans="1:25" x14ac:dyDescent="0.2">
      <c r="A348" s="83">
        <v>1</v>
      </c>
      <c r="B348" s="84">
        <v>5701603305309</v>
      </c>
      <c r="C348" s="83">
        <v>50</v>
      </c>
      <c r="D348" s="84">
        <v>5980933305</v>
      </c>
      <c r="F348" s="83" t="s">
        <v>103</v>
      </c>
      <c r="G348" s="83">
        <v>0</v>
      </c>
      <c r="H348" s="83">
        <v>100</v>
      </c>
      <c r="K348" s="83">
        <v>1</v>
      </c>
      <c r="L348" s="83" t="s">
        <v>101</v>
      </c>
      <c r="M348" s="83" t="s">
        <v>410</v>
      </c>
      <c r="N348" s="83" t="s">
        <v>102</v>
      </c>
      <c r="P348" s="83">
        <v>0</v>
      </c>
      <c r="U348" s="83">
        <v>4</v>
      </c>
      <c r="V348" s="83">
        <v>1</v>
      </c>
      <c r="W348" s="83" t="s">
        <v>103</v>
      </c>
      <c r="X348" s="83">
        <v>0</v>
      </c>
    </row>
    <row r="349" spans="1:25" x14ac:dyDescent="0.2">
      <c r="A349" s="83">
        <v>1</v>
      </c>
      <c r="B349" s="84">
        <v>5701603305309</v>
      </c>
      <c r="C349" s="83">
        <v>60</v>
      </c>
      <c r="D349" s="84">
        <v>1010286</v>
      </c>
      <c r="F349" s="83" t="s">
        <v>103</v>
      </c>
      <c r="G349" s="83">
        <v>0</v>
      </c>
      <c r="H349" s="83">
        <v>100</v>
      </c>
      <c r="K349" s="83">
        <v>8</v>
      </c>
      <c r="L349" s="83" t="s">
        <v>101</v>
      </c>
      <c r="M349" s="83" t="s">
        <v>410</v>
      </c>
      <c r="N349" s="83" t="s">
        <v>102</v>
      </c>
      <c r="P349" s="83">
        <v>0</v>
      </c>
      <c r="U349" s="83">
        <v>4</v>
      </c>
      <c r="V349" s="83">
        <v>1</v>
      </c>
      <c r="W349" s="83" t="s">
        <v>103</v>
      </c>
      <c r="X349" s="83">
        <v>0</v>
      </c>
    </row>
    <row r="350" spans="1:25" x14ac:dyDescent="0.2">
      <c r="A350" s="83">
        <v>1</v>
      </c>
      <c r="B350" s="84">
        <v>5701603305309</v>
      </c>
      <c r="C350" s="83">
        <v>70</v>
      </c>
      <c r="D350" s="84">
        <v>1010288</v>
      </c>
      <c r="F350" s="83" t="s">
        <v>103</v>
      </c>
      <c r="G350" s="83">
        <v>0</v>
      </c>
      <c r="H350" s="83">
        <v>100</v>
      </c>
      <c r="K350" s="83">
        <v>4</v>
      </c>
      <c r="L350" s="83" t="s">
        <v>101</v>
      </c>
      <c r="M350" s="83" t="s">
        <v>410</v>
      </c>
      <c r="N350" s="83" t="s">
        <v>102</v>
      </c>
      <c r="P350" s="83">
        <v>0</v>
      </c>
      <c r="U350" s="83">
        <v>4</v>
      </c>
      <c r="V350" s="83">
        <v>1</v>
      </c>
      <c r="W350" s="83" t="s">
        <v>103</v>
      </c>
      <c r="X350" s="83">
        <v>0</v>
      </c>
    </row>
    <row r="351" spans="1:25" x14ac:dyDescent="0.2">
      <c r="A351" s="83">
        <v>1</v>
      </c>
      <c r="B351" s="84">
        <v>5701603305309</v>
      </c>
      <c r="C351" s="83">
        <v>80</v>
      </c>
      <c r="D351" s="85">
        <v>1020145</v>
      </c>
      <c r="F351" s="83" t="s">
        <v>103</v>
      </c>
      <c r="G351" s="83">
        <v>0</v>
      </c>
      <c r="H351" s="83">
        <v>100</v>
      </c>
      <c r="K351" s="83" t="s">
        <v>408</v>
      </c>
      <c r="L351" s="83" t="s">
        <v>101</v>
      </c>
      <c r="M351" s="83" t="s">
        <v>410</v>
      </c>
      <c r="N351" s="83" t="s">
        <v>102</v>
      </c>
      <c r="P351" s="83">
        <v>0</v>
      </c>
      <c r="U351" s="83">
        <v>4</v>
      </c>
      <c r="V351" s="83">
        <v>1</v>
      </c>
      <c r="W351" s="83" t="s">
        <v>103</v>
      </c>
      <c r="X351" s="83">
        <v>0</v>
      </c>
    </row>
    <row r="352" spans="1:25" x14ac:dyDescent="0.2">
      <c r="A352" s="83">
        <v>1</v>
      </c>
      <c r="B352" s="84">
        <v>5701603305309</v>
      </c>
      <c r="C352" s="83">
        <v>90</v>
      </c>
      <c r="D352" s="84">
        <v>777500309</v>
      </c>
      <c r="F352" s="83" t="s">
        <v>103</v>
      </c>
      <c r="G352" s="83">
        <v>0</v>
      </c>
      <c r="H352" s="83">
        <v>100</v>
      </c>
      <c r="K352" s="83">
        <v>1</v>
      </c>
      <c r="L352" s="83" t="s">
        <v>101</v>
      </c>
      <c r="M352" s="83" t="s">
        <v>410</v>
      </c>
      <c r="N352" s="83" t="s">
        <v>102</v>
      </c>
      <c r="P352" s="83">
        <v>0</v>
      </c>
      <c r="U352" s="83">
        <v>4</v>
      </c>
      <c r="V352" s="83">
        <v>1</v>
      </c>
      <c r="W352" s="83" t="s">
        <v>103</v>
      </c>
      <c r="X352" s="83">
        <v>0</v>
      </c>
    </row>
    <row r="353" spans="1:25" x14ac:dyDescent="0.2">
      <c r="A353" s="83">
        <v>1</v>
      </c>
      <c r="B353" s="84">
        <v>5701603306309</v>
      </c>
      <c r="C353" s="83">
        <v>10</v>
      </c>
      <c r="D353" s="84">
        <v>5980463306</v>
      </c>
      <c r="F353" s="83" t="s">
        <v>103</v>
      </c>
      <c r="G353" s="83">
        <v>0</v>
      </c>
      <c r="H353" s="83">
        <v>100</v>
      </c>
      <c r="K353" s="83">
        <v>1</v>
      </c>
      <c r="L353" s="83" t="s">
        <v>101</v>
      </c>
      <c r="M353" s="83" t="s">
        <v>410</v>
      </c>
      <c r="N353" s="83" t="s">
        <v>102</v>
      </c>
      <c r="P353" s="83">
        <v>0</v>
      </c>
      <c r="U353" s="83">
        <v>4</v>
      </c>
      <c r="V353" s="83">
        <v>1</v>
      </c>
      <c r="W353" s="83" t="s">
        <v>103</v>
      </c>
      <c r="X353" s="83">
        <v>0</v>
      </c>
      <c r="Y353" s="83" t="str">
        <f>LEFT(D353,6)</f>
        <v>598046</v>
      </c>
    </row>
    <row r="354" spans="1:25" x14ac:dyDescent="0.2">
      <c r="A354" s="83">
        <v>1</v>
      </c>
      <c r="B354" s="84">
        <v>5701603306309</v>
      </c>
      <c r="C354" s="83">
        <v>20</v>
      </c>
      <c r="D354" s="84">
        <v>5980543306</v>
      </c>
      <c r="F354" s="83" t="s">
        <v>103</v>
      </c>
      <c r="G354" s="83">
        <v>0</v>
      </c>
      <c r="H354" s="83">
        <v>100</v>
      </c>
      <c r="K354" s="83">
        <v>1</v>
      </c>
      <c r="L354" s="83" t="s">
        <v>101</v>
      </c>
      <c r="M354" s="83" t="s">
        <v>410</v>
      </c>
      <c r="N354" s="83" t="s">
        <v>102</v>
      </c>
      <c r="P354" s="83">
        <v>0</v>
      </c>
      <c r="U354" s="83">
        <v>4</v>
      </c>
      <c r="V354" s="83">
        <v>1</v>
      </c>
      <c r="W354" s="83" t="s">
        <v>103</v>
      </c>
      <c r="X354" s="83">
        <v>0</v>
      </c>
    </row>
    <row r="355" spans="1:25" x14ac:dyDescent="0.2">
      <c r="A355" s="83">
        <v>1</v>
      </c>
      <c r="B355" s="84">
        <v>5701603306309</v>
      </c>
      <c r="C355" s="83">
        <v>30</v>
      </c>
      <c r="D355" s="84">
        <v>5980623306</v>
      </c>
      <c r="F355" s="83" t="s">
        <v>103</v>
      </c>
      <c r="G355" s="83">
        <v>0</v>
      </c>
      <c r="H355" s="83">
        <v>100</v>
      </c>
      <c r="K355" s="83">
        <v>1</v>
      </c>
      <c r="L355" s="83" t="s">
        <v>101</v>
      </c>
      <c r="M355" s="83" t="s">
        <v>410</v>
      </c>
      <c r="N355" s="83" t="s">
        <v>102</v>
      </c>
      <c r="P355" s="83">
        <v>0</v>
      </c>
      <c r="U355" s="83">
        <v>4</v>
      </c>
      <c r="V355" s="83">
        <v>1</v>
      </c>
      <c r="W355" s="83" t="s">
        <v>103</v>
      </c>
      <c r="X355" s="83">
        <v>0</v>
      </c>
    </row>
    <row r="356" spans="1:25" x14ac:dyDescent="0.2">
      <c r="A356" s="83">
        <v>1</v>
      </c>
      <c r="B356" s="84">
        <v>5701603306309</v>
      </c>
      <c r="C356" s="83">
        <v>40</v>
      </c>
      <c r="D356" s="84">
        <v>5980823306</v>
      </c>
      <c r="F356" s="83" t="s">
        <v>103</v>
      </c>
      <c r="G356" s="83">
        <v>0</v>
      </c>
      <c r="H356" s="83">
        <v>100</v>
      </c>
      <c r="K356" s="83">
        <v>1</v>
      </c>
      <c r="L356" s="83" t="s">
        <v>101</v>
      </c>
      <c r="M356" s="83" t="s">
        <v>410</v>
      </c>
      <c r="N356" s="83" t="s">
        <v>102</v>
      </c>
      <c r="P356" s="83">
        <v>0</v>
      </c>
      <c r="U356" s="83">
        <v>4</v>
      </c>
      <c r="V356" s="83">
        <v>1</v>
      </c>
      <c r="W356" s="83" t="s">
        <v>103</v>
      </c>
      <c r="X356" s="83">
        <v>0</v>
      </c>
    </row>
    <row r="357" spans="1:25" x14ac:dyDescent="0.2">
      <c r="A357" s="83">
        <v>1</v>
      </c>
      <c r="B357" s="84">
        <v>5701603306309</v>
      </c>
      <c r="C357" s="83">
        <v>50</v>
      </c>
      <c r="D357" s="84">
        <v>5980933306</v>
      </c>
      <c r="F357" s="83" t="s">
        <v>103</v>
      </c>
      <c r="G357" s="83">
        <v>0</v>
      </c>
      <c r="H357" s="83">
        <v>100</v>
      </c>
      <c r="K357" s="83">
        <v>1</v>
      </c>
      <c r="L357" s="83" t="s">
        <v>101</v>
      </c>
      <c r="M357" s="83" t="s">
        <v>410</v>
      </c>
      <c r="N357" s="83" t="s">
        <v>102</v>
      </c>
      <c r="P357" s="83">
        <v>0</v>
      </c>
      <c r="U357" s="83">
        <v>4</v>
      </c>
      <c r="V357" s="83">
        <v>1</v>
      </c>
      <c r="W357" s="83" t="s">
        <v>103</v>
      </c>
      <c r="X357" s="83">
        <v>0</v>
      </c>
    </row>
    <row r="358" spans="1:25" x14ac:dyDescent="0.2">
      <c r="A358" s="83">
        <v>1</v>
      </c>
      <c r="B358" s="84">
        <v>5701603306309</v>
      </c>
      <c r="C358" s="83">
        <v>60</v>
      </c>
      <c r="D358" s="84">
        <v>1010286</v>
      </c>
      <c r="F358" s="83" t="s">
        <v>103</v>
      </c>
      <c r="G358" s="83">
        <v>0</v>
      </c>
      <c r="H358" s="83">
        <v>100</v>
      </c>
      <c r="K358" s="83">
        <v>8</v>
      </c>
      <c r="L358" s="83" t="s">
        <v>101</v>
      </c>
      <c r="M358" s="83" t="s">
        <v>410</v>
      </c>
      <c r="N358" s="83" t="s">
        <v>102</v>
      </c>
      <c r="P358" s="83">
        <v>0</v>
      </c>
      <c r="U358" s="83">
        <v>4</v>
      </c>
      <c r="V358" s="83">
        <v>1</v>
      </c>
      <c r="W358" s="83" t="s">
        <v>103</v>
      </c>
      <c r="X358" s="83">
        <v>0</v>
      </c>
    </row>
    <row r="359" spans="1:25" x14ac:dyDescent="0.2">
      <c r="A359" s="83">
        <v>1</v>
      </c>
      <c r="B359" s="84">
        <v>5701603306309</v>
      </c>
      <c r="C359" s="83">
        <v>70</v>
      </c>
      <c r="D359" s="84">
        <v>1010287</v>
      </c>
      <c r="F359" s="83" t="s">
        <v>103</v>
      </c>
      <c r="G359" s="83">
        <v>0</v>
      </c>
      <c r="H359" s="83">
        <v>100</v>
      </c>
      <c r="K359" s="83">
        <v>4</v>
      </c>
      <c r="L359" s="83" t="s">
        <v>101</v>
      </c>
      <c r="M359" s="83" t="s">
        <v>410</v>
      </c>
      <c r="N359" s="83" t="s">
        <v>102</v>
      </c>
      <c r="P359" s="83">
        <v>0</v>
      </c>
      <c r="U359" s="83">
        <v>4</v>
      </c>
      <c r="V359" s="83">
        <v>1</v>
      </c>
      <c r="W359" s="83" t="s">
        <v>103</v>
      </c>
      <c r="X359" s="83">
        <v>0</v>
      </c>
    </row>
    <row r="360" spans="1:25" x14ac:dyDescent="0.2">
      <c r="A360" s="83">
        <v>1</v>
      </c>
      <c r="B360" s="84">
        <v>5701603306309</v>
      </c>
      <c r="C360" s="83">
        <v>80</v>
      </c>
      <c r="D360" s="84">
        <v>1020145</v>
      </c>
      <c r="F360" s="83" t="s">
        <v>103</v>
      </c>
      <c r="G360" s="83">
        <v>0</v>
      </c>
      <c r="H360" s="83">
        <v>100</v>
      </c>
      <c r="K360" s="83" t="s">
        <v>408</v>
      </c>
      <c r="L360" s="83" t="s">
        <v>101</v>
      </c>
      <c r="M360" s="83" t="s">
        <v>410</v>
      </c>
      <c r="N360" s="83" t="s">
        <v>102</v>
      </c>
      <c r="P360" s="83">
        <v>0</v>
      </c>
      <c r="U360" s="83">
        <v>4</v>
      </c>
      <c r="V360" s="83">
        <v>1</v>
      </c>
      <c r="W360" s="83" t="s">
        <v>103</v>
      </c>
      <c r="X360" s="83">
        <v>0</v>
      </c>
    </row>
    <row r="361" spans="1:25" x14ac:dyDescent="0.2">
      <c r="A361" s="83">
        <v>1</v>
      </c>
      <c r="B361" s="84">
        <v>5701603306309</v>
      </c>
      <c r="C361" s="83">
        <v>90</v>
      </c>
      <c r="D361" s="84">
        <v>777500309</v>
      </c>
      <c r="F361" s="83" t="s">
        <v>103</v>
      </c>
      <c r="G361" s="83">
        <v>0</v>
      </c>
      <c r="H361" s="83">
        <v>100</v>
      </c>
      <c r="K361" s="83">
        <v>1</v>
      </c>
      <c r="L361" s="83" t="s">
        <v>101</v>
      </c>
      <c r="M361" s="83" t="s">
        <v>410</v>
      </c>
      <c r="N361" s="83" t="s">
        <v>102</v>
      </c>
      <c r="P361" s="83">
        <v>0</v>
      </c>
      <c r="U361" s="83">
        <v>4</v>
      </c>
      <c r="V361" s="83">
        <v>1</v>
      </c>
      <c r="W361" s="83" t="s">
        <v>103</v>
      </c>
      <c r="X361" s="83">
        <v>0</v>
      </c>
    </row>
    <row r="362" spans="1:25" x14ac:dyDescent="0.2">
      <c r="A362" s="83">
        <v>1</v>
      </c>
      <c r="B362" s="84">
        <v>5701603307309</v>
      </c>
      <c r="C362" s="83">
        <v>10</v>
      </c>
      <c r="D362" s="84">
        <v>5980463307</v>
      </c>
      <c r="F362" s="83" t="s">
        <v>103</v>
      </c>
      <c r="G362" s="83">
        <v>0</v>
      </c>
      <c r="H362" s="83">
        <v>100</v>
      </c>
      <c r="K362" s="83">
        <v>1</v>
      </c>
      <c r="L362" s="83" t="s">
        <v>101</v>
      </c>
      <c r="M362" s="83" t="s">
        <v>410</v>
      </c>
      <c r="N362" s="83" t="s">
        <v>102</v>
      </c>
      <c r="P362" s="83">
        <v>0</v>
      </c>
      <c r="U362" s="83">
        <v>4</v>
      </c>
      <c r="V362" s="83">
        <v>1</v>
      </c>
      <c r="W362" s="83" t="s">
        <v>103</v>
      </c>
      <c r="X362" s="83">
        <v>0</v>
      </c>
      <c r="Y362" s="83" t="str">
        <f>LEFT(D362,6)</f>
        <v>598046</v>
      </c>
    </row>
    <row r="363" spans="1:25" x14ac:dyDescent="0.2">
      <c r="A363" s="83">
        <v>1</v>
      </c>
      <c r="B363" s="84">
        <v>5701603307309</v>
      </c>
      <c r="C363" s="83">
        <v>20</v>
      </c>
      <c r="D363" s="84">
        <v>5980543307</v>
      </c>
      <c r="F363" s="83" t="s">
        <v>103</v>
      </c>
      <c r="G363" s="83">
        <v>0</v>
      </c>
      <c r="H363" s="83">
        <v>100</v>
      </c>
      <c r="K363" s="83">
        <v>1</v>
      </c>
      <c r="L363" s="83" t="s">
        <v>101</v>
      </c>
      <c r="M363" s="83" t="s">
        <v>410</v>
      </c>
      <c r="N363" s="83" t="s">
        <v>102</v>
      </c>
      <c r="P363" s="83">
        <v>0</v>
      </c>
      <c r="U363" s="83">
        <v>4</v>
      </c>
      <c r="V363" s="83">
        <v>1</v>
      </c>
      <c r="W363" s="83" t="s">
        <v>103</v>
      </c>
      <c r="X363" s="83">
        <v>0</v>
      </c>
    </row>
    <row r="364" spans="1:25" x14ac:dyDescent="0.2">
      <c r="A364" s="83">
        <v>1</v>
      </c>
      <c r="B364" s="84">
        <v>5701603307309</v>
      </c>
      <c r="C364" s="83">
        <v>30</v>
      </c>
      <c r="D364" s="84">
        <v>5980623307</v>
      </c>
      <c r="F364" s="83" t="s">
        <v>103</v>
      </c>
      <c r="G364" s="83">
        <v>0</v>
      </c>
      <c r="H364" s="83">
        <v>100</v>
      </c>
      <c r="K364" s="83">
        <v>1</v>
      </c>
      <c r="L364" s="83" t="s">
        <v>101</v>
      </c>
      <c r="M364" s="83" t="s">
        <v>410</v>
      </c>
      <c r="N364" s="83" t="s">
        <v>102</v>
      </c>
      <c r="P364" s="83">
        <v>0</v>
      </c>
      <c r="U364" s="83">
        <v>4</v>
      </c>
      <c r="V364" s="83">
        <v>1</v>
      </c>
      <c r="W364" s="83" t="s">
        <v>103</v>
      </c>
      <c r="X364" s="83">
        <v>0</v>
      </c>
    </row>
    <row r="365" spans="1:25" x14ac:dyDescent="0.2">
      <c r="A365" s="83">
        <v>1</v>
      </c>
      <c r="B365" s="84">
        <v>5701603307309</v>
      </c>
      <c r="C365" s="83">
        <v>40</v>
      </c>
      <c r="D365" s="84">
        <v>5980823307</v>
      </c>
      <c r="F365" s="83" t="s">
        <v>103</v>
      </c>
      <c r="G365" s="83">
        <v>0</v>
      </c>
      <c r="H365" s="83">
        <v>100</v>
      </c>
      <c r="K365" s="83">
        <v>1</v>
      </c>
      <c r="L365" s="83" t="s">
        <v>101</v>
      </c>
      <c r="M365" s="83" t="s">
        <v>410</v>
      </c>
      <c r="N365" s="83" t="s">
        <v>102</v>
      </c>
      <c r="P365" s="83">
        <v>0</v>
      </c>
      <c r="U365" s="83">
        <v>4</v>
      </c>
      <c r="V365" s="83">
        <v>1</v>
      </c>
      <c r="W365" s="83" t="s">
        <v>103</v>
      </c>
      <c r="X365" s="83">
        <v>0</v>
      </c>
    </row>
    <row r="366" spans="1:25" x14ac:dyDescent="0.2">
      <c r="A366" s="83">
        <v>1</v>
      </c>
      <c r="B366" s="84">
        <v>5701603307309</v>
      </c>
      <c r="C366" s="83">
        <v>50</v>
      </c>
      <c r="D366" s="84">
        <v>5980933307</v>
      </c>
      <c r="F366" s="83" t="s">
        <v>103</v>
      </c>
      <c r="G366" s="83">
        <v>0</v>
      </c>
      <c r="H366" s="83">
        <v>100</v>
      </c>
      <c r="K366" s="83">
        <v>1</v>
      </c>
      <c r="L366" s="83" t="s">
        <v>101</v>
      </c>
      <c r="M366" s="83" t="s">
        <v>410</v>
      </c>
      <c r="N366" s="83" t="s">
        <v>102</v>
      </c>
      <c r="P366" s="83">
        <v>0</v>
      </c>
      <c r="U366" s="83">
        <v>4</v>
      </c>
      <c r="V366" s="83">
        <v>1</v>
      </c>
      <c r="W366" s="83" t="s">
        <v>103</v>
      </c>
      <c r="X366" s="83">
        <v>0</v>
      </c>
    </row>
    <row r="367" spans="1:25" x14ac:dyDescent="0.2">
      <c r="A367" s="83">
        <v>1</v>
      </c>
      <c r="B367" s="84">
        <v>5701603307309</v>
      </c>
      <c r="C367" s="83">
        <v>60</v>
      </c>
      <c r="D367" s="84">
        <v>1010286</v>
      </c>
      <c r="F367" s="83" t="s">
        <v>103</v>
      </c>
      <c r="G367" s="83">
        <v>0</v>
      </c>
      <c r="H367" s="83">
        <v>100</v>
      </c>
      <c r="K367" s="83">
        <v>8</v>
      </c>
      <c r="L367" s="83" t="s">
        <v>101</v>
      </c>
      <c r="M367" s="83" t="s">
        <v>410</v>
      </c>
      <c r="N367" s="83" t="s">
        <v>102</v>
      </c>
      <c r="P367" s="83">
        <v>0</v>
      </c>
      <c r="U367" s="83">
        <v>4</v>
      </c>
      <c r="V367" s="83">
        <v>1</v>
      </c>
      <c r="W367" s="83" t="s">
        <v>103</v>
      </c>
      <c r="X367" s="83">
        <v>0</v>
      </c>
    </row>
    <row r="368" spans="1:25" x14ac:dyDescent="0.2">
      <c r="A368" s="83">
        <v>1</v>
      </c>
      <c r="B368" s="84">
        <v>5701603307309</v>
      </c>
      <c r="C368" s="83">
        <v>70</v>
      </c>
      <c r="D368" s="84">
        <v>1010287</v>
      </c>
      <c r="F368" s="83" t="s">
        <v>103</v>
      </c>
      <c r="G368" s="83">
        <v>0</v>
      </c>
      <c r="H368" s="83">
        <v>100</v>
      </c>
      <c r="K368" s="83">
        <v>4</v>
      </c>
      <c r="L368" s="83" t="s">
        <v>101</v>
      </c>
      <c r="M368" s="83" t="s">
        <v>410</v>
      </c>
      <c r="N368" s="83" t="s">
        <v>102</v>
      </c>
      <c r="P368" s="83">
        <v>0</v>
      </c>
      <c r="U368" s="83">
        <v>4</v>
      </c>
      <c r="V368" s="83">
        <v>1</v>
      </c>
      <c r="W368" s="83" t="s">
        <v>103</v>
      </c>
      <c r="X368" s="83">
        <v>0</v>
      </c>
    </row>
    <row r="369" spans="1:25" x14ac:dyDescent="0.2">
      <c r="A369" s="83">
        <v>1</v>
      </c>
      <c r="B369" s="84">
        <v>5701603307309</v>
      </c>
      <c r="C369" s="83">
        <v>80</v>
      </c>
      <c r="D369" s="84">
        <v>1020145</v>
      </c>
      <c r="F369" s="83" t="s">
        <v>103</v>
      </c>
      <c r="G369" s="83">
        <v>0</v>
      </c>
      <c r="H369" s="83">
        <v>100</v>
      </c>
      <c r="K369" s="83" t="s">
        <v>408</v>
      </c>
      <c r="L369" s="83" t="s">
        <v>101</v>
      </c>
      <c r="M369" s="83" t="s">
        <v>410</v>
      </c>
      <c r="N369" s="83" t="s">
        <v>102</v>
      </c>
      <c r="P369" s="83">
        <v>0</v>
      </c>
      <c r="U369" s="83">
        <v>4</v>
      </c>
      <c r="V369" s="83">
        <v>1</v>
      </c>
      <c r="W369" s="83" t="s">
        <v>103</v>
      </c>
      <c r="X369" s="83">
        <v>0</v>
      </c>
    </row>
    <row r="370" spans="1:25" x14ac:dyDescent="0.2">
      <c r="A370" s="83">
        <v>1</v>
      </c>
      <c r="B370" s="84">
        <v>5701603307309</v>
      </c>
      <c r="C370" s="83">
        <v>90</v>
      </c>
      <c r="D370" s="84">
        <v>777500309</v>
      </c>
      <c r="F370" s="83" t="s">
        <v>103</v>
      </c>
      <c r="G370" s="83">
        <v>0</v>
      </c>
      <c r="H370" s="83">
        <v>100</v>
      </c>
      <c r="K370" s="83">
        <v>1</v>
      </c>
      <c r="L370" s="83" t="s">
        <v>101</v>
      </c>
      <c r="M370" s="83" t="s">
        <v>410</v>
      </c>
      <c r="N370" s="83" t="s">
        <v>102</v>
      </c>
      <c r="P370" s="83">
        <v>0</v>
      </c>
      <c r="U370" s="83">
        <v>4</v>
      </c>
      <c r="V370" s="83">
        <v>1</v>
      </c>
      <c r="W370" s="83" t="s">
        <v>103</v>
      </c>
      <c r="X370" s="83">
        <v>0</v>
      </c>
    </row>
    <row r="371" spans="1:25" x14ac:dyDescent="0.2">
      <c r="A371" s="83">
        <v>1</v>
      </c>
      <c r="B371" s="84">
        <v>5701603308309</v>
      </c>
      <c r="C371" s="83">
        <v>10</v>
      </c>
      <c r="D371" s="84">
        <v>5980463308</v>
      </c>
      <c r="F371" s="83" t="s">
        <v>103</v>
      </c>
      <c r="G371" s="83">
        <v>0</v>
      </c>
      <c r="H371" s="83">
        <v>100</v>
      </c>
      <c r="K371" s="83">
        <v>1</v>
      </c>
      <c r="L371" s="83" t="s">
        <v>101</v>
      </c>
      <c r="M371" s="83" t="s">
        <v>410</v>
      </c>
      <c r="N371" s="83" t="s">
        <v>102</v>
      </c>
      <c r="P371" s="83">
        <v>0</v>
      </c>
      <c r="U371" s="83">
        <v>4</v>
      </c>
      <c r="V371" s="83">
        <v>1</v>
      </c>
      <c r="W371" s="83" t="s">
        <v>103</v>
      </c>
      <c r="X371" s="83">
        <v>0</v>
      </c>
      <c r="Y371" s="83" t="str">
        <f>LEFT(D371,6)</f>
        <v>598046</v>
      </c>
    </row>
    <row r="372" spans="1:25" x14ac:dyDescent="0.2">
      <c r="A372" s="83">
        <v>1</v>
      </c>
      <c r="B372" s="84">
        <v>5701603308309</v>
      </c>
      <c r="C372" s="83">
        <v>20</v>
      </c>
      <c r="D372" s="84">
        <v>5980543308</v>
      </c>
      <c r="F372" s="83" t="s">
        <v>103</v>
      </c>
      <c r="G372" s="83">
        <v>0</v>
      </c>
      <c r="H372" s="83">
        <v>100</v>
      </c>
      <c r="K372" s="83">
        <v>1</v>
      </c>
      <c r="L372" s="83" t="s">
        <v>101</v>
      </c>
      <c r="M372" s="83" t="s">
        <v>410</v>
      </c>
      <c r="N372" s="83" t="s">
        <v>102</v>
      </c>
      <c r="P372" s="83">
        <v>0</v>
      </c>
      <c r="U372" s="83">
        <v>4</v>
      </c>
      <c r="V372" s="83">
        <v>1</v>
      </c>
      <c r="W372" s="83" t="s">
        <v>103</v>
      </c>
      <c r="X372" s="83">
        <v>0</v>
      </c>
    </row>
    <row r="373" spans="1:25" x14ac:dyDescent="0.2">
      <c r="A373" s="83">
        <v>1</v>
      </c>
      <c r="B373" s="84">
        <v>5701603308309</v>
      </c>
      <c r="C373" s="83">
        <v>30</v>
      </c>
      <c r="D373" s="84">
        <v>5980623308</v>
      </c>
      <c r="F373" s="83" t="s">
        <v>103</v>
      </c>
      <c r="G373" s="83">
        <v>0</v>
      </c>
      <c r="H373" s="83">
        <v>100</v>
      </c>
      <c r="K373" s="83">
        <v>1</v>
      </c>
      <c r="L373" s="83" t="s">
        <v>101</v>
      </c>
      <c r="M373" s="83" t="s">
        <v>410</v>
      </c>
      <c r="N373" s="83" t="s">
        <v>102</v>
      </c>
      <c r="P373" s="83">
        <v>0</v>
      </c>
      <c r="U373" s="83">
        <v>4</v>
      </c>
      <c r="V373" s="83">
        <v>1</v>
      </c>
      <c r="W373" s="83" t="s">
        <v>103</v>
      </c>
      <c r="X373" s="83">
        <v>0</v>
      </c>
    </row>
    <row r="374" spans="1:25" x14ac:dyDescent="0.2">
      <c r="A374" s="83">
        <v>1</v>
      </c>
      <c r="B374" s="84">
        <v>5701603308309</v>
      </c>
      <c r="C374" s="83">
        <v>40</v>
      </c>
      <c r="D374" s="84">
        <v>5980823308</v>
      </c>
      <c r="F374" s="83" t="s">
        <v>103</v>
      </c>
      <c r="G374" s="83">
        <v>0</v>
      </c>
      <c r="H374" s="83">
        <v>100</v>
      </c>
      <c r="K374" s="83">
        <v>1</v>
      </c>
      <c r="L374" s="83" t="s">
        <v>101</v>
      </c>
      <c r="M374" s="83" t="s">
        <v>410</v>
      </c>
      <c r="N374" s="83" t="s">
        <v>102</v>
      </c>
      <c r="P374" s="83">
        <v>0</v>
      </c>
      <c r="U374" s="83">
        <v>4</v>
      </c>
      <c r="V374" s="83">
        <v>1</v>
      </c>
      <c r="W374" s="83" t="s">
        <v>103</v>
      </c>
      <c r="X374" s="83">
        <v>0</v>
      </c>
    </row>
    <row r="375" spans="1:25" x14ac:dyDescent="0.2">
      <c r="A375" s="83">
        <v>1</v>
      </c>
      <c r="B375" s="84">
        <v>5701603308309</v>
      </c>
      <c r="C375" s="83">
        <v>50</v>
      </c>
      <c r="D375" s="84">
        <v>5980933308</v>
      </c>
      <c r="F375" s="83" t="s">
        <v>103</v>
      </c>
      <c r="G375" s="83">
        <v>0</v>
      </c>
      <c r="H375" s="83">
        <v>100</v>
      </c>
      <c r="K375" s="83">
        <v>1</v>
      </c>
      <c r="L375" s="83" t="s">
        <v>101</v>
      </c>
      <c r="M375" s="83" t="s">
        <v>410</v>
      </c>
      <c r="N375" s="83" t="s">
        <v>102</v>
      </c>
      <c r="P375" s="83">
        <v>0</v>
      </c>
      <c r="U375" s="83">
        <v>4</v>
      </c>
      <c r="V375" s="83">
        <v>1</v>
      </c>
      <c r="W375" s="83" t="s">
        <v>103</v>
      </c>
      <c r="X375" s="83">
        <v>0</v>
      </c>
    </row>
    <row r="376" spans="1:25" x14ac:dyDescent="0.2">
      <c r="A376" s="83">
        <v>1</v>
      </c>
      <c r="B376" s="84">
        <v>5701603308309</v>
      </c>
      <c r="C376" s="83">
        <v>60</v>
      </c>
      <c r="D376" s="84">
        <v>1010286</v>
      </c>
      <c r="F376" s="83" t="s">
        <v>103</v>
      </c>
      <c r="G376" s="83">
        <v>0</v>
      </c>
      <c r="H376" s="83">
        <v>100</v>
      </c>
      <c r="K376" s="83">
        <v>8</v>
      </c>
      <c r="L376" s="83" t="s">
        <v>101</v>
      </c>
      <c r="M376" s="83" t="s">
        <v>410</v>
      </c>
      <c r="N376" s="83" t="s">
        <v>102</v>
      </c>
      <c r="P376" s="83">
        <v>0</v>
      </c>
      <c r="U376" s="83">
        <v>4</v>
      </c>
      <c r="V376" s="83">
        <v>1</v>
      </c>
      <c r="W376" s="83" t="s">
        <v>103</v>
      </c>
      <c r="X376" s="83">
        <v>0</v>
      </c>
    </row>
    <row r="377" spans="1:25" x14ac:dyDescent="0.2">
      <c r="A377" s="83">
        <v>1</v>
      </c>
      <c r="B377" s="84">
        <v>5701603308309</v>
      </c>
      <c r="C377" s="83">
        <v>70</v>
      </c>
      <c r="D377" s="84">
        <v>1010288</v>
      </c>
      <c r="F377" s="83" t="s">
        <v>103</v>
      </c>
      <c r="G377" s="83">
        <v>0</v>
      </c>
      <c r="H377" s="83">
        <v>100</v>
      </c>
      <c r="K377" s="83">
        <v>4</v>
      </c>
      <c r="L377" s="83" t="s">
        <v>101</v>
      </c>
      <c r="M377" s="83" t="s">
        <v>410</v>
      </c>
      <c r="N377" s="83" t="s">
        <v>102</v>
      </c>
      <c r="P377" s="83">
        <v>0</v>
      </c>
      <c r="U377" s="83">
        <v>4</v>
      </c>
      <c r="V377" s="83">
        <v>1</v>
      </c>
      <c r="W377" s="83" t="s">
        <v>103</v>
      </c>
      <c r="X377" s="83">
        <v>0</v>
      </c>
    </row>
    <row r="378" spans="1:25" x14ac:dyDescent="0.2">
      <c r="A378" s="83">
        <v>1</v>
      </c>
      <c r="B378" s="84">
        <v>5701603308309</v>
      </c>
      <c r="C378" s="83">
        <v>80</v>
      </c>
      <c r="D378" s="84">
        <v>1020145</v>
      </c>
      <c r="F378" s="83" t="s">
        <v>103</v>
      </c>
      <c r="G378" s="83">
        <v>0</v>
      </c>
      <c r="H378" s="83">
        <v>100</v>
      </c>
      <c r="K378" s="83" t="s">
        <v>408</v>
      </c>
      <c r="L378" s="83" t="s">
        <v>101</v>
      </c>
      <c r="M378" s="83" t="s">
        <v>410</v>
      </c>
      <c r="N378" s="83" t="s">
        <v>102</v>
      </c>
      <c r="P378" s="83">
        <v>0</v>
      </c>
      <c r="U378" s="83">
        <v>4</v>
      </c>
      <c r="V378" s="83">
        <v>1</v>
      </c>
      <c r="W378" s="83" t="s">
        <v>103</v>
      </c>
      <c r="X378" s="83">
        <v>0</v>
      </c>
    </row>
    <row r="379" spans="1:25" x14ac:dyDescent="0.2">
      <c r="A379" s="83">
        <v>1</v>
      </c>
      <c r="B379" s="84">
        <v>5701603308309</v>
      </c>
      <c r="C379" s="83">
        <v>90</v>
      </c>
      <c r="D379" s="84">
        <v>777500309</v>
      </c>
      <c r="F379" s="83" t="s">
        <v>103</v>
      </c>
      <c r="G379" s="83">
        <v>0</v>
      </c>
      <c r="H379" s="83">
        <v>100</v>
      </c>
      <c r="K379" s="83">
        <v>1</v>
      </c>
      <c r="L379" s="83" t="s">
        <v>101</v>
      </c>
      <c r="M379" s="83" t="s">
        <v>410</v>
      </c>
      <c r="N379" s="83" t="s">
        <v>102</v>
      </c>
      <c r="P379" s="83">
        <v>0</v>
      </c>
      <c r="U379" s="83">
        <v>4</v>
      </c>
      <c r="V379" s="83">
        <v>1</v>
      </c>
      <c r="W379" s="83" t="s">
        <v>103</v>
      </c>
      <c r="X379" s="83">
        <v>0</v>
      </c>
    </row>
    <row r="380" spans="1:25" x14ac:dyDescent="0.2">
      <c r="A380" s="83">
        <v>1</v>
      </c>
      <c r="B380" s="84">
        <v>5701603309309</v>
      </c>
      <c r="C380" s="83">
        <v>10</v>
      </c>
      <c r="D380" s="84">
        <v>5980463309</v>
      </c>
      <c r="F380" s="83" t="s">
        <v>103</v>
      </c>
      <c r="G380" s="83">
        <v>0</v>
      </c>
      <c r="H380" s="83">
        <v>100</v>
      </c>
      <c r="K380" s="83">
        <v>1</v>
      </c>
      <c r="L380" s="83" t="s">
        <v>101</v>
      </c>
      <c r="M380" s="83" t="s">
        <v>410</v>
      </c>
      <c r="N380" s="83" t="s">
        <v>102</v>
      </c>
      <c r="P380" s="83">
        <v>0</v>
      </c>
      <c r="U380" s="83">
        <v>4</v>
      </c>
      <c r="V380" s="83">
        <v>1</v>
      </c>
      <c r="W380" s="83" t="s">
        <v>103</v>
      </c>
      <c r="X380" s="83">
        <v>0</v>
      </c>
      <c r="Y380" s="83" t="str">
        <f>LEFT(D380,6)</f>
        <v>598046</v>
      </c>
    </row>
    <row r="381" spans="1:25" x14ac:dyDescent="0.2">
      <c r="A381" s="83">
        <v>1</v>
      </c>
      <c r="B381" s="84">
        <v>5701603309309</v>
      </c>
      <c r="C381" s="83">
        <v>20</v>
      </c>
      <c r="D381" s="84">
        <v>5980543309</v>
      </c>
      <c r="F381" s="83" t="s">
        <v>103</v>
      </c>
      <c r="G381" s="83">
        <v>0</v>
      </c>
      <c r="H381" s="83">
        <v>100</v>
      </c>
      <c r="K381" s="83">
        <v>1</v>
      </c>
      <c r="L381" s="83" t="s">
        <v>101</v>
      </c>
      <c r="M381" s="83" t="s">
        <v>410</v>
      </c>
      <c r="N381" s="83" t="s">
        <v>102</v>
      </c>
      <c r="P381" s="83">
        <v>0</v>
      </c>
      <c r="U381" s="83">
        <v>4</v>
      </c>
      <c r="V381" s="83">
        <v>1</v>
      </c>
      <c r="W381" s="83" t="s">
        <v>103</v>
      </c>
      <c r="X381" s="83">
        <v>0</v>
      </c>
    </row>
    <row r="382" spans="1:25" x14ac:dyDescent="0.2">
      <c r="A382" s="83">
        <v>1</v>
      </c>
      <c r="B382" s="84">
        <v>5701603309309</v>
      </c>
      <c r="C382" s="83">
        <v>30</v>
      </c>
      <c r="D382" s="84">
        <v>5980623309</v>
      </c>
      <c r="F382" s="83" t="s">
        <v>103</v>
      </c>
      <c r="G382" s="83">
        <v>0</v>
      </c>
      <c r="H382" s="83">
        <v>100</v>
      </c>
      <c r="K382" s="83">
        <v>1</v>
      </c>
      <c r="L382" s="83" t="s">
        <v>101</v>
      </c>
      <c r="M382" s="83" t="s">
        <v>410</v>
      </c>
      <c r="N382" s="83" t="s">
        <v>102</v>
      </c>
      <c r="P382" s="83">
        <v>0</v>
      </c>
      <c r="U382" s="83">
        <v>4</v>
      </c>
      <c r="V382" s="83">
        <v>1</v>
      </c>
      <c r="W382" s="83" t="s">
        <v>103</v>
      </c>
      <c r="X382" s="83">
        <v>0</v>
      </c>
    </row>
    <row r="383" spans="1:25" x14ac:dyDescent="0.2">
      <c r="A383" s="83">
        <v>1</v>
      </c>
      <c r="B383" s="84">
        <v>5701603309309</v>
      </c>
      <c r="C383" s="83">
        <v>40</v>
      </c>
      <c r="D383" s="84">
        <v>5980823309</v>
      </c>
      <c r="F383" s="83" t="s">
        <v>103</v>
      </c>
      <c r="G383" s="83">
        <v>0</v>
      </c>
      <c r="H383" s="83">
        <v>100</v>
      </c>
      <c r="K383" s="83">
        <v>1</v>
      </c>
      <c r="L383" s="83" t="s">
        <v>101</v>
      </c>
      <c r="M383" s="83" t="s">
        <v>410</v>
      </c>
      <c r="N383" s="83" t="s">
        <v>102</v>
      </c>
      <c r="P383" s="83">
        <v>0</v>
      </c>
      <c r="U383" s="83">
        <v>4</v>
      </c>
      <c r="V383" s="83">
        <v>1</v>
      </c>
      <c r="W383" s="83" t="s">
        <v>103</v>
      </c>
      <c r="X383" s="83">
        <v>0</v>
      </c>
    </row>
    <row r="384" spans="1:25" x14ac:dyDescent="0.2">
      <c r="A384" s="83">
        <v>1</v>
      </c>
      <c r="B384" s="84">
        <v>5701603309309</v>
      </c>
      <c r="C384" s="83">
        <v>50</v>
      </c>
      <c r="D384" s="84">
        <v>5980933309</v>
      </c>
      <c r="F384" s="83" t="s">
        <v>103</v>
      </c>
      <c r="G384" s="83">
        <v>0</v>
      </c>
      <c r="H384" s="83">
        <v>100</v>
      </c>
      <c r="K384" s="83">
        <v>1</v>
      </c>
      <c r="L384" s="83" t="s">
        <v>101</v>
      </c>
      <c r="M384" s="83" t="s">
        <v>410</v>
      </c>
      <c r="N384" s="83" t="s">
        <v>102</v>
      </c>
      <c r="P384" s="83">
        <v>0</v>
      </c>
      <c r="U384" s="83">
        <v>4</v>
      </c>
      <c r="V384" s="83">
        <v>1</v>
      </c>
      <c r="W384" s="83" t="s">
        <v>103</v>
      </c>
      <c r="X384" s="83">
        <v>0</v>
      </c>
    </row>
    <row r="385" spans="1:25" x14ac:dyDescent="0.2">
      <c r="A385" s="83">
        <v>1</v>
      </c>
      <c r="B385" s="84">
        <v>5701603309309</v>
      </c>
      <c r="C385" s="83">
        <v>60</v>
      </c>
      <c r="D385" s="84">
        <v>1010286</v>
      </c>
      <c r="F385" s="83" t="s">
        <v>103</v>
      </c>
      <c r="G385" s="83">
        <v>0</v>
      </c>
      <c r="H385" s="83">
        <v>100</v>
      </c>
      <c r="K385" s="83">
        <v>8</v>
      </c>
      <c r="L385" s="83" t="s">
        <v>101</v>
      </c>
      <c r="M385" s="83" t="s">
        <v>410</v>
      </c>
      <c r="N385" s="83" t="s">
        <v>102</v>
      </c>
      <c r="P385" s="83">
        <v>0</v>
      </c>
      <c r="U385" s="83">
        <v>4</v>
      </c>
      <c r="V385" s="83">
        <v>1</v>
      </c>
      <c r="W385" s="83" t="s">
        <v>103</v>
      </c>
      <c r="X385" s="83">
        <v>0</v>
      </c>
    </row>
    <row r="386" spans="1:25" x14ac:dyDescent="0.2">
      <c r="A386" s="83">
        <v>1</v>
      </c>
      <c r="B386" s="84">
        <v>5701603309309</v>
      </c>
      <c r="C386" s="83">
        <v>70</v>
      </c>
      <c r="D386" s="84">
        <v>1010287</v>
      </c>
      <c r="F386" s="83" t="s">
        <v>103</v>
      </c>
      <c r="G386" s="83">
        <v>0</v>
      </c>
      <c r="H386" s="83">
        <v>100</v>
      </c>
      <c r="K386" s="83">
        <v>4</v>
      </c>
      <c r="L386" s="83" t="s">
        <v>101</v>
      </c>
      <c r="M386" s="83" t="s">
        <v>410</v>
      </c>
      <c r="N386" s="83" t="s">
        <v>102</v>
      </c>
      <c r="P386" s="83">
        <v>0</v>
      </c>
      <c r="U386" s="83">
        <v>4</v>
      </c>
      <c r="V386" s="83">
        <v>1</v>
      </c>
      <c r="W386" s="83" t="s">
        <v>103</v>
      </c>
      <c r="X386" s="83">
        <v>0</v>
      </c>
    </row>
    <row r="387" spans="1:25" x14ac:dyDescent="0.2">
      <c r="A387" s="83">
        <v>1</v>
      </c>
      <c r="B387" s="84">
        <v>5701603309309</v>
      </c>
      <c r="C387" s="83">
        <v>80</v>
      </c>
      <c r="D387" s="84">
        <v>1020145</v>
      </c>
      <c r="F387" s="83" t="s">
        <v>103</v>
      </c>
      <c r="G387" s="83">
        <v>0</v>
      </c>
      <c r="H387" s="83">
        <v>100</v>
      </c>
      <c r="K387" s="83" t="s">
        <v>408</v>
      </c>
      <c r="L387" s="83" t="s">
        <v>101</v>
      </c>
      <c r="M387" s="83" t="s">
        <v>410</v>
      </c>
      <c r="N387" s="83" t="s">
        <v>102</v>
      </c>
      <c r="P387" s="83">
        <v>0</v>
      </c>
      <c r="U387" s="83">
        <v>4</v>
      </c>
      <c r="V387" s="83">
        <v>1</v>
      </c>
      <c r="W387" s="83" t="s">
        <v>103</v>
      </c>
      <c r="X387" s="83">
        <v>0</v>
      </c>
    </row>
    <row r="388" spans="1:25" x14ac:dyDescent="0.2">
      <c r="A388" s="83">
        <v>1</v>
      </c>
      <c r="B388" s="84">
        <v>5701603309309</v>
      </c>
      <c r="C388" s="83">
        <v>90</v>
      </c>
      <c r="D388" s="84">
        <v>777500309</v>
      </c>
      <c r="F388" s="83" t="s">
        <v>103</v>
      </c>
      <c r="G388" s="83">
        <v>0</v>
      </c>
      <c r="H388" s="83">
        <v>100</v>
      </c>
      <c r="K388" s="83">
        <v>1</v>
      </c>
      <c r="L388" s="83" t="s">
        <v>101</v>
      </c>
      <c r="M388" s="83" t="s">
        <v>410</v>
      </c>
      <c r="N388" s="83" t="s">
        <v>102</v>
      </c>
      <c r="P388" s="83">
        <v>0</v>
      </c>
      <c r="U388" s="83">
        <v>4</v>
      </c>
      <c r="V388" s="83">
        <v>1</v>
      </c>
      <c r="W388" s="83" t="s">
        <v>103</v>
      </c>
      <c r="X388" s="83">
        <v>0</v>
      </c>
    </row>
    <row r="389" spans="1:25" x14ac:dyDescent="0.2">
      <c r="A389" s="83">
        <v>1</v>
      </c>
      <c r="B389" s="84">
        <v>5701603310309</v>
      </c>
      <c r="C389" s="83">
        <v>10</v>
      </c>
      <c r="D389" s="84">
        <v>5980463310</v>
      </c>
      <c r="F389" s="83" t="s">
        <v>103</v>
      </c>
      <c r="G389" s="83">
        <v>0</v>
      </c>
      <c r="H389" s="83">
        <v>100</v>
      </c>
      <c r="K389" s="83">
        <v>1</v>
      </c>
      <c r="L389" s="83" t="s">
        <v>101</v>
      </c>
      <c r="M389" s="83" t="s">
        <v>410</v>
      </c>
      <c r="N389" s="83" t="s">
        <v>102</v>
      </c>
      <c r="P389" s="83">
        <v>0</v>
      </c>
      <c r="U389" s="83">
        <v>4</v>
      </c>
      <c r="V389" s="83">
        <v>1</v>
      </c>
      <c r="W389" s="83" t="s">
        <v>103</v>
      </c>
      <c r="X389" s="83">
        <v>0</v>
      </c>
      <c r="Y389" s="83" t="str">
        <f>LEFT(D389,6)</f>
        <v>598046</v>
      </c>
    </row>
    <row r="390" spans="1:25" x14ac:dyDescent="0.2">
      <c r="A390" s="83">
        <v>1</v>
      </c>
      <c r="B390" s="84">
        <v>5701603310309</v>
      </c>
      <c r="C390" s="83">
        <v>20</v>
      </c>
      <c r="D390" s="84">
        <v>5980543310</v>
      </c>
      <c r="F390" s="83" t="s">
        <v>103</v>
      </c>
      <c r="G390" s="83">
        <v>0</v>
      </c>
      <c r="H390" s="83">
        <v>100</v>
      </c>
      <c r="K390" s="83">
        <v>1</v>
      </c>
      <c r="L390" s="83" t="s">
        <v>101</v>
      </c>
      <c r="M390" s="83" t="s">
        <v>410</v>
      </c>
      <c r="N390" s="83" t="s">
        <v>102</v>
      </c>
      <c r="P390" s="83">
        <v>0</v>
      </c>
      <c r="U390" s="83">
        <v>4</v>
      </c>
      <c r="V390" s="83">
        <v>1</v>
      </c>
      <c r="W390" s="83" t="s">
        <v>103</v>
      </c>
      <c r="X390" s="83">
        <v>0</v>
      </c>
    </row>
    <row r="391" spans="1:25" x14ac:dyDescent="0.2">
      <c r="A391" s="83">
        <v>1</v>
      </c>
      <c r="B391" s="84">
        <v>5701603310309</v>
      </c>
      <c r="C391" s="83">
        <v>30</v>
      </c>
      <c r="D391" s="84">
        <v>5980623310</v>
      </c>
      <c r="F391" s="83" t="s">
        <v>103</v>
      </c>
      <c r="G391" s="83">
        <v>0</v>
      </c>
      <c r="H391" s="83">
        <v>100</v>
      </c>
      <c r="K391" s="83">
        <v>1</v>
      </c>
      <c r="L391" s="83" t="s">
        <v>101</v>
      </c>
      <c r="M391" s="83" t="s">
        <v>410</v>
      </c>
      <c r="N391" s="83" t="s">
        <v>102</v>
      </c>
      <c r="P391" s="83">
        <v>0</v>
      </c>
      <c r="U391" s="83">
        <v>4</v>
      </c>
      <c r="V391" s="83">
        <v>1</v>
      </c>
      <c r="W391" s="83" t="s">
        <v>103</v>
      </c>
      <c r="X391" s="83">
        <v>0</v>
      </c>
    </row>
    <row r="392" spans="1:25" x14ac:dyDescent="0.2">
      <c r="A392" s="83">
        <v>1</v>
      </c>
      <c r="B392" s="84">
        <v>5701603310309</v>
      </c>
      <c r="C392" s="83">
        <v>40</v>
      </c>
      <c r="D392" s="84">
        <v>5980823310</v>
      </c>
      <c r="F392" s="83" t="s">
        <v>103</v>
      </c>
      <c r="G392" s="83">
        <v>0</v>
      </c>
      <c r="H392" s="83">
        <v>100</v>
      </c>
      <c r="K392" s="83">
        <v>1</v>
      </c>
      <c r="L392" s="83" t="s">
        <v>101</v>
      </c>
      <c r="M392" s="83" t="s">
        <v>410</v>
      </c>
      <c r="N392" s="83" t="s">
        <v>102</v>
      </c>
      <c r="P392" s="83">
        <v>0</v>
      </c>
      <c r="U392" s="83">
        <v>4</v>
      </c>
      <c r="V392" s="83">
        <v>1</v>
      </c>
      <c r="W392" s="83" t="s">
        <v>103</v>
      </c>
      <c r="X392" s="83">
        <v>0</v>
      </c>
    </row>
    <row r="393" spans="1:25" x14ac:dyDescent="0.2">
      <c r="A393" s="83">
        <v>1</v>
      </c>
      <c r="B393" s="84">
        <v>5701603310309</v>
      </c>
      <c r="C393" s="83">
        <v>50</v>
      </c>
      <c r="D393" s="84">
        <v>5980933310</v>
      </c>
      <c r="F393" s="83" t="s">
        <v>103</v>
      </c>
      <c r="G393" s="83">
        <v>0</v>
      </c>
      <c r="H393" s="83">
        <v>100</v>
      </c>
      <c r="K393" s="83">
        <v>1</v>
      </c>
      <c r="L393" s="83" t="s">
        <v>101</v>
      </c>
      <c r="M393" s="83" t="s">
        <v>410</v>
      </c>
      <c r="N393" s="83" t="s">
        <v>102</v>
      </c>
      <c r="P393" s="83">
        <v>0</v>
      </c>
      <c r="U393" s="83">
        <v>4</v>
      </c>
      <c r="V393" s="83">
        <v>1</v>
      </c>
      <c r="W393" s="83" t="s">
        <v>103</v>
      </c>
      <c r="X393" s="83">
        <v>0</v>
      </c>
    </row>
    <row r="394" spans="1:25" x14ac:dyDescent="0.2">
      <c r="A394" s="83">
        <v>1</v>
      </c>
      <c r="B394" s="84">
        <v>5701603310309</v>
      </c>
      <c r="C394" s="83">
        <v>60</v>
      </c>
      <c r="D394" s="84">
        <v>1010286</v>
      </c>
      <c r="F394" s="83" t="s">
        <v>103</v>
      </c>
      <c r="G394" s="83">
        <v>0</v>
      </c>
      <c r="H394" s="83">
        <v>100</v>
      </c>
      <c r="K394" s="83">
        <v>8</v>
      </c>
      <c r="L394" s="83" t="s">
        <v>101</v>
      </c>
      <c r="M394" s="83" t="s">
        <v>410</v>
      </c>
      <c r="N394" s="83" t="s">
        <v>102</v>
      </c>
      <c r="P394" s="83">
        <v>0</v>
      </c>
      <c r="U394" s="83">
        <v>4</v>
      </c>
      <c r="V394" s="83">
        <v>1</v>
      </c>
      <c r="W394" s="83" t="s">
        <v>103</v>
      </c>
      <c r="X394" s="83">
        <v>0</v>
      </c>
    </row>
    <row r="395" spans="1:25" x14ac:dyDescent="0.2">
      <c r="A395" s="83">
        <v>1</v>
      </c>
      <c r="B395" s="84">
        <v>5701603310309</v>
      </c>
      <c r="C395" s="83">
        <v>70</v>
      </c>
      <c r="D395" s="84">
        <v>1010287</v>
      </c>
      <c r="F395" s="83" t="s">
        <v>103</v>
      </c>
      <c r="G395" s="83">
        <v>0</v>
      </c>
      <c r="H395" s="83">
        <v>100</v>
      </c>
      <c r="K395" s="83">
        <v>4</v>
      </c>
      <c r="L395" s="83" t="s">
        <v>101</v>
      </c>
      <c r="M395" s="83" t="s">
        <v>410</v>
      </c>
      <c r="N395" s="83" t="s">
        <v>102</v>
      </c>
      <c r="P395" s="83">
        <v>0</v>
      </c>
      <c r="U395" s="83">
        <v>4</v>
      </c>
      <c r="V395" s="83">
        <v>1</v>
      </c>
      <c r="W395" s="83" t="s">
        <v>103</v>
      </c>
      <c r="X395" s="83">
        <v>0</v>
      </c>
    </row>
    <row r="396" spans="1:25" x14ac:dyDescent="0.2">
      <c r="A396" s="83">
        <v>1</v>
      </c>
      <c r="B396" s="84">
        <v>5701603310309</v>
      </c>
      <c r="C396" s="83">
        <v>80</v>
      </c>
      <c r="D396" s="84">
        <v>1020145</v>
      </c>
      <c r="F396" s="83" t="s">
        <v>103</v>
      </c>
      <c r="G396" s="83">
        <v>0</v>
      </c>
      <c r="H396" s="83">
        <v>100</v>
      </c>
      <c r="K396" s="83" t="s">
        <v>408</v>
      </c>
      <c r="L396" s="83" t="s">
        <v>101</v>
      </c>
      <c r="M396" s="83" t="s">
        <v>410</v>
      </c>
      <c r="N396" s="83" t="s">
        <v>102</v>
      </c>
      <c r="P396" s="83">
        <v>0</v>
      </c>
      <c r="U396" s="83">
        <v>4</v>
      </c>
      <c r="V396" s="83">
        <v>1</v>
      </c>
      <c r="W396" s="83" t="s">
        <v>103</v>
      </c>
      <c r="X396" s="83">
        <v>0</v>
      </c>
    </row>
    <row r="397" spans="1:25" x14ac:dyDescent="0.2">
      <c r="A397" s="83">
        <v>1</v>
      </c>
      <c r="B397" s="84">
        <v>5701603310309</v>
      </c>
      <c r="C397" s="83">
        <v>90</v>
      </c>
      <c r="D397" s="84">
        <v>777500309</v>
      </c>
      <c r="F397" s="83" t="s">
        <v>103</v>
      </c>
      <c r="G397" s="83">
        <v>0</v>
      </c>
      <c r="H397" s="83">
        <v>100</v>
      </c>
      <c r="K397" s="83">
        <v>1</v>
      </c>
      <c r="L397" s="83" t="s">
        <v>101</v>
      </c>
      <c r="M397" s="83" t="s">
        <v>410</v>
      </c>
      <c r="N397" s="83" t="s">
        <v>102</v>
      </c>
      <c r="P397" s="83">
        <v>0</v>
      </c>
      <c r="U397" s="83">
        <v>4</v>
      </c>
      <c r="V397" s="83">
        <v>1</v>
      </c>
      <c r="W397" s="83" t="s">
        <v>103</v>
      </c>
      <c r="X397" s="83">
        <v>0</v>
      </c>
    </row>
    <row r="398" spans="1:25" x14ac:dyDescent="0.2">
      <c r="A398" s="83">
        <v>1</v>
      </c>
      <c r="B398" s="84">
        <v>5701603300316</v>
      </c>
      <c r="C398" s="83">
        <v>10</v>
      </c>
      <c r="D398" s="84">
        <v>5980463399</v>
      </c>
      <c r="F398" s="83" t="s">
        <v>103</v>
      </c>
      <c r="G398" s="83">
        <v>0</v>
      </c>
      <c r="H398" s="83">
        <v>100</v>
      </c>
      <c r="K398" s="83">
        <v>1</v>
      </c>
      <c r="L398" s="83" t="s">
        <v>101</v>
      </c>
      <c r="M398" s="83" t="s">
        <v>410</v>
      </c>
      <c r="N398" s="83" t="s">
        <v>102</v>
      </c>
      <c r="P398" s="83">
        <v>0</v>
      </c>
      <c r="U398" s="83">
        <v>4</v>
      </c>
      <c r="V398" s="83">
        <v>1</v>
      </c>
      <c r="W398" s="83" t="s">
        <v>103</v>
      </c>
      <c r="X398" s="83">
        <v>0</v>
      </c>
      <c r="Y398" s="83" t="str">
        <f>LEFT(D398,6)</f>
        <v>598046</v>
      </c>
    </row>
    <row r="399" spans="1:25" x14ac:dyDescent="0.2">
      <c r="A399" s="83">
        <v>1</v>
      </c>
      <c r="B399" s="84">
        <v>5701603300316</v>
      </c>
      <c r="C399" s="83">
        <v>20</v>
      </c>
      <c r="D399" s="84">
        <v>5980543399</v>
      </c>
      <c r="F399" s="83" t="s">
        <v>103</v>
      </c>
      <c r="G399" s="83">
        <v>0</v>
      </c>
      <c r="H399" s="83">
        <v>100</v>
      </c>
      <c r="K399" s="83">
        <v>1</v>
      </c>
      <c r="L399" s="83" t="s">
        <v>101</v>
      </c>
      <c r="M399" s="83" t="s">
        <v>410</v>
      </c>
      <c r="N399" s="83" t="s">
        <v>102</v>
      </c>
      <c r="P399" s="83">
        <v>0</v>
      </c>
      <c r="U399" s="83">
        <v>4</v>
      </c>
      <c r="V399" s="83">
        <v>1</v>
      </c>
      <c r="W399" s="83" t="s">
        <v>103</v>
      </c>
      <c r="X399" s="83">
        <v>0</v>
      </c>
    </row>
    <row r="400" spans="1:25" x14ac:dyDescent="0.2">
      <c r="A400" s="83">
        <v>1</v>
      </c>
      <c r="B400" s="84">
        <v>5701603300316</v>
      </c>
      <c r="C400" s="83">
        <v>30</v>
      </c>
      <c r="D400" s="84">
        <v>5980623399</v>
      </c>
      <c r="F400" s="83" t="s">
        <v>103</v>
      </c>
      <c r="G400" s="83">
        <v>0</v>
      </c>
      <c r="H400" s="83">
        <v>100</v>
      </c>
      <c r="K400" s="83">
        <v>1</v>
      </c>
      <c r="L400" s="83" t="s">
        <v>101</v>
      </c>
      <c r="M400" s="83" t="s">
        <v>410</v>
      </c>
      <c r="N400" s="83" t="s">
        <v>102</v>
      </c>
      <c r="P400" s="83">
        <v>0</v>
      </c>
      <c r="U400" s="83">
        <v>4</v>
      </c>
      <c r="V400" s="83">
        <v>1</v>
      </c>
      <c r="W400" s="83" t="s">
        <v>103</v>
      </c>
      <c r="X400" s="83">
        <v>0</v>
      </c>
    </row>
    <row r="401" spans="1:25" x14ac:dyDescent="0.2">
      <c r="A401" s="83">
        <v>1</v>
      </c>
      <c r="B401" s="84">
        <v>5701603300316</v>
      </c>
      <c r="C401" s="83">
        <v>40</v>
      </c>
      <c r="D401" s="84">
        <v>5980823399</v>
      </c>
      <c r="F401" s="83" t="s">
        <v>103</v>
      </c>
      <c r="G401" s="83">
        <v>0</v>
      </c>
      <c r="H401" s="83">
        <v>100</v>
      </c>
      <c r="K401" s="83">
        <v>1</v>
      </c>
      <c r="L401" s="83" t="s">
        <v>101</v>
      </c>
      <c r="M401" s="83" t="s">
        <v>410</v>
      </c>
      <c r="N401" s="83" t="s">
        <v>102</v>
      </c>
      <c r="P401" s="83">
        <v>0</v>
      </c>
      <c r="U401" s="83">
        <v>4</v>
      </c>
      <c r="V401" s="83">
        <v>1</v>
      </c>
      <c r="W401" s="83" t="s">
        <v>103</v>
      </c>
      <c r="X401" s="83">
        <v>0</v>
      </c>
    </row>
    <row r="402" spans="1:25" x14ac:dyDescent="0.2">
      <c r="A402" s="83">
        <v>1</v>
      </c>
      <c r="B402" s="84">
        <v>5701603300316</v>
      </c>
      <c r="C402" s="83">
        <v>50</v>
      </c>
      <c r="D402" s="85">
        <v>1010277</v>
      </c>
      <c r="F402" s="83" t="s">
        <v>103</v>
      </c>
      <c r="G402" s="83">
        <v>0</v>
      </c>
      <c r="H402" s="83">
        <v>100</v>
      </c>
      <c r="K402" s="83">
        <v>1</v>
      </c>
      <c r="L402" s="83" t="s">
        <v>101</v>
      </c>
      <c r="M402" s="83" t="s">
        <v>410</v>
      </c>
      <c r="N402" s="83" t="s">
        <v>102</v>
      </c>
      <c r="P402" s="83">
        <v>0</v>
      </c>
      <c r="U402" s="83">
        <v>4</v>
      </c>
      <c r="V402" s="83">
        <v>1</v>
      </c>
      <c r="W402" s="83" t="s">
        <v>103</v>
      </c>
      <c r="X402" s="83">
        <v>0</v>
      </c>
    </row>
    <row r="403" spans="1:25" x14ac:dyDescent="0.2">
      <c r="A403" s="83">
        <v>1</v>
      </c>
      <c r="B403" s="84">
        <v>5701603300316</v>
      </c>
      <c r="C403" s="83">
        <v>60</v>
      </c>
      <c r="D403" s="84">
        <v>1010286</v>
      </c>
      <c r="F403" s="83" t="s">
        <v>103</v>
      </c>
      <c r="G403" s="83">
        <v>0</v>
      </c>
      <c r="H403" s="83">
        <v>100</v>
      </c>
      <c r="K403" s="83">
        <v>8</v>
      </c>
      <c r="L403" s="83" t="s">
        <v>101</v>
      </c>
      <c r="M403" s="83" t="s">
        <v>410</v>
      </c>
      <c r="N403" s="83" t="s">
        <v>102</v>
      </c>
      <c r="P403" s="83">
        <v>0</v>
      </c>
      <c r="U403" s="83">
        <v>4</v>
      </c>
      <c r="V403" s="83">
        <v>1</v>
      </c>
      <c r="W403" s="83" t="s">
        <v>103</v>
      </c>
      <c r="X403" s="83">
        <v>0</v>
      </c>
    </row>
    <row r="404" spans="1:25" x14ac:dyDescent="0.2">
      <c r="A404" s="83">
        <v>1</v>
      </c>
      <c r="B404" s="84">
        <v>5701603300316</v>
      </c>
      <c r="C404" s="83">
        <v>70</v>
      </c>
      <c r="D404" s="84">
        <v>1010287</v>
      </c>
      <c r="F404" s="83" t="s">
        <v>103</v>
      </c>
      <c r="G404" s="83">
        <v>0</v>
      </c>
      <c r="H404" s="83">
        <v>100</v>
      </c>
      <c r="K404" s="83">
        <v>4</v>
      </c>
      <c r="L404" s="83" t="s">
        <v>101</v>
      </c>
      <c r="M404" s="83" t="s">
        <v>410</v>
      </c>
      <c r="N404" s="83" t="s">
        <v>102</v>
      </c>
      <c r="P404" s="83">
        <v>0</v>
      </c>
      <c r="U404" s="83">
        <v>4</v>
      </c>
      <c r="V404" s="83">
        <v>1</v>
      </c>
      <c r="W404" s="83" t="s">
        <v>103</v>
      </c>
      <c r="X404" s="83">
        <v>0</v>
      </c>
    </row>
    <row r="405" spans="1:25" x14ac:dyDescent="0.2">
      <c r="A405" s="83">
        <v>1</v>
      </c>
      <c r="B405" s="84">
        <v>5701603300316</v>
      </c>
      <c r="C405" s="83">
        <v>80</v>
      </c>
      <c r="D405" s="84">
        <v>1020145</v>
      </c>
      <c r="F405" s="83" t="s">
        <v>103</v>
      </c>
      <c r="G405" s="83">
        <v>0</v>
      </c>
      <c r="H405" s="83">
        <v>100</v>
      </c>
      <c r="K405" s="83" t="s">
        <v>408</v>
      </c>
      <c r="L405" s="83" t="s">
        <v>101</v>
      </c>
      <c r="M405" s="83" t="s">
        <v>410</v>
      </c>
      <c r="N405" s="83" t="s">
        <v>102</v>
      </c>
      <c r="P405" s="83">
        <v>0</v>
      </c>
      <c r="U405" s="83">
        <v>4</v>
      </c>
      <c r="V405" s="83">
        <v>1</v>
      </c>
      <c r="W405" s="83" t="s">
        <v>103</v>
      </c>
      <c r="X405" s="83">
        <v>0</v>
      </c>
    </row>
    <row r="406" spans="1:25" x14ac:dyDescent="0.2">
      <c r="A406" s="83">
        <v>1</v>
      </c>
      <c r="B406" s="84">
        <v>5701603300316</v>
      </c>
      <c r="C406" s="83">
        <v>90</v>
      </c>
      <c r="D406" s="84">
        <v>777500316</v>
      </c>
      <c r="F406" s="83" t="s">
        <v>103</v>
      </c>
      <c r="G406" s="83">
        <v>0</v>
      </c>
      <c r="H406" s="83">
        <v>100</v>
      </c>
      <c r="K406" s="83">
        <v>1</v>
      </c>
      <c r="L406" s="83" t="s">
        <v>101</v>
      </c>
      <c r="M406" s="83" t="s">
        <v>410</v>
      </c>
      <c r="N406" s="83" t="s">
        <v>102</v>
      </c>
      <c r="P406" s="83">
        <v>0</v>
      </c>
      <c r="U406" s="83">
        <v>4</v>
      </c>
      <c r="V406" s="83">
        <v>1</v>
      </c>
      <c r="W406" s="83" t="s">
        <v>103</v>
      </c>
      <c r="X406" s="83">
        <v>0</v>
      </c>
    </row>
    <row r="407" spans="1:25" x14ac:dyDescent="0.2">
      <c r="A407" s="83">
        <v>1</v>
      </c>
      <c r="B407" s="84">
        <v>5701603301316</v>
      </c>
      <c r="C407" s="83">
        <v>10</v>
      </c>
      <c r="D407" s="84">
        <v>5980463301</v>
      </c>
      <c r="F407" s="83" t="s">
        <v>103</v>
      </c>
      <c r="G407" s="83">
        <v>0</v>
      </c>
      <c r="H407" s="83">
        <v>100</v>
      </c>
      <c r="K407" s="83">
        <v>1</v>
      </c>
      <c r="L407" s="83" t="s">
        <v>101</v>
      </c>
      <c r="M407" s="83" t="s">
        <v>410</v>
      </c>
      <c r="N407" s="83" t="s">
        <v>102</v>
      </c>
      <c r="P407" s="83">
        <v>0</v>
      </c>
      <c r="U407" s="83">
        <v>4</v>
      </c>
      <c r="V407" s="83">
        <v>1</v>
      </c>
      <c r="W407" s="83" t="s">
        <v>103</v>
      </c>
      <c r="X407" s="83">
        <v>0</v>
      </c>
      <c r="Y407" s="83" t="str">
        <f>LEFT(D407,6)</f>
        <v>598046</v>
      </c>
    </row>
    <row r="408" spans="1:25" x14ac:dyDescent="0.2">
      <c r="A408" s="83">
        <v>1</v>
      </c>
      <c r="B408" s="84">
        <v>5701603301316</v>
      </c>
      <c r="C408" s="83">
        <v>20</v>
      </c>
      <c r="D408" s="84">
        <v>5980543301</v>
      </c>
      <c r="F408" s="83" t="s">
        <v>103</v>
      </c>
      <c r="G408" s="83">
        <v>0</v>
      </c>
      <c r="H408" s="83">
        <v>100</v>
      </c>
      <c r="K408" s="83">
        <v>1</v>
      </c>
      <c r="L408" s="83" t="s">
        <v>101</v>
      </c>
      <c r="M408" s="83" t="s">
        <v>410</v>
      </c>
      <c r="N408" s="83" t="s">
        <v>102</v>
      </c>
      <c r="P408" s="83">
        <v>0</v>
      </c>
      <c r="U408" s="83">
        <v>4</v>
      </c>
      <c r="V408" s="83">
        <v>1</v>
      </c>
      <c r="W408" s="83" t="s">
        <v>103</v>
      </c>
      <c r="X408" s="83">
        <v>0</v>
      </c>
    </row>
    <row r="409" spans="1:25" x14ac:dyDescent="0.2">
      <c r="A409" s="83">
        <v>1</v>
      </c>
      <c r="B409" s="84">
        <v>5701603301316</v>
      </c>
      <c r="C409" s="83">
        <v>30</v>
      </c>
      <c r="D409" s="84">
        <v>5980623301</v>
      </c>
      <c r="F409" s="83" t="s">
        <v>103</v>
      </c>
      <c r="G409" s="83">
        <v>0</v>
      </c>
      <c r="H409" s="83">
        <v>100</v>
      </c>
      <c r="K409" s="83">
        <v>1</v>
      </c>
      <c r="L409" s="83" t="s">
        <v>101</v>
      </c>
      <c r="M409" s="83" t="s">
        <v>410</v>
      </c>
      <c r="N409" s="83" t="s">
        <v>102</v>
      </c>
      <c r="P409" s="83">
        <v>0</v>
      </c>
      <c r="U409" s="83">
        <v>4</v>
      </c>
      <c r="V409" s="83">
        <v>1</v>
      </c>
      <c r="W409" s="83" t="s">
        <v>103</v>
      </c>
      <c r="X409" s="83">
        <v>0</v>
      </c>
    </row>
    <row r="410" spans="1:25" x14ac:dyDescent="0.2">
      <c r="A410" s="83">
        <v>1</v>
      </c>
      <c r="B410" s="84">
        <v>5701603301316</v>
      </c>
      <c r="C410" s="83">
        <v>40</v>
      </c>
      <c r="D410" s="84">
        <v>5980823301</v>
      </c>
      <c r="F410" s="83" t="s">
        <v>103</v>
      </c>
      <c r="G410" s="83">
        <v>0</v>
      </c>
      <c r="H410" s="83">
        <v>100</v>
      </c>
      <c r="K410" s="83">
        <v>1</v>
      </c>
      <c r="L410" s="83" t="s">
        <v>101</v>
      </c>
      <c r="M410" s="83" t="s">
        <v>410</v>
      </c>
      <c r="N410" s="83" t="s">
        <v>102</v>
      </c>
      <c r="P410" s="83">
        <v>0</v>
      </c>
      <c r="U410" s="83">
        <v>4</v>
      </c>
      <c r="V410" s="83">
        <v>1</v>
      </c>
      <c r="W410" s="83" t="s">
        <v>103</v>
      </c>
      <c r="X410" s="83">
        <v>0</v>
      </c>
    </row>
    <row r="411" spans="1:25" x14ac:dyDescent="0.2">
      <c r="A411" s="83">
        <v>1</v>
      </c>
      <c r="B411" s="84">
        <v>5701603301316</v>
      </c>
      <c r="C411" s="83">
        <v>50</v>
      </c>
      <c r="D411" s="84">
        <v>5980933301</v>
      </c>
      <c r="F411" s="83" t="s">
        <v>103</v>
      </c>
      <c r="G411" s="83">
        <v>0</v>
      </c>
      <c r="H411" s="83">
        <v>100</v>
      </c>
      <c r="K411" s="83">
        <v>1</v>
      </c>
      <c r="L411" s="83" t="s">
        <v>101</v>
      </c>
      <c r="M411" s="83" t="s">
        <v>410</v>
      </c>
      <c r="N411" s="83" t="s">
        <v>102</v>
      </c>
      <c r="P411" s="83">
        <v>0</v>
      </c>
      <c r="U411" s="83">
        <v>4</v>
      </c>
      <c r="V411" s="83">
        <v>1</v>
      </c>
      <c r="W411" s="83" t="s">
        <v>103</v>
      </c>
      <c r="X411" s="83">
        <v>0</v>
      </c>
    </row>
    <row r="412" spans="1:25" x14ac:dyDescent="0.2">
      <c r="A412" s="83">
        <v>1</v>
      </c>
      <c r="B412" s="84">
        <v>5701603301316</v>
      </c>
      <c r="C412" s="83">
        <v>60</v>
      </c>
      <c r="D412" s="84">
        <v>1010286</v>
      </c>
      <c r="F412" s="83" t="s">
        <v>103</v>
      </c>
      <c r="G412" s="83">
        <v>0</v>
      </c>
      <c r="H412" s="83">
        <v>100</v>
      </c>
      <c r="K412" s="83">
        <v>8</v>
      </c>
      <c r="L412" s="83" t="s">
        <v>101</v>
      </c>
      <c r="M412" s="83" t="s">
        <v>410</v>
      </c>
      <c r="N412" s="83" t="s">
        <v>102</v>
      </c>
      <c r="P412" s="83">
        <v>0</v>
      </c>
      <c r="U412" s="83">
        <v>4</v>
      </c>
      <c r="V412" s="83">
        <v>1</v>
      </c>
      <c r="W412" s="83" t="s">
        <v>103</v>
      </c>
      <c r="X412" s="83">
        <v>0</v>
      </c>
    </row>
    <row r="413" spans="1:25" x14ac:dyDescent="0.2">
      <c r="A413" s="83">
        <v>1</v>
      </c>
      <c r="B413" s="84">
        <v>5701603301316</v>
      </c>
      <c r="C413" s="83">
        <v>70</v>
      </c>
      <c r="D413" s="84">
        <v>1010287</v>
      </c>
      <c r="F413" s="83" t="s">
        <v>103</v>
      </c>
      <c r="G413" s="83">
        <v>0</v>
      </c>
      <c r="H413" s="83">
        <v>100</v>
      </c>
      <c r="K413" s="83">
        <v>4</v>
      </c>
      <c r="L413" s="83" t="s">
        <v>101</v>
      </c>
      <c r="M413" s="83" t="s">
        <v>410</v>
      </c>
      <c r="N413" s="83" t="s">
        <v>102</v>
      </c>
      <c r="P413" s="83">
        <v>0</v>
      </c>
      <c r="U413" s="83">
        <v>4</v>
      </c>
      <c r="V413" s="83">
        <v>1</v>
      </c>
      <c r="W413" s="83" t="s">
        <v>103</v>
      </c>
      <c r="X413" s="83">
        <v>0</v>
      </c>
    </row>
    <row r="414" spans="1:25" x14ac:dyDescent="0.2">
      <c r="A414" s="83">
        <v>1</v>
      </c>
      <c r="B414" s="84">
        <v>5701603301316</v>
      </c>
      <c r="C414" s="83">
        <v>80</v>
      </c>
      <c r="D414" s="84">
        <v>1020145</v>
      </c>
      <c r="F414" s="83" t="s">
        <v>103</v>
      </c>
      <c r="G414" s="83">
        <v>0</v>
      </c>
      <c r="H414" s="83">
        <v>100</v>
      </c>
      <c r="K414" s="83" t="s">
        <v>408</v>
      </c>
      <c r="L414" s="83" t="s">
        <v>101</v>
      </c>
      <c r="M414" s="83" t="s">
        <v>410</v>
      </c>
      <c r="N414" s="83" t="s">
        <v>102</v>
      </c>
      <c r="P414" s="83">
        <v>0</v>
      </c>
      <c r="U414" s="83">
        <v>4</v>
      </c>
      <c r="V414" s="83">
        <v>1</v>
      </c>
      <c r="W414" s="83" t="s">
        <v>103</v>
      </c>
      <c r="X414" s="83">
        <v>0</v>
      </c>
    </row>
    <row r="415" spans="1:25" x14ac:dyDescent="0.2">
      <c r="A415" s="83">
        <v>1</v>
      </c>
      <c r="B415" s="84">
        <v>5701603301316</v>
      </c>
      <c r="C415" s="83">
        <v>90</v>
      </c>
      <c r="D415" s="84">
        <v>777500316</v>
      </c>
      <c r="F415" s="83" t="s">
        <v>103</v>
      </c>
      <c r="G415" s="83">
        <v>0</v>
      </c>
      <c r="H415" s="83">
        <v>100</v>
      </c>
      <c r="K415" s="83">
        <v>1</v>
      </c>
      <c r="L415" s="83" t="s">
        <v>101</v>
      </c>
      <c r="M415" s="83" t="s">
        <v>410</v>
      </c>
      <c r="N415" s="83" t="s">
        <v>102</v>
      </c>
      <c r="P415" s="83">
        <v>0</v>
      </c>
      <c r="U415" s="83">
        <v>4</v>
      </c>
      <c r="V415" s="83">
        <v>1</v>
      </c>
      <c r="W415" s="83" t="s">
        <v>103</v>
      </c>
      <c r="X415" s="83">
        <v>0</v>
      </c>
    </row>
    <row r="416" spans="1:25" x14ac:dyDescent="0.2">
      <c r="A416" s="83">
        <v>1</v>
      </c>
      <c r="B416" s="84">
        <v>5701603302316</v>
      </c>
      <c r="C416" s="83">
        <v>10</v>
      </c>
      <c r="D416" s="84">
        <v>5980463302</v>
      </c>
      <c r="F416" s="83" t="s">
        <v>103</v>
      </c>
      <c r="G416" s="83">
        <v>0</v>
      </c>
      <c r="H416" s="83">
        <v>100</v>
      </c>
      <c r="K416" s="83">
        <v>1</v>
      </c>
      <c r="L416" s="83" t="s">
        <v>101</v>
      </c>
      <c r="M416" s="83" t="s">
        <v>410</v>
      </c>
      <c r="N416" s="83" t="s">
        <v>102</v>
      </c>
      <c r="P416" s="83">
        <v>0</v>
      </c>
      <c r="U416" s="83">
        <v>4</v>
      </c>
      <c r="V416" s="83">
        <v>1</v>
      </c>
      <c r="W416" s="83" t="s">
        <v>103</v>
      </c>
      <c r="X416" s="83">
        <v>0</v>
      </c>
      <c r="Y416" s="83" t="str">
        <f>LEFT(D416,6)</f>
        <v>598046</v>
      </c>
    </row>
    <row r="417" spans="1:25" x14ac:dyDescent="0.2">
      <c r="A417" s="83">
        <v>1</v>
      </c>
      <c r="B417" s="84">
        <v>5701603302316</v>
      </c>
      <c r="C417" s="83">
        <v>20</v>
      </c>
      <c r="D417" s="84">
        <v>5980543302</v>
      </c>
      <c r="F417" s="83" t="s">
        <v>103</v>
      </c>
      <c r="G417" s="83">
        <v>0</v>
      </c>
      <c r="H417" s="83">
        <v>100</v>
      </c>
      <c r="K417" s="83">
        <v>1</v>
      </c>
      <c r="L417" s="83" t="s">
        <v>101</v>
      </c>
      <c r="M417" s="83" t="s">
        <v>410</v>
      </c>
      <c r="N417" s="83" t="s">
        <v>102</v>
      </c>
      <c r="P417" s="83">
        <v>0</v>
      </c>
      <c r="U417" s="83">
        <v>4</v>
      </c>
      <c r="V417" s="83">
        <v>1</v>
      </c>
      <c r="W417" s="83" t="s">
        <v>103</v>
      </c>
      <c r="X417" s="83">
        <v>0</v>
      </c>
    </row>
    <row r="418" spans="1:25" x14ac:dyDescent="0.2">
      <c r="A418" s="83">
        <v>1</v>
      </c>
      <c r="B418" s="84">
        <v>5701603302316</v>
      </c>
      <c r="C418" s="83">
        <v>30</v>
      </c>
      <c r="D418" s="84">
        <v>5980623302</v>
      </c>
      <c r="F418" s="83" t="s">
        <v>103</v>
      </c>
      <c r="G418" s="83">
        <v>0</v>
      </c>
      <c r="H418" s="83">
        <v>100</v>
      </c>
      <c r="K418" s="83">
        <v>1</v>
      </c>
      <c r="L418" s="83" t="s">
        <v>101</v>
      </c>
      <c r="M418" s="83" t="s">
        <v>410</v>
      </c>
      <c r="N418" s="83" t="s">
        <v>102</v>
      </c>
      <c r="P418" s="83">
        <v>0</v>
      </c>
      <c r="U418" s="83">
        <v>4</v>
      </c>
      <c r="V418" s="83">
        <v>1</v>
      </c>
      <c r="W418" s="83" t="s">
        <v>103</v>
      </c>
      <c r="X418" s="83">
        <v>0</v>
      </c>
    </row>
    <row r="419" spans="1:25" x14ac:dyDescent="0.2">
      <c r="A419" s="83">
        <v>1</v>
      </c>
      <c r="B419" s="84">
        <v>5701603302316</v>
      </c>
      <c r="C419" s="83">
        <v>40</v>
      </c>
      <c r="D419" s="84">
        <v>5980823302</v>
      </c>
      <c r="F419" s="83" t="s">
        <v>103</v>
      </c>
      <c r="G419" s="83">
        <v>0</v>
      </c>
      <c r="H419" s="83">
        <v>100</v>
      </c>
      <c r="K419" s="83">
        <v>1</v>
      </c>
      <c r="L419" s="83" t="s">
        <v>101</v>
      </c>
      <c r="M419" s="83" t="s">
        <v>410</v>
      </c>
      <c r="N419" s="83" t="s">
        <v>102</v>
      </c>
      <c r="P419" s="83">
        <v>0</v>
      </c>
      <c r="U419" s="83">
        <v>4</v>
      </c>
      <c r="V419" s="83">
        <v>1</v>
      </c>
      <c r="W419" s="83" t="s">
        <v>103</v>
      </c>
      <c r="X419" s="83">
        <v>0</v>
      </c>
    </row>
    <row r="420" spans="1:25" x14ac:dyDescent="0.2">
      <c r="A420" s="83">
        <v>1</v>
      </c>
      <c r="B420" s="84">
        <v>5701603302316</v>
      </c>
      <c r="C420" s="83">
        <v>50</v>
      </c>
      <c r="D420" s="84">
        <v>5980933302</v>
      </c>
      <c r="F420" s="83" t="s">
        <v>103</v>
      </c>
      <c r="G420" s="83">
        <v>0</v>
      </c>
      <c r="H420" s="83">
        <v>100</v>
      </c>
      <c r="K420" s="83">
        <v>1</v>
      </c>
      <c r="L420" s="83" t="s">
        <v>101</v>
      </c>
      <c r="M420" s="83" t="s">
        <v>410</v>
      </c>
      <c r="N420" s="83" t="s">
        <v>102</v>
      </c>
      <c r="P420" s="83">
        <v>0</v>
      </c>
      <c r="U420" s="83">
        <v>4</v>
      </c>
      <c r="V420" s="83">
        <v>1</v>
      </c>
      <c r="W420" s="83" t="s">
        <v>103</v>
      </c>
      <c r="X420" s="83">
        <v>0</v>
      </c>
    </row>
    <row r="421" spans="1:25" x14ac:dyDescent="0.2">
      <c r="A421" s="83">
        <v>1</v>
      </c>
      <c r="B421" s="84">
        <v>5701603302316</v>
      </c>
      <c r="C421" s="83">
        <v>60</v>
      </c>
      <c r="D421" s="84">
        <v>1010286</v>
      </c>
      <c r="F421" s="83" t="s">
        <v>103</v>
      </c>
      <c r="G421" s="83">
        <v>0</v>
      </c>
      <c r="H421" s="83">
        <v>100</v>
      </c>
      <c r="K421" s="83">
        <v>8</v>
      </c>
      <c r="L421" s="83" t="s">
        <v>101</v>
      </c>
      <c r="M421" s="83" t="s">
        <v>410</v>
      </c>
      <c r="N421" s="83" t="s">
        <v>102</v>
      </c>
      <c r="P421" s="83">
        <v>0</v>
      </c>
      <c r="U421" s="83">
        <v>4</v>
      </c>
      <c r="V421" s="83">
        <v>1</v>
      </c>
      <c r="W421" s="83" t="s">
        <v>103</v>
      </c>
      <c r="X421" s="83">
        <v>0</v>
      </c>
    </row>
    <row r="422" spans="1:25" x14ac:dyDescent="0.2">
      <c r="A422" s="83">
        <v>1</v>
      </c>
      <c r="B422" s="84">
        <v>5701603302316</v>
      </c>
      <c r="C422" s="83">
        <v>70</v>
      </c>
      <c r="D422" s="84">
        <v>1010288</v>
      </c>
      <c r="F422" s="83" t="s">
        <v>103</v>
      </c>
      <c r="G422" s="83">
        <v>0</v>
      </c>
      <c r="H422" s="83">
        <v>100</v>
      </c>
      <c r="K422" s="83">
        <v>4</v>
      </c>
      <c r="L422" s="83" t="s">
        <v>101</v>
      </c>
      <c r="M422" s="83" t="s">
        <v>410</v>
      </c>
      <c r="N422" s="83" t="s">
        <v>102</v>
      </c>
      <c r="P422" s="83">
        <v>0</v>
      </c>
      <c r="U422" s="83">
        <v>4</v>
      </c>
      <c r="V422" s="83">
        <v>1</v>
      </c>
      <c r="W422" s="83" t="s">
        <v>103</v>
      </c>
      <c r="X422" s="83">
        <v>0</v>
      </c>
    </row>
    <row r="423" spans="1:25" x14ac:dyDescent="0.2">
      <c r="A423" s="83">
        <v>1</v>
      </c>
      <c r="B423" s="84">
        <v>5701603302316</v>
      </c>
      <c r="C423" s="83">
        <v>80</v>
      </c>
      <c r="D423" s="84">
        <v>1020145</v>
      </c>
      <c r="F423" s="83" t="s">
        <v>103</v>
      </c>
      <c r="G423" s="83">
        <v>0</v>
      </c>
      <c r="H423" s="83">
        <v>100</v>
      </c>
      <c r="K423" s="83" t="s">
        <v>408</v>
      </c>
      <c r="L423" s="83" t="s">
        <v>101</v>
      </c>
      <c r="M423" s="83" t="s">
        <v>410</v>
      </c>
      <c r="N423" s="83" t="s">
        <v>102</v>
      </c>
      <c r="P423" s="83">
        <v>0</v>
      </c>
      <c r="U423" s="83">
        <v>4</v>
      </c>
      <c r="V423" s="83">
        <v>1</v>
      </c>
      <c r="W423" s="83" t="s">
        <v>103</v>
      </c>
      <c r="X423" s="83">
        <v>0</v>
      </c>
    </row>
    <row r="424" spans="1:25" x14ac:dyDescent="0.2">
      <c r="A424" s="83">
        <v>1</v>
      </c>
      <c r="B424" s="84">
        <v>5701603302316</v>
      </c>
      <c r="C424" s="83">
        <v>90</v>
      </c>
      <c r="D424" s="84">
        <v>777500316</v>
      </c>
      <c r="F424" s="83" t="s">
        <v>103</v>
      </c>
      <c r="G424" s="83">
        <v>0</v>
      </c>
      <c r="H424" s="83">
        <v>100</v>
      </c>
      <c r="K424" s="83">
        <v>1</v>
      </c>
      <c r="L424" s="83" t="s">
        <v>101</v>
      </c>
      <c r="M424" s="83" t="s">
        <v>410</v>
      </c>
      <c r="N424" s="83" t="s">
        <v>102</v>
      </c>
      <c r="P424" s="83">
        <v>0</v>
      </c>
      <c r="U424" s="83">
        <v>4</v>
      </c>
      <c r="V424" s="83">
        <v>1</v>
      </c>
      <c r="W424" s="83" t="s">
        <v>103</v>
      </c>
      <c r="X424" s="83">
        <v>0</v>
      </c>
    </row>
    <row r="425" spans="1:25" x14ac:dyDescent="0.2">
      <c r="A425" s="83">
        <v>1</v>
      </c>
      <c r="B425" s="84">
        <v>5701603303316</v>
      </c>
      <c r="C425" s="83">
        <v>10</v>
      </c>
      <c r="D425" s="84">
        <v>5980463303</v>
      </c>
      <c r="F425" s="83" t="s">
        <v>103</v>
      </c>
      <c r="G425" s="83">
        <v>0</v>
      </c>
      <c r="H425" s="83">
        <v>100</v>
      </c>
      <c r="K425" s="83">
        <v>1</v>
      </c>
      <c r="L425" s="83" t="s">
        <v>101</v>
      </c>
      <c r="M425" s="83" t="s">
        <v>410</v>
      </c>
      <c r="N425" s="83" t="s">
        <v>102</v>
      </c>
      <c r="P425" s="83">
        <v>0</v>
      </c>
      <c r="U425" s="83">
        <v>4</v>
      </c>
      <c r="V425" s="83">
        <v>1</v>
      </c>
      <c r="W425" s="83" t="s">
        <v>103</v>
      </c>
      <c r="X425" s="83">
        <v>0</v>
      </c>
      <c r="Y425" s="83" t="str">
        <f>LEFT(D425,6)</f>
        <v>598046</v>
      </c>
    </row>
    <row r="426" spans="1:25" x14ac:dyDescent="0.2">
      <c r="A426" s="83">
        <v>1</v>
      </c>
      <c r="B426" s="84">
        <v>5701603303316</v>
      </c>
      <c r="C426" s="83">
        <v>20</v>
      </c>
      <c r="D426" s="84">
        <v>5980543303</v>
      </c>
      <c r="F426" s="83" t="s">
        <v>103</v>
      </c>
      <c r="G426" s="83">
        <v>0</v>
      </c>
      <c r="H426" s="83">
        <v>100</v>
      </c>
      <c r="K426" s="83">
        <v>1</v>
      </c>
      <c r="L426" s="83" t="s">
        <v>101</v>
      </c>
      <c r="M426" s="83" t="s">
        <v>410</v>
      </c>
      <c r="N426" s="83" t="s">
        <v>102</v>
      </c>
      <c r="P426" s="83">
        <v>0</v>
      </c>
      <c r="U426" s="83">
        <v>4</v>
      </c>
      <c r="V426" s="83">
        <v>1</v>
      </c>
      <c r="W426" s="83" t="s">
        <v>103</v>
      </c>
      <c r="X426" s="83">
        <v>0</v>
      </c>
    </row>
    <row r="427" spans="1:25" x14ac:dyDescent="0.2">
      <c r="A427" s="83">
        <v>1</v>
      </c>
      <c r="B427" s="84">
        <v>5701603303316</v>
      </c>
      <c r="C427" s="83">
        <v>30</v>
      </c>
      <c r="D427" s="84">
        <v>5980623303</v>
      </c>
      <c r="F427" s="83" t="s">
        <v>103</v>
      </c>
      <c r="G427" s="83">
        <v>0</v>
      </c>
      <c r="H427" s="83">
        <v>100</v>
      </c>
      <c r="K427" s="83">
        <v>1</v>
      </c>
      <c r="L427" s="83" t="s">
        <v>101</v>
      </c>
      <c r="M427" s="83" t="s">
        <v>410</v>
      </c>
      <c r="N427" s="83" t="s">
        <v>102</v>
      </c>
      <c r="P427" s="83">
        <v>0</v>
      </c>
      <c r="U427" s="83">
        <v>4</v>
      </c>
      <c r="V427" s="83">
        <v>1</v>
      </c>
      <c r="W427" s="83" t="s">
        <v>103</v>
      </c>
      <c r="X427" s="83">
        <v>0</v>
      </c>
    </row>
    <row r="428" spans="1:25" x14ac:dyDescent="0.2">
      <c r="A428" s="83">
        <v>1</v>
      </c>
      <c r="B428" s="84">
        <v>5701603303316</v>
      </c>
      <c r="C428" s="83">
        <v>40</v>
      </c>
      <c r="D428" s="84">
        <v>5980823303</v>
      </c>
      <c r="F428" s="83" t="s">
        <v>103</v>
      </c>
      <c r="G428" s="83">
        <v>0</v>
      </c>
      <c r="H428" s="83">
        <v>100</v>
      </c>
      <c r="K428" s="83">
        <v>1</v>
      </c>
      <c r="L428" s="83" t="s">
        <v>101</v>
      </c>
      <c r="M428" s="83" t="s">
        <v>410</v>
      </c>
      <c r="N428" s="83" t="s">
        <v>102</v>
      </c>
      <c r="P428" s="83">
        <v>0</v>
      </c>
      <c r="U428" s="83">
        <v>4</v>
      </c>
      <c r="V428" s="83">
        <v>1</v>
      </c>
      <c r="W428" s="83" t="s">
        <v>103</v>
      </c>
      <c r="X428" s="83">
        <v>0</v>
      </c>
    </row>
    <row r="429" spans="1:25" x14ac:dyDescent="0.2">
      <c r="A429" s="83">
        <v>1</v>
      </c>
      <c r="B429" s="84">
        <v>5701603303316</v>
      </c>
      <c r="C429" s="83">
        <v>50</v>
      </c>
      <c r="D429" s="85">
        <v>5980933303</v>
      </c>
      <c r="F429" s="83" t="s">
        <v>103</v>
      </c>
      <c r="G429" s="83">
        <v>0</v>
      </c>
      <c r="H429" s="83">
        <v>100</v>
      </c>
      <c r="K429" s="83">
        <v>1</v>
      </c>
      <c r="L429" s="83" t="s">
        <v>101</v>
      </c>
      <c r="M429" s="83" t="s">
        <v>410</v>
      </c>
      <c r="N429" s="83" t="s">
        <v>102</v>
      </c>
      <c r="P429" s="83">
        <v>0</v>
      </c>
      <c r="U429" s="83">
        <v>4</v>
      </c>
      <c r="V429" s="83">
        <v>1</v>
      </c>
      <c r="W429" s="83" t="s">
        <v>103</v>
      </c>
      <c r="X429" s="83">
        <v>0</v>
      </c>
    </row>
    <row r="430" spans="1:25" x14ac:dyDescent="0.2">
      <c r="A430" s="83">
        <v>1</v>
      </c>
      <c r="B430" s="84">
        <v>5701603303316</v>
      </c>
      <c r="C430" s="83">
        <v>60</v>
      </c>
      <c r="D430" s="84">
        <v>1010286</v>
      </c>
      <c r="F430" s="83" t="s">
        <v>103</v>
      </c>
      <c r="G430" s="83">
        <v>0</v>
      </c>
      <c r="H430" s="83">
        <v>100</v>
      </c>
      <c r="K430" s="83">
        <v>8</v>
      </c>
      <c r="L430" s="83" t="s">
        <v>101</v>
      </c>
      <c r="M430" s="83" t="s">
        <v>410</v>
      </c>
      <c r="N430" s="83" t="s">
        <v>102</v>
      </c>
      <c r="P430" s="83">
        <v>0</v>
      </c>
      <c r="U430" s="83">
        <v>4</v>
      </c>
      <c r="V430" s="83">
        <v>1</v>
      </c>
      <c r="W430" s="83" t="s">
        <v>103</v>
      </c>
      <c r="X430" s="83">
        <v>0</v>
      </c>
    </row>
    <row r="431" spans="1:25" x14ac:dyDescent="0.2">
      <c r="A431" s="83">
        <v>1</v>
      </c>
      <c r="B431" s="84">
        <v>5701603303316</v>
      </c>
      <c r="C431" s="83">
        <v>70</v>
      </c>
      <c r="D431" s="84">
        <v>1010287</v>
      </c>
      <c r="F431" s="83" t="s">
        <v>103</v>
      </c>
      <c r="G431" s="83">
        <v>0</v>
      </c>
      <c r="H431" s="83">
        <v>100</v>
      </c>
      <c r="K431" s="83">
        <v>4</v>
      </c>
      <c r="L431" s="83" t="s">
        <v>101</v>
      </c>
      <c r="M431" s="83" t="s">
        <v>410</v>
      </c>
      <c r="N431" s="83" t="s">
        <v>102</v>
      </c>
      <c r="P431" s="83">
        <v>0</v>
      </c>
      <c r="U431" s="83">
        <v>4</v>
      </c>
      <c r="V431" s="83">
        <v>1</v>
      </c>
      <c r="W431" s="83" t="s">
        <v>103</v>
      </c>
      <c r="X431" s="83">
        <v>0</v>
      </c>
    </row>
    <row r="432" spans="1:25" x14ac:dyDescent="0.2">
      <c r="A432" s="83">
        <v>1</v>
      </c>
      <c r="B432" s="84">
        <v>5701603303316</v>
      </c>
      <c r="C432" s="83">
        <v>80</v>
      </c>
      <c r="D432" s="84">
        <v>1020145</v>
      </c>
      <c r="F432" s="83" t="s">
        <v>103</v>
      </c>
      <c r="G432" s="83">
        <v>0</v>
      </c>
      <c r="H432" s="83">
        <v>100</v>
      </c>
      <c r="K432" s="83" t="s">
        <v>408</v>
      </c>
      <c r="L432" s="83" t="s">
        <v>101</v>
      </c>
      <c r="M432" s="83" t="s">
        <v>410</v>
      </c>
      <c r="N432" s="83" t="s">
        <v>102</v>
      </c>
      <c r="P432" s="83">
        <v>0</v>
      </c>
      <c r="U432" s="83">
        <v>4</v>
      </c>
      <c r="V432" s="83">
        <v>1</v>
      </c>
      <c r="W432" s="83" t="s">
        <v>103</v>
      </c>
      <c r="X432" s="83">
        <v>0</v>
      </c>
    </row>
    <row r="433" spans="1:25" x14ac:dyDescent="0.2">
      <c r="A433" s="83">
        <v>1</v>
      </c>
      <c r="B433" s="84">
        <v>5701603303316</v>
      </c>
      <c r="C433" s="83">
        <v>90</v>
      </c>
      <c r="D433" s="84">
        <v>777500316</v>
      </c>
      <c r="F433" s="83" t="s">
        <v>103</v>
      </c>
      <c r="G433" s="83">
        <v>0</v>
      </c>
      <c r="H433" s="83">
        <v>100</v>
      </c>
      <c r="K433" s="83">
        <v>1</v>
      </c>
      <c r="L433" s="83" t="s">
        <v>101</v>
      </c>
      <c r="M433" s="83" t="s">
        <v>410</v>
      </c>
      <c r="N433" s="83" t="s">
        <v>102</v>
      </c>
      <c r="P433" s="83">
        <v>0</v>
      </c>
      <c r="U433" s="83">
        <v>4</v>
      </c>
      <c r="V433" s="83">
        <v>1</v>
      </c>
      <c r="W433" s="83" t="s">
        <v>103</v>
      </c>
      <c r="X433" s="83">
        <v>0</v>
      </c>
    </row>
    <row r="434" spans="1:25" x14ac:dyDescent="0.2">
      <c r="A434" s="83">
        <v>1</v>
      </c>
      <c r="B434" s="84">
        <v>5701603304316</v>
      </c>
      <c r="C434" s="83">
        <v>10</v>
      </c>
      <c r="D434" s="84">
        <v>5980463304</v>
      </c>
      <c r="F434" s="83" t="s">
        <v>103</v>
      </c>
      <c r="G434" s="83">
        <v>0</v>
      </c>
      <c r="H434" s="83">
        <v>100</v>
      </c>
      <c r="K434" s="83">
        <v>1</v>
      </c>
      <c r="L434" s="83" t="s">
        <v>101</v>
      </c>
      <c r="M434" s="83" t="s">
        <v>410</v>
      </c>
      <c r="N434" s="83" t="s">
        <v>102</v>
      </c>
      <c r="P434" s="83">
        <v>0</v>
      </c>
      <c r="U434" s="83">
        <v>4</v>
      </c>
      <c r="V434" s="83">
        <v>1</v>
      </c>
      <c r="W434" s="83" t="s">
        <v>103</v>
      </c>
      <c r="X434" s="83">
        <v>0</v>
      </c>
      <c r="Y434" s="83" t="str">
        <f>LEFT(D434,6)</f>
        <v>598046</v>
      </c>
    </row>
    <row r="435" spans="1:25" x14ac:dyDescent="0.2">
      <c r="A435" s="83">
        <v>1</v>
      </c>
      <c r="B435" s="84">
        <v>5701603304316</v>
      </c>
      <c r="C435" s="83">
        <v>20</v>
      </c>
      <c r="D435" s="84">
        <v>5980543304</v>
      </c>
      <c r="F435" s="83" t="s">
        <v>103</v>
      </c>
      <c r="G435" s="83">
        <v>0</v>
      </c>
      <c r="H435" s="83">
        <v>100</v>
      </c>
      <c r="K435" s="83">
        <v>1</v>
      </c>
      <c r="L435" s="83" t="s">
        <v>101</v>
      </c>
      <c r="M435" s="83" t="s">
        <v>410</v>
      </c>
      <c r="N435" s="83" t="s">
        <v>102</v>
      </c>
      <c r="P435" s="83">
        <v>0</v>
      </c>
      <c r="U435" s="83">
        <v>4</v>
      </c>
      <c r="V435" s="83">
        <v>1</v>
      </c>
      <c r="W435" s="83" t="s">
        <v>103</v>
      </c>
      <c r="X435" s="83">
        <v>0</v>
      </c>
    </row>
    <row r="436" spans="1:25" x14ac:dyDescent="0.2">
      <c r="A436" s="83">
        <v>1</v>
      </c>
      <c r="B436" s="84">
        <v>5701603304316</v>
      </c>
      <c r="C436" s="83">
        <v>30</v>
      </c>
      <c r="D436" s="84">
        <v>5980623304</v>
      </c>
      <c r="F436" s="83" t="s">
        <v>103</v>
      </c>
      <c r="G436" s="83">
        <v>0</v>
      </c>
      <c r="H436" s="83">
        <v>100</v>
      </c>
      <c r="K436" s="83">
        <v>1</v>
      </c>
      <c r="L436" s="83" t="s">
        <v>101</v>
      </c>
      <c r="M436" s="83" t="s">
        <v>410</v>
      </c>
      <c r="N436" s="83" t="s">
        <v>102</v>
      </c>
      <c r="P436" s="83">
        <v>0</v>
      </c>
      <c r="U436" s="83">
        <v>4</v>
      </c>
      <c r="V436" s="83">
        <v>1</v>
      </c>
      <c r="W436" s="83" t="s">
        <v>103</v>
      </c>
      <c r="X436" s="83">
        <v>0</v>
      </c>
    </row>
    <row r="437" spans="1:25" x14ac:dyDescent="0.2">
      <c r="A437" s="83">
        <v>1</v>
      </c>
      <c r="B437" s="84">
        <v>5701603304316</v>
      </c>
      <c r="C437" s="83">
        <v>40</v>
      </c>
      <c r="D437" s="84">
        <v>5980823304</v>
      </c>
      <c r="F437" s="83" t="s">
        <v>103</v>
      </c>
      <c r="G437" s="83">
        <v>0</v>
      </c>
      <c r="H437" s="83">
        <v>100</v>
      </c>
      <c r="K437" s="83">
        <v>1</v>
      </c>
      <c r="L437" s="83" t="s">
        <v>101</v>
      </c>
      <c r="M437" s="83" t="s">
        <v>410</v>
      </c>
      <c r="N437" s="83" t="s">
        <v>102</v>
      </c>
      <c r="P437" s="83">
        <v>0</v>
      </c>
      <c r="U437" s="83">
        <v>4</v>
      </c>
      <c r="V437" s="83">
        <v>1</v>
      </c>
      <c r="W437" s="83" t="s">
        <v>103</v>
      </c>
      <c r="X437" s="83">
        <v>0</v>
      </c>
    </row>
    <row r="438" spans="1:25" x14ac:dyDescent="0.2">
      <c r="A438" s="83">
        <v>1</v>
      </c>
      <c r="B438" s="84">
        <v>5701603304316</v>
      </c>
      <c r="C438" s="83">
        <v>50</v>
      </c>
      <c r="D438" s="84">
        <v>5980933304</v>
      </c>
      <c r="F438" s="83" t="s">
        <v>103</v>
      </c>
      <c r="G438" s="83">
        <v>0</v>
      </c>
      <c r="H438" s="83">
        <v>100</v>
      </c>
      <c r="K438" s="83">
        <v>1</v>
      </c>
      <c r="L438" s="83" t="s">
        <v>101</v>
      </c>
      <c r="M438" s="83" t="s">
        <v>410</v>
      </c>
      <c r="N438" s="83" t="s">
        <v>102</v>
      </c>
      <c r="P438" s="83">
        <v>0</v>
      </c>
      <c r="U438" s="83">
        <v>4</v>
      </c>
      <c r="V438" s="83">
        <v>1</v>
      </c>
      <c r="W438" s="83" t="s">
        <v>103</v>
      </c>
      <c r="X438" s="83">
        <v>0</v>
      </c>
    </row>
    <row r="439" spans="1:25" x14ac:dyDescent="0.2">
      <c r="A439" s="83">
        <v>1</v>
      </c>
      <c r="B439" s="84">
        <v>5701603304316</v>
      </c>
      <c r="C439" s="83">
        <v>60</v>
      </c>
      <c r="D439" s="84">
        <v>1010286</v>
      </c>
      <c r="F439" s="83" t="s">
        <v>103</v>
      </c>
      <c r="G439" s="83">
        <v>0</v>
      </c>
      <c r="H439" s="83">
        <v>100</v>
      </c>
      <c r="K439" s="83">
        <v>8</v>
      </c>
      <c r="L439" s="83" t="s">
        <v>101</v>
      </c>
      <c r="M439" s="83" t="s">
        <v>410</v>
      </c>
      <c r="N439" s="83" t="s">
        <v>102</v>
      </c>
      <c r="P439" s="83">
        <v>0</v>
      </c>
      <c r="U439" s="83">
        <v>4</v>
      </c>
      <c r="V439" s="83">
        <v>1</v>
      </c>
      <c r="W439" s="83" t="s">
        <v>103</v>
      </c>
      <c r="X439" s="83">
        <v>0</v>
      </c>
    </row>
    <row r="440" spans="1:25" x14ac:dyDescent="0.2">
      <c r="A440" s="83">
        <v>1</v>
      </c>
      <c r="B440" s="84">
        <v>5701603304316</v>
      </c>
      <c r="C440" s="83">
        <v>70</v>
      </c>
      <c r="D440" s="84">
        <v>1010288</v>
      </c>
      <c r="F440" s="83" t="s">
        <v>103</v>
      </c>
      <c r="G440" s="83">
        <v>0</v>
      </c>
      <c r="H440" s="83">
        <v>100</v>
      </c>
      <c r="K440" s="83">
        <v>4</v>
      </c>
      <c r="L440" s="83" t="s">
        <v>101</v>
      </c>
      <c r="M440" s="83" t="s">
        <v>410</v>
      </c>
      <c r="N440" s="83" t="s">
        <v>102</v>
      </c>
      <c r="P440" s="83">
        <v>0</v>
      </c>
      <c r="U440" s="83">
        <v>4</v>
      </c>
      <c r="V440" s="83">
        <v>1</v>
      </c>
      <c r="W440" s="83" t="s">
        <v>103</v>
      </c>
      <c r="X440" s="83">
        <v>0</v>
      </c>
    </row>
    <row r="441" spans="1:25" x14ac:dyDescent="0.2">
      <c r="A441" s="83">
        <v>1</v>
      </c>
      <c r="B441" s="84">
        <v>5701603304316</v>
      </c>
      <c r="C441" s="83">
        <v>80</v>
      </c>
      <c r="D441" s="84">
        <v>1020145</v>
      </c>
      <c r="F441" s="83" t="s">
        <v>103</v>
      </c>
      <c r="G441" s="83">
        <v>0</v>
      </c>
      <c r="H441" s="83">
        <v>100</v>
      </c>
      <c r="K441" s="83" t="s">
        <v>408</v>
      </c>
      <c r="L441" s="83" t="s">
        <v>101</v>
      </c>
      <c r="M441" s="83" t="s">
        <v>410</v>
      </c>
      <c r="N441" s="83" t="s">
        <v>102</v>
      </c>
      <c r="P441" s="83">
        <v>0</v>
      </c>
      <c r="U441" s="83">
        <v>4</v>
      </c>
      <c r="V441" s="83">
        <v>1</v>
      </c>
      <c r="W441" s="83" t="s">
        <v>103</v>
      </c>
      <c r="X441" s="83">
        <v>0</v>
      </c>
    </row>
    <row r="442" spans="1:25" x14ac:dyDescent="0.2">
      <c r="A442" s="83">
        <v>1</v>
      </c>
      <c r="B442" s="84">
        <v>5701603304316</v>
      </c>
      <c r="C442" s="83">
        <v>90</v>
      </c>
      <c r="D442" s="84">
        <v>777500316</v>
      </c>
      <c r="F442" s="83" t="s">
        <v>103</v>
      </c>
      <c r="G442" s="83">
        <v>0</v>
      </c>
      <c r="H442" s="83">
        <v>100</v>
      </c>
      <c r="K442" s="83">
        <v>1</v>
      </c>
      <c r="L442" s="83" t="s">
        <v>101</v>
      </c>
      <c r="M442" s="83" t="s">
        <v>410</v>
      </c>
      <c r="N442" s="83" t="s">
        <v>102</v>
      </c>
      <c r="P442" s="83">
        <v>0</v>
      </c>
      <c r="U442" s="83">
        <v>4</v>
      </c>
      <c r="V442" s="83">
        <v>1</v>
      </c>
      <c r="W442" s="83" t="s">
        <v>103</v>
      </c>
      <c r="X442" s="83">
        <v>0</v>
      </c>
    </row>
    <row r="443" spans="1:25" x14ac:dyDescent="0.2">
      <c r="A443" s="83">
        <v>1</v>
      </c>
      <c r="B443" s="84">
        <v>5701603305316</v>
      </c>
      <c r="C443" s="83">
        <v>10</v>
      </c>
      <c r="D443" s="84">
        <v>5980463305</v>
      </c>
      <c r="F443" s="83" t="s">
        <v>103</v>
      </c>
      <c r="G443" s="83">
        <v>0</v>
      </c>
      <c r="H443" s="83">
        <v>100</v>
      </c>
      <c r="K443" s="83">
        <v>1</v>
      </c>
      <c r="L443" s="83" t="s">
        <v>101</v>
      </c>
      <c r="M443" s="83" t="s">
        <v>410</v>
      </c>
      <c r="N443" s="83" t="s">
        <v>102</v>
      </c>
      <c r="P443" s="83">
        <v>0</v>
      </c>
      <c r="U443" s="83">
        <v>4</v>
      </c>
      <c r="V443" s="83">
        <v>1</v>
      </c>
      <c r="W443" s="83" t="s">
        <v>103</v>
      </c>
      <c r="X443" s="83">
        <v>0</v>
      </c>
      <c r="Y443" s="83" t="str">
        <f>LEFT(D443,6)</f>
        <v>598046</v>
      </c>
    </row>
    <row r="444" spans="1:25" x14ac:dyDescent="0.2">
      <c r="A444" s="83">
        <v>1</v>
      </c>
      <c r="B444" s="84">
        <v>5701603305316</v>
      </c>
      <c r="C444" s="83">
        <v>20</v>
      </c>
      <c r="D444" s="84">
        <v>5980543305</v>
      </c>
      <c r="F444" s="83" t="s">
        <v>103</v>
      </c>
      <c r="G444" s="83">
        <v>0</v>
      </c>
      <c r="H444" s="83">
        <v>100</v>
      </c>
      <c r="K444" s="83">
        <v>1</v>
      </c>
      <c r="L444" s="83" t="s">
        <v>101</v>
      </c>
      <c r="M444" s="83" t="s">
        <v>410</v>
      </c>
      <c r="N444" s="83" t="s">
        <v>102</v>
      </c>
      <c r="P444" s="83">
        <v>0</v>
      </c>
      <c r="U444" s="83">
        <v>4</v>
      </c>
      <c r="V444" s="83">
        <v>1</v>
      </c>
      <c r="W444" s="83" t="s">
        <v>103</v>
      </c>
      <c r="X444" s="83">
        <v>0</v>
      </c>
    </row>
    <row r="445" spans="1:25" x14ac:dyDescent="0.2">
      <c r="A445" s="83">
        <v>1</v>
      </c>
      <c r="B445" s="84">
        <v>5701603305316</v>
      </c>
      <c r="C445" s="83">
        <v>30</v>
      </c>
      <c r="D445" s="84">
        <v>5980623305</v>
      </c>
      <c r="F445" s="83" t="s">
        <v>103</v>
      </c>
      <c r="G445" s="83">
        <v>0</v>
      </c>
      <c r="H445" s="83">
        <v>100</v>
      </c>
      <c r="K445" s="83">
        <v>1</v>
      </c>
      <c r="L445" s="83" t="s">
        <v>101</v>
      </c>
      <c r="M445" s="83" t="s">
        <v>410</v>
      </c>
      <c r="N445" s="83" t="s">
        <v>102</v>
      </c>
      <c r="P445" s="83">
        <v>0</v>
      </c>
      <c r="U445" s="83">
        <v>4</v>
      </c>
      <c r="V445" s="83">
        <v>1</v>
      </c>
      <c r="W445" s="83" t="s">
        <v>103</v>
      </c>
      <c r="X445" s="83">
        <v>0</v>
      </c>
    </row>
    <row r="446" spans="1:25" x14ac:dyDescent="0.2">
      <c r="A446" s="83">
        <v>1</v>
      </c>
      <c r="B446" s="84">
        <v>5701603305316</v>
      </c>
      <c r="C446" s="83">
        <v>40</v>
      </c>
      <c r="D446" s="84">
        <v>5980823305</v>
      </c>
      <c r="F446" s="83" t="s">
        <v>103</v>
      </c>
      <c r="G446" s="83">
        <v>0</v>
      </c>
      <c r="H446" s="83">
        <v>100</v>
      </c>
      <c r="K446" s="83">
        <v>1</v>
      </c>
      <c r="L446" s="83" t="s">
        <v>101</v>
      </c>
      <c r="M446" s="83" t="s">
        <v>410</v>
      </c>
      <c r="N446" s="83" t="s">
        <v>102</v>
      </c>
      <c r="P446" s="83">
        <v>0</v>
      </c>
      <c r="U446" s="83">
        <v>4</v>
      </c>
      <c r="V446" s="83">
        <v>1</v>
      </c>
      <c r="W446" s="83" t="s">
        <v>103</v>
      </c>
      <c r="X446" s="83">
        <v>0</v>
      </c>
    </row>
    <row r="447" spans="1:25" x14ac:dyDescent="0.2">
      <c r="A447" s="83">
        <v>1</v>
      </c>
      <c r="B447" s="84">
        <v>5701603305316</v>
      </c>
      <c r="C447" s="83">
        <v>50</v>
      </c>
      <c r="D447" s="84">
        <v>5980933305</v>
      </c>
      <c r="F447" s="83" t="s">
        <v>103</v>
      </c>
      <c r="G447" s="83">
        <v>0</v>
      </c>
      <c r="H447" s="83">
        <v>100</v>
      </c>
      <c r="K447" s="83">
        <v>1</v>
      </c>
      <c r="L447" s="83" t="s">
        <v>101</v>
      </c>
      <c r="M447" s="83" t="s">
        <v>410</v>
      </c>
      <c r="N447" s="83" t="s">
        <v>102</v>
      </c>
      <c r="P447" s="83">
        <v>0</v>
      </c>
      <c r="U447" s="83">
        <v>4</v>
      </c>
      <c r="V447" s="83">
        <v>1</v>
      </c>
      <c r="W447" s="83" t="s">
        <v>103</v>
      </c>
      <c r="X447" s="83">
        <v>0</v>
      </c>
    </row>
    <row r="448" spans="1:25" x14ac:dyDescent="0.2">
      <c r="A448" s="83">
        <v>1</v>
      </c>
      <c r="B448" s="84">
        <v>5701603305316</v>
      </c>
      <c r="C448" s="83">
        <v>60</v>
      </c>
      <c r="D448" s="84">
        <v>1010286</v>
      </c>
      <c r="F448" s="83" t="s">
        <v>103</v>
      </c>
      <c r="G448" s="83">
        <v>0</v>
      </c>
      <c r="H448" s="83">
        <v>100</v>
      </c>
      <c r="K448" s="83">
        <v>8</v>
      </c>
      <c r="L448" s="83" t="s">
        <v>101</v>
      </c>
      <c r="M448" s="83" t="s">
        <v>410</v>
      </c>
      <c r="N448" s="83" t="s">
        <v>102</v>
      </c>
      <c r="P448" s="83">
        <v>0</v>
      </c>
      <c r="U448" s="83">
        <v>4</v>
      </c>
      <c r="V448" s="83">
        <v>1</v>
      </c>
      <c r="W448" s="83" t="s">
        <v>103</v>
      </c>
      <c r="X448" s="83">
        <v>0</v>
      </c>
    </row>
    <row r="449" spans="1:25" x14ac:dyDescent="0.2">
      <c r="A449" s="83">
        <v>1</v>
      </c>
      <c r="B449" s="84">
        <v>5701603305316</v>
      </c>
      <c r="C449" s="83">
        <v>70</v>
      </c>
      <c r="D449" s="84">
        <v>1010288</v>
      </c>
      <c r="F449" s="83" t="s">
        <v>103</v>
      </c>
      <c r="G449" s="83">
        <v>0</v>
      </c>
      <c r="H449" s="83">
        <v>100</v>
      </c>
      <c r="K449" s="83">
        <v>4</v>
      </c>
      <c r="L449" s="83" t="s">
        <v>101</v>
      </c>
      <c r="M449" s="83" t="s">
        <v>410</v>
      </c>
      <c r="N449" s="83" t="s">
        <v>102</v>
      </c>
      <c r="P449" s="83">
        <v>0</v>
      </c>
      <c r="U449" s="83">
        <v>4</v>
      </c>
      <c r="V449" s="83">
        <v>1</v>
      </c>
      <c r="W449" s="83" t="s">
        <v>103</v>
      </c>
      <c r="X449" s="83">
        <v>0</v>
      </c>
    </row>
    <row r="450" spans="1:25" x14ac:dyDescent="0.2">
      <c r="A450" s="83">
        <v>1</v>
      </c>
      <c r="B450" s="84">
        <v>5701603305316</v>
      </c>
      <c r="C450" s="83">
        <v>80</v>
      </c>
      <c r="D450" s="84">
        <v>1020145</v>
      </c>
      <c r="F450" s="83" t="s">
        <v>103</v>
      </c>
      <c r="G450" s="83">
        <v>0</v>
      </c>
      <c r="H450" s="83">
        <v>100</v>
      </c>
      <c r="K450" s="83" t="s">
        <v>408</v>
      </c>
      <c r="L450" s="83" t="s">
        <v>101</v>
      </c>
      <c r="M450" s="83" t="s">
        <v>410</v>
      </c>
      <c r="N450" s="83" t="s">
        <v>102</v>
      </c>
      <c r="P450" s="83">
        <v>0</v>
      </c>
      <c r="U450" s="83">
        <v>4</v>
      </c>
      <c r="V450" s="83">
        <v>1</v>
      </c>
      <c r="W450" s="83" t="s">
        <v>103</v>
      </c>
      <c r="X450" s="83">
        <v>0</v>
      </c>
    </row>
    <row r="451" spans="1:25" x14ac:dyDescent="0.2">
      <c r="A451" s="83">
        <v>1</v>
      </c>
      <c r="B451" s="84">
        <v>5701603305316</v>
      </c>
      <c r="C451" s="83">
        <v>90</v>
      </c>
      <c r="D451" s="84">
        <v>777500316</v>
      </c>
      <c r="F451" s="83" t="s">
        <v>103</v>
      </c>
      <c r="G451" s="83">
        <v>0</v>
      </c>
      <c r="H451" s="83">
        <v>100</v>
      </c>
      <c r="K451" s="83">
        <v>1</v>
      </c>
      <c r="L451" s="83" t="s">
        <v>101</v>
      </c>
      <c r="M451" s="83" t="s">
        <v>410</v>
      </c>
      <c r="N451" s="83" t="s">
        <v>102</v>
      </c>
      <c r="P451" s="83">
        <v>0</v>
      </c>
      <c r="U451" s="83">
        <v>4</v>
      </c>
      <c r="V451" s="83">
        <v>1</v>
      </c>
      <c r="W451" s="83" t="s">
        <v>103</v>
      </c>
      <c r="X451" s="83">
        <v>0</v>
      </c>
    </row>
    <row r="452" spans="1:25" x14ac:dyDescent="0.2">
      <c r="A452" s="83">
        <v>1</v>
      </c>
      <c r="B452" s="84">
        <v>5701603306316</v>
      </c>
      <c r="C452" s="83">
        <v>10</v>
      </c>
      <c r="D452" s="84">
        <v>5980463306</v>
      </c>
      <c r="F452" s="83" t="s">
        <v>103</v>
      </c>
      <c r="G452" s="83">
        <v>0</v>
      </c>
      <c r="H452" s="83">
        <v>100</v>
      </c>
      <c r="K452" s="83">
        <v>1</v>
      </c>
      <c r="L452" s="83" t="s">
        <v>101</v>
      </c>
      <c r="M452" s="83" t="s">
        <v>410</v>
      </c>
      <c r="N452" s="83" t="s">
        <v>102</v>
      </c>
      <c r="P452" s="83">
        <v>0</v>
      </c>
      <c r="U452" s="83">
        <v>4</v>
      </c>
      <c r="V452" s="83">
        <v>1</v>
      </c>
      <c r="W452" s="83" t="s">
        <v>103</v>
      </c>
      <c r="X452" s="83">
        <v>0</v>
      </c>
      <c r="Y452" s="83" t="str">
        <f>LEFT(D452,6)</f>
        <v>598046</v>
      </c>
    </row>
    <row r="453" spans="1:25" x14ac:dyDescent="0.2">
      <c r="A453" s="83">
        <v>1</v>
      </c>
      <c r="B453" s="84">
        <v>5701603306316</v>
      </c>
      <c r="C453" s="83">
        <v>20</v>
      </c>
      <c r="D453" s="84">
        <v>5980543306</v>
      </c>
      <c r="F453" s="83" t="s">
        <v>103</v>
      </c>
      <c r="G453" s="83">
        <v>0</v>
      </c>
      <c r="H453" s="83">
        <v>100</v>
      </c>
      <c r="K453" s="83">
        <v>1</v>
      </c>
      <c r="L453" s="83" t="s">
        <v>101</v>
      </c>
      <c r="M453" s="83" t="s">
        <v>410</v>
      </c>
      <c r="N453" s="83" t="s">
        <v>102</v>
      </c>
      <c r="P453" s="83">
        <v>0</v>
      </c>
      <c r="U453" s="83">
        <v>4</v>
      </c>
      <c r="V453" s="83">
        <v>1</v>
      </c>
      <c r="W453" s="83" t="s">
        <v>103</v>
      </c>
      <c r="X453" s="83">
        <v>0</v>
      </c>
    </row>
    <row r="454" spans="1:25" x14ac:dyDescent="0.2">
      <c r="A454" s="83">
        <v>1</v>
      </c>
      <c r="B454" s="84">
        <v>5701603306316</v>
      </c>
      <c r="C454" s="83">
        <v>30</v>
      </c>
      <c r="D454" s="84">
        <v>5980623306</v>
      </c>
      <c r="F454" s="83" t="s">
        <v>103</v>
      </c>
      <c r="G454" s="83">
        <v>0</v>
      </c>
      <c r="H454" s="83">
        <v>100</v>
      </c>
      <c r="K454" s="83">
        <v>1</v>
      </c>
      <c r="L454" s="83" t="s">
        <v>101</v>
      </c>
      <c r="M454" s="83" t="s">
        <v>410</v>
      </c>
      <c r="N454" s="83" t="s">
        <v>102</v>
      </c>
      <c r="P454" s="83">
        <v>0</v>
      </c>
      <c r="U454" s="83">
        <v>4</v>
      </c>
      <c r="V454" s="83">
        <v>1</v>
      </c>
      <c r="W454" s="83" t="s">
        <v>103</v>
      </c>
      <c r="X454" s="83">
        <v>0</v>
      </c>
    </row>
    <row r="455" spans="1:25" x14ac:dyDescent="0.2">
      <c r="A455" s="83">
        <v>1</v>
      </c>
      <c r="B455" s="84">
        <v>5701603306316</v>
      </c>
      <c r="C455" s="83">
        <v>40</v>
      </c>
      <c r="D455" s="84">
        <v>5980823306</v>
      </c>
      <c r="F455" s="83" t="s">
        <v>103</v>
      </c>
      <c r="G455" s="83">
        <v>0</v>
      </c>
      <c r="H455" s="83">
        <v>100</v>
      </c>
      <c r="K455" s="83">
        <v>1</v>
      </c>
      <c r="L455" s="83" t="s">
        <v>101</v>
      </c>
      <c r="M455" s="83" t="s">
        <v>410</v>
      </c>
      <c r="N455" s="83" t="s">
        <v>102</v>
      </c>
      <c r="P455" s="83">
        <v>0</v>
      </c>
      <c r="U455" s="83">
        <v>4</v>
      </c>
      <c r="V455" s="83">
        <v>1</v>
      </c>
      <c r="W455" s="83" t="s">
        <v>103</v>
      </c>
      <c r="X455" s="83">
        <v>0</v>
      </c>
    </row>
    <row r="456" spans="1:25" x14ac:dyDescent="0.2">
      <c r="A456" s="83">
        <v>1</v>
      </c>
      <c r="B456" s="84">
        <v>5701603306316</v>
      </c>
      <c r="C456" s="83">
        <v>50</v>
      </c>
      <c r="D456" s="84">
        <v>5980933306</v>
      </c>
      <c r="F456" s="83" t="s">
        <v>103</v>
      </c>
      <c r="G456" s="83">
        <v>0</v>
      </c>
      <c r="H456" s="83">
        <v>100</v>
      </c>
      <c r="K456" s="83">
        <v>1</v>
      </c>
      <c r="L456" s="83" t="s">
        <v>101</v>
      </c>
      <c r="M456" s="83" t="s">
        <v>410</v>
      </c>
      <c r="N456" s="83" t="s">
        <v>102</v>
      </c>
      <c r="P456" s="83">
        <v>0</v>
      </c>
      <c r="U456" s="83">
        <v>4</v>
      </c>
      <c r="V456" s="83">
        <v>1</v>
      </c>
      <c r="W456" s="83" t="s">
        <v>103</v>
      </c>
      <c r="X456" s="83">
        <v>0</v>
      </c>
    </row>
    <row r="457" spans="1:25" x14ac:dyDescent="0.2">
      <c r="A457" s="83">
        <v>1</v>
      </c>
      <c r="B457" s="84">
        <v>5701603306316</v>
      </c>
      <c r="C457" s="83">
        <v>60</v>
      </c>
      <c r="D457" s="84">
        <v>1010286</v>
      </c>
      <c r="F457" s="83" t="s">
        <v>103</v>
      </c>
      <c r="G457" s="83">
        <v>0</v>
      </c>
      <c r="H457" s="83">
        <v>100</v>
      </c>
      <c r="K457" s="83">
        <v>8</v>
      </c>
      <c r="L457" s="83" t="s">
        <v>101</v>
      </c>
      <c r="M457" s="83" t="s">
        <v>410</v>
      </c>
      <c r="N457" s="83" t="s">
        <v>102</v>
      </c>
      <c r="P457" s="83">
        <v>0</v>
      </c>
      <c r="U457" s="83">
        <v>4</v>
      </c>
      <c r="V457" s="83">
        <v>1</v>
      </c>
      <c r="W457" s="83" t="s">
        <v>103</v>
      </c>
      <c r="X457" s="83">
        <v>0</v>
      </c>
    </row>
    <row r="458" spans="1:25" x14ac:dyDescent="0.2">
      <c r="A458" s="83">
        <v>1</v>
      </c>
      <c r="B458" s="84">
        <v>5701603306316</v>
      </c>
      <c r="C458" s="83">
        <v>70</v>
      </c>
      <c r="D458" s="84">
        <v>1010287</v>
      </c>
      <c r="F458" s="83" t="s">
        <v>103</v>
      </c>
      <c r="G458" s="83">
        <v>0</v>
      </c>
      <c r="H458" s="83">
        <v>100</v>
      </c>
      <c r="K458" s="83">
        <v>4</v>
      </c>
      <c r="L458" s="83" t="s">
        <v>101</v>
      </c>
      <c r="M458" s="83" t="s">
        <v>410</v>
      </c>
      <c r="N458" s="83" t="s">
        <v>102</v>
      </c>
      <c r="P458" s="83">
        <v>0</v>
      </c>
      <c r="U458" s="83">
        <v>4</v>
      </c>
      <c r="V458" s="83">
        <v>1</v>
      </c>
      <c r="W458" s="83" t="s">
        <v>103</v>
      </c>
      <c r="X458" s="83">
        <v>0</v>
      </c>
    </row>
    <row r="459" spans="1:25" x14ac:dyDescent="0.2">
      <c r="A459" s="83">
        <v>1</v>
      </c>
      <c r="B459" s="84">
        <v>5701603306316</v>
      </c>
      <c r="C459" s="83">
        <v>80</v>
      </c>
      <c r="D459" s="84">
        <v>1020145</v>
      </c>
      <c r="F459" s="83" t="s">
        <v>103</v>
      </c>
      <c r="G459" s="83">
        <v>0</v>
      </c>
      <c r="H459" s="83">
        <v>100</v>
      </c>
      <c r="K459" s="83" t="s">
        <v>408</v>
      </c>
      <c r="L459" s="83" t="s">
        <v>101</v>
      </c>
      <c r="M459" s="83" t="s">
        <v>410</v>
      </c>
      <c r="N459" s="83" t="s">
        <v>102</v>
      </c>
      <c r="P459" s="83">
        <v>0</v>
      </c>
      <c r="U459" s="83">
        <v>4</v>
      </c>
      <c r="V459" s="83">
        <v>1</v>
      </c>
      <c r="W459" s="83" t="s">
        <v>103</v>
      </c>
      <c r="X459" s="83">
        <v>0</v>
      </c>
    </row>
    <row r="460" spans="1:25" x14ac:dyDescent="0.2">
      <c r="A460" s="83">
        <v>1</v>
      </c>
      <c r="B460" s="84">
        <v>5701603306316</v>
      </c>
      <c r="C460" s="83">
        <v>90</v>
      </c>
      <c r="D460" s="84">
        <v>777500316</v>
      </c>
      <c r="F460" s="83" t="s">
        <v>103</v>
      </c>
      <c r="G460" s="83">
        <v>0</v>
      </c>
      <c r="H460" s="83">
        <v>100</v>
      </c>
      <c r="K460" s="83">
        <v>1</v>
      </c>
      <c r="L460" s="83" t="s">
        <v>101</v>
      </c>
      <c r="M460" s="83" t="s">
        <v>410</v>
      </c>
      <c r="N460" s="83" t="s">
        <v>102</v>
      </c>
      <c r="P460" s="83">
        <v>0</v>
      </c>
      <c r="U460" s="83">
        <v>4</v>
      </c>
      <c r="V460" s="83">
        <v>1</v>
      </c>
      <c r="W460" s="83" t="s">
        <v>103</v>
      </c>
      <c r="X460" s="83">
        <v>0</v>
      </c>
    </row>
    <row r="461" spans="1:25" x14ac:dyDescent="0.2">
      <c r="A461" s="83">
        <v>1</v>
      </c>
      <c r="B461" s="84">
        <v>5701603307316</v>
      </c>
      <c r="C461" s="83">
        <v>10</v>
      </c>
      <c r="D461" s="84">
        <v>5980463307</v>
      </c>
      <c r="F461" s="83" t="s">
        <v>103</v>
      </c>
      <c r="G461" s="83">
        <v>0</v>
      </c>
      <c r="H461" s="83">
        <v>100</v>
      </c>
      <c r="K461" s="83">
        <v>1</v>
      </c>
      <c r="L461" s="83" t="s">
        <v>101</v>
      </c>
      <c r="M461" s="83" t="s">
        <v>410</v>
      </c>
      <c r="N461" s="83" t="s">
        <v>102</v>
      </c>
      <c r="P461" s="83">
        <v>0</v>
      </c>
      <c r="U461" s="83">
        <v>4</v>
      </c>
      <c r="V461" s="83">
        <v>1</v>
      </c>
      <c r="W461" s="83" t="s">
        <v>103</v>
      </c>
      <c r="X461" s="83">
        <v>0</v>
      </c>
      <c r="Y461" s="83" t="str">
        <f>LEFT(D461,6)</f>
        <v>598046</v>
      </c>
    </row>
    <row r="462" spans="1:25" x14ac:dyDescent="0.2">
      <c r="A462" s="83">
        <v>1</v>
      </c>
      <c r="B462" s="84">
        <v>5701603307316</v>
      </c>
      <c r="C462" s="83">
        <v>20</v>
      </c>
      <c r="D462" s="84">
        <v>5980543307</v>
      </c>
      <c r="F462" s="83" t="s">
        <v>103</v>
      </c>
      <c r="G462" s="83">
        <v>0</v>
      </c>
      <c r="H462" s="83">
        <v>100</v>
      </c>
      <c r="K462" s="83">
        <v>1</v>
      </c>
      <c r="L462" s="83" t="s">
        <v>101</v>
      </c>
      <c r="M462" s="83" t="s">
        <v>410</v>
      </c>
      <c r="N462" s="83" t="s">
        <v>102</v>
      </c>
      <c r="P462" s="83">
        <v>0</v>
      </c>
      <c r="U462" s="83">
        <v>4</v>
      </c>
      <c r="V462" s="83">
        <v>1</v>
      </c>
      <c r="W462" s="83" t="s">
        <v>103</v>
      </c>
      <c r="X462" s="83">
        <v>0</v>
      </c>
    </row>
    <row r="463" spans="1:25" x14ac:dyDescent="0.2">
      <c r="A463" s="83">
        <v>1</v>
      </c>
      <c r="B463" s="84">
        <v>5701603307316</v>
      </c>
      <c r="C463" s="83">
        <v>30</v>
      </c>
      <c r="D463" s="84">
        <v>5980623307</v>
      </c>
      <c r="F463" s="83" t="s">
        <v>103</v>
      </c>
      <c r="G463" s="83">
        <v>0</v>
      </c>
      <c r="H463" s="83">
        <v>100</v>
      </c>
      <c r="K463" s="83">
        <v>1</v>
      </c>
      <c r="L463" s="83" t="s">
        <v>101</v>
      </c>
      <c r="M463" s="83" t="s">
        <v>410</v>
      </c>
      <c r="N463" s="83" t="s">
        <v>102</v>
      </c>
      <c r="P463" s="83">
        <v>0</v>
      </c>
      <c r="U463" s="83">
        <v>4</v>
      </c>
      <c r="V463" s="83">
        <v>1</v>
      </c>
      <c r="W463" s="83" t="s">
        <v>103</v>
      </c>
      <c r="X463" s="83">
        <v>0</v>
      </c>
    </row>
    <row r="464" spans="1:25" x14ac:dyDescent="0.2">
      <c r="A464" s="83">
        <v>1</v>
      </c>
      <c r="B464" s="84">
        <v>5701603307316</v>
      </c>
      <c r="C464" s="83">
        <v>40</v>
      </c>
      <c r="D464" s="84">
        <v>5980823307</v>
      </c>
      <c r="F464" s="83" t="s">
        <v>103</v>
      </c>
      <c r="G464" s="83">
        <v>0</v>
      </c>
      <c r="H464" s="83">
        <v>100</v>
      </c>
      <c r="K464" s="83">
        <v>1</v>
      </c>
      <c r="L464" s="83" t="s">
        <v>101</v>
      </c>
      <c r="M464" s="83" t="s">
        <v>410</v>
      </c>
      <c r="N464" s="83" t="s">
        <v>102</v>
      </c>
      <c r="P464" s="83">
        <v>0</v>
      </c>
      <c r="U464" s="83">
        <v>4</v>
      </c>
      <c r="V464" s="83">
        <v>1</v>
      </c>
      <c r="W464" s="83" t="s">
        <v>103</v>
      </c>
      <c r="X464" s="83">
        <v>0</v>
      </c>
    </row>
    <row r="465" spans="1:25" x14ac:dyDescent="0.2">
      <c r="A465" s="83">
        <v>1</v>
      </c>
      <c r="B465" s="84">
        <v>5701603307316</v>
      </c>
      <c r="C465" s="83">
        <v>50</v>
      </c>
      <c r="D465" s="84">
        <v>5980933307</v>
      </c>
      <c r="F465" s="83" t="s">
        <v>103</v>
      </c>
      <c r="G465" s="83">
        <v>0</v>
      </c>
      <c r="H465" s="83">
        <v>100</v>
      </c>
      <c r="K465" s="83">
        <v>1</v>
      </c>
      <c r="L465" s="83" t="s">
        <v>101</v>
      </c>
      <c r="M465" s="83" t="s">
        <v>410</v>
      </c>
      <c r="N465" s="83" t="s">
        <v>102</v>
      </c>
      <c r="P465" s="83">
        <v>0</v>
      </c>
      <c r="U465" s="83">
        <v>4</v>
      </c>
      <c r="V465" s="83">
        <v>1</v>
      </c>
      <c r="W465" s="83" t="s">
        <v>103</v>
      </c>
      <c r="X465" s="83">
        <v>0</v>
      </c>
    </row>
    <row r="466" spans="1:25" x14ac:dyDescent="0.2">
      <c r="A466" s="83">
        <v>1</v>
      </c>
      <c r="B466" s="84">
        <v>5701603307316</v>
      </c>
      <c r="C466" s="83">
        <v>60</v>
      </c>
      <c r="D466" s="84">
        <v>1010286</v>
      </c>
      <c r="F466" s="83" t="s">
        <v>103</v>
      </c>
      <c r="G466" s="83">
        <v>0</v>
      </c>
      <c r="H466" s="83">
        <v>100</v>
      </c>
      <c r="K466" s="83">
        <v>8</v>
      </c>
      <c r="L466" s="83" t="s">
        <v>101</v>
      </c>
      <c r="M466" s="83" t="s">
        <v>410</v>
      </c>
      <c r="N466" s="83" t="s">
        <v>102</v>
      </c>
      <c r="P466" s="83">
        <v>0</v>
      </c>
      <c r="U466" s="83">
        <v>4</v>
      </c>
      <c r="V466" s="83">
        <v>1</v>
      </c>
      <c r="W466" s="83" t="s">
        <v>103</v>
      </c>
      <c r="X466" s="83">
        <v>0</v>
      </c>
    </row>
    <row r="467" spans="1:25" x14ac:dyDescent="0.2">
      <c r="A467" s="83">
        <v>1</v>
      </c>
      <c r="B467" s="84">
        <v>5701603307316</v>
      </c>
      <c r="C467" s="83">
        <v>70</v>
      </c>
      <c r="D467" s="84">
        <v>1010287</v>
      </c>
      <c r="F467" s="83" t="s">
        <v>103</v>
      </c>
      <c r="G467" s="83">
        <v>0</v>
      </c>
      <c r="H467" s="83">
        <v>100</v>
      </c>
      <c r="K467" s="83">
        <v>4</v>
      </c>
      <c r="L467" s="83" t="s">
        <v>101</v>
      </c>
      <c r="M467" s="83" t="s">
        <v>410</v>
      </c>
      <c r="N467" s="83" t="s">
        <v>102</v>
      </c>
      <c r="P467" s="83">
        <v>0</v>
      </c>
      <c r="U467" s="83">
        <v>4</v>
      </c>
      <c r="V467" s="83">
        <v>1</v>
      </c>
      <c r="W467" s="83" t="s">
        <v>103</v>
      </c>
      <c r="X467" s="83">
        <v>0</v>
      </c>
    </row>
    <row r="468" spans="1:25" x14ac:dyDescent="0.2">
      <c r="A468" s="83">
        <v>1</v>
      </c>
      <c r="B468" s="84">
        <v>5701603307316</v>
      </c>
      <c r="C468" s="83">
        <v>80</v>
      </c>
      <c r="D468" s="84">
        <v>1020145</v>
      </c>
      <c r="F468" s="83" t="s">
        <v>103</v>
      </c>
      <c r="G468" s="83">
        <v>0</v>
      </c>
      <c r="H468" s="83">
        <v>100</v>
      </c>
      <c r="K468" s="83" t="s">
        <v>408</v>
      </c>
      <c r="L468" s="83" t="s">
        <v>101</v>
      </c>
      <c r="M468" s="83" t="s">
        <v>410</v>
      </c>
      <c r="N468" s="83" t="s">
        <v>102</v>
      </c>
      <c r="P468" s="83">
        <v>0</v>
      </c>
      <c r="U468" s="83">
        <v>4</v>
      </c>
      <c r="V468" s="83">
        <v>1</v>
      </c>
      <c r="W468" s="83" t="s">
        <v>103</v>
      </c>
      <c r="X468" s="83">
        <v>0</v>
      </c>
    </row>
    <row r="469" spans="1:25" x14ac:dyDescent="0.2">
      <c r="A469" s="83">
        <v>1</v>
      </c>
      <c r="B469" s="84">
        <v>5701603307316</v>
      </c>
      <c r="C469" s="83">
        <v>90</v>
      </c>
      <c r="D469" s="84">
        <v>777500316</v>
      </c>
      <c r="F469" s="83" t="s">
        <v>103</v>
      </c>
      <c r="G469" s="83">
        <v>0</v>
      </c>
      <c r="H469" s="83">
        <v>100</v>
      </c>
      <c r="K469" s="83">
        <v>1</v>
      </c>
      <c r="L469" s="83" t="s">
        <v>101</v>
      </c>
      <c r="M469" s="83" t="s">
        <v>410</v>
      </c>
      <c r="N469" s="83" t="s">
        <v>102</v>
      </c>
      <c r="P469" s="83">
        <v>0</v>
      </c>
      <c r="U469" s="83">
        <v>4</v>
      </c>
      <c r="V469" s="83">
        <v>1</v>
      </c>
      <c r="W469" s="83" t="s">
        <v>103</v>
      </c>
      <c r="X469" s="83">
        <v>0</v>
      </c>
    </row>
    <row r="470" spans="1:25" x14ac:dyDescent="0.2">
      <c r="A470" s="83">
        <v>1</v>
      </c>
      <c r="B470" s="84">
        <v>5701603308316</v>
      </c>
      <c r="C470" s="83">
        <v>10</v>
      </c>
      <c r="D470" s="84">
        <v>5980463308</v>
      </c>
      <c r="F470" s="83" t="s">
        <v>103</v>
      </c>
      <c r="G470" s="83">
        <v>0</v>
      </c>
      <c r="H470" s="83">
        <v>100</v>
      </c>
      <c r="K470" s="83">
        <v>1</v>
      </c>
      <c r="L470" s="83" t="s">
        <v>101</v>
      </c>
      <c r="M470" s="83" t="s">
        <v>410</v>
      </c>
      <c r="N470" s="83" t="s">
        <v>102</v>
      </c>
      <c r="P470" s="83">
        <v>0</v>
      </c>
      <c r="U470" s="83">
        <v>4</v>
      </c>
      <c r="V470" s="83">
        <v>1</v>
      </c>
      <c r="W470" s="83" t="s">
        <v>103</v>
      </c>
      <c r="X470" s="83">
        <v>0</v>
      </c>
      <c r="Y470" s="83" t="str">
        <f>LEFT(D470,6)</f>
        <v>598046</v>
      </c>
    </row>
    <row r="471" spans="1:25" x14ac:dyDescent="0.2">
      <c r="A471" s="83">
        <v>1</v>
      </c>
      <c r="B471" s="84">
        <v>5701603308316</v>
      </c>
      <c r="C471" s="83">
        <v>20</v>
      </c>
      <c r="D471" s="84">
        <v>5980543308</v>
      </c>
      <c r="F471" s="83" t="s">
        <v>103</v>
      </c>
      <c r="G471" s="83">
        <v>0</v>
      </c>
      <c r="H471" s="83">
        <v>100</v>
      </c>
      <c r="K471" s="83">
        <v>1</v>
      </c>
      <c r="L471" s="83" t="s">
        <v>101</v>
      </c>
      <c r="M471" s="83" t="s">
        <v>410</v>
      </c>
      <c r="N471" s="83" t="s">
        <v>102</v>
      </c>
      <c r="P471" s="83">
        <v>0</v>
      </c>
      <c r="U471" s="83">
        <v>4</v>
      </c>
      <c r="V471" s="83">
        <v>1</v>
      </c>
      <c r="W471" s="83" t="s">
        <v>103</v>
      </c>
      <c r="X471" s="83">
        <v>0</v>
      </c>
    </row>
    <row r="472" spans="1:25" x14ac:dyDescent="0.2">
      <c r="A472" s="83">
        <v>1</v>
      </c>
      <c r="B472" s="84">
        <v>5701603308316</v>
      </c>
      <c r="C472" s="83">
        <v>30</v>
      </c>
      <c r="D472" s="84">
        <v>5980623308</v>
      </c>
      <c r="F472" s="83" t="s">
        <v>103</v>
      </c>
      <c r="G472" s="83">
        <v>0</v>
      </c>
      <c r="H472" s="83">
        <v>100</v>
      </c>
      <c r="K472" s="83">
        <v>1</v>
      </c>
      <c r="L472" s="83" t="s">
        <v>101</v>
      </c>
      <c r="M472" s="83" t="s">
        <v>410</v>
      </c>
      <c r="N472" s="83" t="s">
        <v>102</v>
      </c>
      <c r="P472" s="83">
        <v>0</v>
      </c>
      <c r="U472" s="83">
        <v>4</v>
      </c>
      <c r="V472" s="83">
        <v>1</v>
      </c>
      <c r="W472" s="83" t="s">
        <v>103</v>
      </c>
      <c r="X472" s="83">
        <v>0</v>
      </c>
    </row>
    <row r="473" spans="1:25" x14ac:dyDescent="0.2">
      <c r="A473" s="83">
        <v>1</v>
      </c>
      <c r="B473" s="84">
        <v>5701603308316</v>
      </c>
      <c r="C473" s="83">
        <v>40</v>
      </c>
      <c r="D473" s="84">
        <v>5980823308</v>
      </c>
      <c r="F473" s="83" t="s">
        <v>103</v>
      </c>
      <c r="G473" s="83">
        <v>0</v>
      </c>
      <c r="H473" s="83">
        <v>100</v>
      </c>
      <c r="K473" s="83">
        <v>1</v>
      </c>
      <c r="L473" s="83" t="s">
        <v>101</v>
      </c>
      <c r="M473" s="83" t="s">
        <v>410</v>
      </c>
      <c r="N473" s="83" t="s">
        <v>102</v>
      </c>
      <c r="P473" s="83">
        <v>0</v>
      </c>
      <c r="U473" s="83">
        <v>4</v>
      </c>
      <c r="V473" s="83">
        <v>1</v>
      </c>
      <c r="W473" s="83" t="s">
        <v>103</v>
      </c>
      <c r="X473" s="83">
        <v>0</v>
      </c>
    </row>
    <row r="474" spans="1:25" x14ac:dyDescent="0.2">
      <c r="A474" s="83">
        <v>1</v>
      </c>
      <c r="B474" s="84">
        <v>5701603308316</v>
      </c>
      <c r="C474" s="83">
        <v>50</v>
      </c>
      <c r="D474" s="84">
        <v>5980933308</v>
      </c>
      <c r="F474" s="83" t="s">
        <v>103</v>
      </c>
      <c r="G474" s="83">
        <v>0</v>
      </c>
      <c r="H474" s="83">
        <v>100</v>
      </c>
      <c r="K474" s="83">
        <v>1</v>
      </c>
      <c r="L474" s="83" t="s">
        <v>101</v>
      </c>
      <c r="M474" s="83" t="s">
        <v>410</v>
      </c>
      <c r="N474" s="83" t="s">
        <v>102</v>
      </c>
      <c r="P474" s="83">
        <v>0</v>
      </c>
      <c r="U474" s="83">
        <v>4</v>
      </c>
      <c r="V474" s="83">
        <v>1</v>
      </c>
      <c r="W474" s="83" t="s">
        <v>103</v>
      </c>
      <c r="X474" s="83">
        <v>0</v>
      </c>
    </row>
    <row r="475" spans="1:25" x14ac:dyDescent="0.2">
      <c r="A475" s="83">
        <v>1</v>
      </c>
      <c r="B475" s="84">
        <v>5701603308316</v>
      </c>
      <c r="C475" s="83">
        <v>60</v>
      </c>
      <c r="D475" s="84">
        <v>1010286</v>
      </c>
      <c r="F475" s="83" t="s">
        <v>103</v>
      </c>
      <c r="G475" s="83">
        <v>0</v>
      </c>
      <c r="H475" s="83">
        <v>100</v>
      </c>
      <c r="K475" s="83">
        <v>8</v>
      </c>
      <c r="L475" s="83" t="s">
        <v>101</v>
      </c>
      <c r="M475" s="83" t="s">
        <v>410</v>
      </c>
      <c r="N475" s="83" t="s">
        <v>102</v>
      </c>
      <c r="P475" s="83">
        <v>0</v>
      </c>
      <c r="U475" s="83">
        <v>4</v>
      </c>
      <c r="V475" s="83">
        <v>1</v>
      </c>
      <c r="W475" s="83" t="s">
        <v>103</v>
      </c>
      <c r="X475" s="83">
        <v>0</v>
      </c>
    </row>
    <row r="476" spans="1:25" x14ac:dyDescent="0.2">
      <c r="A476" s="83">
        <v>1</v>
      </c>
      <c r="B476" s="84">
        <v>5701603308316</v>
      </c>
      <c r="C476" s="83">
        <v>70</v>
      </c>
      <c r="D476" s="84">
        <v>1010288</v>
      </c>
      <c r="F476" s="83" t="s">
        <v>103</v>
      </c>
      <c r="G476" s="83">
        <v>0</v>
      </c>
      <c r="H476" s="83">
        <v>100</v>
      </c>
      <c r="K476" s="83">
        <v>4</v>
      </c>
      <c r="L476" s="83" t="s">
        <v>101</v>
      </c>
      <c r="M476" s="83" t="s">
        <v>410</v>
      </c>
      <c r="N476" s="83" t="s">
        <v>102</v>
      </c>
      <c r="P476" s="83">
        <v>0</v>
      </c>
      <c r="U476" s="83">
        <v>4</v>
      </c>
      <c r="V476" s="83">
        <v>1</v>
      </c>
      <c r="W476" s="83" t="s">
        <v>103</v>
      </c>
      <c r="X476" s="83">
        <v>0</v>
      </c>
    </row>
    <row r="477" spans="1:25" x14ac:dyDescent="0.2">
      <c r="A477" s="83">
        <v>1</v>
      </c>
      <c r="B477" s="84">
        <v>5701603308316</v>
      </c>
      <c r="C477" s="83">
        <v>80</v>
      </c>
      <c r="D477" s="84">
        <v>1020145</v>
      </c>
      <c r="F477" s="83" t="s">
        <v>103</v>
      </c>
      <c r="G477" s="83">
        <v>0</v>
      </c>
      <c r="H477" s="83">
        <v>100</v>
      </c>
      <c r="K477" s="83" t="s">
        <v>408</v>
      </c>
      <c r="L477" s="83" t="s">
        <v>101</v>
      </c>
      <c r="M477" s="83" t="s">
        <v>410</v>
      </c>
      <c r="N477" s="83" t="s">
        <v>102</v>
      </c>
      <c r="P477" s="83">
        <v>0</v>
      </c>
      <c r="U477" s="83">
        <v>4</v>
      </c>
      <c r="V477" s="83">
        <v>1</v>
      </c>
      <c r="W477" s="83" t="s">
        <v>103</v>
      </c>
      <c r="X477" s="83">
        <v>0</v>
      </c>
    </row>
    <row r="478" spans="1:25" x14ac:dyDescent="0.2">
      <c r="A478" s="83">
        <v>1</v>
      </c>
      <c r="B478" s="84">
        <v>5701603308316</v>
      </c>
      <c r="C478" s="83">
        <v>90</v>
      </c>
      <c r="D478" s="84">
        <v>777500316</v>
      </c>
      <c r="F478" s="83" t="s">
        <v>103</v>
      </c>
      <c r="G478" s="83">
        <v>0</v>
      </c>
      <c r="H478" s="83">
        <v>100</v>
      </c>
      <c r="K478" s="83">
        <v>1</v>
      </c>
      <c r="L478" s="83" t="s">
        <v>101</v>
      </c>
      <c r="M478" s="83" t="s">
        <v>410</v>
      </c>
      <c r="N478" s="83" t="s">
        <v>102</v>
      </c>
      <c r="P478" s="83">
        <v>0</v>
      </c>
      <c r="U478" s="83">
        <v>4</v>
      </c>
      <c r="V478" s="83">
        <v>1</v>
      </c>
      <c r="W478" s="83" t="s">
        <v>103</v>
      </c>
      <c r="X478" s="83">
        <v>0</v>
      </c>
    </row>
    <row r="479" spans="1:25" x14ac:dyDescent="0.2">
      <c r="A479" s="83">
        <v>1</v>
      </c>
      <c r="B479" s="84">
        <v>5701603309316</v>
      </c>
      <c r="C479" s="83">
        <v>10</v>
      </c>
      <c r="D479" s="84">
        <v>5980463309</v>
      </c>
      <c r="F479" s="83" t="s">
        <v>103</v>
      </c>
      <c r="G479" s="83">
        <v>0</v>
      </c>
      <c r="H479" s="83">
        <v>100</v>
      </c>
      <c r="K479" s="83">
        <v>1</v>
      </c>
      <c r="L479" s="83" t="s">
        <v>101</v>
      </c>
      <c r="M479" s="83" t="s">
        <v>410</v>
      </c>
      <c r="N479" s="83" t="s">
        <v>102</v>
      </c>
      <c r="P479" s="83">
        <v>0</v>
      </c>
      <c r="U479" s="83">
        <v>4</v>
      </c>
      <c r="V479" s="83">
        <v>1</v>
      </c>
      <c r="W479" s="83" t="s">
        <v>103</v>
      </c>
      <c r="X479" s="83">
        <v>0</v>
      </c>
      <c r="Y479" s="83" t="str">
        <f>LEFT(D479,6)</f>
        <v>598046</v>
      </c>
    </row>
    <row r="480" spans="1:25" x14ac:dyDescent="0.2">
      <c r="A480" s="83">
        <v>1</v>
      </c>
      <c r="B480" s="84">
        <v>5701603309316</v>
      </c>
      <c r="C480" s="83">
        <v>20</v>
      </c>
      <c r="D480" s="84">
        <v>5980543309</v>
      </c>
      <c r="F480" s="83" t="s">
        <v>103</v>
      </c>
      <c r="G480" s="83">
        <v>0</v>
      </c>
      <c r="H480" s="83">
        <v>100</v>
      </c>
      <c r="K480" s="83">
        <v>1</v>
      </c>
      <c r="L480" s="83" t="s">
        <v>101</v>
      </c>
      <c r="M480" s="83" t="s">
        <v>410</v>
      </c>
      <c r="N480" s="83" t="s">
        <v>102</v>
      </c>
      <c r="P480" s="83">
        <v>0</v>
      </c>
      <c r="U480" s="83">
        <v>4</v>
      </c>
      <c r="V480" s="83">
        <v>1</v>
      </c>
      <c r="W480" s="83" t="s">
        <v>103</v>
      </c>
      <c r="X480" s="83">
        <v>0</v>
      </c>
    </row>
    <row r="481" spans="1:25" x14ac:dyDescent="0.2">
      <c r="A481" s="83">
        <v>1</v>
      </c>
      <c r="B481" s="84">
        <v>5701603309316</v>
      </c>
      <c r="C481" s="83">
        <v>30</v>
      </c>
      <c r="D481" s="84">
        <v>5980623309</v>
      </c>
      <c r="F481" s="83" t="s">
        <v>103</v>
      </c>
      <c r="G481" s="83">
        <v>0</v>
      </c>
      <c r="H481" s="83">
        <v>100</v>
      </c>
      <c r="K481" s="83">
        <v>1</v>
      </c>
      <c r="L481" s="83" t="s">
        <v>101</v>
      </c>
      <c r="M481" s="83" t="s">
        <v>410</v>
      </c>
      <c r="N481" s="83" t="s">
        <v>102</v>
      </c>
      <c r="P481" s="83">
        <v>0</v>
      </c>
      <c r="U481" s="83">
        <v>4</v>
      </c>
      <c r="V481" s="83">
        <v>1</v>
      </c>
      <c r="W481" s="83" t="s">
        <v>103</v>
      </c>
      <c r="X481" s="83">
        <v>0</v>
      </c>
    </row>
    <row r="482" spans="1:25" x14ac:dyDescent="0.2">
      <c r="A482" s="83">
        <v>1</v>
      </c>
      <c r="B482" s="84">
        <v>5701603309316</v>
      </c>
      <c r="C482" s="83">
        <v>40</v>
      </c>
      <c r="D482" s="84">
        <v>5980823309</v>
      </c>
      <c r="F482" s="83" t="s">
        <v>103</v>
      </c>
      <c r="G482" s="83">
        <v>0</v>
      </c>
      <c r="H482" s="83">
        <v>100</v>
      </c>
      <c r="K482" s="83">
        <v>1</v>
      </c>
      <c r="L482" s="83" t="s">
        <v>101</v>
      </c>
      <c r="M482" s="83" t="s">
        <v>410</v>
      </c>
      <c r="N482" s="83" t="s">
        <v>102</v>
      </c>
      <c r="P482" s="83">
        <v>0</v>
      </c>
      <c r="U482" s="83">
        <v>4</v>
      </c>
      <c r="V482" s="83">
        <v>1</v>
      </c>
      <c r="W482" s="83" t="s">
        <v>103</v>
      </c>
      <c r="X482" s="83">
        <v>0</v>
      </c>
    </row>
    <row r="483" spans="1:25" x14ac:dyDescent="0.2">
      <c r="A483" s="83">
        <v>1</v>
      </c>
      <c r="B483" s="84">
        <v>5701603309316</v>
      </c>
      <c r="C483" s="83">
        <v>50</v>
      </c>
      <c r="D483" s="84">
        <v>5980933309</v>
      </c>
      <c r="F483" s="83" t="s">
        <v>103</v>
      </c>
      <c r="G483" s="83">
        <v>0</v>
      </c>
      <c r="H483" s="83">
        <v>100</v>
      </c>
      <c r="K483" s="83">
        <v>1</v>
      </c>
      <c r="L483" s="83" t="s">
        <v>101</v>
      </c>
      <c r="M483" s="83" t="s">
        <v>410</v>
      </c>
      <c r="N483" s="83" t="s">
        <v>102</v>
      </c>
      <c r="P483" s="83">
        <v>0</v>
      </c>
      <c r="U483" s="83">
        <v>4</v>
      </c>
      <c r="V483" s="83">
        <v>1</v>
      </c>
      <c r="W483" s="83" t="s">
        <v>103</v>
      </c>
      <c r="X483" s="83">
        <v>0</v>
      </c>
    </row>
    <row r="484" spans="1:25" x14ac:dyDescent="0.2">
      <c r="A484" s="83">
        <v>1</v>
      </c>
      <c r="B484" s="84">
        <v>5701603309316</v>
      </c>
      <c r="C484" s="83">
        <v>60</v>
      </c>
      <c r="D484" s="84">
        <v>1010286</v>
      </c>
      <c r="F484" s="83" t="s">
        <v>103</v>
      </c>
      <c r="G484" s="83">
        <v>0</v>
      </c>
      <c r="H484" s="83">
        <v>100</v>
      </c>
      <c r="K484" s="83">
        <v>8</v>
      </c>
      <c r="L484" s="83" t="s">
        <v>101</v>
      </c>
      <c r="M484" s="83" t="s">
        <v>410</v>
      </c>
      <c r="N484" s="83" t="s">
        <v>102</v>
      </c>
      <c r="P484" s="83">
        <v>0</v>
      </c>
      <c r="U484" s="83">
        <v>4</v>
      </c>
      <c r="V484" s="83">
        <v>1</v>
      </c>
      <c r="W484" s="83" t="s">
        <v>103</v>
      </c>
      <c r="X484" s="83">
        <v>0</v>
      </c>
    </row>
    <row r="485" spans="1:25" x14ac:dyDescent="0.2">
      <c r="A485" s="83">
        <v>1</v>
      </c>
      <c r="B485" s="84">
        <v>5701603309316</v>
      </c>
      <c r="C485" s="83">
        <v>70</v>
      </c>
      <c r="D485" s="84">
        <v>1010287</v>
      </c>
      <c r="F485" s="83" t="s">
        <v>103</v>
      </c>
      <c r="G485" s="83">
        <v>0</v>
      </c>
      <c r="H485" s="83">
        <v>100</v>
      </c>
      <c r="K485" s="83">
        <v>4</v>
      </c>
      <c r="L485" s="83" t="s">
        <v>101</v>
      </c>
      <c r="M485" s="83" t="s">
        <v>410</v>
      </c>
      <c r="N485" s="83" t="s">
        <v>102</v>
      </c>
      <c r="P485" s="83">
        <v>0</v>
      </c>
      <c r="U485" s="83">
        <v>4</v>
      </c>
      <c r="V485" s="83">
        <v>1</v>
      </c>
      <c r="W485" s="83" t="s">
        <v>103</v>
      </c>
      <c r="X485" s="83">
        <v>0</v>
      </c>
    </row>
    <row r="486" spans="1:25" x14ac:dyDescent="0.2">
      <c r="A486" s="83">
        <v>1</v>
      </c>
      <c r="B486" s="84">
        <v>5701603309316</v>
      </c>
      <c r="C486" s="83">
        <v>80</v>
      </c>
      <c r="D486" s="84">
        <v>1020145</v>
      </c>
      <c r="F486" s="83" t="s">
        <v>103</v>
      </c>
      <c r="G486" s="83">
        <v>0</v>
      </c>
      <c r="H486" s="83">
        <v>100</v>
      </c>
      <c r="K486" s="83" t="s">
        <v>408</v>
      </c>
      <c r="L486" s="83" t="s">
        <v>101</v>
      </c>
      <c r="M486" s="83" t="s">
        <v>410</v>
      </c>
      <c r="N486" s="83" t="s">
        <v>102</v>
      </c>
      <c r="P486" s="83">
        <v>0</v>
      </c>
      <c r="U486" s="83">
        <v>4</v>
      </c>
      <c r="V486" s="83">
        <v>1</v>
      </c>
      <c r="W486" s="83" t="s">
        <v>103</v>
      </c>
      <c r="X486" s="83">
        <v>0</v>
      </c>
    </row>
    <row r="487" spans="1:25" x14ac:dyDescent="0.2">
      <c r="A487" s="83">
        <v>1</v>
      </c>
      <c r="B487" s="84">
        <v>5701603309316</v>
      </c>
      <c r="C487" s="83">
        <v>90</v>
      </c>
      <c r="D487" s="84">
        <v>777500316</v>
      </c>
      <c r="F487" s="83" t="s">
        <v>103</v>
      </c>
      <c r="G487" s="83">
        <v>0</v>
      </c>
      <c r="H487" s="83">
        <v>100</v>
      </c>
      <c r="K487" s="83">
        <v>1</v>
      </c>
      <c r="L487" s="83" t="s">
        <v>101</v>
      </c>
      <c r="M487" s="83" t="s">
        <v>410</v>
      </c>
      <c r="N487" s="83" t="s">
        <v>102</v>
      </c>
      <c r="P487" s="83">
        <v>0</v>
      </c>
      <c r="U487" s="83">
        <v>4</v>
      </c>
      <c r="V487" s="83">
        <v>1</v>
      </c>
      <c r="W487" s="83" t="s">
        <v>103</v>
      </c>
      <c r="X487" s="83">
        <v>0</v>
      </c>
    </row>
    <row r="488" spans="1:25" x14ac:dyDescent="0.2">
      <c r="A488" s="83">
        <v>1</v>
      </c>
      <c r="B488" s="84">
        <v>5701603310316</v>
      </c>
      <c r="C488" s="83">
        <v>10</v>
      </c>
      <c r="D488" s="84">
        <v>5980463310</v>
      </c>
      <c r="F488" s="83" t="s">
        <v>103</v>
      </c>
      <c r="G488" s="83">
        <v>0</v>
      </c>
      <c r="H488" s="83">
        <v>100</v>
      </c>
      <c r="K488" s="83">
        <v>1</v>
      </c>
      <c r="L488" s="83" t="s">
        <v>101</v>
      </c>
      <c r="M488" s="83" t="s">
        <v>410</v>
      </c>
      <c r="N488" s="83" t="s">
        <v>102</v>
      </c>
      <c r="P488" s="83">
        <v>0</v>
      </c>
      <c r="U488" s="83">
        <v>4</v>
      </c>
      <c r="V488" s="83">
        <v>1</v>
      </c>
      <c r="W488" s="83" t="s">
        <v>103</v>
      </c>
      <c r="X488" s="83">
        <v>0</v>
      </c>
      <c r="Y488" s="83" t="str">
        <f>LEFT(D488,6)</f>
        <v>598046</v>
      </c>
    </row>
    <row r="489" spans="1:25" x14ac:dyDescent="0.2">
      <c r="A489" s="83">
        <v>1</v>
      </c>
      <c r="B489" s="84">
        <v>5701603310316</v>
      </c>
      <c r="C489" s="83">
        <v>20</v>
      </c>
      <c r="D489" s="84">
        <v>5980543310</v>
      </c>
      <c r="F489" s="83" t="s">
        <v>103</v>
      </c>
      <c r="G489" s="83">
        <v>0</v>
      </c>
      <c r="H489" s="83">
        <v>100</v>
      </c>
      <c r="K489" s="83">
        <v>1</v>
      </c>
      <c r="L489" s="83" t="s">
        <v>101</v>
      </c>
      <c r="M489" s="83" t="s">
        <v>410</v>
      </c>
      <c r="N489" s="83" t="s">
        <v>102</v>
      </c>
      <c r="P489" s="83">
        <v>0</v>
      </c>
      <c r="U489" s="83">
        <v>4</v>
      </c>
      <c r="V489" s="83">
        <v>1</v>
      </c>
      <c r="W489" s="83" t="s">
        <v>103</v>
      </c>
      <c r="X489" s="83">
        <v>0</v>
      </c>
    </row>
    <row r="490" spans="1:25" x14ac:dyDescent="0.2">
      <c r="A490" s="83">
        <v>1</v>
      </c>
      <c r="B490" s="84">
        <v>5701603310316</v>
      </c>
      <c r="C490" s="83">
        <v>30</v>
      </c>
      <c r="D490" s="84">
        <v>5980623310</v>
      </c>
      <c r="F490" s="83" t="s">
        <v>103</v>
      </c>
      <c r="G490" s="83">
        <v>0</v>
      </c>
      <c r="H490" s="83">
        <v>100</v>
      </c>
      <c r="K490" s="83">
        <v>1</v>
      </c>
      <c r="L490" s="83" t="s">
        <v>101</v>
      </c>
      <c r="M490" s="83" t="s">
        <v>410</v>
      </c>
      <c r="N490" s="83" t="s">
        <v>102</v>
      </c>
      <c r="P490" s="83">
        <v>0</v>
      </c>
      <c r="U490" s="83">
        <v>4</v>
      </c>
      <c r="V490" s="83">
        <v>1</v>
      </c>
      <c r="W490" s="83" t="s">
        <v>103</v>
      </c>
      <c r="X490" s="83">
        <v>0</v>
      </c>
    </row>
    <row r="491" spans="1:25" x14ac:dyDescent="0.2">
      <c r="A491" s="83">
        <v>1</v>
      </c>
      <c r="B491" s="84">
        <v>5701603310316</v>
      </c>
      <c r="C491" s="83">
        <v>40</v>
      </c>
      <c r="D491" s="84">
        <v>5980823310</v>
      </c>
      <c r="F491" s="83" t="s">
        <v>103</v>
      </c>
      <c r="G491" s="83">
        <v>0</v>
      </c>
      <c r="H491" s="83">
        <v>100</v>
      </c>
      <c r="K491" s="83">
        <v>1</v>
      </c>
      <c r="L491" s="83" t="s">
        <v>101</v>
      </c>
      <c r="M491" s="83" t="s">
        <v>410</v>
      </c>
      <c r="N491" s="83" t="s">
        <v>102</v>
      </c>
      <c r="P491" s="83">
        <v>0</v>
      </c>
      <c r="U491" s="83">
        <v>4</v>
      </c>
      <c r="V491" s="83">
        <v>1</v>
      </c>
      <c r="W491" s="83" t="s">
        <v>103</v>
      </c>
      <c r="X491" s="83">
        <v>0</v>
      </c>
    </row>
    <row r="492" spans="1:25" x14ac:dyDescent="0.2">
      <c r="A492" s="83">
        <v>1</v>
      </c>
      <c r="B492" s="84">
        <v>5701603310316</v>
      </c>
      <c r="C492" s="83">
        <v>50</v>
      </c>
      <c r="D492" s="84">
        <v>5980933310</v>
      </c>
      <c r="F492" s="83" t="s">
        <v>103</v>
      </c>
      <c r="G492" s="83">
        <v>0</v>
      </c>
      <c r="H492" s="83">
        <v>100</v>
      </c>
      <c r="K492" s="83">
        <v>1</v>
      </c>
      <c r="L492" s="83" t="s">
        <v>101</v>
      </c>
      <c r="M492" s="83" t="s">
        <v>410</v>
      </c>
      <c r="N492" s="83" t="s">
        <v>102</v>
      </c>
      <c r="P492" s="83">
        <v>0</v>
      </c>
      <c r="U492" s="83">
        <v>4</v>
      </c>
      <c r="V492" s="83">
        <v>1</v>
      </c>
      <c r="W492" s="83" t="s">
        <v>103</v>
      </c>
      <c r="X492" s="83">
        <v>0</v>
      </c>
    </row>
    <row r="493" spans="1:25" x14ac:dyDescent="0.2">
      <c r="A493" s="83">
        <v>1</v>
      </c>
      <c r="B493" s="84">
        <v>5701603310316</v>
      </c>
      <c r="C493" s="83">
        <v>60</v>
      </c>
      <c r="D493" s="84">
        <v>1010286</v>
      </c>
      <c r="F493" s="83" t="s">
        <v>103</v>
      </c>
      <c r="G493" s="83">
        <v>0</v>
      </c>
      <c r="H493" s="83">
        <v>100</v>
      </c>
      <c r="K493" s="83">
        <v>8</v>
      </c>
      <c r="L493" s="83" t="s">
        <v>101</v>
      </c>
      <c r="M493" s="83" t="s">
        <v>410</v>
      </c>
      <c r="N493" s="83" t="s">
        <v>102</v>
      </c>
      <c r="P493" s="83">
        <v>0</v>
      </c>
      <c r="U493" s="83">
        <v>4</v>
      </c>
      <c r="V493" s="83">
        <v>1</v>
      </c>
      <c r="W493" s="83" t="s">
        <v>103</v>
      </c>
      <c r="X493" s="83">
        <v>0</v>
      </c>
    </row>
    <row r="494" spans="1:25" x14ac:dyDescent="0.2">
      <c r="A494" s="83">
        <v>1</v>
      </c>
      <c r="B494" s="84">
        <v>5701603310316</v>
      </c>
      <c r="C494" s="83">
        <v>70</v>
      </c>
      <c r="D494" s="84">
        <v>1010287</v>
      </c>
      <c r="F494" s="83" t="s">
        <v>103</v>
      </c>
      <c r="G494" s="83">
        <v>0</v>
      </c>
      <c r="H494" s="83">
        <v>100</v>
      </c>
      <c r="K494" s="83">
        <v>4</v>
      </c>
      <c r="L494" s="83" t="s">
        <v>101</v>
      </c>
      <c r="M494" s="83" t="s">
        <v>410</v>
      </c>
      <c r="N494" s="83" t="s">
        <v>102</v>
      </c>
      <c r="P494" s="83">
        <v>0</v>
      </c>
      <c r="U494" s="83">
        <v>4</v>
      </c>
      <c r="V494" s="83">
        <v>1</v>
      </c>
      <c r="W494" s="83" t="s">
        <v>103</v>
      </c>
      <c r="X494" s="83">
        <v>0</v>
      </c>
    </row>
    <row r="495" spans="1:25" x14ac:dyDescent="0.2">
      <c r="A495" s="83">
        <v>1</v>
      </c>
      <c r="B495" s="84">
        <v>5701603310316</v>
      </c>
      <c r="C495" s="83">
        <v>80</v>
      </c>
      <c r="D495" s="84">
        <v>1020145</v>
      </c>
      <c r="F495" s="83" t="s">
        <v>103</v>
      </c>
      <c r="G495" s="83">
        <v>0</v>
      </c>
      <c r="H495" s="83">
        <v>100</v>
      </c>
      <c r="K495" s="83" t="s">
        <v>408</v>
      </c>
      <c r="L495" s="83" t="s">
        <v>101</v>
      </c>
      <c r="M495" s="83" t="s">
        <v>410</v>
      </c>
      <c r="N495" s="83" t="s">
        <v>102</v>
      </c>
      <c r="P495" s="83">
        <v>0</v>
      </c>
      <c r="U495" s="83">
        <v>4</v>
      </c>
      <c r="V495" s="83">
        <v>1</v>
      </c>
      <c r="W495" s="83" t="s">
        <v>103</v>
      </c>
      <c r="X495" s="83">
        <v>0</v>
      </c>
    </row>
    <row r="496" spans="1:25" x14ac:dyDescent="0.2">
      <c r="A496" s="83">
        <v>1</v>
      </c>
      <c r="B496" s="84">
        <v>5701603310316</v>
      </c>
      <c r="C496" s="83">
        <v>90</v>
      </c>
      <c r="D496" s="84">
        <v>777500316</v>
      </c>
      <c r="F496" s="83" t="s">
        <v>103</v>
      </c>
      <c r="G496" s="83">
        <v>0</v>
      </c>
      <c r="H496" s="83">
        <v>100</v>
      </c>
      <c r="K496" s="83">
        <v>1</v>
      </c>
      <c r="L496" s="83" t="s">
        <v>101</v>
      </c>
      <c r="M496" s="83" t="s">
        <v>410</v>
      </c>
      <c r="N496" s="83" t="s">
        <v>102</v>
      </c>
      <c r="P496" s="83">
        <v>0</v>
      </c>
      <c r="U496" s="83">
        <v>4</v>
      </c>
      <c r="V496" s="83">
        <v>1</v>
      </c>
      <c r="W496" s="83" t="s">
        <v>103</v>
      </c>
      <c r="X496" s="83">
        <v>0</v>
      </c>
    </row>
    <row r="497" spans="1:25" x14ac:dyDescent="0.2">
      <c r="A497" s="83">
        <v>1</v>
      </c>
      <c r="B497" s="84">
        <v>5701603300318</v>
      </c>
      <c r="C497" s="83">
        <v>10</v>
      </c>
      <c r="D497" s="84">
        <v>5980463399</v>
      </c>
      <c r="F497" s="83" t="s">
        <v>103</v>
      </c>
      <c r="G497" s="83">
        <v>0</v>
      </c>
      <c r="H497" s="83">
        <v>100</v>
      </c>
      <c r="K497" s="83">
        <v>1</v>
      </c>
      <c r="L497" s="83" t="s">
        <v>101</v>
      </c>
      <c r="M497" s="83" t="s">
        <v>410</v>
      </c>
      <c r="N497" s="83" t="s">
        <v>102</v>
      </c>
      <c r="P497" s="83">
        <v>0</v>
      </c>
      <c r="U497" s="83">
        <v>4</v>
      </c>
      <c r="V497" s="83">
        <v>1</v>
      </c>
      <c r="W497" s="83" t="s">
        <v>103</v>
      </c>
      <c r="X497" s="83">
        <v>0</v>
      </c>
      <c r="Y497" s="83" t="str">
        <f>LEFT(D497,6)</f>
        <v>598046</v>
      </c>
    </row>
    <row r="498" spans="1:25" x14ac:dyDescent="0.2">
      <c r="A498" s="83">
        <v>1</v>
      </c>
      <c r="B498" s="84">
        <v>5701603300318</v>
      </c>
      <c r="C498" s="83">
        <v>20</v>
      </c>
      <c r="D498" s="85">
        <v>5980543399</v>
      </c>
      <c r="F498" s="83" t="s">
        <v>103</v>
      </c>
      <c r="G498" s="83">
        <v>0</v>
      </c>
      <c r="H498" s="83">
        <v>100</v>
      </c>
      <c r="K498" s="83">
        <v>1</v>
      </c>
      <c r="L498" s="83" t="s">
        <v>101</v>
      </c>
      <c r="M498" s="83" t="s">
        <v>410</v>
      </c>
      <c r="N498" s="83" t="s">
        <v>102</v>
      </c>
      <c r="P498" s="83">
        <v>0</v>
      </c>
      <c r="U498" s="83">
        <v>4</v>
      </c>
      <c r="V498" s="83">
        <v>1</v>
      </c>
      <c r="W498" s="83" t="s">
        <v>103</v>
      </c>
      <c r="X498" s="83">
        <v>0</v>
      </c>
    </row>
    <row r="499" spans="1:25" x14ac:dyDescent="0.2">
      <c r="A499" s="83">
        <v>1</v>
      </c>
      <c r="B499" s="84">
        <v>5701603300318</v>
      </c>
      <c r="C499" s="83">
        <v>30</v>
      </c>
      <c r="D499" s="84">
        <v>5980623399</v>
      </c>
      <c r="F499" s="83" t="s">
        <v>103</v>
      </c>
      <c r="G499" s="83">
        <v>0</v>
      </c>
      <c r="H499" s="83">
        <v>100</v>
      </c>
      <c r="K499" s="83">
        <v>1</v>
      </c>
      <c r="L499" s="83" t="s">
        <v>101</v>
      </c>
      <c r="M499" s="83" t="s">
        <v>410</v>
      </c>
      <c r="N499" s="83" t="s">
        <v>102</v>
      </c>
      <c r="P499" s="83">
        <v>0</v>
      </c>
      <c r="U499" s="83">
        <v>4</v>
      </c>
      <c r="V499" s="83">
        <v>1</v>
      </c>
      <c r="W499" s="83" t="s">
        <v>103</v>
      </c>
      <c r="X499" s="83">
        <v>0</v>
      </c>
    </row>
    <row r="500" spans="1:25" x14ac:dyDescent="0.2">
      <c r="A500" s="83">
        <v>1</v>
      </c>
      <c r="B500" s="84">
        <v>5701603300318</v>
      </c>
      <c r="C500" s="83">
        <v>40</v>
      </c>
      <c r="D500" s="84">
        <v>5980823399</v>
      </c>
      <c r="F500" s="83" t="s">
        <v>103</v>
      </c>
      <c r="G500" s="83">
        <v>0</v>
      </c>
      <c r="H500" s="83">
        <v>100</v>
      </c>
      <c r="K500" s="83">
        <v>1</v>
      </c>
      <c r="L500" s="83" t="s">
        <v>101</v>
      </c>
      <c r="M500" s="83" t="s">
        <v>410</v>
      </c>
      <c r="N500" s="83" t="s">
        <v>102</v>
      </c>
      <c r="P500" s="83">
        <v>0</v>
      </c>
      <c r="U500" s="83">
        <v>4</v>
      </c>
      <c r="V500" s="83">
        <v>1</v>
      </c>
      <c r="W500" s="83" t="s">
        <v>103</v>
      </c>
      <c r="X500" s="83">
        <v>0</v>
      </c>
    </row>
    <row r="501" spans="1:25" x14ac:dyDescent="0.2">
      <c r="A501" s="83">
        <v>1</v>
      </c>
      <c r="B501" s="84">
        <v>5701603300318</v>
      </c>
      <c r="C501" s="83">
        <v>50</v>
      </c>
      <c r="D501" s="85">
        <v>1010277</v>
      </c>
      <c r="F501" s="83" t="s">
        <v>103</v>
      </c>
      <c r="G501" s="83">
        <v>0</v>
      </c>
      <c r="H501" s="83">
        <v>100</v>
      </c>
      <c r="K501" s="83">
        <v>1</v>
      </c>
      <c r="L501" s="83" t="s">
        <v>101</v>
      </c>
      <c r="M501" s="83" t="s">
        <v>410</v>
      </c>
      <c r="N501" s="83" t="s">
        <v>102</v>
      </c>
      <c r="P501" s="83">
        <v>0</v>
      </c>
      <c r="U501" s="83">
        <v>4</v>
      </c>
      <c r="V501" s="83">
        <v>1</v>
      </c>
      <c r="W501" s="83" t="s">
        <v>103</v>
      </c>
      <c r="X501" s="83">
        <v>0</v>
      </c>
    </row>
    <row r="502" spans="1:25" x14ac:dyDescent="0.2">
      <c r="A502" s="83">
        <v>1</v>
      </c>
      <c r="B502" s="84">
        <v>5701603300318</v>
      </c>
      <c r="C502" s="83">
        <v>60</v>
      </c>
      <c r="D502" s="84">
        <v>1010286</v>
      </c>
      <c r="F502" s="83" t="s">
        <v>103</v>
      </c>
      <c r="G502" s="83">
        <v>0</v>
      </c>
      <c r="H502" s="83">
        <v>100</v>
      </c>
      <c r="K502" s="83">
        <v>8</v>
      </c>
      <c r="L502" s="83" t="s">
        <v>101</v>
      </c>
      <c r="M502" s="83" t="s">
        <v>410</v>
      </c>
      <c r="N502" s="83" t="s">
        <v>102</v>
      </c>
      <c r="P502" s="83">
        <v>0</v>
      </c>
      <c r="U502" s="83">
        <v>4</v>
      </c>
      <c r="V502" s="83">
        <v>1</v>
      </c>
      <c r="W502" s="83" t="s">
        <v>103</v>
      </c>
      <c r="X502" s="83">
        <v>0</v>
      </c>
    </row>
    <row r="503" spans="1:25" x14ac:dyDescent="0.2">
      <c r="A503" s="83">
        <v>1</v>
      </c>
      <c r="B503" s="84">
        <v>5701603300318</v>
      </c>
      <c r="C503" s="83">
        <v>70</v>
      </c>
      <c r="D503" s="84">
        <v>1010287</v>
      </c>
      <c r="F503" s="83" t="s">
        <v>103</v>
      </c>
      <c r="G503" s="83">
        <v>0</v>
      </c>
      <c r="H503" s="83">
        <v>100</v>
      </c>
      <c r="K503" s="83">
        <v>4</v>
      </c>
      <c r="L503" s="83" t="s">
        <v>101</v>
      </c>
      <c r="M503" s="83" t="s">
        <v>410</v>
      </c>
      <c r="N503" s="83" t="s">
        <v>102</v>
      </c>
      <c r="P503" s="83">
        <v>0</v>
      </c>
      <c r="U503" s="83">
        <v>4</v>
      </c>
      <c r="V503" s="83">
        <v>1</v>
      </c>
      <c r="W503" s="83" t="s">
        <v>103</v>
      </c>
      <c r="X503" s="83">
        <v>0</v>
      </c>
    </row>
    <row r="504" spans="1:25" x14ac:dyDescent="0.2">
      <c r="A504" s="83">
        <v>1</v>
      </c>
      <c r="B504" s="84">
        <v>5701603300318</v>
      </c>
      <c r="C504" s="83">
        <v>80</v>
      </c>
      <c r="D504" s="84">
        <v>1020145</v>
      </c>
      <c r="F504" s="83" t="s">
        <v>103</v>
      </c>
      <c r="G504" s="83">
        <v>0</v>
      </c>
      <c r="H504" s="83">
        <v>100</v>
      </c>
      <c r="K504" s="83" t="s">
        <v>408</v>
      </c>
      <c r="L504" s="83" t="s">
        <v>101</v>
      </c>
      <c r="M504" s="83" t="s">
        <v>410</v>
      </c>
      <c r="N504" s="83" t="s">
        <v>102</v>
      </c>
      <c r="P504" s="83">
        <v>0</v>
      </c>
      <c r="U504" s="83">
        <v>4</v>
      </c>
      <c r="V504" s="83">
        <v>1</v>
      </c>
      <c r="W504" s="83" t="s">
        <v>103</v>
      </c>
      <c r="X504" s="83">
        <v>0</v>
      </c>
    </row>
    <row r="505" spans="1:25" x14ac:dyDescent="0.2">
      <c r="A505" s="83">
        <v>1</v>
      </c>
      <c r="B505" s="84">
        <v>5701603300318</v>
      </c>
      <c r="C505" s="83">
        <v>90</v>
      </c>
      <c r="D505" s="84">
        <v>777500318</v>
      </c>
      <c r="F505" s="83" t="s">
        <v>103</v>
      </c>
      <c r="G505" s="83">
        <v>0</v>
      </c>
      <c r="H505" s="83">
        <v>100</v>
      </c>
      <c r="K505" s="83">
        <v>1</v>
      </c>
      <c r="L505" s="83" t="s">
        <v>101</v>
      </c>
      <c r="M505" s="83" t="s">
        <v>410</v>
      </c>
      <c r="N505" s="83" t="s">
        <v>102</v>
      </c>
      <c r="P505" s="83">
        <v>0</v>
      </c>
      <c r="U505" s="83">
        <v>4</v>
      </c>
      <c r="V505" s="83">
        <v>1</v>
      </c>
      <c r="W505" s="83" t="s">
        <v>103</v>
      </c>
      <c r="X505" s="83">
        <v>0</v>
      </c>
    </row>
    <row r="506" spans="1:25" x14ac:dyDescent="0.2">
      <c r="A506" s="83">
        <v>1</v>
      </c>
      <c r="B506" s="84">
        <v>5701603301318</v>
      </c>
      <c r="C506" s="83">
        <v>10</v>
      </c>
      <c r="D506" s="84">
        <v>5980463301</v>
      </c>
      <c r="F506" s="83" t="s">
        <v>103</v>
      </c>
      <c r="G506" s="83">
        <v>0</v>
      </c>
      <c r="H506" s="83">
        <v>100</v>
      </c>
      <c r="K506" s="83">
        <v>1</v>
      </c>
      <c r="L506" s="83" t="s">
        <v>101</v>
      </c>
      <c r="M506" s="83" t="s">
        <v>410</v>
      </c>
      <c r="N506" s="83" t="s">
        <v>102</v>
      </c>
      <c r="P506" s="83">
        <v>0</v>
      </c>
      <c r="U506" s="83">
        <v>4</v>
      </c>
      <c r="V506" s="83">
        <v>1</v>
      </c>
      <c r="W506" s="83" t="s">
        <v>103</v>
      </c>
      <c r="X506" s="83">
        <v>0</v>
      </c>
      <c r="Y506" s="83" t="str">
        <f>LEFT(D506,6)</f>
        <v>598046</v>
      </c>
    </row>
    <row r="507" spans="1:25" x14ac:dyDescent="0.2">
      <c r="A507" s="83">
        <v>1</v>
      </c>
      <c r="B507" s="84">
        <v>5701603301318</v>
      </c>
      <c r="C507" s="83">
        <v>20</v>
      </c>
      <c r="D507" s="84">
        <v>5980543301</v>
      </c>
      <c r="F507" s="83" t="s">
        <v>103</v>
      </c>
      <c r="G507" s="83">
        <v>0</v>
      </c>
      <c r="H507" s="83">
        <v>100</v>
      </c>
      <c r="K507" s="83">
        <v>1</v>
      </c>
      <c r="L507" s="83" t="s">
        <v>101</v>
      </c>
      <c r="M507" s="83" t="s">
        <v>410</v>
      </c>
      <c r="N507" s="83" t="s">
        <v>102</v>
      </c>
      <c r="P507" s="83">
        <v>0</v>
      </c>
      <c r="U507" s="83">
        <v>4</v>
      </c>
      <c r="V507" s="83">
        <v>1</v>
      </c>
      <c r="W507" s="83" t="s">
        <v>103</v>
      </c>
      <c r="X507" s="83">
        <v>0</v>
      </c>
    </row>
    <row r="508" spans="1:25" x14ac:dyDescent="0.2">
      <c r="A508" s="83">
        <v>1</v>
      </c>
      <c r="B508" s="84">
        <v>5701603301318</v>
      </c>
      <c r="C508" s="83">
        <v>30</v>
      </c>
      <c r="D508" s="84">
        <v>5980623301</v>
      </c>
      <c r="F508" s="83" t="s">
        <v>103</v>
      </c>
      <c r="G508" s="83">
        <v>0</v>
      </c>
      <c r="H508" s="83">
        <v>100</v>
      </c>
      <c r="K508" s="83">
        <v>1</v>
      </c>
      <c r="L508" s="83" t="s">
        <v>101</v>
      </c>
      <c r="M508" s="83" t="s">
        <v>410</v>
      </c>
      <c r="N508" s="83" t="s">
        <v>102</v>
      </c>
      <c r="P508" s="83">
        <v>0</v>
      </c>
      <c r="U508" s="83">
        <v>4</v>
      </c>
      <c r="V508" s="83">
        <v>1</v>
      </c>
      <c r="W508" s="83" t="s">
        <v>103</v>
      </c>
      <c r="X508" s="83">
        <v>0</v>
      </c>
    </row>
    <row r="509" spans="1:25" x14ac:dyDescent="0.2">
      <c r="A509" s="83">
        <v>1</v>
      </c>
      <c r="B509" s="84">
        <v>5701603301318</v>
      </c>
      <c r="C509" s="83">
        <v>40</v>
      </c>
      <c r="D509" s="84">
        <v>5980823301</v>
      </c>
      <c r="F509" s="83" t="s">
        <v>103</v>
      </c>
      <c r="G509" s="83">
        <v>0</v>
      </c>
      <c r="H509" s="83">
        <v>100</v>
      </c>
      <c r="K509" s="83">
        <v>1</v>
      </c>
      <c r="L509" s="83" t="s">
        <v>101</v>
      </c>
      <c r="M509" s="83" t="s">
        <v>410</v>
      </c>
      <c r="N509" s="83" t="s">
        <v>102</v>
      </c>
      <c r="P509" s="83">
        <v>0</v>
      </c>
      <c r="U509" s="83">
        <v>4</v>
      </c>
      <c r="V509" s="83">
        <v>1</v>
      </c>
      <c r="W509" s="83" t="s">
        <v>103</v>
      </c>
      <c r="X509" s="83">
        <v>0</v>
      </c>
    </row>
    <row r="510" spans="1:25" x14ac:dyDescent="0.2">
      <c r="A510" s="83">
        <v>1</v>
      </c>
      <c r="B510" s="84">
        <v>5701603301318</v>
      </c>
      <c r="C510" s="83">
        <v>50</v>
      </c>
      <c r="D510" s="84">
        <v>5980933301</v>
      </c>
      <c r="F510" s="83" t="s">
        <v>103</v>
      </c>
      <c r="G510" s="83">
        <v>0</v>
      </c>
      <c r="H510" s="83">
        <v>100</v>
      </c>
      <c r="K510" s="83">
        <v>1</v>
      </c>
      <c r="L510" s="83" t="s">
        <v>101</v>
      </c>
      <c r="M510" s="83" t="s">
        <v>410</v>
      </c>
      <c r="N510" s="83" t="s">
        <v>102</v>
      </c>
      <c r="P510" s="83">
        <v>0</v>
      </c>
      <c r="U510" s="83">
        <v>4</v>
      </c>
      <c r="V510" s="83">
        <v>1</v>
      </c>
      <c r="W510" s="83" t="s">
        <v>103</v>
      </c>
      <c r="X510" s="83">
        <v>0</v>
      </c>
    </row>
    <row r="511" spans="1:25" x14ac:dyDescent="0.2">
      <c r="A511" s="83">
        <v>1</v>
      </c>
      <c r="B511" s="84">
        <v>5701603301318</v>
      </c>
      <c r="C511" s="83">
        <v>60</v>
      </c>
      <c r="D511" s="84">
        <v>1010286</v>
      </c>
      <c r="F511" s="83" t="s">
        <v>103</v>
      </c>
      <c r="G511" s="83">
        <v>0</v>
      </c>
      <c r="H511" s="83">
        <v>100</v>
      </c>
      <c r="K511" s="83">
        <v>8</v>
      </c>
      <c r="L511" s="83" t="s">
        <v>101</v>
      </c>
      <c r="M511" s="83" t="s">
        <v>410</v>
      </c>
      <c r="N511" s="83" t="s">
        <v>102</v>
      </c>
      <c r="P511" s="83">
        <v>0</v>
      </c>
      <c r="U511" s="83">
        <v>4</v>
      </c>
      <c r="V511" s="83">
        <v>1</v>
      </c>
      <c r="W511" s="83" t="s">
        <v>103</v>
      </c>
      <c r="X511" s="83">
        <v>0</v>
      </c>
    </row>
    <row r="512" spans="1:25" x14ac:dyDescent="0.2">
      <c r="A512" s="83">
        <v>1</v>
      </c>
      <c r="B512" s="84">
        <v>5701603301318</v>
      </c>
      <c r="C512" s="83">
        <v>70</v>
      </c>
      <c r="D512" s="84">
        <v>1010287</v>
      </c>
      <c r="F512" s="83" t="s">
        <v>103</v>
      </c>
      <c r="G512" s="83">
        <v>0</v>
      </c>
      <c r="H512" s="83">
        <v>100</v>
      </c>
      <c r="K512" s="83">
        <v>4</v>
      </c>
      <c r="L512" s="83" t="s">
        <v>101</v>
      </c>
      <c r="M512" s="83" t="s">
        <v>410</v>
      </c>
      <c r="N512" s="83" t="s">
        <v>102</v>
      </c>
      <c r="P512" s="83">
        <v>0</v>
      </c>
      <c r="U512" s="83">
        <v>4</v>
      </c>
      <c r="V512" s="83">
        <v>1</v>
      </c>
      <c r="W512" s="83" t="s">
        <v>103</v>
      </c>
      <c r="X512" s="83">
        <v>0</v>
      </c>
    </row>
    <row r="513" spans="1:25" x14ac:dyDescent="0.2">
      <c r="A513" s="83">
        <v>1</v>
      </c>
      <c r="B513" s="84">
        <v>5701603301318</v>
      </c>
      <c r="C513" s="83">
        <v>80</v>
      </c>
      <c r="D513" s="84">
        <v>1020145</v>
      </c>
      <c r="F513" s="83" t="s">
        <v>103</v>
      </c>
      <c r="G513" s="83">
        <v>0</v>
      </c>
      <c r="H513" s="83">
        <v>100</v>
      </c>
      <c r="K513" s="83" t="s">
        <v>408</v>
      </c>
      <c r="L513" s="83" t="s">
        <v>101</v>
      </c>
      <c r="M513" s="83" t="s">
        <v>410</v>
      </c>
      <c r="N513" s="83" t="s">
        <v>102</v>
      </c>
      <c r="P513" s="83">
        <v>0</v>
      </c>
      <c r="U513" s="83">
        <v>4</v>
      </c>
      <c r="V513" s="83">
        <v>1</v>
      </c>
      <c r="W513" s="83" t="s">
        <v>103</v>
      </c>
      <c r="X513" s="83">
        <v>0</v>
      </c>
    </row>
    <row r="514" spans="1:25" x14ac:dyDescent="0.2">
      <c r="A514" s="83">
        <v>1</v>
      </c>
      <c r="B514" s="84">
        <v>5701603301318</v>
      </c>
      <c r="C514" s="83">
        <v>90</v>
      </c>
      <c r="D514" s="84">
        <v>777500318</v>
      </c>
      <c r="F514" s="83" t="s">
        <v>103</v>
      </c>
      <c r="G514" s="83">
        <v>0</v>
      </c>
      <c r="H514" s="83">
        <v>100</v>
      </c>
      <c r="K514" s="83">
        <v>1</v>
      </c>
      <c r="L514" s="83" t="s">
        <v>101</v>
      </c>
      <c r="M514" s="83" t="s">
        <v>410</v>
      </c>
      <c r="N514" s="83" t="s">
        <v>102</v>
      </c>
      <c r="P514" s="83">
        <v>0</v>
      </c>
      <c r="U514" s="83">
        <v>4</v>
      </c>
      <c r="V514" s="83">
        <v>1</v>
      </c>
      <c r="W514" s="83" t="s">
        <v>103</v>
      </c>
      <c r="X514" s="83">
        <v>0</v>
      </c>
    </row>
    <row r="515" spans="1:25" x14ac:dyDescent="0.2">
      <c r="A515" s="83">
        <v>1</v>
      </c>
      <c r="B515" s="84">
        <v>5701603302318</v>
      </c>
      <c r="C515" s="83">
        <v>10</v>
      </c>
      <c r="D515" s="84">
        <v>5980463302</v>
      </c>
      <c r="F515" s="83" t="s">
        <v>103</v>
      </c>
      <c r="G515" s="83">
        <v>0</v>
      </c>
      <c r="H515" s="83">
        <v>100</v>
      </c>
      <c r="K515" s="83">
        <v>1</v>
      </c>
      <c r="L515" s="83" t="s">
        <v>101</v>
      </c>
      <c r="M515" s="83" t="s">
        <v>410</v>
      </c>
      <c r="N515" s="83" t="s">
        <v>102</v>
      </c>
      <c r="P515" s="83">
        <v>0</v>
      </c>
      <c r="U515" s="83">
        <v>4</v>
      </c>
      <c r="V515" s="83">
        <v>1</v>
      </c>
      <c r="W515" s="83" t="s">
        <v>103</v>
      </c>
      <c r="X515" s="83">
        <v>0</v>
      </c>
      <c r="Y515" s="83" t="str">
        <f>LEFT(D515,6)</f>
        <v>598046</v>
      </c>
    </row>
    <row r="516" spans="1:25" x14ac:dyDescent="0.2">
      <c r="A516" s="83">
        <v>1</v>
      </c>
      <c r="B516" s="84">
        <v>5701603302318</v>
      </c>
      <c r="C516" s="83">
        <v>20</v>
      </c>
      <c r="D516" s="84">
        <v>5980543302</v>
      </c>
      <c r="F516" s="83" t="s">
        <v>103</v>
      </c>
      <c r="G516" s="83">
        <v>0</v>
      </c>
      <c r="H516" s="83">
        <v>100</v>
      </c>
      <c r="K516" s="83">
        <v>1</v>
      </c>
      <c r="L516" s="83" t="s">
        <v>101</v>
      </c>
      <c r="M516" s="83" t="s">
        <v>410</v>
      </c>
      <c r="N516" s="83" t="s">
        <v>102</v>
      </c>
      <c r="P516" s="83">
        <v>0</v>
      </c>
      <c r="U516" s="83">
        <v>4</v>
      </c>
      <c r="V516" s="83">
        <v>1</v>
      </c>
      <c r="W516" s="83" t="s">
        <v>103</v>
      </c>
      <c r="X516" s="83">
        <v>0</v>
      </c>
    </row>
    <row r="517" spans="1:25" x14ac:dyDescent="0.2">
      <c r="A517" s="83">
        <v>1</v>
      </c>
      <c r="B517" s="84">
        <v>5701603302318</v>
      </c>
      <c r="C517" s="83">
        <v>30</v>
      </c>
      <c r="D517" s="84">
        <v>5980623302</v>
      </c>
      <c r="F517" s="83" t="s">
        <v>103</v>
      </c>
      <c r="G517" s="83">
        <v>0</v>
      </c>
      <c r="H517" s="83">
        <v>100</v>
      </c>
      <c r="K517" s="83">
        <v>1</v>
      </c>
      <c r="L517" s="83" t="s">
        <v>101</v>
      </c>
      <c r="M517" s="83" t="s">
        <v>410</v>
      </c>
      <c r="N517" s="83" t="s">
        <v>102</v>
      </c>
      <c r="P517" s="83">
        <v>0</v>
      </c>
      <c r="U517" s="83">
        <v>4</v>
      </c>
      <c r="V517" s="83">
        <v>1</v>
      </c>
      <c r="W517" s="83" t="s">
        <v>103</v>
      </c>
      <c r="X517" s="83">
        <v>0</v>
      </c>
    </row>
    <row r="518" spans="1:25" x14ac:dyDescent="0.2">
      <c r="A518" s="83">
        <v>1</v>
      </c>
      <c r="B518" s="84">
        <v>5701603302318</v>
      </c>
      <c r="C518" s="83">
        <v>40</v>
      </c>
      <c r="D518" s="84">
        <v>5980823302</v>
      </c>
      <c r="F518" s="83" t="s">
        <v>103</v>
      </c>
      <c r="G518" s="83">
        <v>0</v>
      </c>
      <c r="H518" s="83">
        <v>100</v>
      </c>
      <c r="K518" s="83">
        <v>1</v>
      </c>
      <c r="L518" s="83" t="s">
        <v>101</v>
      </c>
      <c r="M518" s="83" t="s">
        <v>410</v>
      </c>
      <c r="N518" s="83" t="s">
        <v>102</v>
      </c>
      <c r="P518" s="83">
        <v>0</v>
      </c>
      <c r="U518" s="83">
        <v>4</v>
      </c>
      <c r="V518" s="83">
        <v>1</v>
      </c>
      <c r="W518" s="83" t="s">
        <v>103</v>
      </c>
      <c r="X518" s="83">
        <v>0</v>
      </c>
    </row>
    <row r="519" spans="1:25" x14ac:dyDescent="0.2">
      <c r="A519" s="83">
        <v>1</v>
      </c>
      <c r="B519" s="84">
        <v>5701603302318</v>
      </c>
      <c r="C519" s="83">
        <v>50</v>
      </c>
      <c r="D519" s="84">
        <v>5980933302</v>
      </c>
      <c r="F519" s="83" t="s">
        <v>103</v>
      </c>
      <c r="G519" s="83">
        <v>0</v>
      </c>
      <c r="H519" s="83">
        <v>100</v>
      </c>
      <c r="K519" s="83">
        <v>1</v>
      </c>
      <c r="L519" s="83" t="s">
        <v>101</v>
      </c>
      <c r="M519" s="83" t="s">
        <v>410</v>
      </c>
      <c r="N519" s="83" t="s">
        <v>102</v>
      </c>
      <c r="P519" s="83">
        <v>0</v>
      </c>
      <c r="U519" s="83">
        <v>4</v>
      </c>
      <c r="V519" s="83">
        <v>1</v>
      </c>
      <c r="W519" s="83" t="s">
        <v>103</v>
      </c>
      <c r="X519" s="83">
        <v>0</v>
      </c>
    </row>
    <row r="520" spans="1:25" x14ac:dyDescent="0.2">
      <c r="A520" s="83">
        <v>1</v>
      </c>
      <c r="B520" s="84">
        <v>5701603302318</v>
      </c>
      <c r="C520" s="83">
        <v>60</v>
      </c>
      <c r="D520" s="84">
        <v>1010286</v>
      </c>
      <c r="F520" s="83" t="s">
        <v>103</v>
      </c>
      <c r="G520" s="83">
        <v>0</v>
      </c>
      <c r="H520" s="83">
        <v>100</v>
      </c>
      <c r="K520" s="83">
        <v>8</v>
      </c>
      <c r="L520" s="83" t="s">
        <v>101</v>
      </c>
      <c r="M520" s="83" t="s">
        <v>410</v>
      </c>
      <c r="N520" s="83" t="s">
        <v>102</v>
      </c>
      <c r="P520" s="83">
        <v>0</v>
      </c>
      <c r="U520" s="83">
        <v>4</v>
      </c>
      <c r="V520" s="83">
        <v>1</v>
      </c>
      <c r="W520" s="83" t="s">
        <v>103</v>
      </c>
      <c r="X520" s="83">
        <v>0</v>
      </c>
    </row>
    <row r="521" spans="1:25" x14ac:dyDescent="0.2">
      <c r="A521" s="83">
        <v>1</v>
      </c>
      <c r="B521" s="84">
        <v>5701603302318</v>
      </c>
      <c r="C521" s="83">
        <v>70</v>
      </c>
      <c r="D521" s="84">
        <v>1010288</v>
      </c>
      <c r="F521" s="83" t="s">
        <v>103</v>
      </c>
      <c r="G521" s="83">
        <v>0</v>
      </c>
      <c r="H521" s="83">
        <v>100</v>
      </c>
      <c r="K521" s="83">
        <v>4</v>
      </c>
      <c r="L521" s="83" t="s">
        <v>101</v>
      </c>
      <c r="M521" s="83" t="s">
        <v>410</v>
      </c>
      <c r="N521" s="83" t="s">
        <v>102</v>
      </c>
      <c r="P521" s="83">
        <v>0</v>
      </c>
      <c r="U521" s="83">
        <v>4</v>
      </c>
      <c r="V521" s="83">
        <v>1</v>
      </c>
      <c r="W521" s="83" t="s">
        <v>103</v>
      </c>
      <c r="X521" s="83">
        <v>0</v>
      </c>
    </row>
    <row r="522" spans="1:25" x14ac:dyDescent="0.2">
      <c r="A522" s="83">
        <v>1</v>
      </c>
      <c r="B522" s="84">
        <v>5701603302318</v>
      </c>
      <c r="C522" s="83">
        <v>80</v>
      </c>
      <c r="D522" s="84">
        <v>1020145</v>
      </c>
      <c r="F522" s="83" t="s">
        <v>103</v>
      </c>
      <c r="G522" s="83">
        <v>0</v>
      </c>
      <c r="H522" s="83">
        <v>100</v>
      </c>
      <c r="K522" s="83" t="s">
        <v>408</v>
      </c>
      <c r="L522" s="83" t="s">
        <v>101</v>
      </c>
      <c r="M522" s="83" t="s">
        <v>410</v>
      </c>
      <c r="N522" s="83" t="s">
        <v>102</v>
      </c>
      <c r="P522" s="83">
        <v>0</v>
      </c>
      <c r="U522" s="83">
        <v>4</v>
      </c>
      <c r="V522" s="83">
        <v>1</v>
      </c>
      <c r="W522" s="83" t="s">
        <v>103</v>
      </c>
      <c r="X522" s="83">
        <v>0</v>
      </c>
    </row>
    <row r="523" spans="1:25" x14ac:dyDescent="0.2">
      <c r="A523" s="83">
        <v>1</v>
      </c>
      <c r="B523" s="84">
        <v>5701603302318</v>
      </c>
      <c r="C523" s="83">
        <v>90</v>
      </c>
      <c r="D523" s="84">
        <v>777500318</v>
      </c>
      <c r="F523" s="83" t="s">
        <v>103</v>
      </c>
      <c r="G523" s="83">
        <v>0</v>
      </c>
      <c r="H523" s="83">
        <v>100</v>
      </c>
      <c r="K523" s="83">
        <v>1</v>
      </c>
      <c r="L523" s="83" t="s">
        <v>101</v>
      </c>
      <c r="M523" s="83" t="s">
        <v>410</v>
      </c>
      <c r="N523" s="83" t="s">
        <v>102</v>
      </c>
      <c r="P523" s="83">
        <v>0</v>
      </c>
      <c r="U523" s="83">
        <v>4</v>
      </c>
      <c r="V523" s="83">
        <v>1</v>
      </c>
      <c r="W523" s="83" t="s">
        <v>103</v>
      </c>
      <c r="X523" s="83">
        <v>0</v>
      </c>
    </row>
    <row r="524" spans="1:25" x14ac:dyDescent="0.2">
      <c r="A524" s="83">
        <v>1</v>
      </c>
      <c r="B524" s="84">
        <v>5701603303318</v>
      </c>
      <c r="C524" s="83">
        <v>10</v>
      </c>
      <c r="D524" s="84">
        <v>5980463303</v>
      </c>
      <c r="F524" s="83" t="s">
        <v>103</v>
      </c>
      <c r="G524" s="83">
        <v>0</v>
      </c>
      <c r="H524" s="83">
        <v>100</v>
      </c>
      <c r="K524" s="83">
        <v>1</v>
      </c>
      <c r="L524" s="83" t="s">
        <v>101</v>
      </c>
      <c r="M524" s="83" t="s">
        <v>410</v>
      </c>
      <c r="N524" s="83" t="s">
        <v>102</v>
      </c>
      <c r="P524" s="83">
        <v>0</v>
      </c>
      <c r="U524" s="83">
        <v>4</v>
      </c>
      <c r="V524" s="83">
        <v>1</v>
      </c>
      <c r="W524" s="83" t="s">
        <v>103</v>
      </c>
      <c r="X524" s="83">
        <v>0</v>
      </c>
      <c r="Y524" s="83" t="str">
        <f>LEFT(D524,6)</f>
        <v>598046</v>
      </c>
    </row>
    <row r="525" spans="1:25" x14ac:dyDescent="0.2">
      <c r="A525" s="83">
        <v>1</v>
      </c>
      <c r="B525" s="84">
        <v>5701603303318</v>
      </c>
      <c r="C525" s="83">
        <v>20</v>
      </c>
      <c r="D525" s="84">
        <v>5980543303</v>
      </c>
      <c r="F525" s="83" t="s">
        <v>103</v>
      </c>
      <c r="G525" s="83">
        <v>0</v>
      </c>
      <c r="H525" s="83">
        <v>100</v>
      </c>
      <c r="K525" s="83">
        <v>1</v>
      </c>
      <c r="L525" s="83" t="s">
        <v>101</v>
      </c>
      <c r="M525" s="83" t="s">
        <v>410</v>
      </c>
      <c r="N525" s="83" t="s">
        <v>102</v>
      </c>
      <c r="P525" s="83">
        <v>0</v>
      </c>
      <c r="U525" s="83">
        <v>4</v>
      </c>
      <c r="V525" s="83">
        <v>1</v>
      </c>
      <c r="W525" s="83" t="s">
        <v>103</v>
      </c>
      <c r="X525" s="83">
        <v>0</v>
      </c>
    </row>
    <row r="526" spans="1:25" x14ac:dyDescent="0.2">
      <c r="A526" s="83">
        <v>1</v>
      </c>
      <c r="B526" s="84">
        <v>5701603303318</v>
      </c>
      <c r="C526" s="83">
        <v>30</v>
      </c>
      <c r="D526" s="84">
        <v>5980623303</v>
      </c>
      <c r="F526" s="83" t="s">
        <v>103</v>
      </c>
      <c r="G526" s="83">
        <v>0</v>
      </c>
      <c r="H526" s="83">
        <v>100</v>
      </c>
      <c r="K526" s="83">
        <v>1</v>
      </c>
      <c r="L526" s="83" t="s">
        <v>101</v>
      </c>
      <c r="M526" s="83" t="s">
        <v>410</v>
      </c>
      <c r="N526" s="83" t="s">
        <v>102</v>
      </c>
      <c r="P526" s="83">
        <v>0</v>
      </c>
      <c r="U526" s="83">
        <v>4</v>
      </c>
      <c r="V526" s="83">
        <v>1</v>
      </c>
      <c r="W526" s="83" t="s">
        <v>103</v>
      </c>
      <c r="X526" s="83">
        <v>0</v>
      </c>
    </row>
    <row r="527" spans="1:25" x14ac:dyDescent="0.2">
      <c r="A527" s="83">
        <v>1</v>
      </c>
      <c r="B527" s="84">
        <v>5701603303318</v>
      </c>
      <c r="C527" s="83">
        <v>40</v>
      </c>
      <c r="D527" s="84">
        <v>5980823303</v>
      </c>
      <c r="F527" s="83" t="s">
        <v>103</v>
      </c>
      <c r="G527" s="83">
        <v>0</v>
      </c>
      <c r="H527" s="83">
        <v>100</v>
      </c>
      <c r="K527" s="83">
        <v>1</v>
      </c>
      <c r="L527" s="83" t="s">
        <v>101</v>
      </c>
      <c r="M527" s="83" t="s">
        <v>410</v>
      </c>
      <c r="N527" s="83" t="s">
        <v>102</v>
      </c>
      <c r="P527" s="83">
        <v>0</v>
      </c>
      <c r="U527" s="83">
        <v>4</v>
      </c>
      <c r="V527" s="83">
        <v>1</v>
      </c>
      <c r="W527" s="83" t="s">
        <v>103</v>
      </c>
      <c r="X527" s="83">
        <v>0</v>
      </c>
    </row>
    <row r="528" spans="1:25" x14ac:dyDescent="0.2">
      <c r="A528" s="83">
        <v>1</v>
      </c>
      <c r="B528" s="84">
        <v>5701603303318</v>
      </c>
      <c r="C528" s="83">
        <v>50</v>
      </c>
      <c r="D528" s="84">
        <v>5980933303</v>
      </c>
      <c r="F528" s="83" t="s">
        <v>103</v>
      </c>
      <c r="G528" s="83">
        <v>0</v>
      </c>
      <c r="H528" s="83">
        <v>100</v>
      </c>
      <c r="K528" s="83">
        <v>1</v>
      </c>
      <c r="L528" s="83" t="s">
        <v>101</v>
      </c>
      <c r="M528" s="83" t="s">
        <v>410</v>
      </c>
      <c r="N528" s="83" t="s">
        <v>102</v>
      </c>
      <c r="P528" s="83">
        <v>0</v>
      </c>
      <c r="U528" s="83">
        <v>4</v>
      </c>
      <c r="V528" s="83">
        <v>1</v>
      </c>
      <c r="W528" s="83" t="s">
        <v>103</v>
      </c>
      <c r="X528" s="83">
        <v>0</v>
      </c>
    </row>
    <row r="529" spans="1:25" x14ac:dyDescent="0.2">
      <c r="A529" s="83">
        <v>1</v>
      </c>
      <c r="B529" s="84">
        <v>5701603303318</v>
      </c>
      <c r="C529" s="83">
        <v>60</v>
      </c>
      <c r="D529" s="84">
        <v>1010286</v>
      </c>
      <c r="F529" s="83" t="s">
        <v>103</v>
      </c>
      <c r="G529" s="83">
        <v>0</v>
      </c>
      <c r="H529" s="83">
        <v>100</v>
      </c>
      <c r="K529" s="83">
        <v>8</v>
      </c>
      <c r="L529" s="83" t="s">
        <v>101</v>
      </c>
      <c r="M529" s="83" t="s">
        <v>410</v>
      </c>
      <c r="N529" s="83" t="s">
        <v>102</v>
      </c>
      <c r="P529" s="83">
        <v>0</v>
      </c>
      <c r="U529" s="83">
        <v>4</v>
      </c>
      <c r="V529" s="83">
        <v>1</v>
      </c>
      <c r="W529" s="83" t="s">
        <v>103</v>
      </c>
      <c r="X529" s="83">
        <v>0</v>
      </c>
    </row>
    <row r="530" spans="1:25" x14ac:dyDescent="0.2">
      <c r="A530" s="83">
        <v>1</v>
      </c>
      <c r="B530" s="84">
        <v>5701603303318</v>
      </c>
      <c r="C530" s="83">
        <v>70</v>
      </c>
      <c r="D530" s="84">
        <v>1010287</v>
      </c>
      <c r="F530" s="83" t="s">
        <v>103</v>
      </c>
      <c r="G530" s="83">
        <v>0</v>
      </c>
      <c r="H530" s="83">
        <v>100</v>
      </c>
      <c r="K530" s="83">
        <v>4</v>
      </c>
      <c r="L530" s="83" t="s">
        <v>101</v>
      </c>
      <c r="M530" s="83" t="s">
        <v>410</v>
      </c>
      <c r="N530" s="83" t="s">
        <v>102</v>
      </c>
      <c r="P530" s="83">
        <v>0</v>
      </c>
      <c r="U530" s="83">
        <v>4</v>
      </c>
      <c r="V530" s="83">
        <v>1</v>
      </c>
      <c r="W530" s="83" t="s">
        <v>103</v>
      </c>
      <c r="X530" s="83">
        <v>0</v>
      </c>
    </row>
    <row r="531" spans="1:25" x14ac:dyDescent="0.2">
      <c r="A531" s="83">
        <v>1</v>
      </c>
      <c r="B531" s="84">
        <v>5701603303318</v>
      </c>
      <c r="C531" s="83">
        <v>80</v>
      </c>
      <c r="D531" s="84">
        <v>1020145</v>
      </c>
      <c r="F531" s="83" t="s">
        <v>103</v>
      </c>
      <c r="G531" s="83">
        <v>0</v>
      </c>
      <c r="H531" s="83">
        <v>100</v>
      </c>
      <c r="K531" s="83" t="s">
        <v>408</v>
      </c>
      <c r="L531" s="83" t="s">
        <v>101</v>
      </c>
      <c r="M531" s="83" t="s">
        <v>410</v>
      </c>
      <c r="N531" s="83" t="s">
        <v>102</v>
      </c>
      <c r="P531" s="83">
        <v>0</v>
      </c>
      <c r="U531" s="83">
        <v>4</v>
      </c>
      <c r="V531" s="83">
        <v>1</v>
      </c>
      <c r="W531" s="83" t="s">
        <v>103</v>
      </c>
      <c r="X531" s="83">
        <v>0</v>
      </c>
    </row>
    <row r="532" spans="1:25" x14ac:dyDescent="0.2">
      <c r="A532" s="83">
        <v>1</v>
      </c>
      <c r="B532" s="84">
        <v>5701603303318</v>
      </c>
      <c r="C532" s="83">
        <v>90</v>
      </c>
      <c r="D532" s="84">
        <v>777500318</v>
      </c>
      <c r="F532" s="83" t="s">
        <v>103</v>
      </c>
      <c r="G532" s="83">
        <v>0</v>
      </c>
      <c r="H532" s="83">
        <v>100</v>
      </c>
      <c r="K532" s="83">
        <v>1</v>
      </c>
      <c r="L532" s="83" t="s">
        <v>101</v>
      </c>
      <c r="M532" s="83" t="s">
        <v>410</v>
      </c>
      <c r="N532" s="83" t="s">
        <v>102</v>
      </c>
      <c r="P532" s="83">
        <v>0</v>
      </c>
      <c r="U532" s="83">
        <v>4</v>
      </c>
      <c r="V532" s="83">
        <v>1</v>
      </c>
      <c r="W532" s="83" t="s">
        <v>103</v>
      </c>
      <c r="X532" s="83">
        <v>0</v>
      </c>
    </row>
    <row r="533" spans="1:25" x14ac:dyDescent="0.2">
      <c r="A533" s="83">
        <v>1</v>
      </c>
      <c r="B533" s="84">
        <v>5701603304318</v>
      </c>
      <c r="C533" s="83">
        <v>10</v>
      </c>
      <c r="D533" s="84">
        <v>5980463304</v>
      </c>
      <c r="F533" s="83" t="s">
        <v>103</v>
      </c>
      <c r="G533" s="83">
        <v>0</v>
      </c>
      <c r="H533" s="83">
        <v>100</v>
      </c>
      <c r="K533" s="83">
        <v>1</v>
      </c>
      <c r="L533" s="83" t="s">
        <v>101</v>
      </c>
      <c r="M533" s="83" t="s">
        <v>410</v>
      </c>
      <c r="N533" s="83" t="s">
        <v>102</v>
      </c>
      <c r="P533" s="83">
        <v>0</v>
      </c>
      <c r="U533" s="83">
        <v>4</v>
      </c>
      <c r="V533" s="83">
        <v>1</v>
      </c>
      <c r="W533" s="83" t="s">
        <v>103</v>
      </c>
      <c r="X533" s="83">
        <v>0</v>
      </c>
      <c r="Y533" s="83" t="str">
        <f>LEFT(D533,6)</f>
        <v>598046</v>
      </c>
    </row>
    <row r="534" spans="1:25" x14ac:dyDescent="0.2">
      <c r="A534" s="83">
        <v>1</v>
      </c>
      <c r="B534" s="84">
        <v>5701603304318</v>
      </c>
      <c r="C534" s="83">
        <v>20</v>
      </c>
      <c r="D534" s="84">
        <v>5980543304</v>
      </c>
      <c r="F534" s="83" t="s">
        <v>103</v>
      </c>
      <c r="G534" s="83">
        <v>0</v>
      </c>
      <c r="H534" s="83">
        <v>100</v>
      </c>
      <c r="K534" s="83">
        <v>1</v>
      </c>
      <c r="L534" s="83" t="s">
        <v>101</v>
      </c>
      <c r="M534" s="83" t="s">
        <v>410</v>
      </c>
      <c r="N534" s="83" t="s">
        <v>102</v>
      </c>
      <c r="P534" s="83">
        <v>0</v>
      </c>
      <c r="U534" s="83">
        <v>4</v>
      </c>
      <c r="V534" s="83">
        <v>1</v>
      </c>
      <c r="W534" s="83" t="s">
        <v>103</v>
      </c>
      <c r="X534" s="83">
        <v>0</v>
      </c>
    </row>
    <row r="535" spans="1:25" x14ac:dyDescent="0.2">
      <c r="A535" s="83">
        <v>1</v>
      </c>
      <c r="B535" s="84">
        <v>5701603304318</v>
      </c>
      <c r="C535" s="83">
        <v>30</v>
      </c>
      <c r="D535" s="84">
        <v>5980623304</v>
      </c>
      <c r="F535" s="83" t="s">
        <v>103</v>
      </c>
      <c r="G535" s="83">
        <v>0</v>
      </c>
      <c r="H535" s="83">
        <v>100</v>
      </c>
      <c r="K535" s="83">
        <v>1</v>
      </c>
      <c r="L535" s="83" t="s">
        <v>101</v>
      </c>
      <c r="M535" s="83" t="s">
        <v>410</v>
      </c>
      <c r="N535" s="83" t="s">
        <v>102</v>
      </c>
      <c r="P535" s="83">
        <v>0</v>
      </c>
      <c r="U535" s="83">
        <v>4</v>
      </c>
      <c r="V535" s="83">
        <v>1</v>
      </c>
      <c r="W535" s="83" t="s">
        <v>103</v>
      </c>
      <c r="X535" s="83">
        <v>0</v>
      </c>
    </row>
    <row r="536" spans="1:25" x14ac:dyDescent="0.2">
      <c r="A536" s="83">
        <v>1</v>
      </c>
      <c r="B536" s="84">
        <v>5701603304318</v>
      </c>
      <c r="C536" s="83">
        <v>40</v>
      </c>
      <c r="D536" s="84">
        <v>5980823304</v>
      </c>
      <c r="F536" s="83" t="s">
        <v>103</v>
      </c>
      <c r="G536" s="83">
        <v>0</v>
      </c>
      <c r="H536" s="83">
        <v>100</v>
      </c>
      <c r="K536" s="83">
        <v>1</v>
      </c>
      <c r="L536" s="83" t="s">
        <v>101</v>
      </c>
      <c r="M536" s="83" t="s">
        <v>410</v>
      </c>
      <c r="N536" s="83" t="s">
        <v>102</v>
      </c>
      <c r="P536" s="83">
        <v>0</v>
      </c>
      <c r="U536" s="83">
        <v>4</v>
      </c>
      <c r="V536" s="83">
        <v>1</v>
      </c>
      <c r="W536" s="83" t="s">
        <v>103</v>
      </c>
      <c r="X536" s="83">
        <v>0</v>
      </c>
    </row>
    <row r="537" spans="1:25" x14ac:dyDescent="0.2">
      <c r="A537" s="83">
        <v>1</v>
      </c>
      <c r="B537" s="84">
        <v>5701603304318</v>
      </c>
      <c r="C537" s="83">
        <v>50</v>
      </c>
      <c r="D537" s="84">
        <v>5980933304</v>
      </c>
      <c r="F537" s="83" t="s">
        <v>103</v>
      </c>
      <c r="G537" s="83">
        <v>0</v>
      </c>
      <c r="H537" s="83">
        <v>100</v>
      </c>
      <c r="K537" s="83">
        <v>1</v>
      </c>
      <c r="L537" s="83" t="s">
        <v>101</v>
      </c>
      <c r="M537" s="83" t="s">
        <v>410</v>
      </c>
      <c r="N537" s="83" t="s">
        <v>102</v>
      </c>
      <c r="P537" s="83">
        <v>0</v>
      </c>
      <c r="U537" s="83">
        <v>4</v>
      </c>
      <c r="V537" s="83">
        <v>1</v>
      </c>
      <c r="W537" s="83" t="s">
        <v>103</v>
      </c>
      <c r="X537" s="83">
        <v>0</v>
      </c>
    </row>
    <row r="538" spans="1:25" x14ac:dyDescent="0.2">
      <c r="A538" s="83">
        <v>1</v>
      </c>
      <c r="B538" s="84">
        <v>5701603304318</v>
      </c>
      <c r="C538" s="83">
        <v>60</v>
      </c>
      <c r="D538" s="84">
        <v>1010286</v>
      </c>
      <c r="F538" s="83" t="s">
        <v>103</v>
      </c>
      <c r="G538" s="83">
        <v>0</v>
      </c>
      <c r="H538" s="83">
        <v>100</v>
      </c>
      <c r="K538" s="83">
        <v>8</v>
      </c>
      <c r="L538" s="83" t="s">
        <v>101</v>
      </c>
      <c r="M538" s="83" t="s">
        <v>410</v>
      </c>
      <c r="N538" s="83" t="s">
        <v>102</v>
      </c>
      <c r="P538" s="83">
        <v>0</v>
      </c>
      <c r="U538" s="83">
        <v>4</v>
      </c>
      <c r="V538" s="83">
        <v>1</v>
      </c>
      <c r="W538" s="83" t="s">
        <v>103</v>
      </c>
      <c r="X538" s="83">
        <v>0</v>
      </c>
    </row>
    <row r="539" spans="1:25" x14ac:dyDescent="0.2">
      <c r="A539" s="83">
        <v>1</v>
      </c>
      <c r="B539" s="84">
        <v>5701603304318</v>
      </c>
      <c r="C539" s="83">
        <v>70</v>
      </c>
      <c r="D539" s="84">
        <v>1010288</v>
      </c>
      <c r="F539" s="83" t="s">
        <v>103</v>
      </c>
      <c r="G539" s="83">
        <v>0</v>
      </c>
      <c r="H539" s="83">
        <v>100</v>
      </c>
      <c r="K539" s="83">
        <v>4</v>
      </c>
      <c r="L539" s="83" t="s">
        <v>101</v>
      </c>
      <c r="M539" s="83" t="s">
        <v>410</v>
      </c>
      <c r="N539" s="83" t="s">
        <v>102</v>
      </c>
      <c r="P539" s="83">
        <v>0</v>
      </c>
      <c r="U539" s="83">
        <v>4</v>
      </c>
      <c r="V539" s="83">
        <v>1</v>
      </c>
      <c r="W539" s="83" t="s">
        <v>103</v>
      </c>
      <c r="X539" s="83">
        <v>0</v>
      </c>
    </row>
    <row r="540" spans="1:25" x14ac:dyDescent="0.2">
      <c r="A540" s="83">
        <v>1</v>
      </c>
      <c r="B540" s="84">
        <v>5701603304318</v>
      </c>
      <c r="C540" s="83">
        <v>80</v>
      </c>
      <c r="D540" s="84">
        <v>1020145</v>
      </c>
      <c r="F540" s="83" t="s">
        <v>103</v>
      </c>
      <c r="G540" s="83">
        <v>0</v>
      </c>
      <c r="H540" s="83">
        <v>100</v>
      </c>
      <c r="K540" s="83" t="s">
        <v>408</v>
      </c>
      <c r="L540" s="83" t="s">
        <v>101</v>
      </c>
      <c r="M540" s="83" t="s">
        <v>410</v>
      </c>
      <c r="N540" s="83" t="s">
        <v>102</v>
      </c>
      <c r="P540" s="83">
        <v>0</v>
      </c>
      <c r="U540" s="83">
        <v>4</v>
      </c>
      <c r="V540" s="83">
        <v>1</v>
      </c>
      <c r="W540" s="83" t="s">
        <v>103</v>
      </c>
      <c r="X540" s="83">
        <v>0</v>
      </c>
    </row>
    <row r="541" spans="1:25" x14ac:dyDescent="0.2">
      <c r="A541" s="83">
        <v>1</v>
      </c>
      <c r="B541" s="84">
        <v>5701603304318</v>
      </c>
      <c r="C541" s="83">
        <v>90</v>
      </c>
      <c r="D541" s="84">
        <v>777500318</v>
      </c>
      <c r="F541" s="83" t="s">
        <v>103</v>
      </c>
      <c r="G541" s="83">
        <v>0</v>
      </c>
      <c r="H541" s="83">
        <v>100</v>
      </c>
      <c r="K541" s="83">
        <v>1</v>
      </c>
      <c r="L541" s="83" t="s">
        <v>101</v>
      </c>
      <c r="M541" s="83" t="s">
        <v>410</v>
      </c>
      <c r="N541" s="83" t="s">
        <v>102</v>
      </c>
      <c r="P541" s="83">
        <v>0</v>
      </c>
      <c r="U541" s="83">
        <v>4</v>
      </c>
      <c r="V541" s="83">
        <v>1</v>
      </c>
      <c r="W541" s="83" t="s">
        <v>103</v>
      </c>
      <c r="X541" s="83">
        <v>0</v>
      </c>
    </row>
    <row r="542" spans="1:25" x14ac:dyDescent="0.2">
      <c r="A542" s="83">
        <v>1</v>
      </c>
      <c r="B542" s="84">
        <v>5701603305318</v>
      </c>
      <c r="C542" s="83">
        <v>10</v>
      </c>
      <c r="D542" s="84">
        <v>5980463305</v>
      </c>
      <c r="F542" s="83" t="s">
        <v>103</v>
      </c>
      <c r="G542" s="83">
        <v>0</v>
      </c>
      <c r="H542" s="83">
        <v>100</v>
      </c>
      <c r="K542" s="83">
        <v>1</v>
      </c>
      <c r="L542" s="83" t="s">
        <v>101</v>
      </c>
      <c r="M542" s="83" t="s">
        <v>410</v>
      </c>
      <c r="N542" s="83" t="s">
        <v>102</v>
      </c>
      <c r="P542" s="83">
        <v>0</v>
      </c>
      <c r="U542" s="83">
        <v>4</v>
      </c>
      <c r="V542" s="83">
        <v>1</v>
      </c>
      <c r="W542" s="83" t="s">
        <v>103</v>
      </c>
      <c r="X542" s="83">
        <v>0</v>
      </c>
      <c r="Y542" s="83" t="str">
        <f>LEFT(D542,6)</f>
        <v>598046</v>
      </c>
    </row>
    <row r="543" spans="1:25" x14ac:dyDescent="0.2">
      <c r="A543" s="83">
        <v>1</v>
      </c>
      <c r="B543" s="84">
        <v>5701603305318</v>
      </c>
      <c r="C543" s="83">
        <v>20</v>
      </c>
      <c r="D543" s="84">
        <v>5980543305</v>
      </c>
      <c r="F543" s="83" t="s">
        <v>103</v>
      </c>
      <c r="G543" s="83">
        <v>0</v>
      </c>
      <c r="H543" s="83">
        <v>100</v>
      </c>
      <c r="K543" s="83">
        <v>1</v>
      </c>
      <c r="L543" s="83" t="s">
        <v>101</v>
      </c>
      <c r="M543" s="83" t="s">
        <v>410</v>
      </c>
      <c r="N543" s="83" t="s">
        <v>102</v>
      </c>
      <c r="P543" s="83">
        <v>0</v>
      </c>
      <c r="U543" s="83">
        <v>4</v>
      </c>
      <c r="V543" s="83">
        <v>1</v>
      </c>
      <c r="W543" s="83" t="s">
        <v>103</v>
      </c>
      <c r="X543" s="83">
        <v>0</v>
      </c>
    </row>
    <row r="544" spans="1:25" x14ac:dyDescent="0.2">
      <c r="A544" s="83">
        <v>1</v>
      </c>
      <c r="B544" s="84">
        <v>5701603305318</v>
      </c>
      <c r="C544" s="83">
        <v>30</v>
      </c>
      <c r="D544" s="84">
        <v>5980623305</v>
      </c>
      <c r="F544" s="83" t="s">
        <v>103</v>
      </c>
      <c r="G544" s="83">
        <v>0</v>
      </c>
      <c r="H544" s="83">
        <v>100</v>
      </c>
      <c r="K544" s="83">
        <v>1</v>
      </c>
      <c r="L544" s="83" t="s">
        <v>101</v>
      </c>
      <c r="M544" s="83" t="s">
        <v>410</v>
      </c>
      <c r="N544" s="83" t="s">
        <v>102</v>
      </c>
      <c r="P544" s="83">
        <v>0</v>
      </c>
      <c r="U544" s="83">
        <v>4</v>
      </c>
      <c r="V544" s="83">
        <v>1</v>
      </c>
      <c r="W544" s="83" t="s">
        <v>103</v>
      </c>
      <c r="X544" s="83">
        <v>0</v>
      </c>
    </row>
    <row r="545" spans="1:25" x14ac:dyDescent="0.2">
      <c r="A545" s="83">
        <v>1</v>
      </c>
      <c r="B545" s="84">
        <v>5701603305318</v>
      </c>
      <c r="C545" s="83">
        <v>40</v>
      </c>
      <c r="D545" s="84">
        <v>5980823305</v>
      </c>
      <c r="F545" s="83" t="s">
        <v>103</v>
      </c>
      <c r="G545" s="83">
        <v>0</v>
      </c>
      <c r="H545" s="83">
        <v>100</v>
      </c>
      <c r="K545" s="83">
        <v>1</v>
      </c>
      <c r="L545" s="83" t="s">
        <v>101</v>
      </c>
      <c r="M545" s="83" t="s">
        <v>410</v>
      </c>
      <c r="N545" s="83" t="s">
        <v>102</v>
      </c>
      <c r="P545" s="83">
        <v>0</v>
      </c>
      <c r="U545" s="83">
        <v>4</v>
      </c>
      <c r="V545" s="83">
        <v>1</v>
      </c>
      <c r="W545" s="83" t="s">
        <v>103</v>
      </c>
      <c r="X545" s="83">
        <v>0</v>
      </c>
    </row>
    <row r="546" spans="1:25" x14ac:dyDescent="0.2">
      <c r="A546" s="83">
        <v>1</v>
      </c>
      <c r="B546" s="84">
        <v>5701603305318</v>
      </c>
      <c r="C546" s="83">
        <v>50</v>
      </c>
      <c r="D546" s="84">
        <v>5980933305</v>
      </c>
      <c r="F546" s="83" t="s">
        <v>103</v>
      </c>
      <c r="G546" s="83">
        <v>0</v>
      </c>
      <c r="H546" s="83">
        <v>100</v>
      </c>
      <c r="K546" s="83">
        <v>1</v>
      </c>
      <c r="L546" s="83" t="s">
        <v>101</v>
      </c>
      <c r="M546" s="83" t="s">
        <v>410</v>
      </c>
      <c r="N546" s="83" t="s">
        <v>102</v>
      </c>
      <c r="P546" s="83">
        <v>0</v>
      </c>
      <c r="U546" s="83">
        <v>4</v>
      </c>
      <c r="V546" s="83">
        <v>1</v>
      </c>
      <c r="W546" s="83" t="s">
        <v>103</v>
      </c>
      <c r="X546" s="83">
        <v>0</v>
      </c>
    </row>
    <row r="547" spans="1:25" x14ac:dyDescent="0.2">
      <c r="A547" s="83">
        <v>1</v>
      </c>
      <c r="B547" s="84">
        <v>5701603305318</v>
      </c>
      <c r="C547" s="83">
        <v>60</v>
      </c>
      <c r="D547" s="84">
        <v>1010286</v>
      </c>
      <c r="F547" s="83" t="s">
        <v>103</v>
      </c>
      <c r="G547" s="83">
        <v>0</v>
      </c>
      <c r="H547" s="83">
        <v>100</v>
      </c>
      <c r="K547" s="83">
        <v>8</v>
      </c>
      <c r="L547" s="83" t="s">
        <v>101</v>
      </c>
      <c r="M547" s="83" t="s">
        <v>410</v>
      </c>
      <c r="N547" s="83" t="s">
        <v>102</v>
      </c>
      <c r="P547" s="83">
        <v>0</v>
      </c>
      <c r="U547" s="83">
        <v>4</v>
      </c>
      <c r="V547" s="83">
        <v>1</v>
      </c>
      <c r="W547" s="83" t="s">
        <v>103</v>
      </c>
      <c r="X547" s="83">
        <v>0</v>
      </c>
    </row>
    <row r="548" spans="1:25" x14ac:dyDescent="0.2">
      <c r="A548" s="83">
        <v>1</v>
      </c>
      <c r="B548" s="84">
        <v>5701603305318</v>
      </c>
      <c r="C548" s="83">
        <v>70</v>
      </c>
      <c r="D548" s="84">
        <v>1010288</v>
      </c>
      <c r="F548" s="83" t="s">
        <v>103</v>
      </c>
      <c r="G548" s="83">
        <v>0</v>
      </c>
      <c r="H548" s="83">
        <v>100</v>
      </c>
      <c r="K548" s="83">
        <v>4</v>
      </c>
      <c r="L548" s="83" t="s">
        <v>101</v>
      </c>
      <c r="M548" s="83" t="s">
        <v>410</v>
      </c>
      <c r="N548" s="83" t="s">
        <v>102</v>
      </c>
      <c r="P548" s="83">
        <v>0</v>
      </c>
      <c r="U548" s="83">
        <v>4</v>
      </c>
      <c r="V548" s="83">
        <v>1</v>
      </c>
      <c r="W548" s="83" t="s">
        <v>103</v>
      </c>
      <c r="X548" s="83">
        <v>0</v>
      </c>
    </row>
    <row r="549" spans="1:25" x14ac:dyDescent="0.2">
      <c r="A549" s="83">
        <v>1</v>
      </c>
      <c r="B549" s="84">
        <v>5701603305318</v>
      </c>
      <c r="C549" s="83">
        <v>80</v>
      </c>
      <c r="D549" s="84">
        <v>1020145</v>
      </c>
      <c r="F549" s="83" t="s">
        <v>103</v>
      </c>
      <c r="G549" s="83">
        <v>0</v>
      </c>
      <c r="H549" s="83">
        <v>100</v>
      </c>
      <c r="K549" s="83" t="s">
        <v>408</v>
      </c>
      <c r="L549" s="83" t="s">
        <v>101</v>
      </c>
      <c r="M549" s="83" t="s">
        <v>410</v>
      </c>
      <c r="N549" s="83" t="s">
        <v>102</v>
      </c>
      <c r="P549" s="83">
        <v>0</v>
      </c>
      <c r="U549" s="83">
        <v>4</v>
      </c>
      <c r="V549" s="83">
        <v>1</v>
      </c>
      <c r="W549" s="83" t="s">
        <v>103</v>
      </c>
      <c r="X549" s="83">
        <v>0</v>
      </c>
    </row>
    <row r="550" spans="1:25" x14ac:dyDescent="0.2">
      <c r="A550" s="83">
        <v>1</v>
      </c>
      <c r="B550" s="84">
        <v>5701603305318</v>
      </c>
      <c r="C550" s="83">
        <v>90</v>
      </c>
      <c r="D550" s="84">
        <v>777500318</v>
      </c>
      <c r="F550" s="83" t="s">
        <v>103</v>
      </c>
      <c r="G550" s="83">
        <v>0</v>
      </c>
      <c r="H550" s="83">
        <v>100</v>
      </c>
      <c r="K550" s="83">
        <v>1</v>
      </c>
      <c r="L550" s="83" t="s">
        <v>101</v>
      </c>
      <c r="M550" s="83" t="s">
        <v>410</v>
      </c>
      <c r="N550" s="83" t="s">
        <v>102</v>
      </c>
      <c r="P550" s="83">
        <v>0</v>
      </c>
      <c r="U550" s="83">
        <v>4</v>
      </c>
      <c r="V550" s="83">
        <v>1</v>
      </c>
      <c r="W550" s="83" t="s">
        <v>103</v>
      </c>
      <c r="X550" s="83">
        <v>0</v>
      </c>
    </row>
    <row r="551" spans="1:25" x14ac:dyDescent="0.2">
      <c r="A551" s="83">
        <v>1</v>
      </c>
      <c r="B551" s="84">
        <v>5701603306318</v>
      </c>
      <c r="C551" s="83">
        <v>10</v>
      </c>
      <c r="D551" s="84">
        <v>5980463306</v>
      </c>
      <c r="F551" s="83" t="s">
        <v>103</v>
      </c>
      <c r="G551" s="83">
        <v>0</v>
      </c>
      <c r="H551" s="83">
        <v>100</v>
      </c>
      <c r="K551" s="83">
        <v>1</v>
      </c>
      <c r="L551" s="83" t="s">
        <v>101</v>
      </c>
      <c r="M551" s="83" t="s">
        <v>410</v>
      </c>
      <c r="N551" s="83" t="s">
        <v>102</v>
      </c>
      <c r="P551" s="83">
        <v>0</v>
      </c>
      <c r="U551" s="83">
        <v>4</v>
      </c>
      <c r="V551" s="83">
        <v>1</v>
      </c>
      <c r="W551" s="83" t="s">
        <v>103</v>
      </c>
      <c r="X551" s="83">
        <v>0</v>
      </c>
      <c r="Y551" s="83" t="str">
        <f>LEFT(D551,6)</f>
        <v>598046</v>
      </c>
    </row>
    <row r="552" spans="1:25" x14ac:dyDescent="0.2">
      <c r="A552" s="83">
        <v>1</v>
      </c>
      <c r="B552" s="84">
        <v>5701603306318</v>
      </c>
      <c r="C552" s="83">
        <v>20</v>
      </c>
      <c r="D552" s="84">
        <v>5980543306</v>
      </c>
      <c r="F552" s="83" t="s">
        <v>103</v>
      </c>
      <c r="G552" s="83">
        <v>0</v>
      </c>
      <c r="H552" s="83">
        <v>100</v>
      </c>
      <c r="K552" s="83">
        <v>1</v>
      </c>
      <c r="L552" s="83" t="s">
        <v>101</v>
      </c>
      <c r="M552" s="83" t="s">
        <v>410</v>
      </c>
      <c r="N552" s="83" t="s">
        <v>102</v>
      </c>
      <c r="P552" s="83">
        <v>0</v>
      </c>
      <c r="U552" s="83">
        <v>4</v>
      </c>
      <c r="V552" s="83">
        <v>1</v>
      </c>
      <c r="W552" s="83" t="s">
        <v>103</v>
      </c>
      <c r="X552" s="83">
        <v>0</v>
      </c>
    </row>
    <row r="553" spans="1:25" x14ac:dyDescent="0.2">
      <c r="A553" s="83">
        <v>1</v>
      </c>
      <c r="B553" s="84">
        <v>5701603306318</v>
      </c>
      <c r="C553" s="83">
        <v>30</v>
      </c>
      <c r="D553" s="84">
        <v>5980623306</v>
      </c>
      <c r="F553" s="83" t="s">
        <v>103</v>
      </c>
      <c r="G553" s="83">
        <v>0</v>
      </c>
      <c r="H553" s="83">
        <v>100</v>
      </c>
      <c r="K553" s="83">
        <v>1</v>
      </c>
      <c r="L553" s="83" t="s">
        <v>101</v>
      </c>
      <c r="M553" s="83" t="s">
        <v>410</v>
      </c>
      <c r="N553" s="83" t="s">
        <v>102</v>
      </c>
      <c r="P553" s="83">
        <v>0</v>
      </c>
      <c r="U553" s="83">
        <v>4</v>
      </c>
      <c r="V553" s="83">
        <v>1</v>
      </c>
      <c r="W553" s="83" t="s">
        <v>103</v>
      </c>
      <c r="X553" s="83">
        <v>0</v>
      </c>
    </row>
    <row r="554" spans="1:25" x14ac:dyDescent="0.2">
      <c r="A554" s="83">
        <v>1</v>
      </c>
      <c r="B554" s="84">
        <v>5701603306318</v>
      </c>
      <c r="C554" s="83">
        <v>40</v>
      </c>
      <c r="D554" s="84">
        <v>5980823306</v>
      </c>
      <c r="F554" s="83" t="s">
        <v>103</v>
      </c>
      <c r="G554" s="83">
        <v>0</v>
      </c>
      <c r="H554" s="83">
        <v>100</v>
      </c>
      <c r="K554" s="83">
        <v>1</v>
      </c>
      <c r="L554" s="83" t="s">
        <v>101</v>
      </c>
      <c r="M554" s="83" t="s">
        <v>410</v>
      </c>
      <c r="N554" s="83" t="s">
        <v>102</v>
      </c>
      <c r="P554" s="83">
        <v>0</v>
      </c>
      <c r="U554" s="83">
        <v>4</v>
      </c>
      <c r="V554" s="83">
        <v>1</v>
      </c>
      <c r="W554" s="83" t="s">
        <v>103</v>
      </c>
      <c r="X554" s="83">
        <v>0</v>
      </c>
    </row>
    <row r="555" spans="1:25" x14ac:dyDescent="0.2">
      <c r="A555" s="83">
        <v>1</v>
      </c>
      <c r="B555" s="84">
        <v>5701603306318</v>
      </c>
      <c r="C555" s="83">
        <v>50</v>
      </c>
      <c r="D555" s="84">
        <v>5980933306</v>
      </c>
      <c r="F555" s="83" t="s">
        <v>103</v>
      </c>
      <c r="G555" s="83">
        <v>0</v>
      </c>
      <c r="H555" s="83">
        <v>100</v>
      </c>
      <c r="K555" s="83">
        <v>1</v>
      </c>
      <c r="L555" s="83" t="s">
        <v>101</v>
      </c>
      <c r="M555" s="83" t="s">
        <v>410</v>
      </c>
      <c r="N555" s="83" t="s">
        <v>102</v>
      </c>
      <c r="P555" s="83">
        <v>0</v>
      </c>
      <c r="U555" s="83">
        <v>4</v>
      </c>
      <c r="V555" s="83">
        <v>1</v>
      </c>
      <c r="W555" s="83" t="s">
        <v>103</v>
      </c>
      <c r="X555" s="83">
        <v>0</v>
      </c>
    </row>
    <row r="556" spans="1:25" x14ac:dyDescent="0.2">
      <c r="A556" s="83">
        <v>1</v>
      </c>
      <c r="B556" s="84">
        <v>5701603306318</v>
      </c>
      <c r="C556" s="83">
        <v>60</v>
      </c>
      <c r="D556" s="84">
        <v>1010286</v>
      </c>
      <c r="F556" s="83" t="s">
        <v>103</v>
      </c>
      <c r="G556" s="83">
        <v>0</v>
      </c>
      <c r="H556" s="83">
        <v>100</v>
      </c>
      <c r="K556" s="83">
        <v>8</v>
      </c>
      <c r="L556" s="83" t="s">
        <v>101</v>
      </c>
      <c r="M556" s="83" t="s">
        <v>410</v>
      </c>
      <c r="N556" s="83" t="s">
        <v>102</v>
      </c>
      <c r="P556" s="83">
        <v>0</v>
      </c>
      <c r="U556" s="83">
        <v>4</v>
      </c>
      <c r="V556" s="83">
        <v>1</v>
      </c>
      <c r="W556" s="83" t="s">
        <v>103</v>
      </c>
      <c r="X556" s="83">
        <v>0</v>
      </c>
    </row>
    <row r="557" spans="1:25" x14ac:dyDescent="0.2">
      <c r="A557" s="83">
        <v>1</v>
      </c>
      <c r="B557" s="84">
        <v>5701603306318</v>
      </c>
      <c r="C557" s="83">
        <v>70</v>
      </c>
      <c r="D557" s="84">
        <v>1010287</v>
      </c>
      <c r="F557" s="83" t="s">
        <v>103</v>
      </c>
      <c r="G557" s="83">
        <v>0</v>
      </c>
      <c r="H557" s="83">
        <v>100</v>
      </c>
      <c r="K557" s="83">
        <v>4</v>
      </c>
      <c r="L557" s="83" t="s">
        <v>101</v>
      </c>
      <c r="M557" s="83" t="s">
        <v>410</v>
      </c>
      <c r="N557" s="83" t="s">
        <v>102</v>
      </c>
      <c r="P557" s="83">
        <v>0</v>
      </c>
      <c r="U557" s="83">
        <v>4</v>
      </c>
      <c r="V557" s="83">
        <v>1</v>
      </c>
      <c r="W557" s="83" t="s">
        <v>103</v>
      </c>
      <c r="X557" s="83">
        <v>0</v>
      </c>
    </row>
    <row r="558" spans="1:25" x14ac:dyDescent="0.2">
      <c r="A558" s="83">
        <v>1</v>
      </c>
      <c r="B558" s="84">
        <v>5701603306318</v>
      </c>
      <c r="C558" s="83">
        <v>80</v>
      </c>
      <c r="D558" s="84">
        <v>1020145</v>
      </c>
      <c r="F558" s="83" t="s">
        <v>103</v>
      </c>
      <c r="G558" s="83">
        <v>0</v>
      </c>
      <c r="H558" s="83">
        <v>100</v>
      </c>
      <c r="K558" s="83" t="s">
        <v>408</v>
      </c>
      <c r="L558" s="83" t="s">
        <v>101</v>
      </c>
      <c r="M558" s="83" t="s">
        <v>410</v>
      </c>
      <c r="N558" s="83" t="s">
        <v>102</v>
      </c>
      <c r="P558" s="83">
        <v>0</v>
      </c>
      <c r="U558" s="83">
        <v>4</v>
      </c>
      <c r="V558" s="83">
        <v>1</v>
      </c>
      <c r="W558" s="83" t="s">
        <v>103</v>
      </c>
      <c r="X558" s="83">
        <v>0</v>
      </c>
    </row>
    <row r="559" spans="1:25" x14ac:dyDescent="0.2">
      <c r="A559" s="83">
        <v>1</v>
      </c>
      <c r="B559" s="84">
        <v>5701603306318</v>
      </c>
      <c r="C559" s="83">
        <v>90</v>
      </c>
      <c r="D559" s="84">
        <v>777500318</v>
      </c>
      <c r="F559" s="83" t="s">
        <v>103</v>
      </c>
      <c r="G559" s="83">
        <v>0</v>
      </c>
      <c r="H559" s="83">
        <v>100</v>
      </c>
      <c r="K559" s="83">
        <v>1</v>
      </c>
      <c r="L559" s="83" t="s">
        <v>101</v>
      </c>
      <c r="M559" s="83" t="s">
        <v>410</v>
      </c>
      <c r="N559" s="83" t="s">
        <v>102</v>
      </c>
      <c r="P559" s="83">
        <v>0</v>
      </c>
      <c r="U559" s="83">
        <v>4</v>
      </c>
      <c r="V559" s="83">
        <v>1</v>
      </c>
      <c r="W559" s="83" t="s">
        <v>103</v>
      </c>
      <c r="X559" s="83">
        <v>0</v>
      </c>
    </row>
    <row r="560" spans="1:25" x14ac:dyDescent="0.2">
      <c r="A560" s="83">
        <v>1</v>
      </c>
      <c r="B560" s="84">
        <v>5701603307318</v>
      </c>
      <c r="C560" s="83">
        <v>10</v>
      </c>
      <c r="D560" s="84">
        <v>5980463307</v>
      </c>
      <c r="F560" s="83" t="s">
        <v>103</v>
      </c>
      <c r="G560" s="83">
        <v>0</v>
      </c>
      <c r="H560" s="83">
        <v>100</v>
      </c>
      <c r="K560" s="83">
        <v>1</v>
      </c>
      <c r="L560" s="83" t="s">
        <v>101</v>
      </c>
      <c r="M560" s="83" t="s">
        <v>410</v>
      </c>
      <c r="N560" s="83" t="s">
        <v>102</v>
      </c>
      <c r="P560" s="83">
        <v>0</v>
      </c>
      <c r="U560" s="83">
        <v>4</v>
      </c>
      <c r="V560" s="83">
        <v>1</v>
      </c>
      <c r="W560" s="83" t="s">
        <v>103</v>
      </c>
      <c r="X560" s="83">
        <v>0</v>
      </c>
      <c r="Y560" s="83" t="str">
        <f>LEFT(D560,6)</f>
        <v>598046</v>
      </c>
    </row>
    <row r="561" spans="1:25" x14ac:dyDescent="0.2">
      <c r="A561" s="83">
        <v>1</v>
      </c>
      <c r="B561" s="84">
        <v>5701603307318</v>
      </c>
      <c r="C561" s="83">
        <v>20</v>
      </c>
      <c r="D561" s="84">
        <v>5980543307</v>
      </c>
      <c r="F561" s="83" t="s">
        <v>103</v>
      </c>
      <c r="G561" s="83">
        <v>0</v>
      </c>
      <c r="H561" s="83">
        <v>100</v>
      </c>
      <c r="K561" s="83">
        <v>1</v>
      </c>
      <c r="L561" s="83" t="s">
        <v>101</v>
      </c>
      <c r="M561" s="83" t="s">
        <v>410</v>
      </c>
      <c r="N561" s="83" t="s">
        <v>102</v>
      </c>
      <c r="P561" s="83">
        <v>0</v>
      </c>
      <c r="U561" s="83">
        <v>4</v>
      </c>
      <c r="V561" s="83">
        <v>1</v>
      </c>
      <c r="W561" s="83" t="s">
        <v>103</v>
      </c>
      <c r="X561" s="83">
        <v>0</v>
      </c>
    </row>
    <row r="562" spans="1:25" x14ac:dyDescent="0.2">
      <c r="A562" s="83">
        <v>1</v>
      </c>
      <c r="B562" s="84">
        <v>5701603307318</v>
      </c>
      <c r="C562" s="83">
        <v>30</v>
      </c>
      <c r="D562" s="84">
        <v>5980623307</v>
      </c>
      <c r="F562" s="83" t="s">
        <v>103</v>
      </c>
      <c r="G562" s="83">
        <v>0</v>
      </c>
      <c r="H562" s="83">
        <v>100</v>
      </c>
      <c r="K562" s="83">
        <v>1</v>
      </c>
      <c r="L562" s="83" t="s">
        <v>101</v>
      </c>
      <c r="M562" s="83" t="s">
        <v>410</v>
      </c>
      <c r="N562" s="83" t="s">
        <v>102</v>
      </c>
      <c r="P562" s="83">
        <v>0</v>
      </c>
      <c r="U562" s="83">
        <v>4</v>
      </c>
      <c r="V562" s="83">
        <v>1</v>
      </c>
      <c r="W562" s="83" t="s">
        <v>103</v>
      </c>
      <c r="X562" s="83">
        <v>0</v>
      </c>
    </row>
    <row r="563" spans="1:25" x14ac:dyDescent="0.2">
      <c r="A563" s="83">
        <v>1</v>
      </c>
      <c r="B563" s="84">
        <v>5701603307318</v>
      </c>
      <c r="C563" s="83">
        <v>40</v>
      </c>
      <c r="D563" s="84">
        <v>5980823307</v>
      </c>
      <c r="F563" s="83" t="s">
        <v>103</v>
      </c>
      <c r="G563" s="83">
        <v>0</v>
      </c>
      <c r="H563" s="83">
        <v>100</v>
      </c>
      <c r="K563" s="83">
        <v>1</v>
      </c>
      <c r="L563" s="83" t="s">
        <v>101</v>
      </c>
      <c r="M563" s="83" t="s">
        <v>410</v>
      </c>
      <c r="N563" s="83" t="s">
        <v>102</v>
      </c>
      <c r="P563" s="83">
        <v>0</v>
      </c>
      <c r="U563" s="83">
        <v>4</v>
      </c>
      <c r="V563" s="83">
        <v>1</v>
      </c>
      <c r="W563" s="83" t="s">
        <v>103</v>
      </c>
      <c r="X563" s="83">
        <v>0</v>
      </c>
    </row>
    <row r="564" spans="1:25" x14ac:dyDescent="0.2">
      <c r="A564" s="83">
        <v>1</v>
      </c>
      <c r="B564" s="84">
        <v>5701603307318</v>
      </c>
      <c r="C564" s="83">
        <v>50</v>
      </c>
      <c r="D564" s="84">
        <v>5980933307</v>
      </c>
      <c r="F564" s="83" t="s">
        <v>103</v>
      </c>
      <c r="G564" s="83">
        <v>0</v>
      </c>
      <c r="H564" s="83">
        <v>100</v>
      </c>
      <c r="K564" s="83">
        <v>1</v>
      </c>
      <c r="L564" s="83" t="s">
        <v>101</v>
      </c>
      <c r="M564" s="83" t="s">
        <v>410</v>
      </c>
      <c r="N564" s="83" t="s">
        <v>102</v>
      </c>
      <c r="P564" s="83">
        <v>0</v>
      </c>
      <c r="U564" s="83">
        <v>4</v>
      </c>
      <c r="V564" s="83">
        <v>1</v>
      </c>
      <c r="W564" s="83" t="s">
        <v>103</v>
      </c>
      <c r="X564" s="83">
        <v>0</v>
      </c>
    </row>
    <row r="565" spans="1:25" x14ac:dyDescent="0.2">
      <c r="A565" s="83">
        <v>1</v>
      </c>
      <c r="B565" s="84">
        <v>5701603307318</v>
      </c>
      <c r="C565" s="83">
        <v>60</v>
      </c>
      <c r="D565" s="84">
        <v>1010286</v>
      </c>
      <c r="F565" s="83" t="s">
        <v>103</v>
      </c>
      <c r="G565" s="83">
        <v>0</v>
      </c>
      <c r="H565" s="83">
        <v>100</v>
      </c>
      <c r="K565" s="83">
        <v>8</v>
      </c>
      <c r="L565" s="83" t="s">
        <v>101</v>
      </c>
      <c r="M565" s="83" t="s">
        <v>410</v>
      </c>
      <c r="N565" s="83" t="s">
        <v>102</v>
      </c>
      <c r="P565" s="83">
        <v>0</v>
      </c>
      <c r="U565" s="83">
        <v>4</v>
      </c>
      <c r="V565" s="83">
        <v>1</v>
      </c>
      <c r="W565" s="83" t="s">
        <v>103</v>
      </c>
      <c r="X565" s="83">
        <v>0</v>
      </c>
    </row>
    <row r="566" spans="1:25" x14ac:dyDescent="0.2">
      <c r="A566" s="83">
        <v>1</v>
      </c>
      <c r="B566" s="84">
        <v>5701603307318</v>
      </c>
      <c r="C566" s="83">
        <v>70</v>
      </c>
      <c r="D566" s="84">
        <v>1010287</v>
      </c>
      <c r="F566" s="83" t="s">
        <v>103</v>
      </c>
      <c r="G566" s="83">
        <v>0</v>
      </c>
      <c r="H566" s="83">
        <v>100</v>
      </c>
      <c r="K566" s="83">
        <v>4</v>
      </c>
      <c r="L566" s="83" t="s">
        <v>101</v>
      </c>
      <c r="M566" s="83" t="s">
        <v>410</v>
      </c>
      <c r="N566" s="83" t="s">
        <v>102</v>
      </c>
      <c r="P566" s="83">
        <v>0</v>
      </c>
      <c r="U566" s="83">
        <v>4</v>
      </c>
      <c r="V566" s="83">
        <v>1</v>
      </c>
      <c r="W566" s="83" t="s">
        <v>103</v>
      </c>
      <c r="X566" s="83">
        <v>0</v>
      </c>
    </row>
    <row r="567" spans="1:25" x14ac:dyDescent="0.2">
      <c r="A567" s="83">
        <v>1</v>
      </c>
      <c r="B567" s="84">
        <v>5701603307318</v>
      </c>
      <c r="C567" s="83">
        <v>80</v>
      </c>
      <c r="D567" s="85">
        <v>1020145</v>
      </c>
      <c r="F567" s="83" t="s">
        <v>103</v>
      </c>
      <c r="G567" s="83">
        <v>0</v>
      </c>
      <c r="H567" s="83">
        <v>100</v>
      </c>
      <c r="K567" s="83" t="s">
        <v>408</v>
      </c>
      <c r="L567" s="83" t="s">
        <v>101</v>
      </c>
      <c r="M567" s="83" t="s">
        <v>410</v>
      </c>
      <c r="N567" s="83" t="s">
        <v>102</v>
      </c>
      <c r="P567" s="83">
        <v>0</v>
      </c>
      <c r="U567" s="83">
        <v>4</v>
      </c>
      <c r="V567" s="83">
        <v>1</v>
      </c>
      <c r="W567" s="83" t="s">
        <v>103</v>
      </c>
      <c r="X567" s="83">
        <v>0</v>
      </c>
    </row>
    <row r="568" spans="1:25" x14ac:dyDescent="0.2">
      <c r="A568" s="83">
        <v>1</v>
      </c>
      <c r="B568" s="84">
        <v>5701603307318</v>
      </c>
      <c r="C568" s="83">
        <v>90</v>
      </c>
      <c r="D568" s="84">
        <v>777500318</v>
      </c>
      <c r="F568" s="83" t="s">
        <v>103</v>
      </c>
      <c r="G568" s="83">
        <v>0</v>
      </c>
      <c r="H568" s="83">
        <v>100</v>
      </c>
      <c r="K568" s="83">
        <v>1</v>
      </c>
      <c r="L568" s="83" t="s">
        <v>101</v>
      </c>
      <c r="M568" s="83" t="s">
        <v>410</v>
      </c>
      <c r="N568" s="83" t="s">
        <v>102</v>
      </c>
      <c r="P568" s="83">
        <v>0</v>
      </c>
      <c r="U568" s="83">
        <v>4</v>
      </c>
      <c r="V568" s="83">
        <v>1</v>
      </c>
      <c r="W568" s="83" t="s">
        <v>103</v>
      </c>
      <c r="X568" s="83">
        <v>0</v>
      </c>
    </row>
    <row r="569" spans="1:25" x14ac:dyDescent="0.2">
      <c r="A569" s="83">
        <v>1</v>
      </c>
      <c r="B569" s="84">
        <v>5701603308318</v>
      </c>
      <c r="C569" s="83">
        <v>10</v>
      </c>
      <c r="D569" s="84">
        <v>5980463308</v>
      </c>
      <c r="F569" s="83" t="s">
        <v>103</v>
      </c>
      <c r="G569" s="83">
        <v>0</v>
      </c>
      <c r="H569" s="83">
        <v>100</v>
      </c>
      <c r="K569" s="83">
        <v>1</v>
      </c>
      <c r="L569" s="83" t="s">
        <v>101</v>
      </c>
      <c r="M569" s="83" t="s">
        <v>410</v>
      </c>
      <c r="N569" s="83" t="s">
        <v>102</v>
      </c>
      <c r="P569" s="83">
        <v>0</v>
      </c>
      <c r="U569" s="83">
        <v>4</v>
      </c>
      <c r="V569" s="83">
        <v>1</v>
      </c>
      <c r="W569" s="83" t="s">
        <v>103</v>
      </c>
      <c r="X569" s="83">
        <v>0</v>
      </c>
      <c r="Y569" s="83" t="str">
        <f>LEFT(D569,6)</f>
        <v>598046</v>
      </c>
    </row>
    <row r="570" spans="1:25" x14ac:dyDescent="0.2">
      <c r="A570" s="83">
        <v>1</v>
      </c>
      <c r="B570" s="84">
        <v>5701603308318</v>
      </c>
      <c r="C570" s="83">
        <v>20</v>
      </c>
      <c r="D570" s="84">
        <v>5980543308</v>
      </c>
      <c r="F570" s="83" t="s">
        <v>103</v>
      </c>
      <c r="G570" s="83">
        <v>0</v>
      </c>
      <c r="H570" s="83">
        <v>100</v>
      </c>
      <c r="K570" s="83">
        <v>1</v>
      </c>
      <c r="L570" s="83" t="s">
        <v>101</v>
      </c>
      <c r="M570" s="83" t="s">
        <v>410</v>
      </c>
      <c r="N570" s="83" t="s">
        <v>102</v>
      </c>
      <c r="P570" s="83">
        <v>0</v>
      </c>
      <c r="U570" s="83">
        <v>4</v>
      </c>
      <c r="V570" s="83">
        <v>1</v>
      </c>
      <c r="W570" s="83" t="s">
        <v>103</v>
      </c>
      <c r="X570" s="83">
        <v>0</v>
      </c>
    </row>
    <row r="571" spans="1:25" x14ac:dyDescent="0.2">
      <c r="A571" s="83">
        <v>1</v>
      </c>
      <c r="B571" s="84">
        <v>5701603308318</v>
      </c>
      <c r="C571" s="83">
        <v>30</v>
      </c>
      <c r="D571" s="84">
        <v>5980623308</v>
      </c>
      <c r="F571" s="83" t="s">
        <v>103</v>
      </c>
      <c r="G571" s="83">
        <v>0</v>
      </c>
      <c r="H571" s="83">
        <v>100</v>
      </c>
      <c r="K571" s="83">
        <v>1</v>
      </c>
      <c r="L571" s="83" t="s">
        <v>101</v>
      </c>
      <c r="M571" s="83" t="s">
        <v>410</v>
      </c>
      <c r="N571" s="83" t="s">
        <v>102</v>
      </c>
      <c r="P571" s="83">
        <v>0</v>
      </c>
      <c r="U571" s="83">
        <v>4</v>
      </c>
      <c r="V571" s="83">
        <v>1</v>
      </c>
      <c r="W571" s="83" t="s">
        <v>103</v>
      </c>
      <c r="X571" s="83">
        <v>0</v>
      </c>
    </row>
    <row r="572" spans="1:25" x14ac:dyDescent="0.2">
      <c r="A572" s="83">
        <v>1</v>
      </c>
      <c r="B572" s="84">
        <v>5701603308318</v>
      </c>
      <c r="C572" s="83">
        <v>40</v>
      </c>
      <c r="D572" s="84">
        <v>5980823308</v>
      </c>
      <c r="F572" s="83" t="s">
        <v>103</v>
      </c>
      <c r="G572" s="83">
        <v>0</v>
      </c>
      <c r="H572" s="83">
        <v>100</v>
      </c>
      <c r="K572" s="83">
        <v>1</v>
      </c>
      <c r="L572" s="83" t="s">
        <v>101</v>
      </c>
      <c r="M572" s="83" t="s">
        <v>410</v>
      </c>
      <c r="N572" s="83" t="s">
        <v>102</v>
      </c>
      <c r="P572" s="83">
        <v>0</v>
      </c>
      <c r="U572" s="83">
        <v>4</v>
      </c>
      <c r="V572" s="83">
        <v>1</v>
      </c>
      <c r="W572" s="83" t="s">
        <v>103</v>
      </c>
      <c r="X572" s="83">
        <v>0</v>
      </c>
    </row>
    <row r="573" spans="1:25" x14ac:dyDescent="0.2">
      <c r="A573" s="83">
        <v>1</v>
      </c>
      <c r="B573" s="84">
        <v>5701603308318</v>
      </c>
      <c r="C573" s="83">
        <v>50</v>
      </c>
      <c r="D573" s="84">
        <v>5980933308</v>
      </c>
      <c r="F573" s="83" t="s">
        <v>103</v>
      </c>
      <c r="G573" s="83">
        <v>0</v>
      </c>
      <c r="H573" s="83">
        <v>100</v>
      </c>
      <c r="K573" s="83">
        <v>1</v>
      </c>
      <c r="L573" s="83" t="s">
        <v>101</v>
      </c>
      <c r="M573" s="83" t="s">
        <v>410</v>
      </c>
      <c r="N573" s="83" t="s">
        <v>102</v>
      </c>
      <c r="P573" s="83">
        <v>0</v>
      </c>
      <c r="U573" s="83">
        <v>4</v>
      </c>
      <c r="V573" s="83">
        <v>1</v>
      </c>
      <c r="W573" s="83" t="s">
        <v>103</v>
      </c>
      <c r="X573" s="83">
        <v>0</v>
      </c>
    </row>
    <row r="574" spans="1:25" x14ac:dyDescent="0.2">
      <c r="A574" s="83">
        <v>1</v>
      </c>
      <c r="B574" s="84">
        <v>5701603308318</v>
      </c>
      <c r="C574" s="83">
        <v>60</v>
      </c>
      <c r="D574" s="84">
        <v>1010286</v>
      </c>
      <c r="F574" s="83" t="s">
        <v>103</v>
      </c>
      <c r="G574" s="83">
        <v>0</v>
      </c>
      <c r="H574" s="83">
        <v>100</v>
      </c>
      <c r="K574" s="83">
        <v>8</v>
      </c>
      <c r="L574" s="83" t="s">
        <v>101</v>
      </c>
      <c r="M574" s="83" t="s">
        <v>410</v>
      </c>
      <c r="N574" s="83" t="s">
        <v>102</v>
      </c>
      <c r="P574" s="83">
        <v>0</v>
      </c>
      <c r="U574" s="83">
        <v>4</v>
      </c>
      <c r="V574" s="83">
        <v>1</v>
      </c>
      <c r="W574" s="83" t="s">
        <v>103</v>
      </c>
      <c r="X574" s="83">
        <v>0</v>
      </c>
    </row>
    <row r="575" spans="1:25" x14ac:dyDescent="0.2">
      <c r="A575" s="83">
        <v>1</v>
      </c>
      <c r="B575" s="84">
        <v>5701603308318</v>
      </c>
      <c r="C575" s="83">
        <v>70</v>
      </c>
      <c r="D575" s="84">
        <v>1010288</v>
      </c>
      <c r="F575" s="83" t="s">
        <v>103</v>
      </c>
      <c r="G575" s="83">
        <v>0</v>
      </c>
      <c r="H575" s="83">
        <v>100</v>
      </c>
      <c r="K575" s="83">
        <v>4</v>
      </c>
      <c r="L575" s="83" t="s">
        <v>101</v>
      </c>
      <c r="M575" s="83" t="s">
        <v>410</v>
      </c>
      <c r="N575" s="83" t="s">
        <v>102</v>
      </c>
      <c r="P575" s="83">
        <v>0</v>
      </c>
      <c r="U575" s="83">
        <v>4</v>
      </c>
      <c r="V575" s="83">
        <v>1</v>
      </c>
      <c r="W575" s="83" t="s">
        <v>103</v>
      </c>
      <c r="X575" s="83">
        <v>0</v>
      </c>
    </row>
    <row r="576" spans="1:25" x14ac:dyDescent="0.2">
      <c r="A576" s="83">
        <v>1</v>
      </c>
      <c r="B576" s="84">
        <v>5701603308318</v>
      </c>
      <c r="C576" s="83">
        <v>80</v>
      </c>
      <c r="D576" s="84">
        <v>1020145</v>
      </c>
      <c r="F576" s="83" t="s">
        <v>103</v>
      </c>
      <c r="G576" s="83">
        <v>0</v>
      </c>
      <c r="H576" s="83">
        <v>100</v>
      </c>
      <c r="K576" s="83" t="s">
        <v>408</v>
      </c>
      <c r="L576" s="83" t="s">
        <v>101</v>
      </c>
      <c r="M576" s="83" t="s">
        <v>410</v>
      </c>
      <c r="N576" s="83" t="s">
        <v>102</v>
      </c>
      <c r="P576" s="83">
        <v>0</v>
      </c>
      <c r="U576" s="83">
        <v>4</v>
      </c>
      <c r="V576" s="83">
        <v>1</v>
      </c>
      <c r="W576" s="83" t="s">
        <v>103</v>
      </c>
      <c r="X576" s="83">
        <v>0</v>
      </c>
    </row>
    <row r="577" spans="1:25" x14ac:dyDescent="0.2">
      <c r="A577" s="83">
        <v>1</v>
      </c>
      <c r="B577" s="84">
        <v>5701603308318</v>
      </c>
      <c r="C577" s="83">
        <v>90</v>
      </c>
      <c r="D577" s="84">
        <v>777500318</v>
      </c>
      <c r="F577" s="83" t="s">
        <v>103</v>
      </c>
      <c r="G577" s="83">
        <v>0</v>
      </c>
      <c r="H577" s="83">
        <v>100</v>
      </c>
      <c r="K577" s="83">
        <v>1</v>
      </c>
      <c r="L577" s="83" t="s">
        <v>101</v>
      </c>
      <c r="M577" s="83" t="s">
        <v>410</v>
      </c>
      <c r="N577" s="83" t="s">
        <v>102</v>
      </c>
      <c r="P577" s="83">
        <v>0</v>
      </c>
      <c r="U577" s="83">
        <v>4</v>
      </c>
      <c r="V577" s="83">
        <v>1</v>
      </c>
      <c r="W577" s="83" t="s">
        <v>103</v>
      </c>
      <c r="X577" s="83">
        <v>0</v>
      </c>
    </row>
    <row r="578" spans="1:25" x14ac:dyDescent="0.2">
      <c r="A578" s="83">
        <v>1</v>
      </c>
      <c r="B578" s="84">
        <v>5701603309318</v>
      </c>
      <c r="C578" s="83">
        <v>10</v>
      </c>
      <c r="D578" s="84">
        <v>5980463309</v>
      </c>
      <c r="F578" s="83" t="s">
        <v>103</v>
      </c>
      <c r="G578" s="83">
        <v>0</v>
      </c>
      <c r="H578" s="83">
        <v>100</v>
      </c>
      <c r="K578" s="83">
        <v>1</v>
      </c>
      <c r="L578" s="83" t="s">
        <v>101</v>
      </c>
      <c r="M578" s="83" t="s">
        <v>410</v>
      </c>
      <c r="N578" s="83" t="s">
        <v>102</v>
      </c>
      <c r="P578" s="83">
        <v>0</v>
      </c>
      <c r="U578" s="83">
        <v>4</v>
      </c>
      <c r="V578" s="83">
        <v>1</v>
      </c>
      <c r="W578" s="83" t="s">
        <v>103</v>
      </c>
      <c r="X578" s="83">
        <v>0</v>
      </c>
      <c r="Y578" s="83" t="str">
        <f>LEFT(D578,6)</f>
        <v>598046</v>
      </c>
    </row>
    <row r="579" spans="1:25" x14ac:dyDescent="0.2">
      <c r="A579" s="83">
        <v>1</v>
      </c>
      <c r="B579" s="84">
        <v>5701603309318</v>
      </c>
      <c r="C579" s="83">
        <v>20</v>
      </c>
      <c r="D579" s="84">
        <v>5980543309</v>
      </c>
      <c r="F579" s="83" t="s">
        <v>103</v>
      </c>
      <c r="G579" s="83">
        <v>0</v>
      </c>
      <c r="H579" s="83">
        <v>100</v>
      </c>
      <c r="K579" s="83">
        <v>1</v>
      </c>
      <c r="L579" s="83" t="s">
        <v>101</v>
      </c>
      <c r="M579" s="83" t="s">
        <v>410</v>
      </c>
      <c r="N579" s="83" t="s">
        <v>102</v>
      </c>
      <c r="P579" s="83">
        <v>0</v>
      </c>
      <c r="U579" s="83">
        <v>4</v>
      </c>
      <c r="V579" s="83">
        <v>1</v>
      </c>
      <c r="W579" s="83" t="s">
        <v>103</v>
      </c>
      <c r="X579" s="83">
        <v>0</v>
      </c>
    </row>
    <row r="580" spans="1:25" x14ac:dyDescent="0.2">
      <c r="A580" s="83">
        <v>1</v>
      </c>
      <c r="B580" s="84">
        <v>5701603309318</v>
      </c>
      <c r="C580" s="83">
        <v>30</v>
      </c>
      <c r="D580" s="84">
        <v>5980623309</v>
      </c>
      <c r="F580" s="83" t="s">
        <v>103</v>
      </c>
      <c r="G580" s="83">
        <v>0</v>
      </c>
      <c r="H580" s="83">
        <v>100</v>
      </c>
      <c r="K580" s="83">
        <v>1</v>
      </c>
      <c r="L580" s="83" t="s">
        <v>101</v>
      </c>
      <c r="M580" s="83" t="s">
        <v>410</v>
      </c>
      <c r="N580" s="83" t="s">
        <v>102</v>
      </c>
      <c r="P580" s="83">
        <v>0</v>
      </c>
      <c r="U580" s="83">
        <v>4</v>
      </c>
      <c r="V580" s="83">
        <v>1</v>
      </c>
      <c r="W580" s="83" t="s">
        <v>103</v>
      </c>
      <c r="X580" s="83">
        <v>0</v>
      </c>
    </row>
    <row r="581" spans="1:25" x14ac:dyDescent="0.2">
      <c r="A581" s="83">
        <v>1</v>
      </c>
      <c r="B581" s="84">
        <v>5701603309318</v>
      </c>
      <c r="C581" s="83">
        <v>40</v>
      </c>
      <c r="D581" s="84">
        <v>5980823309</v>
      </c>
      <c r="F581" s="83" t="s">
        <v>103</v>
      </c>
      <c r="G581" s="83">
        <v>0</v>
      </c>
      <c r="H581" s="83">
        <v>100</v>
      </c>
      <c r="K581" s="83">
        <v>1</v>
      </c>
      <c r="L581" s="83" t="s">
        <v>101</v>
      </c>
      <c r="M581" s="83" t="s">
        <v>410</v>
      </c>
      <c r="N581" s="83" t="s">
        <v>102</v>
      </c>
      <c r="P581" s="83">
        <v>0</v>
      </c>
      <c r="U581" s="83">
        <v>4</v>
      </c>
      <c r="V581" s="83">
        <v>1</v>
      </c>
      <c r="W581" s="83" t="s">
        <v>103</v>
      </c>
      <c r="X581" s="83">
        <v>0</v>
      </c>
    </row>
    <row r="582" spans="1:25" x14ac:dyDescent="0.2">
      <c r="A582" s="83">
        <v>1</v>
      </c>
      <c r="B582" s="84">
        <v>5701603309318</v>
      </c>
      <c r="C582" s="83">
        <v>50</v>
      </c>
      <c r="D582" s="84">
        <v>5980933309</v>
      </c>
      <c r="F582" s="83" t="s">
        <v>103</v>
      </c>
      <c r="G582" s="83">
        <v>0</v>
      </c>
      <c r="H582" s="83">
        <v>100</v>
      </c>
      <c r="K582" s="83">
        <v>1</v>
      </c>
      <c r="L582" s="83" t="s">
        <v>101</v>
      </c>
      <c r="M582" s="83" t="s">
        <v>410</v>
      </c>
      <c r="N582" s="83" t="s">
        <v>102</v>
      </c>
      <c r="P582" s="83">
        <v>0</v>
      </c>
      <c r="U582" s="83">
        <v>4</v>
      </c>
      <c r="V582" s="83">
        <v>1</v>
      </c>
      <c r="W582" s="83" t="s">
        <v>103</v>
      </c>
      <c r="X582" s="83">
        <v>0</v>
      </c>
    </row>
    <row r="583" spans="1:25" x14ac:dyDescent="0.2">
      <c r="A583" s="83">
        <v>1</v>
      </c>
      <c r="B583" s="84">
        <v>5701603309318</v>
      </c>
      <c r="C583" s="83">
        <v>60</v>
      </c>
      <c r="D583" s="84">
        <v>1010286</v>
      </c>
      <c r="F583" s="83" t="s">
        <v>103</v>
      </c>
      <c r="G583" s="83">
        <v>0</v>
      </c>
      <c r="H583" s="83">
        <v>100</v>
      </c>
      <c r="K583" s="83">
        <v>8</v>
      </c>
      <c r="L583" s="83" t="s">
        <v>101</v>
      </c>
      <c r="M583" s="83" t="s">
        <v>410</v>
      </c>
      <c r="N583" s="83" t="s">
        <v>102</v>
      </c>
      <c r="P583" s="83">
        <v>0</v>
      </c>
      <c r="U583" s="83">
        <v>4</v>
      </c>
      <c r="V583" s="83">
        <v>1</v>
      </c>
      <c r="W583" s="83" t="s">
        <v>103</v>
      </c>
      <c r="X583" s="83">
        <v>0</v>
      </c>
    </row>
    <row r="584" spans="1:25" x14ac:dyDescent="0.2">
      <c r="A584" s="83">
        <v>1</v>
      </c>
      <c r="B584" s="84">
        <v>5701603309318</v>
      </c>
      <c r="C584" s="83">
        <v>70</v>
      </c>
      <c r="D584" s="84">
        <v>1010287</v>
      </c>
      <c r="F584" s="83" t="s">
        <v>103</v>
      </c>
      <c r="G584" s="83">
        <v>0</v>
      </c>
      <c r="H584" s="83">
        <v>100</v>
      </c>
      <c r="K584" s="83">
        <v>4</v>
      </c>
      <c r="L584" s="83" t="s">
        <v>101</v>
      </c>
      <c r="M584" s="83" t="s">
        <v>410</v>
      </c>
      <c r="N584" s="83" t="s">
        <v>102</v>
      </c>
      <c r="P584" s="83">
        <v>0</v>
      </c>
      <c r="U584" s="83">
        <v>4</v>
      </c>
      <c r="V584" s="83">
        <v>1</v>
      </c>
      <c r="W584" s="83" t="s">
        <v>103</v>
      </c>
      <c r="X584" s="83">
        <v>0</v>
      </c>
    </row>
    <row r="585" spans="1:25" x14ac:dyDescent="0.2">
      <c r="A585" s="83">
        <v>1</v>
      </c>
      <c r="B585" s="84">
        <v>5701603309318</v>
      </c>
      <c r="C585" s="83">
        <v>80</v>
      </c>
      <c r="D585" s="84">
        <v>1020145</v>
      </c>
      <c r="F585" s="83" t="s">
        <v>103</v>
      </c>
      <c r="G585" s="83">
        <v>0</v>
      </c>
      <c r="H585" s="83">
        <v>100</v>
      </c>
      <c r="K585" s="83" t="s">
        <v>408</v>
      </c>
      <c r="L585" s="83" t="s">
        <v>101</v>
      </c>
      <c r="M585" s="83" t="s">
        <v>410</v>
      </c>
      <c r="N585" s="83" t="s">
        <v>102</v>
      </c>
      <c r="P585" s="83">
        <v>0</v>
      </c>
      <c r="U585" s="83">
        <v>4</v>
      </c>
      <c r="V585" s="83">
        <v>1</v>
      </c>
      <c r="W585" s="83" t="s">
        <v>103</v>
      </c>
      <c r="X585" s="83">
        <v>0</v>
      </c>
    </row>
    <row r="586" spans="1:25" x14ac:dyDescent="0.2">
      <c r="A586" s="83">
        <v>1</v>
      </c>
      <c r="B586" s="84">
        <v>5701603309318</v>
      </c>
      <c r="C586" s="83">
        <v>90</v>
      </c>
      <c r="D586" s="84">
        <v>777500318</v>
      </c>
      <c r="F586" s="83" t="s">
        <v>103</v>
      </c>
      <c r="G586" s="83">
        <v>0</v>
      </c>
      <c r="H586" s="83">
        <v>100</v>
      </c>
      <c r="K586" s="83">
        <v>1</v>
      </c>
      <c r="L586" s="83" t="s">
        <v>101</v>
      </c>
      <c r="M586" s="83" t="s">
        <v>410</v>
      </c>
      <c r="N586" s="83" t="s">
        <v>102</v>
      </c>
      <c r="P586" s="83">
        <v>0</v>
      </c>
      <c r="U586" s="83">
        <v>4</v>
      </c>
      <c r="V586" s="83">
        <v>1</v>
      </c>
      <c r="W586" s="83" t="s">
        <v>103</v>
      </c>
      <c r="X586" s="83">
        <v>0</v>
      </c>
    </row>
    <row r="587" spans="1:25" x14ac:dyDescent="0.2">
      <c r="A587" s="83">
        <v>1</v>
      </c>
      <c r="B587" s="84">
        <v>5701603310318</v>
      </c>
      <c r="C587" s="83">
        <v>10</v>
      </c>
      <c r="D587" s="84">
        <v>5980463310</v>
      </c>
      <c r="F587" s="83" t="s">
        <v>103</v>
      </c>
      <c r="G587" s="83">
        <v>0</v>
      </c>
      <c r="H587" s="83">
        <v>100</v>
      </c>
      <c r="K587" s="83">
        <v>1</v>
      </c>
      <c r="L587" s="83" t="s">
        <v>101</v>
      </c>
      <c r="M587" s="83" t="s">
        <v>410</v>
      </c>
      <c r="N587" s="83" t="s">
        <v>102</v>
      </c>
      <c r="P587" s="83">
        <v>0</v>
      </c>
      <c r="U587" s="83">
        <v>4</v>
      </c>
      <c r="V587" s="83">
        <v>1</v>
      </c>
      <c r="W587" s="83" t="s">
        <v>103</v>
      </c>
      <c r="X587" s="83">
        <v>0</v>
      </c>
      <c r="Y587" s="83" t="str">
        <f>LEFT(D587,6)</f>
        <v>598046</v>
      </c>
    </row>
    <row r="588" spans="1:25" x14ac:dyDescent="0.2">
      <c r="A588" s="83">
        <v>1</v>
      </c>
      <c r="B588" s="84">
        <v>5701603310318</v>
      </c>
      <c r="C588" s="83">
        <v>20</v>
      </c>
      <c r="D588" s="84">
        <v>5980543310</v>
      </c>
      <c r="F588" s="83" t="s">
        <v>103</v>
      </c>
      <c r="G588" s="83">
        <v>0</v>
      </c>
      <c r="H588" s="83">
        <v>100</v>
      </c>
      <c r="K588" s="83">
        <v>1</v>
      </c>
      <c r="L588" s="83" t="s">
        <v>101</v>
      </c>
      <c r="M588" s="83" t="s">
        <v>410</v>
      </c>
      <c r="N588" s="83" t="s">
        <v>102</v>
      </c>
      <c r="P588" s="83">
        <v>0</v>
      </c>
      <c r="U588" s="83">
        <v>4</v>
      </c>
      <c r="V588" s="83">
        <v>1</v>
      </c>
      <c r="W588" s="83" t="s">
        <v>103</v>
      </c>
      <c r="X588" s="83">
        <v>0</v>
      </c>
    </row>
    <row r="589" spans="1:25" x14ac:dyDescent="0.2">
      <c r="A589" s="83">
        <v>1</v>
      </c>
      <c r="B589" s="84">
        <v>5701603310318</v>
      </c>
      <c r="C589" s="83">
        <v>30</v>
      </c>
      <c r="D589" s="84">
        <v>5980623310</v>
      </c>
      <c r="F589" s="83" t="s">
        <v>103</v>
      </c>
      <c r="G589" s="83">
        <v>0</v>
      </c>
      <c r="H589" s="83">
        <v>100</v>
      </c>
      <c r="K589" s="83">
        <v>1</v>
      </c>
      <c r="L589" s="83" t="s">
        <v>101</v>
      </c>
      <c r="M589" s="83" t="s">
        <v>410</v>
      </c>
      <c r="N589" s="83" t="s">
        <v>102</v>
      </c>
      <c r="P589" s="83">
        <v>0</v>
      </c>
      <c r="U589" s="83">
        <v>4</v>
      </c>
      <c r="V589" s="83">
        <v>1</v>
      </c>
      <c r="W589" s="83" t="s">
        <v>103</v>
      </c>
      <c r="X589" s="83">
        <v>0</v>
      </c>
    </row>
    <row r="590" spans="1:25" x14ac:dyDescent="0.2">
      <c r="A590" s="83">
        <v>1</v>
      </c>
      <c r="B590" s="84">
        <v>5701603310318</v>
      </c>
      <c r="C590" s="83">
        <v>40</v>
      </c>
      <c r="D590" s="84">
        <v>5980823310</v>
      </c>
      <c r="F590" s="83" t="s">
        <v>103</v>
      </c>
      <c r="G590" s="83">
        <v>0</v>
      </c>
      <c r="H590" s="83">
        <v>100</v>
      </c>
      <c r="K590" s="83">
        <v>1</v>
      </c>
      <c r="L590" s="83" t="s">
        <v>101</v>
      </c>
      <c r="M590" s="83" t="s">
        <v>410</v>
      </c>
      <c r="N590" s="83" t="s">
        <v>102</v>
      </c>
      <c r="P590" s="83">
        <v>0</v>
      </c>
      <c r="U590" s="83">
        <v>4</v>
      </c>
      <c r="V590" s="83">
        <v>1</v>
      </c>
      <c r="W590" s="83" t="s">
        <v>103</v>
      </c>
      <c r="X590" s="83">
        <v>0</v>
      </c>
    </row>
    <row r="591" spans="1:25" x14ac:dyDescent="0.2">
      <c r="A591" s="83">
        <v>1</v>
      </c>
      <c r="B591" s="84">
        <v>5701603310318</v>
      </c>
      <c r="C591" s="83">
        <v>50</v>
      </c>
      <c r="D591" s="84">
        <v>5980933310</v>
      </c>
      <c r="F591" s="83" t="s">
        <v>103</v>
      </c>
      <c r="G591" s="83">
        <v>0</v>
      </c>
      <c r="H591" s="83">
        <v>100</v>
      </c>
      <c r="K591" s="83">
        <v>1</v>
      </c>
      <c r="L591" s="83" t="s">
        <v>101</v>
      </c>
      <c r="M591" s="83" t="s">
        <v>410</v>
      </c>
      <c r="N591" s="83" t="s">
        <v>102</v>
      </c>
      <c r="P591" s="83">
        <v>0</v>
      </c>
      <c r="U591" s="83">
        <v>4</v>
      </c>
      <c r="V591" s="83">
        <v>1</v>
      </c>
      <c r="W591" s="83" t="s">
        <v>103</v>
      </c>
      <c r="X591" s="83">
        <v>0</v>
      </c>
    </row>
    <row r="592" spans="1:25" x14ac:dyDescent="0.2">
      <c r="A592" s="83">
        <v>1</v>
      </c>
      <c r="B592" s="84">
        <v>5701603310318</v>
      </c>
      <c r="C592" s="83">
        <v>60</v>
      </c>
      <c r="D592" s="84">
        <v>1010286</v>
      </c>
      <c r="F592" s="83" t="s">
        <v>103</v>
      </c>
      <c r="G592" s="83">
        <v>0</v>
      </c>
      <c r="H592" s="83">
        <v>100</v>
      </c>
      <c r="K592" s="83">
        <v>8</v>
      </c>
      <c r="L592" s="83" t="s">
        <v>101</v>
      </c>
      <c r="M592" s="83" t="s">
        <v>410</v>
      </c>
      <c r="N592" s="83" t="s">
        <v>102</v>
      </c>
      <c r="P592" s="83">
        <v>0</v>
      </c>
      <c r="U592" s="83">
        <v>4</v>
      </c>
      <c r="V592" s="83">
        <v>1</v>
      </c>
      <c r="W592" s="83" t="s">
        <v>103</v>
      </c>
      <c r="X592" s="83">
        <v>0</v>
      </c>
    </row>
    <row r="593" spans="1:25" x14ac:dyDescent="0.2">
      <c r="A593" s="83">
        <v>1</v>
      </c>
      <c r="B593" s="84">
        <v>5701603310318</v>
      </c>
      <c r="C593" s="83">
        <v>70</v>
      </c>
      <c r="D593" s="84">
        <v>1010287</v>
      </c>
      <c r="F593" s="83" t="s">
        <v>103</v>
      </c>
      <c r="G593" s="83">
        <v>0</v>
      </c>
      <c r="H593" s="83">
        <v>100</v>
      </c>
      <c r="K593" s="83">
        <v>4</v>
      </c>
      <c r="L593" s="83" t="s">
        <v>101</v>
      </c>
      <c r="M593" s="83" t="s">
        <v>410</v>
      </c>
      <c r="N593" s="83" t="s">
        <v>102</v>
      </c>
      <c r="P593" s="83">
        <v>0</v>
      </c>
      <c r="U593" s="83">
        <v>4</v>
      </c>
      <c r="V593" s="83">
        <v>1</v>
      </c>
      <c r="W593" s="83" t="s">
        <v>103</v>
      </c>
      <c r="X593" s="83">
        <v>0</v>
      </c>
    </row>
    <row r="594" spans="1:25" x14ac:dyDescent="0.2">
      <c r="A594" s="83">
        <v>1</v>
      </c>
      <c r="B594" s="84">
        <v>5701603310318</v>
      </c>
      <c r="C594" s="83">
        <v>80</v>
      </c>
      <c r="D594" s="84">
        <v>1020145</v>
      </c>
      <c r="F594" s="83" t="s">
        <v>103</v>
      </c>
      <c r="G594" s="83">
        <v>0</v>
      </c>
      <c r="H594" s="83">
        <v>100</v>
      </c>
      <c r="K594" s="83" t="s">
        <v>408</v>
      </c>
      <c r="L594" s="83" t="s">
        <v>101</v>
      </c>
      <c r="M594" s="83" t="s">
        <v>410</v>
      </c>
      <c r="N594" s="83" t="s">
        <v>102</v>
      </c>
      <c r="P594" s="83">
        <v>0</v>
      </c>
      <c r="U594" s="83">
        <v>4</v>
      </c>
      <c r="V594" s="83">
        <v>1</v>
      </c>
      <c r="W594" s="83" t="s">
        <v>103</v>
      </c>
      <c r="X594" s="83">
        <v>0</v>
      </c>
    </row>
    <row r="595" spans="1:25" x14ac:dyDescent="0.2">
      <c r="A595" s="83">
        <v>1</v>
      </c>
      <c r="B595" s="84">
        <v>5701603310318</v>
      </c>
      <c r="C595" s="83">
        <v>90</v>
      </c>
      <c r="D595" s="84">
        <v>777500318</v>
      </c>
      <c r="F595" s="83" t="s">
        <v>103</v>
      </c>
      <c r="G595" s="83">
        <v>0</v>
      </c>
      <c r="H595" s="83">
        <v>100</v>
      </c>
      <c r="K595" s="83">
        <v>1</v>
      </c>
      <c r="L595" s="83" t="s">
        <v>101</v>
      </c>
      <c r="M595" s="83" t="s">
        <v>410</v>
      </c>
      <c r="N595" s="83" t="s">
        <v>102</v>
      </c>
      <c r="P595" s="83">
        <v>0</v>
      </c>
      <c r="U595" s="83">
        <v>4</v>
      </c>
      <c r="V595" s="83">
        <v>1</v>
      </c>
      <c r="W595" s="83" t="s">
        <v>103</v>
      </c>
      <c r="X595" s="83">
        <v>0</v>
      </c>
    </row>
    <row r="596" spans="1:25" x14ac:dyDescent="0.2">
      <c r="A596" s="83">
        <v>1</v>
      </c>
      <c r="B596" s="84">
        <v>5701603300724</v>
      </c>
      <c r="C596" s="83">
        <v>10</v>
      </c>
      <c r="D596" s="84">
        <v>5980463399</v>
      </c>
      <c r="F596" s="83" t="s">
        <v>103</v>
      </c>
      <c r="G596" s="83">
        <v>0</v>
      </c>
      <c r="H596" s="83">
        <v>100</v>
      </c>
      <c r="K596" s="83">
        <v>1</v>
      </c>
      <c r="L596" s="83" t="s">
        <v>101</v>
      </c>
      <c r="M596" s="83" t="s">
        <v>410</v>
      </c>
      <c r="N596" s="83" t="s">
        <v>102</v>
      </c>
      <c r="P596" s="83">
        <v>0</v>
      </c>
      <c r="U596" s="83">
        <v>4</v>
      </c>
      <c r="V596" s="83">
        <v>1</v>
      </c>
      <c r="W596" s="83" t="s">
        <v>103</v>
      </c>
      <c r="X596" s="83">
        <v>0</v>
      </c>
      <c r="Y596" s="83" t="str">
        <f>LEFT(D596,6)</f>
        <v>598046</v>
      </c>
    </row>
    <row r="597" spans="1:25" x14ac:dyDescent="0.2">
      <c r="A597" s="83">
        <v>1</v>
      </c>
      <c r="B597" s="84">
        <v>5701603300724</v>
      </c>
      <c r="C597" s="83">
        <v>20</v>
      </c>
      <c r="D597" s="84">
        <v>5980543399</v>
      </c>
      <c r="F597" s="83" t="s">
        <v>103</v>
      </c>
      <c r="G597" s="83">
        <v>0</v>
      </c>
      <c r="H597" s="83">
        <v>100</v>
      </c>
      <c r="K597" s="83">
        <v>1</v>
      </c>
      <c r="L597" s="83" t="s">
        <v>101</v>
      </c>
      <c r="M597" s="83" t="s">
        <v>410</v>
      </c>
      <c r="N597" s="83" t="s">
        <v>102</v>
      </c>
      <c r="P597" s="83">
        <v>0</v>
      </c>
      <c r="U597" s="83">
        <v>4</v>
      </c>
      <c r="V597" s="83">
        <v>1</v>
      </c>
      <c r="W597" s="83" t="s">
        <v>103</v>
      </c>
      <c r="X597" s="83">
        <v>0</v>
      </c>
    </row>
    <row r="598" spans="1:25" x14ac:dyDescent="0.2">
      <c r="A598" s="83">
        <v>1</v>
      </c>
      <c r="B598" s="84">
        <v>5701603300724</v>
      </c>
      <c r="C598" s="83">
        <v>30</v>
      </c>
      <c r="D598" s="84">
        <v>5980623399</v>
      </c>
      <c r="F598" s="83" t="s">
        <v>103</v>
      </c>
      <c r="G598" s="83">
        <v>0</v>
      </c>
      <c r="H598" s="83">
        <v>100</v>
      </c>
      <c r="K598" s="83">
        <v>1</v>
      </c>
      <c r="L598" s="83" t="s">
        <v>101</v>
      </c>
      <c r="M598" s="83" t="s">
        <v>410</v>
      </c>
      <c r="N598" s="83" t="s">
        <v>102</v>
      </c>
      <c r="P598" s="83">
        <v>0</v>
      </c>
      <c r="U598" s="83">
        <v>4</v>
      </c>
      <c r="V598" s="83">
        <v>1</v>
      </c>
      <c r="W598" s="83" t="s">
        <v>103</v>
      </c>
      <c r="X598" s="83">
        <v>0</v>
      </c>
    </row>
    <row r="599" spans="1:25" x14ac:dyDescent="0.2">
      <c r="A599" s="83">
        <v>1</v>
      </c>
      <c r="B599" s="84">
        <v>5701603300724</v>
      </c>
      <c r="C599" s="83">
        <v>40</v>
      </c>
      <c r="D599" s="84">
        <v>5980823399</v>
      </c>
      <c r="F599" s="83" t="s">
        <v>103</v>
      </c>
      <c r="G599" s="83">
        <v>0</v>
      </c>
      <c r="H599" s="83">
        <v>100</v>
      </c>
      <c r="K599" s="83">
        <v>1</v>
      </c>
      <c r="L599" s="83" t="s">
        <v>101</v>
      </c>
      <c r="M599" s="83" t="s">
        <v>410</v>
      </c>
      <c r="N599" s="83" t="s">
        <v>102</v>
      </c>
      <c r="P599" s="83">
        <v>0</v>
      </c>
      <c r="U599" s="83">
        <v>4</v>
      </c>
      <c r="V599" s="83">
        <v>1</v>
      </c>
      <c r="W599" s="83" t="s">
        <v>103</v>
      </c>
      <c r="X599" s="83">
        <v>0</v>
      </c>
    </row>
    <row r="600" spans="1:25" x14ac:dyDescent="0.2">
      <c r="A600" s="83">
        <v>1</v>
      </c>
      <c r="B600" s="84">
        <v>5701603300724</v>
      </c>
      <c r="C600" s="83">
        <v>50</v>
      </c>
      <c r="D600" s="85">
        <v>1010277</v>
      </c>
      <c r="F600" s="83" t="s">
        <v>103</v>
      </c>
      <c r="G600" s="83">
        <v>0</v>
      </c>
      <c r="H600" s="83">
        <v>100</v>
      </c>
      <c r="K600" s="83">
        <v>1</v>
      </c>
      <c r="L600" s="83" t="s">
        <v>101</v>
      </c>
      <c r="M600" s="83" t="s">
        <v>410</v>
      </c>
      <c r="N600" s="83" t="s">
        <v>102</v>
      </c>
      <c r="P600" s="83">
        <v>0</v>
      </c>
      <c r="U600" s="83">
        <v>4</v>
      </c>
      <c r="V600" s="83">
        <v>1</v>
      </c>
      <c r="W600" s="83" t="s">
        <v>103</v>
      </c>
      <c r="X600" s="83">
        <v>0</v>
      </c>
    </row>
    <row r="601" spans="1:25" x14ac:dyDescent="0.2">
      <c r="A601" s="83">
        <v>1</v>
      </c>
      <c r="B601" s="84">
        <v>5701603300724</v>
      </c>
      <c r="C601" s="83">
        <v>60</v>
      </c>
      <c r="D601" s="84">
        <v>1010286</v>
      </c>
      <c r="F601" s="83" t="s">
        <v>103</v>
      </c>
      <c r="G601" s="83">
        <v>0</v>
      </c>
      <c r="H601" s="83">
        <v>100</v>
      </c>
      <c r="K601" s="83">
        <v>8</v>
      </c>
      <c r="L601" s="83" t="s">
        <v>101</v>
      </c>
      <c r="M601" s="83" t="s">
        <v>410</v>
      </c>
      <c r="N601" s="83" t="s">
        <v>102</v>
      </c>
      <c r="P601" s="83">
        <v>0</v>
      </c>
      <c r="U601" s="83">
        <v>4</v>
      </c>
      <c r="V601" s="83">
        <v>1</v>
      </c>
      <c r="W601" s="83" t="s">
        <v>103</v>
      </c>
      <c r="X601" s="83">
        <v>0</v>
      </c>
    </row>
    <row r="602" spans="1:25" x14ac:dyDescent="0.2">
      <c r="A602" s="83">
        <v>1</v>
      </c>
      <c r="B602" s="84">
        <v>5701603300724</v>
      </c>
      <c r="C602" s="83">
        <v>70</v>
      </c>
      <c r="D602" s="84">
        <v>1010287</v>
      </c>
      <c r="F602" s="83" t="s">
        <v>103</v>
      </c>
      <c r="G602" s="83">
        <v>0</v>
      </c>
      <c r="H602" s="83">
        <v>100</v>
      </c>
      <c r="K602" s="83">
        <v>4</v>
      </c>
      <c r="L602" s="83" t="s">
        <v>101</v>
      </c>
      <c r="M602" s="83" t="s">
        <v>410</v>
      </c>
      <c r="N602" s="83" t="s">
        <v>102</v>
      </c>
      <c r="P602" s="83">
        <v>0</v>
      </c>
      <c r="U602" s="83">
        <v>4</v>
      </c>
      <c r="V602" s="83">
        <v>1</v>
      </c>
      <c r="W602" s="83" t="s">
        <v>103</v>
      </c>
      <c r="X602" s="83">
        <v>0</v>
      </c>
    </row>
    <row r="603" spans="1:25" x14ac:dyDescent="0.2">
      <c r="A603" s="83">
        <v>1</v>
      </c>
      <c r="B603" s="84">
        <v>5701603300724</v>
      </c>
      <c r="C603" s="83">
        <v>80</v>
      </c>
      <c r="D603" s="84">
        <v>1020145</v>
      </c>
      <c r="F603" s="83" t="s">
        <v>103</v>
      </c>
      <c r="G603" s="83">
        <v>0</v>
      </c>
      <c r="H603" s="83">
        <v>100</v>
      </c>
      <c r="K603" s="83" t="s">
        <v>408</v>
      </c>
      <c r="L603" s="83" t="s">
        <v>101</v>
      </c>
      <c r="M603" s="83" t="s">
        <v>410</v>
      </c>
      <c r="N603" s="83" t="s">
        <v>102</v>
      </c>
      <c r="P603" s="83">
        <v>0</v>
      </c>
      <c r="U603" s="83">
        <v>4</v>
      </c>
      <c r="V603" s="83">
        <v>1</v>
      </c>
      <c r="W603" s="83" t="s">
        <v>103</v>
      </c>
      <c r="X603" s="83">
        <v>0</v>
      </c>
    </row>
    <row r="604" spans="1:25" x14ac:dyDescent="0.2">
      <c r="A604" s="83">
        <v>1</v>
      </c>
      <c r="B604" s="84">
        <v>5701603300724</v>
      </c>
      <c r="C604" s="83">
        <v>90</v>
      </c>
      <c r="D604" s="84">
        <v>777500724</v>
      </c>
      <c r="F604" s="83" t="s">
        <v>103</v>
      </c>
      <c r="G604" s="83">
        <v>0</v>
      </c>
      <c r="H604" s="83">
        <v>100</v>
      </c>
      <c r="K604" s="83">
        <v>1</v>
      </c>
      <c r="L604" s="83" t="s">
        <v>101</v>
      </c>
      <c r="M604" s="83" t="s">
        <v>410</v>
      </c>
      <c r="N604" s="83" t="s">
        <v>102</v>
      </c>
      <c r="P604" s="83">
        <v>0</v>
      </c>
      <c r="U604" s="83">
        <v>4</v>
      </c>
      <c r="V604" s="83">
        <v>1</v>
      </c>
      <c r="W604" s="83" t="s">
        <v>103</v>
      </c>
      <c r="X604" s="83">
        <v>0</v>
      </c>
    </row>
    <row r="605" spans="1:25" x14ac:dyDescent="0.2">
      <c r="A605" s="83">
        <v>1</v>
      </c>
      <c r="B605" s="84">
        <v>5701603301724</v>
      </c>
      <c r="C605" s="83">
        <v>10</v>
      </c>
      <c r="D605" s="84">
        <v>5980463301</v>
      </c>
      <c r="F605" s="83" t="s">
        <v>103</v>
      </c>
      <c r="G605" s="83">
        <v>0</v>
      </c>
      <c r="H605" s="83">
        <v>100</v>
      </c>
      <c r="K605" s="83">
        <v>1</v>
      </c>
      <c r="L605" s="83" t="s">
        <v>101</v>
      </c>
      <c r="M605" s="83" t="s">
        <v>410</v>
      </c>
      <c r="N605" s="83" t="s">
        <v>102</v>
      </c>
      <c r="P605" s="83">
        <v>0</v>
      </c>
      <c r="U605" s="83">
        <v>4</v>
      </c>
      <c r="V605" s="83">
        <v>1</v>
      </c>
      <c r="W605" s="83" t="s">
        <v>103</v>
      </c>
      <c r="X605" s="83">
        <v>0</v>
      </c>
      <c r="Y605" s="83" t="str">
        <f>LEFT(D605,6)</f>
        <v>598046</v>
      </c>
    </row>
    <row r="606" spans="1:25" x14ac:dyDescent="0.2">
      <c r="A606" s="83">
        <v>1</v>
      </c>
      <c r="B606" s="84">
        <v>5701603301724</v>
      </c>
      <c r="C606" s="83">
        <v>20</v>
      </c>
      <c r="D606" s="84">
        <v>5980543301</v>
      </c>
      <c r="F606" s="83" t="s">
        <v>103</v>
      </c>
      <c r="G606" s="83">
        <v>0</v>
      </c>
      <c r="H606" s="83">
        <v>100</v>
      </c>
      <c r="K606" s="83">
        <v>1</v>
      </c>
      <c r="L606" s="83" t="s">
        <v>101</v>
      </c>
      <c r="M606" s="83" t="s">
        <v>410</v>
      </c>
      <c r="N606" s="83" t="s">
        <v>102</v>
      </c>
      <c r="P606" s="83">
        <v>0</v>
      </c>
      <c r="U606" s="83">
        <v>4</v>
      </c>
      <c r="V606" s="83">
        <v>1</v>
      </c>
      <c r="W606" s="83" t="s">
        <v>103</v>
      </c>
      <c r="X606" s="83">
        <v>0</v>
      </c>
    </row>
    <row r="607" spans="1:25" x14ac:dyDescent="0.2">
      <c r="A607" s="83">
        <v>1</v>
      </c>
      <c r="B607" s="84">
        <v>5701603301724</v>
      </c>
      <c r="C607" s="83">
        <v>30</v>
      </c>
      <c r="D607" s="84">
        <v>5980623301</v>
      </c>
      <c r="F607" s="83" t="s">
        <v>103</v>
      </c>
      <c r="G607" s="83">
        <v>0</v>
      </c>
      <c r="H607" s="83">
        <v>100</v>
      </c>
      <c r="K607" s="83">
        <v>1</v>
      </c>
      <c r="L607" s="83" t="s">
        <v>101</v>
      </c>
      <c r="M607" s="83" t="s">
        <v>410</v>
      </c>
      <c r="N607" s="83" t="s">
        <v>102</v>
      </c>
      <c r="P607" s="83">
        <v>0</v>
      </c>
      <c r="U607" s="83">
        <v>4</v>
      </c>
      <c r="V607" s="83">
        <v>1</v>
      </c>
      <c r="W607" s="83" t="s">
        <v>103</v>
      </c>
      <c r="X607" s="83">
        <v>0</v>
      </c>
    </row>
    <row r="608" spans="1:25" x14ac:dyDescent="0.2">
      <c r="A608" s="83">
        <v>1</v>
      </c>
      <c r="B608" s="84">
        <v>5701603301724</v>
      </c>
      <c r="C608" s="83">
        <v>40</v>
      </c>
      <c r="D608" s="84">
        <v>5980823301</v>
      </c>
      <c r="F608" s="83" t="s">
        <v>103</v>
      </c>
      <c r="G608" s="83">
        <v>0</v>
      </c>
      <c r="H608" s="83">
        <v>100</v>
      </c>
      <c r="K608" s="83">
        <v>1</v>
      </c>
      <c r="L608" s="83" t="s">
        <v>101</v>
      </c>
      <c r="M608" s="83" t="s">
        <v>410</v>
      </c>
      <c r="N608" s="83" t="s">
        <v>102</v>
      </c>
      <c r="P608" s="83">
        <v>0</v>
      </c>
      <c r="U608" s="83">
        <v>4</v>
      </c>
      <c r="V608" s="83">
        <v>1</v>
      </c>
      <c r="W608" s="83" t="s">
        <v>103</v>
      </c>
      <c r="X608" s="83">
        <v>0</v>
      </c>
    </row>
    <row r="609" spans="1:25" x14ac:dyDescent="0.2">
      <c r="A609" s="83">
        <v>1</v>
      </c>
      <c r="B609" s="84">
        <v>5701603301724</v>
      </c>
      <c r="C609" s="83">
        <v>50</v>
      </c>
      <c r="D609" s="84">
        <v>5980933301</v>
      </c>
      <c r="F609" s="83" t="s">
        <v>103</v>
      </c>
      <c r="G609" s="83">
        <v>0</v>
      </c>
      <c r="H609" s="83">
        <v>100</v>
      </c>
      <c r="K609" s="83">
        <v>1</v>
      </c>
      <c r="L609" s="83" t="s">
        <v>101</v>
      </c>
      <c r="M609" s="83" t="s">
        <v>410</v>
      </c>
      <c r="N609" s="83" t="s">
        <v>102</v>
      </c>
      <c r="P609" s="83">
        <v>0</v>
      </c>
      <c r="U609" s="83">
        <v>4</v>
      </c>
      <c r="V609" s="83">
        <v>1</v>
      </c>
      <c r="W609" s="83" t="s">
        <v>103</v>
      </c>
      <c r="X609" s="83">
        <v>0</v>
      </c>
    </row>
    <row r="610" spans="1:25" x14ac:dyDescent="0.2">
      <c r="A610" s="83">
        <v>1</v>
      </c>
      <c r="B610" s="84">
        <v>5701603301724</v>
      </c>
      <c r="C610" s="83">
        <v>60</v>
      </c>
      <c r="D610" s="84">
        <v>1010286</v>
      </c>
      <c r="F610" s="83" t="s">
        <v>103</v>
      </c>
      <c r="G610" s="83">
        <v>0</v>
      </c>
      <c r="H610" s="83">
        <v>100</v>
      </c>
      <c r="K610" s="83">
        <v>8</v>
      </c>
      <c r="L610" s="83" t="s">
        <v>101</v>
      </c>
      <c r="M610" s="83" t="s">
        <v>410</v>
      </c>
      <c r="N610" s="83" t="s">
        <v>102</v>
      </c>
      <c r="P610" s="83">
        <v>0</v>
      </c>
      <c r="U610" s="83">
        <v>4</v>
      </c>
      <c r="V610" s="83">
        <v>1</v>
      </c>
      <c r="W610" s="83" t="s">
        <v>103</v>
      </c>
      <c r="X610" s="83">
        <v>0</v>
      </c>
    </row>
    <row r="611" spans="1:25" x14ac:dyDescent="0.2">
      <c r="A611" s="83">
        <v>1</v>
      </c>
      <c r="B611" s="84">
        <v>5701603301724</v>
      </c>
      <c r="C611" s="83">
        <v>70</v>
      </c>
      <c r="D611" s="84">
        <v>1010287</v>
      </c>
      <c r="F611" s="83" t="s">
        <v>103</v>
      </c>
      <c r="G611" s="83">
        <v>0</v>
      </c>
      <c r="H611" s="83">
        <v>100</v>
      </c>
      <c r="K611" s="83">
        <v>4</v>
      </c>
      <c r="L611" s="83" t="s">
        <v>101</v>
      </c>
      <c r="M611" s="83" t="s">
        <v>410</v>
      </c>
      <c r="N611" s="83" t="s">
        <v>102</v>
      </c>
      <c r="P611" s="83">
        <v>0</v>
      </c>
      <c r="U611" s="83">
        <v>4</v>
      </c>
      <c r="V611" s="83">
        <v>1</v>
      </c>
      <c r="W611" s="83" t="s">
        <v>103</v>
      </c>
      <c r="X611" s="83">
        <v>0</v>
      </c>
    </row>
    <row r="612" spans="1:25" x14ac:dyDescent="0.2">
      <c r="A612" s="83">
        <v>1</v>
      </c>
      <c r="B612" s="84">
        <v>5701603301724</v>
      </c>
      <c r="C612" s="83">
        <v>80</v>
      </c>
      <c r="D612" s="84">
        <v>1020145</v>
      </c>
      <c r="F612" s="83" t="s">
        <v>103</v>
      </c>
      <c r="G612" s="83">
        <v>0</v>
      </c>
      <c r="H612" s="83">
        <v>100</v>
      </c>
      <c r="K612" s="83" t="s">
        <v>408</v>
      </c>
      <c r="L612" s="83" t="s">
        <v>101</v>
      </c>
      <c r="M612" s="83" t="s">
        <v>410</v>
      </c>
      <c r="N612" s="83" t="s">
        <v>102</v>
      </c>
      <c r="P612" s="83">
        <v>0</v>
      </c>
      <c r="U612" s="83">
        <v>4</v>
      </c>
      <c r="V612" s="83">
        <v>1</v>
      </c>
      <c r="W612" s="83" t="s">
        <v>103</v>
      </c>
      <c r="X612" s="83">
        <v>0</v>
      </c>
    </row>
    <row r="613" spans="1:25" x14ac:dyDescent="0.2">
      <c r="A613" s="83">
        <v>1</v>
      </c>
      <c r="B613" s="84">
        <v>5701603301724</v>
      </c>
      <c r="C613" s="83">
        <v>90</v>
      </c>
      <c r="D613" s="84">
        <v>777500724</v>
      </c>
      <c r="F613" s="83" t="s">
        <v>103</v>
      </c>
      <c r="G613" s="83">
        <v>0</v>
      </c>
      <c r="H613" s="83">
        <v>100</v>
      </c>
      <c r="K613" s="83">
        <v>1</v>
      </c>
      <c r="L613" s="83" t="s">
        <v>101</v>
      </c>
      <c r="M613" s="83" t="s">
        <v>410</v>
      </c>
      <c r="N613" s="83" t="s">
        <v>102</v>
      </c>
      <c r="P613" s="83">
        <v>0</v>
      </c>
      <c r="U613" s="83">
        <v>4</v>
      </c>
      <c r="V613" s="83">
        <v>1</v>
      </c>
      <c r="W613" s="83" t="s">
        <v>103</v>
      </c>
      <c r="X613" s="83">
        <v>0</v>
      </c>
    </row>
    <row r="614" spans="1:25" x14ac:dyDescent="0.2">
      <c r="A614" s="83">
        <v>1</v>
      </c>
      <c r="B614" s="84">
        <v>5701603302724</v>
      </c>
      <c r="C614" s="83">
        <v>10</v>
      </c>
      <c r="D614" s="84">
        <v>5980463302</v>
      </c>
      <c r="F614" s="83" t="s">
        <v>103</v>
      </c>
      <c r="G614" s="83">
        <v>0</v>
      </c>
      <c r="H614" s="83">
        <v>100</v>
      </c>
      <c r="K614" s="83">
        <v>1</v>
      </c>
      <c r="L614" s="83" t="s">
        <v>101</v>
      </c>
      <c r="M614" s="83" t="s">
        <v>410</v>
      </c>
      <c r="N614" s="83" t="s">
        <v>102</v>
      </c>
      <c r="P614" s="83">
        <v>0</v>
      </c>
      <c r="U614" s="83">
        <v>4</v>
      </c>
      <c r="V614" s="83">
        <v>1</v>
      </c>
      <c r="W614" s="83" t="s">
        <v>103</v>
      </c>
      <c r="X614" s="83">
        <v>0</v>
      </c>
      <c r="Y614" s="83" t="str">
        <f>LEFT(D614,6)</f>
        <v>598046</v>
      </c>
    </row>
    <row r="615" spans="1:25" x14ac:dyDescent="0.2">
      <c r="A615" s="83">
        <v>1</v>
      </c>
      <c r="B615" s="84">
        <v>5701603302724</v>
      </c>
      <c r="C615" s="83">
        <v>20</v>
      </c>
      <c r="D615" s="84">
        <v>5980543302</v>
      </c>
      <c r="F615" s="83" t="s">
        <v>103</v>
      </c>
      <c r="G615" s="83">
        <v>0</v>
      </c>
      <c r="H615" s="83">
        <v>100</v>
      </c>
      <c r="K615" s="83">
        <v>1</v>
      </c>
      <c r="L615" s="83" t="s">
        <v>101</v>
      </c>
      <c r="M615" s="83" t="s">
        <v>410</v>
      </c>
      <c r="N615" s="83" t="s">
        <v>102</v>
      </c>
      <c r="P615" s="83">
        <v>0</v>
      </c>
      <c r="U615" s="83">
        <v>4</v>
      </c>
      <c r="V615" s="83">
        <v>1</v>
      </c>
      <c r="W615" s="83" t="s">
        <v>103</v>
      </c>
      <c r="X615" s="83">
        <v>0</v>
      </c>
    </row>
    <row r="616" spans="1:25" x14ac:dyDescent="0.2">
      <c r="A616" s="83">
        <v>1</v>
      </c>
      <c r="B616" s="84">
        <v>5701603302724</v>
      </c>
      <c r="C616" s="83">
        <v>30</v>
      </c>
      <c r="D616" s="84">
        <v>5980623302</v>
      </c>
      <c r="F616" s="83" t="s">
        <v>103</v>
      </c>
      <c r="G616" s="83">
        <v>0</v>
      </c>
      <c r="H616" s="83">
        <v>100</v>
      </c>
      <c r="K616" s="83">
        <v>1</v>
      </c>
      <c r="L616" s="83" t="s">
        <v>101</v>
      </c>
      <c r="M616" s="83" t="s">
        <v>410</v>
      </c>
      <c r="N616" s="83" t="s">
        <v>102</v>
      </c>
      <c r="P616" s="83">
        <v>0</v>
      </c>
      <c r="U616" s="83">
        <v>4</v>
      </c>
      <c r="V616" s="83">
        <v>1</v>
      </c>
      <c r="W616" s="83" t="s">
        <v>103</v>
      </c>
      <c r="X616" s="83">
        <v>0</v>
      </c>
    </row>
    <row r="617" spans="1:25" x14ac:dyDescent="0.2">
      <c r="A617" s="83">
        <v>1</v>
      </c>
      <c r="B617" s="84">
        <v>5701603302724</v>
      </c>
      <c r="C617" s="83">
        <v>40</v>
      </c>
      <c r="D617" s="84">
        <v>5980823302</v>
      </c>
      <c r="F617" s="83" t="s">
        <v>103</v>
      </c>
      <c r="G617" s="83">
        <v>0</v>
      </c>
      <c r="H617" s="83">
        <v>100</v>
      </c>
      <c r="K617" s="83">
        <v>1</v>
      </c>
      <c r="L617" s="83" t="s">
        <v>101</v>
      </c>
      <c r="M617" s="83" t="s">
        <v>410</v>
      </c>
      <c r="N617" s="83" t="s">
        <v>102</v>
      </c>
      <c r="P617" s="83">
        <v>0</v>
      </c>
      <c r="U617" s="83">
        <v>4</v>
      </c>
      <c r="V617" s="83">
        <v>1</v>
      </c>
      <c r="W617" s="83" t="s">
        <v>103</v>
      </c>
      <c r="X617" s="83">
        <v>0</v>
      </c>
    </row>
    <row r="618" spans="1:25" x14ac:dyDescent="0.2">
      <c r="A618" s="83">
        <v>1</v>
      </c>
      <c r="B618" s="84">
        <v>5701603302724</v>
      </c>
      <c r="C618" s="83">
        <v>50</v>
      </c>
      <c r="D618" s="84">
        <v>5980933302</v>
      </c>
      <c r="F618" s="83" t="s">
        <v>103</v>
      </c>
      <c r="G618" s="83">
        <v>0</v>
      </c>
      <c r="H618" s="83">
        <v>100</v>
      </c>
      <c r="K618" s="83">
        <v>1</v>
      </c>
      <c r="L618" s="83" t="s">
        <v>101</v>
      </c>
      <c r="M618" s="83" t="s">
        <v>410</v>
      </c>
      <c r="N618" s="83" t="s">
        <v>102</v>
      </c>
      <c r="P618" s="83">
        <v>0</v>
      </c>
      <c r="U618" s="83">
        <v>4</v>
      </c>
      <c r="V618" s="83">
        <v>1</v>
      </c>
      <c r="W618" s="83" t="s">
        <v>103</v>
      </c>
      <c r="X618" s="83">
        <v>0</v>
      </c>
    </row>
    <row r="619" spans="1:25" x14ac:dyDescent="0.2">
      <c r="A619" s="83">
        <v>1</v>
      </c>
      <c r="B619" s="84">
        <v>5701603302724</v>
      </c>
      <c r="C619" s="83">
        <v>60</v>
      </c>
      <c r="D619" s="84">
        <v>1010286</v>
      </c>
      <c r="F619" s="83" t="s">
        <v>103</v>
      </c>
      <c r="G619" s="83">
        <v>0</v>
      </c>
      <c r="H619" s="83">
        <v>100</v>
      </c>
      <c r="K619" s="83">
        <v>8</v>
      </c>
      <c r="L619" s="83" t="s">
        <v>101</v>
      </c>
      <c r="M619" s="83" t="s">
        <v>410</v>
      </c>
      <c r="N619" s="83" t="s">
        <v>102</v>
      </c>
      <c r="P619" s="83">
        <v>0</v>
      </c>
      <c r="U619" s="83">
        <v>4</v>
      </c>
      <c r="V619" s="83">
        <v>1</v>
      </c>
      <c r="W619" s="83" t="s">
        <v>103</v>
      </c>
      <c r="X619" s="83">
        <v>0</v>
      </c>
    </row>
    <row r="620" spans="1:25" x14ac:dyDescent="0.2">
      <c r="A620" s="83">
        <v>1</v>
      </c>
      <c r="B620" s="84">
        <v>5701603302724</v>
      </c>
      <c r="C620" s="83">
        <v>70</v>
      </c>
      <c r="D620" s="84">
        <v>1010288</v>
      </c>
      <c r="F620" s="83" t="s">
        <v>103</v>
      </c>
      <c r="G620" s="83">
        <v>0</v>
      </c>
      <c r="H620" s="83">
        <v>100</v>
      </c>
      <c r="K620" s="83">
        <v>4</v>
      </c>
      <c r="L620" s="83" t="s">
        <v>101</v>
      </c>
      <c r="M620" s="83" t="s">
        <v>410</v>
      </c>
      <c r="N620" s="83" t="s">
        <v>102</v>
      </c>
      <c r="P620" s="83">
        <v>0</v>
      </c>
      <c r="U620" s="83">
        <v>4</v>
      </c>
      <c r="V620" s="83">
        <v>1</v>
      </c>
      <c r="W620" s="83" t="s">
        <v>103</v>
      </c>
      <c r="X620" s="83">
        <v>0</v>
      </c>
    </row>
    <row r="621" spans="1:25" x14ac:dyDescent="0.2">
      <c r="A621" s="83">
        <v>1</v>
      </c>
      <c r="B621" s="84">
        <v>5701603302724</v>
      </c>
      <c r="C621" s="83">
        <v>80</v>
      </c>
      <c r="D621" s="84">
        <v>1020145</v>
      </c>
      <c r="F621" s="83" t="s">
        <v>103</v>
      </c>
      <c r="G621" s="83">
        <v>0</v>
      </c>
      <c r="H621" s="83">
        <v>100</v>
      </c>
      <c r="K621" s="83" t="s">
        <v>408</v>
      </c>
      <c r="L621" s="83" t="s">
        <v>101</v>
      </c>
      <c r="M621" s="83" t="s">
        <v>410</v>
      </c>
      <c r="N621" s="83" t="s">
        <v>102</v>
      </c>
      <c r="P621" s="83">
        <v>0</v>
      </c>
      <c r="U621" s="83">
        <v>4</v>
      </c>
      <c r="V621" s="83">
        <v>1</v>
      </c>
      <c r="W621" s="83" t="s">
        <v>103</v>
      </c>
      <c r="X621" s="83">
        <v>0</v>
      </c>
    </row>
    <row r="622" spans="1:25" x14ac:dyDescent="0.2">
      <c r="A622" s="83">
        <v>1</v>
      </c>
      <c r="B622" s="84">
        <v>5701603302724</v>
      </c>
      <c r="C622" s="83">
        <v>90</v>
      </c>
      <c r="D622" s="84">
        <v>777500724</v>
      </c>
      <c r="F622" s="83" t="s">
        <v>103</v>
      </c>
      <c r="G622" s="83">
        <v>0</v>
      </c>
      <c r="H622" s="83">
        <v>100</v>
      </c>
      <c r="K622" s="83">
        <v>1</v>
      </c>
      <c r="L622" s="83" t="s">
        <v>101</v>
      </c>
      <c r="M622" s="83" t="s">
        <v>410</v>
      </c>
      <c r="N622" s="83" t="s">
        <v>102</v>
      </c>
      <c r="P622" s="83">
        <v>0</v>
      </c>
      <c r="U622" s="83">
        <v>4</v>
      </c>
      <c r="V622" s="83">
        <v>1</v>
      </c>
      <c r="W622" s="83" t="s">
        <v>103</v>
      </c>
      <c r="X622" s="83">
        <v>0</v>
      </c>
    </row>
    <row r="623" spans="1:25" x14ac:dyDescent="0.2">
      <c r="A623" s="83">
        <v>1</v>
      </c>
      <c r="B623" s="84">
        <v>5701603303724</v>
      </c>
      <c r="C623" s="83">
        <v>10</v>
      </c>
      <c r="D623" s="84">
        <v>5980463303</v>
      </c>
      <c r="F623" s="83" t="s">
        <v>103</v>
      </c>
      <c r="G623" s="83">
        <v>0</v>
      </c>
      <c r="H623" s="83">
        <v>100</v>
      </c>
      <c r="K623" s="83">
        <v>1</v>
      </c>
      <c r="L623" s="83" t="s">
        <v>101</v>
      </c>
      <c r="M623" s="83" t="s">
        <v>410</v>
      </c>
      <c r="N623" s="83" t="s">
        <v>102</v>
      </c>
      <c r="P623" s="83">
        <v>0</v>
      </c>
      <c r="U623" s="83">
        <v>4</v>
      </c>
      <c r="V623" s="83">
        <v>1</v>
      </c>
      <c r="W623" s="83" t="s">
        <v>103</v>
      </c>
      <c r="X623" s="83">
        <v>0</v>
      </c>
      <c r="Y623" s="83" t="str">
        <f>LEFT(D623,6)</f>
        <v>598046</v>
      </c>
    </row>
    <row r="624" spans="1:25" x14ac:dyDescent="0.2">
      <c r="A624" s="83">
        <v>1</v>
      </c>
      <c r="B624" s="84">
        <v>5701603303724</v>
      </c>
      <c r="C624" s="83">
        <v>20</v>
      </c>
      <c r="D624" s="84">
        <v>5980543303</v>
      </c>
      <c r="F624" s="83" t="s">
        <v>103</v>
      </c>
      <c r="G624" s="83">
        <v>0</v>
      </c>
      <c r="H624" s="83">
        <v>100</v>
      </c>
      <c r="K624" s="83">
        <v>1</v>
      </c>
      <c r="L624" s="83" t="s">
        <v>101</v>
      </c>
      <c r="M624" s="83" t="s">
        <v>410</v>
      </c>
      <c r="N624" s="83" t="s">
        <v>102</v>
      </c>
      <c r="P624" s="83">
        <v>0</v>
      </c>
      <c r="U624" s="83">
        <v>4</v>
      </c>
      <c r="V624" s="83">
        <v>1</v>
      </c>
      <c r="W624" s="83" t="s">
        <v>103</v>
      </c>
      <c r="X624" s="83">
        <v>0</v>
      </c>
    </row>
    <row r="625" spans="1:25" x14ac:dyDescent="0.2">
      <c r="A625" s="83">
        <v>1</v>
      </c>
      <c r="B625" s="84">
        <v>5701603303724</v>
      </c>
      <c r="C625" s="83">
        <v>30</v>
      </c>
      <c r="D625" s="84">
        <v>5980623303</v>
      </c>
      <c r="F625" s="83" t="s">
        <v>103</v>
      </c>
      <c r="G625" s="83">
        <v>0</v>
      </c>
      <c r="H625" s="83">
        <v>100</v>
      </c>
      <c r="K625" s="83">
        <v>1</v>
      </c>
      <c r="L625" s="83" t="s">
        <v>101</v>
      </c>
      <c r="M625" s="83" t="s">
        <v>410</v>
      </c>
      <c r="N625" s="83" t="s">
        <v>102</v>
      </c>
      <c r="P625" s="83">
        <v>0</v>
      </c>
      <c r="U625" s="83">
        <v>4</v>
      </c>
      <c r="V625" s="83">
        <v>1</v>
      </c>
      <c r="W625" s="83" t="s">
        <v>103</v>
      </c>
      <c r="X625" s="83">
        <v>0</v>
      </c>
    </row>
    <row r="626" spans="1:25" x14ac:dyDescent="0.2">
      <c r="A626" s="83">
        <v>1</v>
      </c>
      <c r="B626" s="84">
        <v>5701603303724</v>
      </c>
      <c r="C626" s="83">
        <v>40</v>
      </c>
      <c r="D626" s="84">
        <v>5980823303</v>
      </c>
      <c r="F626" s="83" t="s">
        <v>103</v>
      </c>
      <c r="G626" s="83">
        <v>0</v>
      </c>
      <c r="H626" s="83">
        <v>100</v>
      </c>
      <c r="K626" s="83">
        <v>1</v>
      </c>
      <c r="L626" s="83" t="s">
        <v>101</v>
      </c>
      <c r="M626" s="83" t="s">
        <v>410</v>
      </c>
      <c r="N626" s="83" t="s">
        <v>102</v>
      </c>
      <c r="P626" s="83">
        <v>0</v>
      </c>
      <c r="U626" s="83">
        <v>4</v>
      </c>
      <c r="V626" s="83">
        <v>1</v>
      </c>
      <c r="W626" s="83" t="s">
        <v>103</v>
      </c>
      <c r="X626" s="83">
        <v>0</v>
      </c>
    </row>
    <row r="627" spans="1:25" x14ac:dyDescent="0.2">
      <c r="A627" s="83">
        <v>1</v>
      </c>
      <c r="B627" s="84">
        <v>5701603303724</v>
      </c>
      <c r="C627" s="83">
        <v>50</v>
      </c>
      <c r="D627" s="85">
        <v>5980933303</v>
      </c>
      <c r="F627" s="83" t="s">
        <v>103</v>
      </c>
      <c r="G627" s="83">
        <v>0</v>
      </c>
      <c r="H627" s="83">
        <v>100</v>
      </c>
      <c r="K627" s="83">
        <v>1</v>
      </c>
      <c r="L627" s="83" t="s">
        <v>101</v>
      </c>
      <c r="M627" s="83" t="s">
        <v>410</v>
      </c>
      <c r="N627" s="83" t="s">
        <v>102</v>
      </c>
      <c r="P627" s="83">
        <v>0</v>
      </c>
      <c r="U627" s="83">
        <v>4</v>
      </c>
      <c r="V627" s="83">
        <v>1</v>
      </c>
      <c r="W627" s="83" t="s">
        <v>103</v>
      </c>
      <c r="X627" s="83">
        <v>0</v>
      </c>
    </row>
    <row r="628" spans="1:25" x14ac:dyDescent="0.2">
      <c r="A628" s="83">
        <v>1</v>
      </c>
      <c r="B628" s="84">
        <v>5701603303724</v>
      </c>
      <c r="C628" s="83">
        <v>60</v>
      </c>
      <c r="D628" s="84">
        <v>1010286</v>
      </c>
      <c r="F628" s="83" t="s">
        <v>103</v>
      </c>
      <c r="G628" s="83">
        <v>0</v>
      </c>
      <c r="H628" s="83">
        <v>100</v>
      </c>
      <c r="K628" s="83">
        <v>8</v>
      </c>
      <c r="L628" s="83" t="s">
        <v>101</v>
      </c>
      <c r="M628" s="83" t="s">
        <v>410</v>
      </c>
      <c r="N628" s="83" t="s">
        <v>102</v>
      </c>
      <c r="P628" s="83">
        <v>0</v>
      </c>
      <c r="U628" s="83">
        <v>4</v>
      </c>
      <c r="V628" s="83">
        <v>1</v>
      </c>
      <c r="W628" s="83" t="s">
        <v>103</v>
      </c>
      <c r="X628" s="83">
        <v>0</v>
      </c>
    </row>
    <row r="629" spans="1:25" x14ac:dyDescent="0.2">
      <c r="A629" s="83">
        <v>1</v>
      </c>
      <c r="B629" s="84">
        <v>5701603303724</v>
      </c>
      <c r="C629" s="83">
        <v>70</v>
      </c>
      <c r="D629" s="84">
        <v>1010287</v>
      </c>
      <c r="F629" s="83" t="s">
        <v>103</v>
      </c>
      <c r="G629" s="83">
        <v>0</v>
      </c>
      <c r="H629" s="83">
        <v>100</v>
      </c>
      <c r="K629" s="83">
        <v>4</v>
      </c>
      <c r="L629" s="83" t="s">
        <v>101</v>
      </c>
      <c r="M629" s="83" t="s">
        <v>410</v>
      </c>
      <c r="N629" s="83" t="s">
        <v>102</v>
      </c>
      <c r="P629" s="83">
        <v>0</v>
      </c>
      <c r="U629" s="83">
        <v>4</v>
      </c>
      <c r="V629" s="83">
        <v>1</v>
      </c>
      <c r="W629" s="83" t="s">
        <v>103</v>
      </c>
      <c r="X629" s="83">
        <v>0</v>
      </c>
    </row>
    <row r="630" spans="1:25" x14ac:dyDescent="0.2">
      <c r="A630" s="83">
        <v>1</v>
      </c>
      <c r="B630" s="84">
        <v>5701603303724</v>
      </c>
      <c r="C630" s="83">
        <v>80</v>
      </c>
      <c r="D630" s="84">
        <v>1020145</v>
      </c>
      <c r="F630" s="83" t="s">
        <v>103</v>
      </c>
      <c r="G630" s="83">
        <v>0</v>
      </c>
      <c r="H630" s="83">
        <v>100</v>
      </c>
      <c r="K630" s="83" t="s">
        <v>408</v>
      </c>
      <c r="L630" s="83" t="s">
        <v>101</v>
      </c>
      <c r="M630" s="83" t="s">
        <v>410</v>
      </c>
      <c r="N630" s="83" t="s">
        <v>102</v>
      </c>
      <c r="P630" s="83">
        <v>0</v>
      </c>
      <c r="U630" s="83">
        <v>4</v>
      </c>
      <c r="V630" s="83">
        <v>1</v>
      </c>
      <c r="W630" s="83" t="s">
        <v>103</v>
      </c>
      <c r="X630" s="83">
        <v>0</v>
      </c>
    </row>
    <row r="631" spans="1:25" x14ac:dyDescent="0.2">
      <c r="A631" s="83">
        <v>1</v>
      </c>
      <c r="B631" s="84">
        <v>5701603303724</v>
      </c>
      <c r="C631" s="83">
        <v>90</v>
      </c>
      <c r="D631" s="84">
        <v>777500724</v>
      </c>
      <c r="F631" s="83" t="s">
        <v>103</v>
      </c>
      <c r="G631" s="83">
        <v>0</v>
      </c>
      <c r="H631" s="83">
        <v>100</v>
      </c>
      <c r="K631" s="83">
        <v>1</v>
      </c>
      <c r="L631" s="83" t="s">
        <v>101</v>
      </c>
      <c r="M631" s="83" t="s">
        <v>410</v>
      </c>
      <c r="N631" s="83" t="s">
        <v>102</v>
      </c>
      <c r="P631" s="83">
        <v>0</v>
      </c>
      <c r="U631" s="83">
        <v>4</v>
      </c>
      <c r="V631" s="83">
        <v>1</v>
      </c>
      <c r="W631" s="83" t="s">
        <v>103</v>
      </c>
      <c r="X631" s="83">
        <v>0</v>
      </c>
    </row>
    <row r="632" spans="1:25" x14ac:dyDescent="0.2">
      <c r="A632" s="83">
        <v>1</v>
      </c>
      <c r="B632" s="84">
        <v>5701603304724</v>
      </c>
      <c r="C632" s="83">
        <v>10</v>
      </c>
      <c r="D632" s="84">
        <v>5980463304</v>
      </c>
      <c r="F632" s="83" t="s">
        <v>103</v>
      </c>
      <c r="G632" s="83">
        <v>0</v>
      </c>
      <c r="H632" s="83">
        <v>100</v>
      </c>
      <c r="K632" s="83">
        <v>1</v>
      </c>
      <c r="L632" s="83" t="s">
        <v>101</v>
      </c>
      <c r="M632" s="83" t="s">
        <v>410</v>
      </c>
      <c r="N632" s="83" t="s">
        <v>102</v>
      </c>
      <c r="P632" s="83">
        <v>0</v>
      </c>
      <c r="U632" s="83">
        <v>4</v>
      </c>
      <c r="V632" s="83">
        <v>1</v>
      </c>
      <c r="W632" s="83" t="s">
        <v>103</v>
      </c>
      <c r="X632" s="83">
        <v>0</v>
      </c>
      <c r="Y632" s="83" t="str">
        <f>LEFT(D632,6)</f>
        <v>598046</v>
      </c>
    </row>
    <row r="633" spans="1:25" x14ac:dyDescent="0.2">
      <c r="A633" s="83">
        <v>1</v>
      </c>
      <c r="B633" s="84">
        <v>5701603304724</v>
      </c>
      <c r="C633" s="83">
        <v>20</v>
      </c>
      <c r="D633" s="84">
        <v>5980543304</v>
      </c>
      <c r="F633" s="83" t="s">
        <v>103</v>
      </c>
      <c r="G633" s="83">
        <v>0</v>
      </c>
      <c r="H633" s="83">
        <v>100</v>
      </c>
      <c r="K633" s="83">
        <v>1</v>
      </c>
      <c r="L633" s="83" t="s">
        <v>101</v>
      </c>
      <c r="M633" s="83" t="s">
        <v>410</v>
      </c>
      <c r="N633" s="83" t="s">
        <v>102</v>
      </c>
      <c r="P633" s="83">
        <v>0</v>
      </c>
      <c r="U633" s="83">
        <v>4</v>
      </c>
      <c r="V633" s="83">
        <v>1</v>
      </c>
      <c r="W633" s="83" t="s">
        <v>103</v>
      </c>
      <c r="X633" s="83">
        <v>0</v>
      </c>
    </row>
    <row r="634" spans="1:25" x14ac:dyDescent="0.2">
      <c r="A634" s="83">
        <v>1</v>
      </c>
      <c r="B634" s="84">
        <v>5701603304724</v>
      </c>
      <c r="C634" s="83">
        <v>30</v>
      </c>
      <c r="D634" s="84">
        <v>5980623304</v>
      </c>
      <c r="F634" s="83" t="s">
        <v>103</v>
      </c>
      <c r="G634" s="83">
        <v>0</v>
      </c>
      <c r="H634" s="83">
        <v>100</v>
      </c>
      <c r="K634" s="83">
        <v>1</v>
      </c>
      <c r="L634" s="83" t="s">
        <v>101</v>
      </c>
      <c r="M634" s="83" t="s">
        <v>410</v>
      </c>
      <c r="N634" s="83" t="s">
        <v>102</v>
      </c>
      <c r="P634" s="83">
        <v>0</v>
      </c>
      <c r="U634" s="83">
        <v>4</v>
      </c>
      <c r="V634" s="83">
        <v>1</v>
      </c>
      <c r="W634" s="83" t="s">
        <v>103</v>
      </c>
      <c r="X634" s="83">
        <v>0</v>
      </c>
    </row>
    <row r="635" spans="1:25" x14ac:dyDescent="0.2">
      <c r="A635" s="83">
        <v>1</v>
      </c>
      <c r="B635" s="84">
        <v>5701603304724</v>
      </c>
      <c r="C635" s="83">
        <v>40</v>
      </c>
      <c r="D635" s="84">
        <v>5980823304</v>
      </c>
      <c r="F635" s="83" t="s">
        <v>103</v>
      </c>
      <c r="G635" s="83">
        <v>0</v>
      </c>
      <c r="H635" s="83">
        <v>100</v>
      </c>
      <c r="K635" s="83">
        <v>1</v>
      </c>
      <c r="L635" s="83" t="s">
        <v>101</v>
      </c>
      <c r="M635" s="83" t="s">
        <v>410</v>
      </c>
      <c r="N635" s="83" t="s">
        <v>102</v>
      </c>
      <c r="P635" s="83">
        <v>0</v>
      </c>
      <c r="U635" s="83">
        <v>4</v>
      </c>
      <c r="V635" s="83">
        <v>1</v>
      </c>
      <c r="W635" s="83" t="s">
        <v>103</v>
      </c>
      <c r="X635" s="83">
        <v>0</v>
      </c>
    </row>
    <row r="636" spans="1:25" x14ac:dyDescent="0.2">
      <c r="A636" s="83">
        <v>1</v>
      </c>
      <c r="B636" s="84">
        <v>5701603304724</v>
      </c>
      <c r="C636" s="83">
        <v>50</v>
      </c>
      <c r="D636" s="84">
        <v>5980933304</v>
      </c>
      <c r="F636" s="83" t="s">
        <v>103</v>
      </c>
      <c r="G636" s="83">
        <v>0</v>
      </c>
      <c r="H636" s="83">
        <v>100</v>
      </c>
      <c r="K636" s="83">
        <v>1</v>
      </c>
      <c r="L636" s="83" t="s">
        <v>101</v>
      </c>
      <c r="M636" s="83" t="s">
        <v>410</v>
      </c>
      <c r="N636" s="83" t="s">
        <v>102</v>
      </c>
      <c r="P636" s="83">
        <v>0</v>
      </c>
      <c r="U636" s="83">
        <v>4</v>
      </c>
      <c r="V636" s="83">
        <v>1</v>
      </c>
      <c r="W636" s="83" t="s">
        <v>103</v>
      </c>
      <c r="X636" s="83">
        <v>0</v>
      </c>
    </row>
    <row r="637" spans="1:25" x14ac:dyDescent="0.2">
      <c r="A637" s="83">
        <v>1</v>
      </c>
      <c r="B637" s="84">
        <v>5701603304724</v>
      </c>
      <c r="C637" s="83">
        <v>60</v>
      </c>
      <c r="D637" s="84">
        <v>1010286</v>
      </c>
      <c r="F637" s="83" t="s">
        <v>103</v>
      </c>
      <c r="G637" s="83">
        <v>0</v>
      </c>
      <c r="H637" s="83">
        <v>100</v>
      </c>
      <c r="K637" s="83">
        <v>8</v>
      </c>
      <c r="L637" s="83" t="s">
        <v>101</v>
      </c>
      <c r="M637" s="83" t="s">
        <v>410</v>
      </c>
      <c r="N637" s="83" t="s">
        <v>102</v>
      </c>
      <c r="P637" s="83">
        <v>0</v>
      </c>
      <c r="U637" s="83">
        <v>4</v>
      </c>
      <c r="V637" s="83">
        <v>1</v>
      </c>
      <c r="W637" s="83" t="s">
        <v>103</v>
      </c>
      <c r="X637" s="83">
        <v>0</v>
      </c>
    </row>
    <row r="638" spans="1:25" x14ac:dyDescent="0.2">
      <c r="A638" s="83">
        <v>1</v>
      </c>
      <c r="B638" s="84">
        <v>5701603304724</v>
      </c>
      <c r="C638" s="83">
        <v>70</v>
      </c>
      <c r="D638" s="84">
        <v>1010288</v>
      </c>
      <c r="F638" s="83" t="s">
        <v>103</v>
      </c>
      <c r="G638" s="83">
        <v>0</v>
      </c>
      <c r="H638" s="83">
        <v>100</v>
      </c>
      <c r="K638" s="83">
        <v>4</v>
      </c>
      <c r="L638" s="83" t="s">
        <v>101</v>
      </c>
      <c r="M638" s="83" t="s">
        <v>410</v>
      </c>
      <c r="N638" s="83" t="s">
        <v>102</v>
      </c>
      <c r="P638" s="83">
        <v>0</v>
      </c>
      <c r="U638" s="83">
        <v>4</v>
      </c>
      <c r="V638" s="83">
        <v>1</v>
      </c>
      <c r="W638" s="83" t="s">
        <v>103</v>
      </c>
      <c r="X638" s="83">
        <v>0</v>
      </c>
    </row>
    <row r="639" spans="1:25" x14ac:dyDescent="0.2">
      <c r="A639" s="83">
        <v>1</v>
      </c>
      <c r="B639" s="84">
        <v>5701603304724</v>
      </c>
      <c r="C639" s="83">
        <v>80</v>
      </c>
      <c r="D639" s="84">
        <v>1020145</v>
      </c>
      <c r="F639" s="83" t="s">
        <v>103</v>
      </c>
      <c r="G639" s="83">
        <v>0</v>
      </c>
      <c r="H639" s="83">
        <v>100</v>
      </c>
      <c r="K639" s="83" t="s">
        <v>408</v>
      </c>
      <c r="L639" s="83" t="s">
        <v>101</v>
      </c>
      <c r="M639" s="83" t="s">
        <v>410</v>
      </c>
      <c r="N639" s="83" t="s">
        <v>102</v>
      </c>
      <c r="P639" s="83">
        <v>0</v>
      </c>
      <c r="U639" s="83">
        <v>4</v>
      </c>
      <c r="V639" s="83">
        <v>1</v>
      </c>
      <c r="W639" s="83" t="s">
        <v>103</v>
      </c>
      <c r="X639" s="83">
        <v>0</v>
      </c>
    </row>
    <row r="640" spans="1:25" x14ac:dyDescent="0.2">
      <c r="A640" s="83">
        <v>1</v>
      </c>
      <c r="B640" s="84">
        <v>5701603304724</v>
      </c>
      <c r="C640" s="83">
        <v>90</v>
      </c>
      <c r="D640" s="84">
        <v>777500724</v>
      </c>
      <c r="F640" s="83" t="s">
        <v>103</v>
      </c>
      <c r="G640" s="83">
        <v>0</v>
      </c>
      <c r="H640" s="83">
        <v>100</v>
      </c>
      <c r="K640" s="83">
        <v>1</v>
      </c>
      <c r="L640" s="83" t="s">
        <v>101</v>
      </c>
      <c r="M640" s="83" t="s">
        <v>410</v>
      </c>
      <c r="N640" s="83" t="s">
        <v>102</v>
      </c>
      <c r="P640" s="83">
        <v>0</v>
      </c>
      <c r="U640" s="83">
        <v>4</v>
      </c>
      <c r="V640" s="83">
        <v>1</v>
      </c>
      <c r="W640" s="83" t="s">
        <v>103</v>
      </c>
      <c r="X640" s="83">
        <v>0</v>
      </c>
    </row>
    <row r="641" spans="1:25" x14ac:dyDescent="0.2">
      <c r="A641" s="83">
        <v>1</v>
      </c>
      <c r="B641" s="84">
        <v>5701603305724</v>
      </c>
      <c r="C641" s="83">
        <v>10</v>
      </c>
      <c r="D641" s="84">
        <v>5980463305</v>
      </c>
      <c r="F641" s="83" t="s">
        <v>103</v>
      </c>
      <c r="G641" s="83">
        <v>0</v>
      </c>
      <c r="H641" s="83">
        <v>100</v>
      </c>
      <c r="K641" s="83">
        <v>1</v>
      </c>
      <c r="L641" s="83" t="s">
        <v>101</v>
      </c>
      <c r="M641" s="83" t="s">
        <v>410</v>
      </c>
      <c r="N641" s="83" t="s">
        <v>102</v>
      </c>
      <c r="P641" s="83">
        <v>0</v>
      </c>
      <c r="U641" s="83">
        <v>4</v>
      </c>
      <c r="V641" s="83">
        <v>1</v>
      </c>
      <c r="W641" s="83" t="s">
        <v>103</v>
      </c>
      <c r="X641" s="83">
        <v>0</v>
      </c>
      <c r="Y641" s="83" t="str">
        <f>LEFT(D641,6)</f>
        <v>598046</v>
      </c>
    </row>
    <row r="642" spans="1:25" x14ac:dyDescent="0.2">
      <c r="A642" s="83">
        <v>1</v>
      </c>
      <c r="B642" s="84">
        <v>5701603305724</v>
      </c>
      <c r="C642" s="83">
        <v>20</v>
      </c>
      <c r="D642" s="84">
        <v>5980543305</v>
      </c>
      <c r="F642" s="83" t="s">
        <v>103</v>
      </c>
      <c r="G642" s="83">
        <v>0</v>
      </c>
      <c r="H642" s="83">
        <v>100</v>
      </c>
      <c r="K642" s="83">
        <v>1</v>
      </c>
      <c r="L642" s="83" t="s">
        <v>101</v>
      </c>
      <c r="M642" s="83" t="s">
        <v>410</v>
      </c>
      <c r="N642" s="83" t="s">
        <v>102</v>
      </c>
      <c r="P642" s="83">
        <v>0</v>
      </c>
      <c r="U642" s="83">
        <v>4</v>
      </c>
      <c r="V642" s="83">
        <v>1</v>
      </c>
      <c r="W642" s="83" t="s">
        <v>103</v>
      </c>
      <c r="X642" s="83">
        <v>0</v>
      </c>
    </row>
    <row r="643" spans="1:25" x14ac:dyDescent="0.2">
      <c r="A643" s="83">
        <v>1</v>
      </c>
      <c r="B643" s="84">
        <v>5701603305724</v>
      </c>
      <c r="C643" s="83">
        <v>30</v>
      </c>
      <c r="D643" s="84">
        <v>5980623305</v>
      </c>
      <c r="F643" s="83" t="s">
        <v>103</v>
      </c>
      <c r="G643" s="83">
        <v>0</v>
      </c>
      <c r="H643" s="83">
        <v>100</v>
      </c>
      <c r="K643" s="83">
        <v>1</v>
      </c>
      <c r="L643" s="83" t="s">
        <v>101</v>
      </c>
      <c r="M643" s="83" t="s">
        <v>410</v>
      </c>
      <c r="N643" s="83" t="s">
        <v>102</v>
      </c>
      <c r="P643" s="83">
        <v>0</v>
      </c>
      <c r="U643" s="83">
        <v>4</v>
      </c>
      <c r="V643" s="83">
        <v>1</v>
      </c>
      <c r="W643" s="83" t="s">
        <v>103</v>
      </c>
      <c r="X643" s="83">
        <v>0</v>
      </c>
    </row>
    <row r="644" spans="1:25" x14ac:dyDescent="0.2">
      <c r="A644" s="83">
        <v>1</v>
      </c>
      <c r="B644" s="84">
        <v>5701603305724</v>
      </c>
      <c r="C644" s="83">
        <v>40</v>
      </c>
      <c r="D644" s="84">
        <v>5980823305</v>
      </c>
      <c r="F644" s="83" t="s">
        <v>103</v>
      </c>
      <c r="G644" s="83">
        <v>0</v>
      </c>
      <c r="H644" s="83">
        <v>100</v>
      </c>
      <c r="K644" s="83">
        <v>1</v>
      </c>
      <c r="L644" s="83" t="s">
        <v>101</v>
      </c>
      <c r="M644" s="83" t="s">
        <v>410</v>
      </c>
      <c r="N644" s="83" t="s">
        <v>102</v>
      </c>
      <c r="P644" s="83">
        <v>0</v>
      </c>
      <c r="U644" s="83">
        <v>4</v>
      </c>
      <c r="V644" s="83">
        <v>1</v>
      </c>
      <c r="W644" s="83" t="s">
        <v>103</v>
      </c>
      <c r="X644" s="83">
        <v>0</v>
      </c>
    </row>
    <row r="645" spans="1:25" x14ac:dyDescent="0.2">
      <c r="A645" s="83">
        <v>1</v>
      </c>
      <c r="B645" s="84">
        <v>5701603305724</v>
      </c>
      <c r="C645" s="83">
        <v>50</v>
      </c>
      <c r="D645" s="84">
        <v>5980933305</v>
      </c>
      <c r="F645" s="83" t="s">
        <v>103</v>
      </c>
      <c r="G645" s="83">
        <v>0</v>
      </c>
      <c r="H645" s="83">
        <v>100</v>
      </c>
      <c r="K645" s="83">
        <v>1</v>
      </c>
      <c r="L645" s="83" t="s">
        <v>101</v>
      </c>
      <c r="M645" s="83" t="s">
        <v>410</v>
      </c>
      <c r="N645" s="83" t="s">
        <v>102</v>
      </c>
      <c r="P645" s="83">
        <v>0</v>
      </c>
      <c r="U645" s="83">
        <v>4</v>
      </c>
      <c r="V645" s="83">
        <v>1</v>
      </c>
      <c r="W645" s="83" t="s">
        <v>103</v>
      </c>
      <c r="X645" s="83">
        <v>0</v>
      </c>
    </row>
    <row r="646" spans="1:25" x14ac:dyDescent="0.2">
      <c r="A646" s="83">
        <v>1</v>
      </c>
      <c r="B646" s="84">
        <v>5701603305724</v>
      </c>
      <c r="C646" s="83">
        <v>60</v>
      </c>
      <c r="D646" s="84">
        <v>1010286</v>
      </c>
      <c r="F646" s="83" t="s">
        <v>103</v>
      </c>
      <c r="G646" s="83">
        <v>0</v>
      </c>
      <c r="H646" s="83">
        <v>100</v>
      </c>
      <c r="K646" s="83">
        <v>8</v>
      </c>
      <c r="L646" s="83" t="s">
        <v>101</v>
      </c>
      <c r="M646" s="83" t="s">
        <v>410</v>
      </c>
      <c r="N646" s="83" t="s">
        <v>102</v>
      </c>
      <c r="P646" s="83">
        <v>0</v>
      </c>
      <c r="U646" s="83">
        <v>4</v>
      </c>
      <c r="V646" s="83">
        <v>1</v>
      </c>
      <c r="W646" s="83" t="s">
        <v>103</v>
      </c>
      <c r="X646" s="83">
        <v>0</v>
      </c>
    </row>
    <row r="647" spans="1:25" x14ac:dyDescent="0.2">
      <c r="A647" s="83">
        <v>1</v>
      </c>
      <c r="B647" s="84">
        <v>5701603305724</v>
      </c>
      <c r="C647" s="83">
        <v>70</v>
      </c>
      <c r="D647" s="84">
        <v>1010288</v>
      </c>
      <c r="F647" s="83" t="s">
        <v>103</v>
      </c>
      <c r="G647" s="83">
        <v>0</v>
      </c>
      <c r="H647" s="83">
        <v>100</v>
      </c>
      <c r="K647" s="83">
        <v>4</v>
      </c>
      <c r="L647" s="83" t="s">
        <v>101</v>
      </c>
      <c r="M647" s="83" t="s">
        <v>410</v>
      </c>
      <c r="N647" s="83" t="s">
        <v>102</v>
      </c>
      <c r="P647" s="83">
        <v>0</v>
      </c>
      <c r="U647" s="83">
        <v>4</v>
      </c>
      <c r="V647" s="83">
        <v>1</v>
      </c>
      <c r="W647" s="83" t="s">
        <v>103</v>
      </c>
      <c r="X647" s="83">
        <v>0</v>
      </c>
    </row>
    <row r="648" spans="1:25" x14ac:dyDescent="0.2">
      <c r="A648" s="83">
        <v>1</v>
      </c>
      <c r="B648" s="84">
        <v>5701603305724</v>
      </c>
      <c r="C648" s="83">
        <v>80</v>
      </c>
      <c r="D648" s="84">
        <v>1020145</v>
      </c>
      <c r="F648" s="83" t="s">
        <v>103</v>
      </c>
      <c r="G648" s="83">
        <v>0</v>
      </c>
      <c r="H648" s="83">
        <v>100</v>
      </c>
      <c r="K648" s="83" t="s">
        <v>408</v>
      </c>
      <c r="L648" s="83" t="s">
        <v>101</v>
      </c>
      <c r="M648" s="83" t="s">
        <v>410</v>
      </c>
      <c r="N648" s="83" t="s">
        <v>102</v>
      </c>
      <c r="P648" s="83">
        <v>0</v>
      </c>
      <c r="U648" s="83">
        <v>4</v>
      </c>
      <c r="V648" s="83">
        <v>1</v>
      </c>
      <c r="W648" s="83" t="s">
        <v>103</v>
      </c>
      <c r="X648" s="83">
        <v>0</v>
      </c>
    </row>
    <row r="649" spans="1:25" x14ac:dyDescent="0.2">
      <c r="A649" s="83">
        <v>1</v>
      </c>
      <c r="B649" s="84">
        <v>5701603305724</v>
      </c>
      <c r="C649" s="83">
        <v>90</v>
      </c>
      <c r="D649" s="84">
        <v>777500724</v>
      </c>
      <c r="F649" s="83" t="s">
        <v>103</v>
      </c>
      <c r="G649" s="83">
        <v>0</v>
      </c>
      <c r="H649" s="83">
        <v>100</v>
      </c>
      <c r="K649" s="83">
        <v>1</v>
      </c>
      <c r="L649" s="83" t="s">
        <v>101</v>
      </c>
      <c r="M649" s="83" t="s">
        <v>410</v>
      </c>
      <c r="N649" s="83" t="s">
        <v>102</v>
      </c>
      <c r="P649" s="83">
        <v>0</v>
      </c>
      <c r="U649" s="83">
        <v>4</v>
      </c>
      <c r="V649" s="83">
        <v>1</v>
      </c>
      <c r="W649" s="83" t="s">
        <v>103</v>
      </c>
      <c r="X649" s="83">
        <v>0</v>
      </c>
    </row>
    <row r="650" spans="1:25" x14ac:dyDescent="0.2">
      <c r="A650" s="83">
        <v>1</v>
      </c>
      <c r="B650" s="84">
        <v>5701603306724</v>
      </c>
      <c r="C650" s="83">
        <v>10</v>
      </c>
      <c r="D650" s="84">
        <v>5980463306</v>
      </c>
      <c r="F650" s="83" t="s">
        <v>103</v>
      </c>
      <c r="G650" s="83">
        <v>0</v>
      </c>
      <c r="H650" s="83">
        <v>100</v>
      </c>
      <c r="K650" s="83">
        <v>1</v>
      </c>
      <c r="L650" s="83" t="s">
        <v>101</v>
      </c>
      <c r="M650" s="83" t="s">
        <v>410</v>
      </c>
      <c r="N650" s="83" t="s">
        <v>102</v>
      </c>
      <c r="P650" s="83">
        <v>0</v>
      </c>
      <c r="U650" s="83">
        <v>4</v>
      </c>
      <c r="V650" s="83">
        <v>1</v>
      </c>
      <c r="W650" s="83" t="s">
        <v>103</v>
      </c>
      <c r="X650" s="83">
        <v>0</v>
      </c>
      <c r="Y650" s="83" t="str">
        <f>LEFT(D650,6)</f>
        <v>598046</v>
      </c>
    </row>
    <row r="651" spans="1:25" x14ac:dyDescent="0.2">
      <c r="A651" s="83">
        <v>1</v>
      </c>
      <c r="B651" s="84">
        <v>5701603306724</v>
      </c>
      <c r="C651" s="83">
        <v>20</v>
      </c>
      <c r="D651" s="84">
        <v>5980543306</v>
      </c>
      <c r="F651" s="83" t="s">
        <v>103</v>
      </c>
      <c r="G651" s="83">
        <v>0</v>
      </c>
      <c r="H651" s="83">
        <v>100</v>
      </c>
      <c r="K651" s="83">
        <v>1</v>
      </c>
      <c r="L651" s="83" t="s">
        <v>101</v>
      </c>
      <c r="M651" s="83" t="s">
        <v>410</v>
      </c>
      <c r="N651" s="83" t="s">
        <v>102</v>
      </c>
      <c r="P651" s="83">
        <v>0</v>
      </c>
      <c r="U651" s="83">
        <v>4</v>
      </c>
      <c r="V651" s="83">
        <v>1</v>
      </c>
      <c r="W651" s="83" t="s">
        <v>103</v>
      </c>
      <c r="X651" s="83">
        <v>0</v>
      </c>
    </row>
    <row r="652" spans="1:25" x14ac:dyDescent="0.2">
      <c r="A652" s="83">
        <v>1</v>
      </c>
      <c r="B652" s="84">
        <v>5701603306724</v>
      </c>
      <c r="C652" s="83">
        <v>30</v>
      </c>
      <c r="D652" s="84">
        <v>5980623306</v>
      </c>
      <c r="F652" s="83" t="s">
        <v>103</v>
      </c>
      <c r="G652" s="83">
        <v>0</v>
      </c>
      <c r="H652" s="83">
        <v>100</v>
      </c>
      <c r="K652" s="83">
        <v>1</v>
      </c>
      <c r="L652" s="83" t="s">
        <v>101</v>
      </c>
      <c r="M652" s="83" t="s">
        <v>410</v>
      </c>
      <c r="N652" s="83" t="s">
        <v>102</v>
      </c>
      <c r="P652" s="83">
        <v>0</v>
      </c>
      <c r="U652" s="83">
        <v>4</v>
      </c>
      <c r="V652" s="83">
        <v>1</v>
      </c>
      <c r="W652" s="83" t="s">
        <v>103</v>
      </c>
      <c r="X652" s="83">
        <v>0</v>
      </c>
    </row>
    <row r="653" spans="1:25" x14ac:dyDescent="0.2">
      <c r="A653" s="83">
        <v>1</v>
      </c>
      <c r="B653" s="84">
        <v>5701603306724</v>
      </c>
      <c r="C653" s="83">
        <v>40</v>
      </c>
      <c r="D653" s="84">
        <v>5980823306</v>
      </c>
      <c r="F653" s="83" t="s">
        <v>103</v>
      </c>
      <c r="G653" s="83">
        <v>0</v>
      </c>
      <c r="H653" s="83">
        <v>100</v>
      </c>
      <c r="K653" s="83">
        <v>1</v>
      </c>
      <c r="L653" s="83" t="s">
        <v>101</v>
      </c>
      <c r="M653" s="83" t="s">
        <v>410</v>
      </c>
      <c r="N653" s="83" t="s">
        <v>102</v>
      </c>
      <c r="P653" s="83">
        <v>0</v>
      </c>
      <c r="U653" s="83">
        <v>4</v>
      </c>
      <c r="V653" s="83">
        <v>1</v>
      </c>
      <c r="W653" s="83" t="s">
        <v>103</v>
      </c>
      <c r="X653" s="83">
        <v>0</v>
      </c>
    </row>
    <row r="654" spans="1:25" x14ac:dyDescent="0.2">
      <c r="A654" s="83">
        <v>1</v>
      </c>
      <c r="B654" s="84">
        <v>5701603306724</v>
      </c>
      <c r="C654" s="83">
        <v>50</v>
      </c>
      <c r="D654" s="84">
        <v>5980933306</v>
      </c>
      <c r="F654" s="83" t="s">
        <v>103</v>
      </c>
      <c r="G654" s="83">
        <v>0</v>
      </c>
      <c r="H654" s="83">
        <v>100</v>
      </c>
      <c r="K654" s="83">
        <v>1</v>
      </c>
      <c r="L654" s="83" t="s">
        <v>101</v>
      </c>
      <c r="M654" s="83" t="s">
        <v>410</v>
      </c>
      <c r="N654" s="83" t="s">
        <v>102</v>
      </c>
      <c r="P654" s="83">
        <v>0</v>
      </c>
      <c r="U654" s="83">
        <v>4</v>
      </c>
      <c r="V654" s="83">
        <v>1</v>
      </c>
      <c r="W654" s="83" t="s">
        <v>103</v>
      </c>
      <c r="X654" s="83">
        <v>0</v>
      </c>
    </row>
    <row r="655" spans="1:25" x14ac:dyDescent="0.2">
      <c r="A655" s="83">
        <v>1</v>
      </c>
      <c r="B655" s="84">
        <v>5701603306724</v>
      </c>
      <c r="C655" s="83">
        <v>60</v>
      </c>
      <c r="D655" s="84">
        <v>1010286</v>
      </c>
      <c r="F655" s="83" t="s">
        <v>103</v>
      </c>
      <c r="G655" s="83">
        <v>0</v>
      </c>
      <c r="H655" s="83">
        <v>100</v>
      </c>
      <c r="K655" s="83">
        <v>8</v>
      </c>
      <c r="L655" s="83" t="s">
        <v>101</v>
      </c>
      <c r="M655" s="83" t="s">
        <v>410</v>
      </c>
      <c r="N655" s="83" t="s">
        <v>102</v>
      </c>
      <c r="P655" s="83">
        <v>0</v>
      </c>
      <c r="U655" s="83">
        <v>4</v>
      </c>
      <c r="V655" s="83">
        <v>1</v>
      </c>
      <c r="W655" s="83" t="s">
        <v>103</v>
      </c>
      <c r="X655" s="83">
        <v>0</v>
      </c>
    </row>
    <row r="656" spans="1:25" x14ac:dyDescent="0.2">
      <c r="A656" s="83">
        <v>1</v>
      </c>
      <c r="B656" s="84">
        <v>5701603306724</v>
      </c>
      <c r="C656" s="83">
        <v>70</v>
      </c>
      <c r="D656" s="84">
        <v>1010287</v>
      </c>
      <c r="F656" s="83" t="s">
        <v>103</v>
      </c>
      <c r="G656" s="83">
        <v>0</v>
      </c>
      <c r="H656" s="83">
        <v>100</v>
      </c>
      <c r="K656" s="83">
        <v>4</v>
      </c>
      <c r="L656" s="83" t="s">
        <v>101</v>
      </c>
      <c r="M656" s="83" t="s">
        <v>410</v>
      </c>
      <c r="N656" s="83" t="s">
        <v>102</v>
      </c>
      <c r="P656" s="83">
        <v>0</v>
      </c>
      <c r="U656" s="83">
        <v>4</v>
      </c>
      <c r="V656" s="83">
        <v>1</v>
      </c>
      <c r="W656" s="83" t="s">
        <v>103</v>
      </c>
      <c r="X656" s="83">
        <v>0</v>
      </c>
    </row>
    <row r="657" spans="1:25" x14ac:dyDescent="0.2">
      <c r="A657" s="83">
        <v>1</v>
      </c>
      <c r="B657" s="84">
        <v>5701603306724</v>
      </c>
      <c r="C657" s="83">
        <v>80</v>
      </c>
      <c r="D657" s="84">
        <v>1020145</v>
      </c>
      <c r="F657" s="83" t="s">
        <v>103</v>
      </c>
      <c r="G657" s="83">
        <v>0</v>
      </c>
      <c r="H657" s="83">
        <v>100</v>
      </c>
      <c r="K657" s="83" t="s">
        <v>408</v>
      </c>
      <c r="L657" s="83" t="s">
        <v>101</v>
      </c>
      <c r="M657" s="83" t="s">
        <v>410</v>
      </c>
      <c r="N657" s="83" t="s">
        <v>102</v>
      </c>
      <c r="P657" s="83">
        <v>0</v>
      </c>
      <c r="U657" s="83">
        <v>4</v>
      </c>
      <c r="V657" s="83">
        <v>1</v>
      </c>
      <c r="W657" s="83" t="s">
        <v>103</v>
      </c>
      <c r="X657" s="83">
        <v>0</v>
      </c>
    </row>
    <row r="658" spans="1:25" x14ac:dyDescent="0.2">
      <c r="A658" s="83">
        <v>1</v>
      </c>
      <c r="B658" s="84">
        <v>5701603306724</v>
      </c>
      <c r="C658" s="83">
        <v>90</v>
      </c>
      <c r="D658" s="84">
        <v>777500724</v>
      </c>
      <c r="F658" s="83" t="s">
        <v>103</v>
      </c>
      <c r="G658" s="83">
        <v>0</v>
      </c>
      <c r="H658" s="83">
        <v>100</v>
      </c>
      <c r="K658" s="83">
        <v>1</v>
      </c>
      <c r="L658" s="83" t="s">
        <v>101</v>
      </c>
      <c r="M658" s="83" t="s">
        <v>410</v>
      </c>
      <c r="N658" s="83" t="s">
        <v>102</v>
      </c>
      <c r="P658" s="83">
        <v>0</v>
      </c>
      <c r="U658" s="83">
        <v>4</v>
      </c>
      <c r="V658" s="83">
        <v>1</v>
      </c>
      <c r="W658" s="83" t="s">
        <v>103</v>
      </c>
      <c r="X658" s="83">
        <v>0</v>
      </c>
    </row>
    <row r="659" spans="1:25" x14ac:dyDescent="0.2">
      <c r="A659" s="83">
        <v>1</v>
      </c>
      <c r="B659" s="84">
        <v>5701603307724</v>
      </c>
      <c r="C659" s="83">
        <v>10</v>
      </c>
      <c r="D659" s="84">
        <v>5980463307</v>
      </c>
      <c r="F659" s="83" t="s">
        <v>103</v>
      </c>
      <c r="G659" s="83">
        <v>0</v>
      </c>
      <c r="H659" s="83">
        <v>100</v>
      </c>
      <c r="K659" s="83">
        <v>1</v>
      </c>
      <c r="L659" s="83" t="s">
        <v>101</v>
      </c>
      <c r="M659" s="83" t="s">
        <v>410</v>
      </c>
      <c r="N659" s="83" t="s">
        <v>102</v>
      </c>
      <c r="P659" s="83">
        <v>0</v>
      </c>
      <c r="U659" s="83">
        <v>4</v>
      </c>
      <c r="V659" s="83">
        <v>1</v>
      </c>
      <c r="W659" s="83" t="s">
        <v>103</v>
      </c>
      <c r="X659" s="83">
        <v>0</v>
      </c>
      <c r="Y659" s="83" t="str">
        <f>LEFT(D659,6)</f>
        <v>598046</v>
      </c>
    </row>
    <row r="660" spans="1:25" x14ac:dyDescent="0.2">
      <c r="A660" s="83">
        <v>1</v>
      </c>
      <c r="B660" s="84">
        <v>5701603307724</v>
      </c>
      <c r="C660" s="83">
        <v>20</v>
      </c>
      <c r="D660" s="84">
        <v>5980543307</v>
      </c>
      <c r="F660" s="83" t="s">
        <v>103</v>
      </c>
      <c r="G660" s="83">
        <v>0</v>
      </c>
      <c r="H660" s="83">
        <v>100</v>
      </c>
      <c r="K660" s="83">
        <v>1</v>
      </c>
      <c r="L660" s="83" t="s">
        <v>101</v>
      </c>
      <c r="M660" s="83" t="s">
        <v>410</v>
      </c>
      <c r="N660" s="83" t="s">
        <v>102</v>
      </c>
      <c r="P660" s="83">
        <v>0</v>
      </c>
      <c r="U660" s="83">
        <v>4</v>
      </c>
      <c r="V660" s="83">
        <v>1</v>
      </c>
      <c r="W660" s="83" t="s">
        <v>103</v>
      </c>
      <c r="X660" s="83">
        <v>0</v>
      </c>
    </row>
    <row r="661" spans="1:25" x14ac:dyDescent="0.2">
      <c r="A661" s="83">
        <v>1</v>
      </c>
      <c r="B661" s="84">
        <v>5701603307724</v>
      </c>
      <c r="C661" s="83">
        <v>30</v>
      </c>
      <c r="D661" s="84">
        <v>5980623307</v>
      </c>
      <c r="F661" s="83" t="s">
        <v>103</v>
      </c>
      <c r="G661" s="83">
        <v>0</v>
      </c>
      <c r="H661" s="83">
        <v>100</v>
      </c>
      <c r="K661" s="83">
        <v>1</v>
      </c>
      <c r="L661" s="83" t="s">
        <v>101</v>
      </c>
      <c r="M661" s="83" t="s">
        <v>410</v>
      </c>
      <c r="N661" s="83" t="s">
        <v>102</v>
      </c>
      <c r="P661" s="83">
        <v>0</v>
      </c>
      <c r="U661" s="83">
        <v>4</v>
      </c>
      <c r="V661" s="83">
        <v>1</v>
      </c>
      <c r="W661" s="83" t="s">
        <v>103</v>
      </c>
      <c r="X661" s="83">
        <v>0</v>
      </c>
    </row>
    <row r="662" spans="1:25" x14ac:dyDescent="0.2">
      <c r="A662" s="83">
        <v>1</v>
      </c>
      <c r="B662" s="84">
        <v>5701603307724</v>
      </c>
      <c r="C662" s="83">
        <v>40</v>
      </c>
      <c r="D662" s="84">
        <v>5980823307</v>
      </c>
      <c r="F662" s="83" t="s">
        <v>103</v>
      </c>
      <c r="G662" s="83">
        <v>0</v>
      </c>
      <c r="H662" s="83">
        <v>100</v>
      </c>
      <c r="K662" s="83">
        <v>1</v>
      </c>
      <c r="L662" s="83" t="s">
        <v>101</v>
      </c>
      <c r="M662" s="83" t="s">
        <v>410</v>
      </c>
      <c r="N662" s="83" t="s">
        <v>102</v>
      </c>
      <c r="P662" s="83">
        <v>0</v>
      </c>
      <c r="U662" s="83">
        <v>4</v>
      </c>
      <c r="V662" s="83">
        <v>1</v>
      </c>
      <c r="W662" s="83" t="s">
        <v>103</v>
      </c>
      <c r="X662" s="83">
        <v>0</v>
      </c>
    </row>
    <row r="663" spans="1:25" x14ac:dyDescent="0.2">
      <c r="A663" s="83">
        <v>1</v>
      </c>
      <c r="B663" s="84">
        <v>5701603307724</v>
      </c>
      <c r="C663" s="83">
        <v>50</v>
      </c>
      <c r="D663" s="84">
        <v>5980933307</v>
      </c>
      <c r="F663" s="83" t="s">
        <v>103</v>
      </c>
      <c r="G663" s="83">
        <v>0</v>
      </c>
      <c r="H663" s="83">
        <v>100</v>
      </c>
      <c r="K663" s="83">
        <v>1</v>
      </c>
      <c r="L663" s="83" t="s">
        <v>101</v>
      </c>
      <c r="M663" s="83" t="s">
        <v>410</v>
      </c>
      <c r="N663" s="83" t="s">
        <v>102</v>
      </c>
      <c r="P663" s="83">
        <v>0</v>
      </c>
      <c r="U663" s="83">
        <v>4</v>
      </c>
      <c r="V663" s="83">
        <v>1</v>
      </c>
      <c r="W663" s="83" t="s">
        <v>103</v>
      </c>
      <c r="X663" s="83">
        <v>0</v>
      </c>
    </row>
    <row r="664" spans="1:25" x14ac:dyDescent="0.2">
      <c r="A664" s="83">
        <v>1</v>
      </c>
      <c r="B664" s="84">
        <v>5701603307724</v>
      </c>
      <c r="C664" s="83">
        <v>60</v>
      </c>
      <c r="D664" s="84">
        <v>1010286</v>
      </c>
      <c r="F664" s="83" t="s">
        <v>103</v>
      </c>
      <c r="G664" s="83">
        <v>0</v>
      </c>
      <c r="H664" s="83">
        <v>100</v>
      </c>
      <c r="K664" s="83">
        <v>8</v>
      </c>
      <c r="L664" s="83" t="s">
        <v>101</v>
      </c>
      <c r="M664" s="83" t="s">
        <v>410</v>
      </c>
      <c r="N664" s="83" t="s">
        <v>102</v>
      </c>
      <c r="P664" s="83">
        <v>0</v>
      </c>
      <c r="U664" s="83">
        <v>4</v>
      </c>
      <c r="V664" s="83">
        <v>1</v>
      </c>
      <c r="W664" s="83" t="s">
        <v>103</v>
      </c>
      <c r="X664" s="83">
        <v>0</v>
      </c>
    </row>
    <row r="665" spans="1:25" x14ac:dyDescent="0.2">
      <c r="A665" s="83">
        <v>1</v>
      </c>
      <c r="B665" s="84">
        <v>5701603307724</v>
      </c>
      <c r="C665" s="83">
        <v>70</v>
      </c>
      <c r="D665" s="84">
        <v>1010287</v>
      </c>
      <c r="F665" s="83" t="s">
        <v>103</v>
      </c>
      <c r="G665" s="83">
        <v>0</v>
      </c>
      <c r="H665" s="83">
        <v>100</v>
      </c>
      <c r="K665" s="83">
        <v>4</v>
      </c>
      <c r="L665" s="83" t="s">
        <v>101</v>
      </c>
      <c r="M665" s="83" t="s">
        <v>410</v>
      </c>
      <c r="N665" s="83" t="s">
        <v>102</v>
      </c>
      <c r="P665" s="83">
        <v>0</v>
      </c>
      <c r="U665" s="83">
        <v>4</v>
      </c>
      <c r="V665" s="83">
        <v>1</v>
      </c>
      <c r="W665" s="83" t="s">
        <v>103</v>
      </c>
      <c r="X665" s="83">
        <v>0</v>
      </c>
    </row>
    <row r="666" spans="1:25" x14ac:dyDescent="0.2">
      <c r="A666" s="83">
        <v>1</v>
      </c>
      <c r="B666" s="84">
        <v>5701603307724</v>
      </c>
      <c r="C666" s="83">
        <v>80</v>
      </c>
      <c r="D666" s="84">
        <v>1020145</v>
      </c>
      <c r="F666" s="83" t="s">
        <v>103</v>
      </c>
      <c r="G666" s="83">
        <v>0</v>
      </c>
      <c r="H666" s="83">
        <v>100</v>
      </c>
      <c r="K666" s="83" t="s">
        <v>408</v>
      </c>
      <c r="L666" s="83" t="s">
        <v>101</v>
      </c>
      <c r="M666" s="83" t="s">
        <v>410</v>
      </c>
      <c r="N666" s="83" t="s">
        <v>102</v>
      </c>
      <c r="P666" s="83">
        <v>0</v>
      </c>
      <c r="U666" s="83">
        <v>4</v>
      </c>
      <c r="V666" s="83">
        <v>1</v>
      </c>
      <c r="W666" s="83" t="s">
        <v>103</v>
      </c>
      <c r="X666" s="83">
        <v>0</v>
      </c>
    </row>
    <row r="667" spans="1:25" x14ac:dyDescent="0.2">
      <c r="A667" s="83">
        <v>1</v>
      </c>
      <c r="B667" s="84">
        <v>5701603307724</v>
      </c>
      <c r="C667" s="83">
        <v>90</v>
      </c>
      <c r="D667" s="84">
        <v>777500724</v>
      </c>
      <c r="F667" s="83" t="s">
        <v>103</v>
      </c>
      <c r="G667" s="83">
        <v>0</v>
      </c>
      <c r="H667" s="83">
        <v>100</v>
      </c>
      <c r="K667" s="83">
        <v>1</v>
      </c>
      <c r="L667" s="83" t="s">
        <v>101</v>
      </c>
      <c r="M667" s="83" t="s">
        <v>410</v>
      </c>
      <c r="N667" s="83" t="s">
        <v>102</v>
      </c>
      <c r="P667" s="83">
        <v>0</v>
      </c>
      <c r="U667" s="83">
        <v>4</v>
      </c>
      <c r="V667" s="83">
        <v>1</v>
      </c>
      <c r="W667" s="83" t="s">
        <v>103</v>
      </c>
      <c r="X667" s="83">
        <v>0</v>
      </c>
    </row>
    <row r="668" spans="1:25" x14ac:dyDescent="0.2">
      <c r="A668" s="83">
        <v>1</v>
      </c>
      <c r="B668" s="84">
        <v>5701603308724</v>
      </c>
      <c r="C668" s="83">
        <v>10</v>
      </c>
      <c r="D668" s="84">
        <v>5980463308</v>
      </c>
      <c r="F668" s="83" t="s">
        <v>103</v>
      </c>
      <c r="G668" s="83">
        <v>0</v>
      </c>
      <c r="H668" s="83">
        <v>100</v>
      </c>
      <c r="K668" s="83">
        <v>1</v>
      </c>
      <c r="L668" s="83" t="s">
        <v>101</v>
      </c>
      <c r="M668" s="83" t="s">
        <v>410</v>
      </c>
      <c r="N668" s="83" t="s">
        <v>102</v>
      </c>
      <c r="P668" s="83">
        <v>0</v>
      </c>
      <c r="U668" s="83">
        <v>4</v>
      </c>
      <c r="V668" s="83">
        <v>1</v>
      </c>
      <c r="W668" s="83" t="s">
        <v>103</v>
      </c>
      <c r="X668" s="83">
        <v>0</v>
      </c>
      <c r="Y668" s="83" t="str">
        <f>LEFT(D668,6)</f>
        <v>598046</v>
      </c>
    </row>
    <row r="669" spans="1:25" x14ac:dyDescent="0.2">
      <c r="A669" s="83">
        <v>1</v>
      </c>
      <c r="B669" s="84">
        <v>5701603308724</v>
      </c>
      <c r="C669" s="83">
        <v>20</v>
      </c>
      <c r="D669" s="84">
        <v>5980543308</v>
      </c>
      <c r="F669" s="83" t="s">
        <v>103</v>
      </c>
      <c r="G669" s="83">
        <v>0</v>
      </c>
      <c r="H669" s="83">
        <v>100</v>
      </c>
      <c r="K669" s="83">
        <v>1</v>
      </c>
      <c r="L669" s="83" t="s">
        <v>101</v>
      </c>
      <c r="M669" s="83" t="s">
        <v>410</v>
      </c>
      <c r="N669" s="83" t="s">
        <v>102</v>
      </c>
      <c r="P669" s="83">
        <v>0</v>
      </c>
      <c r="U669" s="83">
        <v>4</v>
      </c>
      <c r="V669" s="83">
        <v>1</v>
      </c>
      <c r="W669" s="83" t="s">
        <v>103</v>
      </c>
      <c r="X669" s="83">
        <v>0</v>
      </c>
    </row>
    <row r="670" spans="1:25" x14ac:dyDescent="0.2">
      <c r="A670" s="83">
        <v>1</v>
      </c>
      <c r="B670" s="84">
        <v>5701603308724</v>
      </c>
      <c r="C670" s="83">
        <v>30</v>
      </c>
      <c r="D670" s="84">
        <v>5980623308</v>
      </c>
      <c r="F670" s="83" t="s">
        <v>103</v>
      </c>
      <c r="G670" s="83">
        <v>0</v>
      </c>
      <c r="H670" s="83">
        <v>100</v>
      </c>
      <c r="K670" s="83">
        <v>1</v>
      </c>
      <c r="L670" s="83" t="s">
        <v>101</v>
      </c>
      <c r="M670" s="83" t="s">
        <v>410</v>
      </c>
      <c r="N670" s="83" t="s">
        <v>102</v>
      </c>
      <c r="P670" s="83">
        <v>0</v>
      </c>
      <c r="U670" s="83">
        <v>4</v>
      </c>
      <c r="V670" s="83">
        <v>1</v>
      </c>
      <c r="W670" s="83" t="s">
        <v>103</v>
      </c>
      <c r="X670" s="83">
        <v>0</v>
      </c>
    </row>
    <row r="671" spans="1:25" x14ac:dyDescent="0.2">
      <c r="A671" s="83">
        <v>1</v>
      </c>
      <c r="B671" s="84">
        <v>5701603308724</v>
      </c>
      <c r="C671" s="83">
        <v>40</v>
      </c>
      <c r="D671" s="84">
        <v>5980823308</v>
      </c>
      <c r="F671" s="83" t="s">
        <v>103</v>
      </c>
      <c r="G671" s="83">
        <v>0</v>
      </c>
      <c r="H671" s="83">
        <v>100</v>
      </c>
      <c r="K671" s="83">
        <v>1</v>
      </c>
      <c r="L671" s="83" t="s">
        <v>101</v>
      </c>
      <c r="M671" s="83" t="s">
        <v>410</v>
      </c>
      <c r="N671" s="83" t="s">
        <v>102</v>
      </c>
      <c r="P671" s="83">
        <v>0</v>
      </c>
      <c r="U671" s="83">
        <v>4</v>
      </c>
      <c r="V671" s="83">
        <v>1</v>
      </c>
      <c r="W671" s="83" t="s">
        <v>103</v>
      </c>
      <c r="X671" s="83">
        <v>0</v>
      </c>
    </row>
    <row r="672" spans="1:25" x14ac:dyDescent="0.2">
      <c r="A672" s="83">
        <v>1</v>
      </c>
      <c r="B672" s="84">
        <v>5701603308724</v>
      </c>
      <c r="C672" s="83">
        <v>50</v>
      </c>
      <c r="D672" s="84">
        <v>5980933308</v>
      </c>
      <c r="F672" s="83" t="s">
        <v>103</v>
      </c>
      <c r="G672" s="83">
        <v>0</v>
      </c>
      <c r="H672" s="83">
        <v>100</v>
      </c>
      <c r="K672" s="83">
        <v>1</v>
      </c>
      <c r="L672" s="83" t="s">
        <v>101</v>
      </c>
      <c r="M672" s="83" t="s">
        <v>410</v>
      </c>
      <c r="N672" s="83" t="s">
        <v>102</v>
      </c>
      <c r="P672" s="83">
        <v>0</v>
      </c>
      <c r="U672" s="83">
        <v>4</v>
      </c>
      <c r="V672" s="83">
        <v>1</v>
      </c>
      <c r="W672" s="83" t="s">
        <v>103</v>
      </c>
      <c r="X672" s="83">
        <v>0</v>
      </c>
    </row>
    <row r="673" spans="1:25" x14ac:dyDescent="0.2">
      <c r="A673" s="83">
        <v>1</v>
      </c>
      <c r="B673" s="84">
        <v>5701603308724</v>
      </c>
      <c r="C673" s="83">
        <v>60</v>
      </c>
      <c r="D673" s="84">
        <v>1010286</v>
      </c>
      <c r="F673" s="83" t="s">
        <v>103</v>
      </c>
      <c r="G673" s="83">
        <v>0</v>
      </c>
      <c r="H673" s="83">
        <v>100</v>
      </c>
      <c r="K673" s="83">
        <v>8</v>
      </c>
      <c r="L673" s="83" t="s">
        <v>101</v>
      </c>
      <c r="M673" s="83" t="s">
        <v>410</v>
      </c>
      <c r="N673" s="83" t="s">
        <v>102</v>
      </c>
      <c r="P673" s="83">
        <v>0</v>
      </c>
      <c r="U673" s="83">
        <v>4</v>
      </c>
      <c r="V673" s="83">
        <v>1</v>
      </c>
      <c r="W673" s="83" t="s">
        <v>103</v>
      </c>
      <c r="X673" s="83">
        <v>0</v>
      </c>
    </row>
    <row r="674" spans="1:25" x14ac:dyDescent="0.2">
      <c r="A674" s="83">
        <v>1</v>
      </c>
      <c r="B674" s="84">
        <v>5701603308724</v>
      </c>
      <c r="C674" s="83">
        <v>70</v>
      </c>
      <c r="D674" s="84">
        <v>1010288</v>
      </c>
      <c r="F674" s="83" t="s">
        <v>103</v>
      </c>
      <c r="G674" s="83">
        <v>0</v>
      </c>
      <c r="H674" s="83">
        <v>100</v>
      </c>
      <c r="K674" s="83">
        <v>4</v>
      </c>
      <c r="L674" s="83" t="s">
        <v>101</v>
      </c>
      <c r="M674" s="83" t="s">
        <v>410</v>
      </c>
      <c r="N674" s="83" t="s">
        <v>102</v>
      </c>
      <c r="P674" s="83">
        <v>0</v>
      </c>
      <c r="U674" s="83">
        <v>4</v>
      </c>
      <c r="V674" s="83">
        <v>1</v>
      </c>
      <c r="W674" s="83" t="s">
        <v>103</v>
      </c>
      <c r="X674" s="83">
        <v>0</v>
      </c>
    </row>
    <row r="675" spans="1:25" x14ac:dyDescent="0.2">
      <c r="A675" s="83">
        <v>1</v>
      </c>
      <c r="B675" s="84">
        <v>5701603308724</v>
      </c>
      <c r="C675" s="83">
        <v>80</v>
      </c>
      <c r="D675" s="84">
        <v>1020145</v>
      </c>
      <c r="F675" s="83" t="s">
        <v>103</v>
      </c>
      <c r="G675" s="83">
        <v>0</v>
      </c>
      <c r="H675" s="83">
        <v>100</v>
      </c>
      <c r="K675" s="83" t="s">
        <v>408</v>
      </c>
      <c r="L675" s="83" t="s">
        <v>101</v>
      </c>
      <c r="M675" s="83" t="s">
        <v>410</v>
      </c>
      <c r="N675" s="83" t="s">
        <v>102</v>
      </c>
      <c r="P675" s="83">
        <v>0</v>
      </c>
      <c r="U675" s="83">
        <v>4</v>
      </c>
      <c r="V675" s="83">
        <v>1</v>
      </c>
      <c r="W675" s="83" t="s">
        <v>103</v>
      </c>
      <c r="X675" s="83">
        <v>0</v>
      </c>
    </row>
    <row r="676" spans="1:25" x14ac:dyDescent="0.2">
      <c r="A676" s="83">
        <v>1</v>
      </c>
      <c r="B676" s="84">
        <v>5701603308724</v>
      </c>
      <c r="C676" s="83">
        <v>90</v>
      </c>
      <c r="D676" s="84">
        <v>777500724</v>
      </c>
      <c r="F676" s="83" t="s">
        <v>103</v>
      </c>
      <c r="G676" s="83">
        <v>0</v>
      </c>
      <c r="H676" s="83">
        <v>100</v>
      </c>
      <c r="K676" s="83">
        <v>1</v>
      </c>
      <c r="L676" s="83" t="s">
        <v>101</v>
      </c>
      <c r="M676" s="83" t="s">
        <v>410</v>
      </c>
      <c r="N676" s="83" t="s">
        <v>102</v>
      </c>
      <c r="P676" s="83">
        <v>0</v>
      </c>
      <c r="U676" s="83">
        <v>4</v>
      </c>
      <c r="V676" s="83">
        <v>1</v>
      </c>
      <c r="W676" s="83" t="s">
        <v>103</v>
      </c>
      <c r="X676" s="83">
        <v>0</v>
      </c>
    </row>
    <row r="677" spans="1:25" x14ac:dyDescent="0.2">
      <c r="A677" s="83">
        <v>1</v>
      </c>
      <c r="B677" s="84">
        <v>5701603309724</v>
      </c>
      <c r="C677" s="83">
        <v>10</v>
      </c>
      <c r="D677" s="84">
        <v>5980463309</v>
      </c>
      <c r="F677" s="83" t="s">
        <v>103</v>
      </c>
      <c r="G677" s="83">
        <v>0</v>
      </c>
      <c r="H677" s="83">
        <v>100</v>
      </c>
      <c r="K677" s="83">
        <v>1</v>
      </c>
      <c r="L677" s="83" t="s">
        <v>101</v>
      </c>
      <c r="M677" s="83" t="s">
        <v>410</v>
      </c>
      <c r="N677" s="83" t="s">
        <v>102</v>
      </c>
      <c r="P677" s="83">
        <v>0</v>
      </c>
      <c r="U677" s="83">
        <v>4</v>
      </c>
      <c r="V677" s="83">
        <v>1</v>
      </c>
      <c r="W677" s="83" t="s">
        <v>103</v>
      </c>
      <c r="X677" s="83">
        <v>0</v>
      </c>
      <c r="Y677" s="83" t="str">
        <f>LEFT(D677,6)</f>
        <v>598046</v>
      </c>
    </row>
    <row r="678" spans="1:25" x14ac:dyDescent="0.2">
      <c r="A678" s="83">
        <v>1</v>
      </c>
      <c r="B678" s="84">
        <v>5701603309724</v>
      </c>
      <c r="C678" s="83">
        <v>20</v>
      </c>
      <c r="D678" s="84">
        <v>5980543309</v>
      </c>
      <c r="F678" s="83" t="s">
        <v>103</v>
      </c>
      <c r="G678" s="83">
        <v>0</v>
      </c>
      <c r="H678" s="83">
        <v>100</v>
      </c>
      <c r="K678" s="83">
        <v>1</v>
      </c>
      <c r="L678" s="83" t="s">
        <v>101</v>
      </c>
      <c r="M678" s="83" t="s">
        <v>410</v>
      </c>
      <c r="N678" s="83" t="s">
        <v>102</v>
      </c>
      <c r="P678" s="83">
        <v>0</v>
      </c>
      <c r="U678" s="83">
        <v>4</v>
      </c>
      <c r="V678" s="83">
        <v>1</v>
      </c>
      <c r="W678" s="83" t="s">
        <v>103</v>
      </c>
      <c r="X678" s="83">
        <v>0</v>
      </c>
    </row>
    <row r="679" spans="1:25" x14ac:dyDescent="0.2">
      <c r="A679" s="83">
        <v>1</v>
      </c>
      <c r="B679" s="84">
        <v>5701603309724</v>
      </c>
      <c r="C679" s="83">
        <v>30</v>
      </c>
      <c r="D679" s="84">
        <v>5980623309</v>
      </c>
      <c r="F679" s="83" t="s">
        <v>103</v>
      </c>
      <c r="G679" s="83">
        <v>0</v>
      </c>
      <c r="H679" s="83">
        <v>100</v>
      </c>
      <c r="K679" s="83">
        <v>1</v>
      </c>
      <c r="L679" s="83" t="s">
        <v>101</v>
      </c>
      <c r="M679" s="83" t="s">
        <v>410</v>
      </c>
      <c r="N679" s="83" t="s">
        <v>102</v>
      </c>
      <c r="P679" s="83">
        <v>0</v>
      </c>
      <c r="U679" s="83">
        <v>4</v>
      </c>
      <c r="V679" s="83">
        <v>1</v>
      </c>
      <c r="W679" s="83" t="s">
        <v>103</v>
      </c>
      <c r="X679" s="83">
        <v>0</v>
      </c>
    </row>
    <row r="680" spans="1:25" x14ac:dyDescent="0.2">
      <c r="A680" s="83">
        <v>1</v>
      </c>
      <c r="B680" s="84">
        <v>5701603309724</v>
      </c>
      <c r="C680" s="83">
        <v>40</v>
      </c>
      <c r="D680" s="84">
        <v>5980823309</v>
      </c>
      <c r="F680" s="83" t="s">
        <v>103</v>
      </c>
      <c r="G680" s="83">
        <v>0</v>
      </c>
      <c r="H680" s="83">
        <v>100</v>
      </c>
      <c r="K680" s="83">
        <v>1</v>
      </c>
      <c r="L680" s="83" t="s">
        <v>101</v>
      </c>
      <c r="M680" s="83" t="s">
        <v>410</v>
      </c>
      <c r="N680" s="83" t="s">
        <v>102</v>
      </c>
      <c r="P680" s="83">
        <v>0</v>
      </c>
      <c r="U680" s="83">
        <v>4</v>
      </c>
      <c r="V680" s="83">
        <v>1</v>
      </c>
      <c r="W680" s="83" t="s">
        <v>103</v>
      </c>
      <c r="X680" s="83">
        <v>0</v>
      </c>
    </row>
    <row r="681" spans="1:25" x14ac:dyDescent="0.2">
      <c r="A681" s="83">
        <v>1</v>
      </c>
      <c r="B681" s="84">
        <v>5701603309724</v>
      </c>
      <c r="C681" s="83">
        <v>50</v>
      </c>
      <c r="D681" s="84">
        <v>5980933309</v>
      </c>
      <c r="F681" s="83" t="s">
        <v>103</v>
      </c>
      <c r="G681" s="83">
        <v>0</v>
      </c>
      <c r="H681" s="83">
        <v>100</v>
      </c>
      <c r="K681" s="83">
        <v>1</v>
      </c>
      <c r="L681" s="83" t="s">
        <v>101</v>
      </c>
      <c r="M681" s="83" t="s">
        <v>410</v>
      </c>
      <c r="N681" s="83" t="s">
        <v>102</v>
      </c>
      <c r="P681" s="83">
        <v>0</v>
      </c>
      <c r="U681" s="83">
        <v>4</v>
      </c>
      <c r="V681" s="83">
        <v>1</v>
      </c>
      <c r="W681" s="83" t="s">
        <v>103</v>
      </c>
      <c r="X681" s="83">
        <v>0</v>
      </c>
    </row>
    <row r="682" spans="1:25" x14ac:dyDescent="0.2">
      <c r="A682" s="83">
        <v>1</v>
      </c>
      <c r="B682" s="84">
        <v>5701603309724</v>
      </c>
      <c r="C682" s="83">
        <v>60</v>
      </c>
      <c r="D682" s="84">
        <v>1010286</v>
      </c>
      <c r="F682" s="83" t="s">
        <v>103</v>
      </c>
      <c r="G682" s="83">
        <v>0</v>
      </c>
      <c r="H682" s="83">
        <v>100</v>
      </c>
      <c r="K682" s="83">
        <v>8</v>
      </c>
      <c r="L682" s="83" t="s">
        <v>101</v>
      </c>
      <c r="M682" s="83" t="s">
        <v>410</v>
      </c>
      <c r="N682" s="83" t="s">
        <v>102</v>
      </c>
      <c r="P682" s="83">
        <v>0</v>
      </c>
      <c r="U682" s="83">
        <v>4</v>
      </c>
      <c r="V682" s="83">
        <v>1</v>
      </c>
      <c r="W682" s="83" t="s">
        <v>103</v>
      </c>
      <c r="X682" s="83">
        <v>0</v>
      </c>
    </row>
    <row r="683" spans="1:25" x14ac:dyDescent="0.2">
      <c r="A683" s="83">
        <v>1</v>
      </c>
      <c r="B683" s="84">
        <v>5701603309724</v>
      </c>
      <c r="C683" s="83">
        <v>70</v>
      </c>
      <c r="D683" s="84">
        <v>1010287</v>
      </c>
      <c r="F683" s="83" t="s">
        <v>103</v>
      </c>
      <c r="G683" s="83">
        <v>0</v>
      </c>
      <c r="H683" s="83">
        <v>100</v>
      </c>
      <c r="K683" s="83">
        <v>4</v>
      </c>
      <c r="L683" s="83" t="s">
        <v>101</v>
      </c>
      <c r="M683" s="83" t="s">
        <v>410</v>
      </c>
      <c r="N683" s="83" t="s">
        <v>102</v>
      </c>
      <c r="P683" s="83">
        <v>0</v>
      </c>
      <c r="U683" s="83">
        <v>4</v>
      </c>
      <c r="V683" s="83">
        <v>1</v>
      </c>
      <c r="W683" s="83" t="s">
        <v>103</v>
      </c>
      <c r="X683" s="83">
        <v>0</v>
      </c>
    </row>
    <row r="684" spans="1:25" x14ac:dyDescent="0.2">
      <c r="A684" s="83">
        <v>1</v>
      </c>
      <c r="B684" s="84">
        <v>5701603309724</v>
      </c>
      <c r="C684" s="83">
        <v>80</v>
      </c>
      <c r="D684" s="84">
        <v>1020145</v>
      </c>
      <c r="F684" s="83" t="s">
        <v>103</v>
      </c>
      <c r="G684" s="83">
        <v>0</v>
      </c>
      <c r="H684" s="83">
        <v>100</v>
      </c>
      <c r="K684" s="83" t="s">
        <v>408</v>
      </c>
      <c r="L684" s="83" t="s">
        <v>101</v>
      </c>
      <c r="M684" s="83" t="s">
        <v>410</v>
      </c>
      <c r="N684" s="83" t="s">
        <v>102</v>
      </c>
      <c r="P684" s="83">
        <v>0</v>
      </c>
      <c r="U684" s="83">
        <v>4</v>
      </c>
      <c r="V684" s="83">
        <v>1</v>
      </c>
      <c r="W684" s="83" t="s">
        <v>103</v>
      </c>
      <c r="X684" s="83">
        <v>0</v>
      </c>
    </row>
    <row r="685" spans="1:25" x14ac:dyDescent="0.2">
      <c r="A685" s="83">
        <v>1</v>
      </c>
      <c r="B685" s="84">
        <v>5701603309724</v>
      </c>
      <c r="C685" s="83">
        <v>90</v>
      </c>
      <c r="D685" s="84">
        <v>777500724</v>
      </c>
      <c r="F685" s="83" t="s">
        <v>103</v>
      </c>
      <c r="G685" s="83">
        <v>0</v>
      </c>
      <c r="H685" s="83">
        <v>100</v>
      </c>
      <c r="K685" s="83">
        <v>1</v>
      </c>
      <c r="L685" s="83" t="s">
        <v>101</v>
      </c>
      <c r="M685" s="83" t="s">
        <v>410</v>
      </c>
      <c r="N685" s="83" t="s">
        <v>102</v>
      </c>
      <c r="P685" s="83">
        <v>0</v>
      </c>
      <c r="U685" s="83">
        <v>4</v>
      </c>
      <c r="V685" s="83">
        <v>1</v>
      </c>
      <c r="W685" s="83" t="s">
        <v>103</v>
      </c>
      <c r="X685" s="83">
        <v>0</v>
      </c>
    </row>
    <row r="686" spans="1:25" x14ac:dyDescent="0.2">
      <c r="A686" s="83">
        <v>1</v>
      </c>
      <c r="B686" s="84">
        <v>5701603310724</v>
      </c>
      <c r="C686" s="83">
        <v>10</v>
      </c>
      <c r="D686" s="84">
        <v>5980463310</v>
      </c>
      <c r="F686" s="83" t="s">
        <v>103</v>
      </c>
      <c r="G686" s="83">
        <v>0</v>
      </c>
      <c r="H686" s="83">
        <v>100</v>
      </c>
      <c r="K686" s="83">
        <v>1</v>
      </c>
      <c r="L686" s="83" t="s">
        <v>101</v>
      </c>
      <c r="M686" s="83" t="s">
        <v>410</v>
      </c>
      <c r="N686" s="83" t="s">
        <v>102</v>
      </c>
      <c r="P686" s="83">
        <v>0</v>
      </c>
      <c r="U686" s="83">
        <v>4</v>
      </c>
      <c r="V686" s="83">
        <v>1</v>
      </c>
      <c r="W686" s="83" t="s">
        <v>103</v>
      </c>
      <c r="X686" s="83">
        <v>0</v>
      </c>
      <c r="Y686" s="83" t="str">
        <f>LEFT(D686,6)</f>
        <v>598046</v>
      </c>
    </row>
    <row r="687" spans="1:25" x14ac:dyDescent="0.2">
      <c r="A687" s="83">
        <v>1</v>
      </c>
      <c r="B687" s="84">
        <v>5701603310724</v>
      </c>
      <c r="C687" s="83">
        <v>20</v>
      </c>
      <c r="D687" s="84">
        <v>5980543310</v>
      </c>
      <c r="F687" s="83" t="s">
        <v>103</v>
      </c>
      <c r="G687" s="83">
        <v>0</v>
      </c>
      <c r="H687" s="83">
        <v>100</v>
      </c>
      <c r="K687" s="83">
        <v>1</v>
      </c>
      <c r="L687" s="83" t="s">
        <v>101</v>
      </c>
      <c r="M687" s="83" t="s">
        <v>410</v>
      </c>
      <c r="N687" s="83" t="s">
        <v>102</v>
      </c>
      <c r="P687" s="83">
        <v>0</v>
      </c>
      <c r="U687" s="83">
        <v>4</v>
      </c>
      <c r="V687" s="83">
        <v>1</v>
      </c>
      <c r="W687" s="83" t="s">
        <v>103</v>
      </c>
      <c r="X687" s="83">
        <v>0</v>
      </c>
    </row>
    <row r="688" spans="1:25" x14ac:dyDescent="0.2">
      <c r="A688" s="83">
        <v>1</v>
      </c>
      <c r="B688" s="84">
        <v>5701603310724</v>
      </c>
      <c r="C688" s="83">
        <v>30</v>
      </c>
      <c r="D688" s="84">
        <v>5980623310</v>
      </c>
      <c r="F688" s="83" t="s">
        <v>103</v>
      </c>
      <c r="G688" s="83">
        <v>0</v>
      </c>
      <c r="H688" s="83">
        <v>100</v>
      </c>
      <c r="K688" s="83">
        <v>1</v>
      </c>
      <c r="L688" s="83" t="s">
        <v>101</v>
      </c>
      <c r="M688" s="83" t="s">
        <v>410</v>
      </c>
      <c r="N688" s="83" t="s">
        <v>102</v>
      </c>
      <c r="P688" s="83">
        <v>0</v>
      </c>
      <c r="U688" s="83">
        <v>4</v>
      </c>
      <c r="V688" s="83">
        <v>1</v>
      </c>
      <c r="W688" s="83" t="s">
        <v>103</v>
      </c>
      <c r="X688" s="83">
        <v>0</v>
      </c>
    </row>
    <row r="689" spans="1:25" x14ac:dyDescent="0.2">
      <c r="A689" s="83">
        <v>1</v>
      </c>
      <c r="B689" s="84">
        <v>5701603310724</v>
      </c>
      <c r="C689" s="83">
        <v>40</v>
      </c>
      <c r="D689" s="84">
        <v>5980823310</v>
      </c>
      <c r="F689" s="83" t="s">
        <v>103</v>
      </c>
      <c r="G689" s="83">
        <v>0</v>
      </c>
      <c r="H689" s="83">
        <v>100</v>
      </c>
      <c r="K689" s="83">
        <v>1</v>
      </c>
      <c r="L689" s="83" t="s">
        <v>101</v>
      </c>
      <c r="M689" s="83" t="s">
        <v>410</v>
      </c>
      <c r="N689" s="83" t="s">
        <v>102</v>
      </c>
      <c r="P689" s="83">
        <v>0</v>
      </c>
      <c r="U689" s="83">
        <v>4</v>
      </c>
      <c r="V689" s="83">
        <v>1</v>
      </c>
      <c r="W689" s="83" t="s">
        <v>103</v>
      </c>
      <c r="X689" s="83">
        <v>0</v>
      </c>
    </row>
    <row r="690" spans="1:25" x14ac:dyDescent="0.2">
      <c r="A690" s="83">
        <v>1</v>
      </c>
      <c r="B690" s="84">
        <v>5701603310724</v>
      </c>
      <c r="C690" s="83">
        <v>50</v>
      </c>
      <c r="D690" s="84">
        <v>5980933310</v>
      </c>
      <c r="F690" s="83" t="s">
        <v>103</v>
      </c>
      <c r="G690" s="83">
        <v>0</v>
      </c>
      <c r="H690" s="83">
        <v>100</v>
      </c>
      <c r="K690" s="83">
        <v>1</v>
      </c>
      <c r="L690" s="83" t="s">
        <v>101</v>
      </c>
      <c r="M690" s="83" t="s">
        <v>410</v>
      </c>
      <c r="N690" s="83" t="s">
        <v>102</v>
      </c>
      <c r="P690" s="83">
        <v>0</v>
      </c>
      <c r="U690" s="83">
        <v>4</v>
      </c>
      <c r="V690" s="83">
        <v>1</v>
      </c>
      <c r="W690" s="83" t="s">
        <v>103</v>
      </c>
      <c r="X690" s="83">
        <v>0</v>
      </c>
    </row>
    <row r="691" spans="1:25" x14ac:dyDescent="0.2">
      <c r="A691" s="83">
        <v>1</v>
      </c>
      <c r="B691" s="84">
        <v>5701603310724</v>
      </c>
      <c r="C691" s="83">
        <v>60</v>
      </c>
      <c r="D691" s="84">
        <v>1010286</v>
      </c>
      <c r="F691" s="83" t="s">
        <v>103</v>
      </c>
      <c r="G691" s="83">
        <v>0</v>
      </c>
      <c r="H691" s="83">
        <v>100</v>
      </c>
      <c r="K691" s="83">
        <v>8</v>
      </c>
      <c r="L691" s="83" t="s">
        <v>101</v>
      </c>
      <c r="M691" s="83" t="s">
        <v>410</v>
      </c>
      <c r="N691" s="83" t="s">
        <v>102</v>
      </c>
      <c r="P691" s="83">
        <v>0</v>
      </c>
      <c r="U691" s="83">
        <v>4</v>
      </c>
      <c r="V691" s="83">
        <v>1</v>
      </c>
      <c r="W691" s="83" t="s">
        <v>103</v>
      </c>
      <c r="X691" s="83">
        <v>0</v>
      </c>
    </row>
    <row r="692" spans="1:25" x14ac:dyDescent="0.2">
      <c r="A692" s="83">
        <v>1</v>
      </c>
      <c r="B692" s="84">
        <v>5701603310724</v>
      </c>
      <c r="C692" s="83">
        <v>70</v>
      </c>
      <c r="D692" s="84">
        <v>1010287</v>
      </c>
      <c r="F692" s="83" t="s">
        <v>103</v>
      </c>
      <c r="G692" s="83">
        <v>0</v>
      </c>
      <c r="H692" s="83">
        <v>100</v>
      </c>
      <c r="K692" s="83">
        <v>4</v>
      </c>
      <c r="L692" s="83" t="s">
        <v>101</v>
      </c>
      <c r="M692" s="83" t="s">
        <v>410</v>
      </c>
      <c r="N692" s="83" t="s">
        <v>102</v>
      </c>
      <c r="P692" s="83">
        <v>0</v>
      </c>
      <c r="U692" s="83">
        <v>4</v>
      </c>
      <c r="V692" s="83">
        <v>1</v>
      </c>
      <c r="W692" s="83" t="s">
        <v>103</v>
      </c>
      <c r="X692" s="83">
        <v>0</v>
      </c>
    </row>
    <row r="693" spans="1:25" x14ac:dyDescent="0.2">
      <c r="A693" s="83">
        <v>1</v>
      </c>
      <c r="B693" s="84">
        <v>5701603310724</v>
      </c>
      <c r="C693" s="83">
        <v>80</v>
      </c>
      <c r="D693" s="84">
        <v>1020145</v>
      </c>
      <c r="F693" s="83" t="s">
        <v>103</v>
      </c>
      <c r="G693" s="83">
        <v>0</v>
      </c>
      <c r="H693" s="83">
        <v>100</v>
      </c>
      <c r="K693" s="83" t="s">
        <v>408</v>
      </c>
      <c r="L693" s="83" t="s">
        <v>101</v>
      </c>
      <c r="M693" s="83" t="s">
        <v>410</v>
      </c>
      <c r="N693" s="83" t="s">
        <v>102</v>
      </c>
      <c r="P693" s="83">
        <v>0</v>
      </c>
      <c r="U693" s="83">
        <v>4</v>
      </c>
      <c r="V693" s="83">
        <v>1</v>
      </c>
      <c r="W693" s="83" t="s">
        <v>103</v>
      </c>
      <c r="X693" s="83">
        <v>0</v>
      </c>
    </row>
    <row r="694" spans="1:25" x14ac:dyDescent="0.2">
      <c r="A694" s="83">
        <v>1</v>
      </c>
      <c r="B694" s="84">
        <v>5701603310724</v>
      </c>
      <c r="C694" s="83">
        <v>90</v>
      </c>
      <c r="D694" s="84">
        <v>777500724</v>
      </c>
      <c r="F694" s="83" t="s">
        <v>103</v>
      </c>
      <c r="G694" s="83">
        <v>0</v>
      </c>
      <c r="H694" s="83">
        <v>100</v>
      </c>
      <c r="K694" s="83">
        <v>1</v>
      </c>
      <c r="L694" s="83" t="s">
        <v>101</v>
      </c>
      <c r="M694" s="83" t="s">
        <v>410</v>
      </c>
      <c r="N694" s="83" t="s">
        <v>102</v>
      </c>
      <c r="P694" s="83">
        <v>0</v>
      </c>
      <c r="U694" s="83">
        <v>4</v>
      </c>
      <c r="V694" s="83">
        <v>1</v>
      </c>
      <c r="W694" s="83" t="s">
        <v>103</v>
      </c>
      <c r="X694" s="83">
        <v>0</v>
      </c>
    </row>
    <row r="695" spans="1:25" x14ac:dyDescent="0.2">
      <c r="A695" s="83">
        <v>1</v>
      </c>
      <c r="B695" s="84">
        <v>5701603300911</v>
      </c>
      <c r="C695" s="83">
        <v>10</v>
      </c>
      <c r="D695" s="84">
        <v>5980463399</v>
      </c>
      <c r="F695" s="83" t="s">
        <v>103</v>
      </c>
      <c r="G695" s="83">
        <v>0</v>
      </c>
      <c r="H695" s="83">
        <v>100</v>
      </c>
      <c r="K695" s="83">
        <v>1</v>
      </c>
      <c r="L695" s="83" t="s">
        <v>101</v>
      </c>
      <c r="M695" s="83" t="s">
        <v>410</v>
      </c>
      <c r="N695" s="83" t="s">
        <v>102</v>
      </c>
      <c r="P695" s="83">
        <v>0</v>
      </c>
      <c r="U695" s="83">
        <v>4</v>
      </c>
      <c r="V695" s="83">
        <v>1</v>
      </c>
      <c r="W695" s="83" t="s">
        <v>103</v>
      </c>
      <c r="X695" s="83">
        <v>0</v>
      </c>
      <c r="Y695" s="83" t="str">
        <f>LEFT(D695,6)</f>
        <v>598046</v>
      </c>
    </row>
    <row r="696" spans="1:25" x14ac:dyDescent="0.2">
      <c r="A696" s="83">
        <v>1</v>
      </c>
      <c r="B696" s="84">
        <v>5701603300911</v>
      </c>
      <c r="C696" s="83">
        <v>20</v>
      </c>
      <c r="D696" s="85">
        <v>5980543399</v>
      </c>
      <c r="F696" s="83" t="s">
        <v>103</v>
      </c>
      <c r="G696" s="83">
        <v>0</v>
      </c>
      <c r="H696" s="83">
        <v>100</v>
      </c>
      <c r="K696" s="83">
        <v>1</v>
      </c>
      <c r="L696" s="83" t="s">
        <v>101</v>
      </c>
      <c r="M696" s="83" t="s">
        <v>410</v>
      </c>
      <c r="N696" s="83" t="s">
        <v>102</v>
      </c>
      <c r="P696" s="83">
        <v>0</v>
      </c>
      <c r="U696" s="83">
        <v>4</v>
      </c>
      <c r="V696" s="83">
        <v>1</v>
      </c>
      <c r="W696" s="83" t="s">
        <v>103</v>
      </c>
      <c r="X696" s="83">
        <v>0</v>
      </c>
    </row>
    <row r="697" spans="1:25" x14ac:dyDescent="0.2">
      <c r="A697" s="83">
        <v>1</v>
      </c>
      <c r="B697" s="84">
        <v>5701603300911</v>
      </c>
      <c r="C697" s="83">
        <v>30</v>
      </c>
      <c r="D697" s="84">
        <v>5980623399</v>
      </c>
      <c r="F697" s="83" t="s">
        <v>103</v>
      </c>
      <c r="G697" s="83">
        <v>0</v>
      </c>
      <c r="H697" s="83">
        <v>100</v>
      </c>
      <c r="K697" s="83">
        <v>1</v>
      </c>
      <c r="L697" s="83" t="s">
        <v>101</v>
      </c>
      <c r="M697" s="83" t="s">
        <v>410</v>
      </c>
      <c r="N697" s="83" t="s">
        <v>102</v>
      </c>
      <c r="P697" s="83">
        <v>0</v>
      </c>
      <c r="U697" s="83">
        <v>4</v>
      </c>
      <c r="V697" s="83">
        <v>1</v>
      </c>
      <c r="W697" s="83" t="s">
        <v>103</v>
      </c>
      <c r="X697" s="83">
        <v>0</v>
      </c>
    </row>
    <row r="698" spans="1:25" x14ac:dyDescent="0.2">
      <c r="A698" s="83">
        <v>1</v>
      </c>
      <c r="B698" s="84">
        <v>5701603300911</v>
      </c>
      <c r="C698" s="83">
        <v>40</v>
      </c>
      <c r="D698" s="84">
        <v>5980823399</v>
      </c>
      <c r="F698" s="83" t="s">
        <v>103</v>
      </c>
      <c r="G698" s="83">
        <v>0</v>
      </c>
      <c r="H698" s="83">
        <v>100</v>
      </c>
      <c r="K698" s="83">
        <v>1</v>
      </c>
      <c r="L698" s="83" t="s">
        <v>101</v>
      </c>
      <c r="M698" s="83" t="s">
        <v>410</v>
      </c>
      <c r="N698" s="83" t="s">
        <v>102</v>
      </c>
      <c r="P698" s="83">
        <v>0</v>
      </c>
      <c r="U698" s="83">
        <v>4</v>
      </c>
      <c r="V698" s="83">
        <v>1</v>
      </c>
      <c r="W698" s="83" t="s">
        <v>103</v>
      </c>
      <c r="X698" s="83">
        <v>0</v>
      </c>
    </row>
    <row r="699" spans="1:25" x14ac:dyDescent="0.2">
      <c r="A699" s="83">
        <v>1</v>
      </c>
      <c r="B699" s="84">
        <v>5701603300911</v>
      </c>
      <c r="C699" s="83">
        <v>50</v>
      </c>
      <c r="D699" s="85">
        <v>1010277</v>
      </c>
      <c r="F699" s="83" t="s">
        <v>103</v>
      </c>
      <c r="G699" s="83">
        <v>0</v>
      </c>
      <c r="H699" s="83">
        <v>100</v>
      </c>
      <c r="K699" s="83">
        <v>1</v>
      </c>
      <c r="L699" s="83" t="s">
        <v>101</v>
      </c>
      <c r="M699" s="83" t="s">
        <v>410</v>
      </c>
      <c r="N699" s="83" t="s">
        <v>102</v>
      </c>
      <c r="P699" s="83">
        <v>0</v>
      </c>
      <c r="U699" s="83">
        <v>4</v>
      </c>
      <c r="V699" s="83">
        <v>1</v>
      </c>
      <c r="W699" s="83" t="s">
        <v>103</v>
      </c>
      <c r="X699" s="83">
        <v>0</v>
      </c>
    </row>
    <row r="700" spans="1:25" x14ac:dyDescent="0.2">
      <c r="A700" s="83">
        <v>1</v>
      </c>
      <c r="B700" s="84">
        <v>5701603300911</v>
      </c>
      <c r="C700" s="83">
        <v>60</v>
      </c>
      <c r="D700" s="84">
        <v>1010286</v>
      </c>
      <c r="F700" s="83" t="s">
        <v>103</v>
      </c>
      <c r="G700" s="83">
        <v>0</v>
      </c>
      <c r="H700" s="83">
        <v>100</v>
      </c>
      <c r="K700" s="83">
        <v>8</v>
      </c>
      <c r="L700" s="83" t="s">
        <v>101</v>
      </c>
      <c r="M700" s="83" t="s">
        <v>410</v>
      </c>
      <c r="N700" s="83" t="s">
        <v>102</v>
      </c>
      <c r="P700" s="83">
        <v>0</v>
      </c>
      <c r="U700" s="83">
        <v>4</v>
      </c>
      <c r="V700" s="83">
        <v>1</v>
      </c>
      <c r="W700" s="83" t="s">
        <v>103</v>
      </c>
      <c r="X700" s="83">
        <v>0</v>
      </c>
    </row>
    <row r="701" spans="1:25" x14ac:dyDescent="0.2">
      <c r="A701" s="83">
        <v>1</v>
      </c>
      <c r="B701" s="84">
        <v>5701603300911</v>
      </c>
      <c r="C701" s="83">
        <v>70</v>
      </c>
      <c r="D701" s="84">
        <v>1010287</v>
      </c>
      <c r="F701" s="83" t="s">
        <v>103</v>
      </c>
      <c r="G701" s="83">
        <v>0</v>
      </c>
      <c r="H701" s="83">
        <v>100</v>
      </c>
      <c r="K701" s="83">
        <v>4</v>
      </c>
      <c r="L701" s="83" t="s">
        <v>101</v>
      </c>
      <c r="M701" s="83" t="s">
        <v>410</v>
      </c>
      <c r="N701" s="83" t="s">
        <v>102</v>
      </c>
      <c r="P701" s="83">
        <v>0</v>
      </c>
      <c r="U701" s="83">
        <v>4</v>
      </c>
      <c r="V701" s="83">
        <v>1</v>
      </c>
      <c r="W701" s="83" t="s">
        <v>103</v>
      </c>
      <c r="X701" s="83">
        <v>0</v>
      </c>
    </row>
    <row r="702" spans="1:25" x14ac:dyDescent="0.2">
      <c r="A702" s="83">
        <v>1</v>
      </c>
      <c r="B702" s="84">
        <v>5701603300911</v>
      </c>
      <c r="C702" s="83">
        <v>80</v>
      </c>
      <c r="D702" s="84">
        <v>1020145</v>
      </c>
      <c r="F702" s="83" t="s">
        <v>103</v>
      </c>
      <c r="G702" s="83">
        <v>0</v>
      </c>
      <c r="H702" s="83">
        <v>100</v>
      </c>
      <c r="K702" s="83" t="s">
        <v>408</v>
      </c>
      <c r="L702" s="83" t="s">
        <v>101</v>
      </c>
      <c r="M702" s="83" t="s">
        <v>410</v>
      </c>
      <c r="N702" s="83" t="s">
        <v>102</v>
      </c>
      <c r="P702" s="83">
        <v>0</v>
      </c>
      <c r="U702" s="83">
        <v>4</v>
      </c>
      <c r="V702" s="83">
        <v>1</v>
      </c>
      <c r="W702" s="83" t="s">
        <v>103</v>
      </c>
      <c r="X702" s="83">
        <v>0</v>
      </c>
    </row>
    <row r="703" spans="1:25" x14ac:dyDescent="0.2">
      <c r="A703" s="83">
        <v>1</v>
      </c>
      <c r="B703" s="84">
        <v>5701603300911</v>
      </c>
      <c r="C703" s="83">
        <v>90</v>
      </c>
      <c r="D703" s="84">
        <v>777500911</v>
      </c>
      <c r="F703" s="83" t="s">
        <v>103</v>
      </c>
      <c r="G703" s="83">
        <v>0</v>
      </c>
      <c r="H703" s="83">
        <v>100</v>
      </c>
      <c r="K703" s="83">
        <v>1</v>
      </c>
      <c r="L703" s="83" t="s">
        <v>101</v>
      </c>
      <c r="M703" s="83" t="s">
        <v>410</v>
      </c>
      <c r="N703" s="83" t="s">
        <v>102</v>
      </c>
      <c r="P703" s="83">
        <v>0</v>
      </c>
      <c r="U703" s="83">
        <v>4</v>
      </c>
      <c r="V703" s="83">
        <v>1</v>
      </c>
      <c r="W703" s="83" t="s">
        <v>103</v>
      </c>
      <c r="X703" s="83">
        <v>0</v>
      </c>
    </row>
    <row r="704" spans="1:25" x14ac:dyDescent="0.2">
      <c r="A704" s="83">
        <v>1</v>
      </c>
      <c r="B704" s="84">
        <v>5701603301911</v>
      </c>
      <c r="C704" s="83">
        <v>10</v>
      </c>
      <c r="D704" s="84">
        <v>5980463301</v>
      </c>
      <c r="F704" s="83" t="s">
        <v>103</v>
      </c>
      <c r="G704" s="83">
        <v>0</v>
      </c>
      <c r="H704" s="83">
        <v>100</v>
      </c>
      <c r="K704" s="83">
        <v>1</v>
      </c>
      <c r="L704" s="83" t="s">
        <v>101</v>
      </c>
      <c r="M704" s="83" t="s">
        <v>410</v>
      </c>
      <c r="N704" s="83" t="s">
        <v>102</v>
      </c>
      <c r="P704" s="83">
        <v>0</v>
      </c>
      <c r="U704" s="83">
        <v>4</v>
      </c>
      <c r="V704" s="83">
        <v>1</v>
      </c>
      <c r="W704" s="83" t="s">
        <v>103</v>
      </c>
      <c r="X704" s="83">
        <v>0</v>
      </c>
      <c r="Y704" s="83" t="str">
        <f>LEFT(D704,6)</f>
        <v>598046</v>
      </c>
    </row>
    <row r="705" spans="1:25" x14ac:dyDescent="0.2">
      <c r="A705" s="83">
        <v>1</v>
      </c>
      <c r="B705" s="84">
        <v>5701603301911</v>
      </c>
      <c r="C705" s="83">
        <v>20</v>
      </c>
      <c r="D705" s="84">
        <v>5980543301</v>
      </c>
      <c r="F705" s="83" t="s">
        <v>103</v>
      </c>
      <c r="G705" s="83">
        <v>0</v>
      </c>
      <c r="H705" s="83">
        <v>100</v>
      </c>
      <c r="K705" s="83">
        <v>1</v>
      </c>
      <c r="L705" s="83" t="s">
        <v>101</v>
      </c>
      <c r="M705" s="83" t="s">
        <v>410</v>
      </c>
      <c r="N705" s="83" t="s">
        <v>102</v>
      </c>
      <c r="P705" s="83">
        <v>0</v>
      </c>
      <c r="U705" s="83">
        <v>4</v>
      </c>
      <c r="V705" s="83">
        <v>1</v>
      </c>
      <c r="W705" s="83" t="s">
        <v>103</v>
      </c>
      <c r="X705" s="83">
        <v>0</v>
      </c>
    </row>
    <row r="706" spans="1:25" x14ac:dyDescent="0.2">
      <c r="A706" s="83">
        <v>1</v>
      </c>
      <c r="B706" s="84">
        <v>5701603301911</v>
      </c>
      <c r="C706" s="83">
        <v>30</v>
      </c>
      <c r="D706" s="84">
        <v>5980623301</v>
      </c>
      <c r="F706" s="83" t="s">
        <v>103</v>
      </c>
      <c r="G706" s="83">
        <v>0</v>
      </c>
      <c r="H706" s="83">
        <v>100</v>
      </c>
      <c r="K706" s="83">
        <v>1</v>
      </c>
      <c r="L706" s="83" t="s">
        <v>101</v>
      </c>
      <c r="M706" s="83" t="s">
        <v>410</v>
      </c>
      <c r="N706" s="83" t="s">
        <v>102</v>
      </c>
      <c r="P706" s="83">
        <v>0</v>
      </c>
      <c r="U706" s="83">
        <v>4</v>
      </c>
      <c r="V706" s="83">
        <v>1</v>
      </c>
      <c r="W706" s="83" t="s">
        <v>103</v>
      </c>
      <c r="X706" s="83">
        <v>0</v>
      </c>
    </row>
    <row r="707" spans="1:25" x14ac:dyDescent="0.2">
      <c r="A707" s="83">
        <v>1</v>
      </c>
      <c r="B707" s="84">
        <v>5701603301911</v>
      </c>
      <c r="C707" s="83">
        <v>40</v>
      </c>
      <c r="D707" s="84">
        <v>5980823301</v>
      </c>
      <c r="F707" s="83" t="s">
        <v>103</v>
      </c>
      <c r="G707" s="83">
        <v>0</v>
      </c>
      <c r="H707" s="83">
        <v>100</v>
      </c>
      <c r="K707" s="83">
        <v>1</v>
      </c>
      <c r="L707" s="83" t="s">
        <v>101</v>
      </c>
      <c r="M707" s="83" t="s">
        <v>410</v>
      </c>
      <c r="N707" s="83" t="s">
        <v>102</v>
      </c>
      <c r="P707" s="83">
        <v>0</v>
      </c>
      <c r="U707" s="83">
        <v>4</v>
      </c>
      <c r="V707" s="83">
        <v>1</v>
      </c>
      <c r="W707" s="83" t="s">
        <v>103</v>
      </c>
      <c r="X707" s="83">
        <v>0</v>
      </c>
    </row>
    <row r="708" spans="1:25" x14ac:dyDescent="0.2">
      <c r="A708" s="83">
        <v>1</v>
      </c>
      <c r="B708" s="84">
        <v>5701603301911</v>
      </c>
      <c r="C708" s="83">
        <v>50</v>
      </c>
      <c r="D708" s="84">
        <v>5980933301</v>
      </c>
      <c r="F708" s="83" t="s">
        <v>103</v>
      </c>
      <c r="G708" s="83">
        <v>0</v>
      </c>
      <c r="H708" s="83">
        <v>100</v>
      </c>
      <c r="K708" s="83">
        <v>1</v>
      </c>
      <c r="L708" s="83" t="s">
        <v>101</v>
      </c>
      <c r="M708" s="83" t="s">
        <v>410</v>
      </c>
      <c r="N708" s="83" t="s">
        <v>102</v>
      </c>
      <c r="P708" s="83">
        <v>0</v>
      </c>
      <c r="U708" s="83">
        <v>4</v>
      </c>
      <c r="V708" s="83">
        <v>1</v>
      </c>
      <c r="W708" s="83" t="s">
        <v>103</v>
      </c>
      <c r="X708" s="83">
        <v>0</v>
      </c>
    </row>
    <row r="709" spans="1:25" x14ac:dyDescent="0.2">
      <c r="A709" s="83">
        <v>1</v>
      </c>
      <c r="B709" s="84">
        <v>5701603301911</v>
      </c>
      <c r="C709" s="83">
        <v>60</v>
      </c>
      <c r="D709" s="84">
        <v>1010286</v>
      </c>
      <c r="F709" s="83" t="s">
        <v>103</v>
      </c>
      <c r="G709" s="83">
        <v>0</v>
      </c>
      <c r="H709" s="83">
        <v>100</v>
      </c>
      <c r="K709" s="83">
        <v>8</v>
      </c>
      <c r="L709" s="83" t="s">
        <v>101</v>
      </c>
      <c r="M709" s="83" t="s">
        <v>410</v>
      </c>
      <c r="N709" s="83" t="s">
        <v>102</v>
      </c>
      <c r="P709" s="83">
        <v>0</v>
      </c>
      <c r="U709" s="83">
        <v>4</v>
      </c>
      <c r="V709" s="83">
        <v>1</v>
      </c>
      <c r="W709" s="83" t="s">
        <v>103</v>
      </c>
      <c r="X709" s="83">
        <v>0</v>
      </c>
    </row>
    <row r="710" spans="1:25" x14ac:dyDescent="0.2">
      <c r="A710" s="83">
        <v>1</v>
      </c>
      <c r="B710" s="84">
        <v>5701603301911</v>
      </c>
      <c r="C710" s="83">
        <v>70</v>
      </c>
      <c r="D710" s="84">
        <v>1010287</v>
      </c>
      <c r="F710" s="83" t="s">
        <v>103</v>
      </c>
      <c r="G710" s="83">
        <v>0</v>
      </c>
      <c r="H710" s="83">
        <v>100</v>
      </c>
      <c r="K710" s="83">
        <v>4</v>
      </c>
      <c r="L710" s="83" t="s">
        <v>101</v>
      </c>
      <c r="M710" s="83" t="s">
        <v>410</v>
      </c>
      <c r="N710" s="83" t="s">
        <v>102</v>
      </c>
      <c r="P710" s="83">
        <v>0</v>
      </c>
      <c r="U710" s="83">
        <v>4</v>
      </c>
      <c r="V710" s="83">
        <v>1</v>
      </c>
      <c r="W710" s="83" t="s">
        <v>103</v>
      </c>
      <c r="X710" s="83">
        <v>0</v>
      </c>
    </row>
    <row r="711" spans="1:25" x14ac:dyDescent="0.2">
      <c r="A711" s="83">
        <v>1</v>
      </c>
      <c r="B711" s="84">
        <v>5701603301911</v>
      </c>
      <c r="C711" s="83">
        <v>80</v>
      </c>
      <c r="D711" s="84">
        <v>1020145</v>
      </c>
      <c r="F711" s="83" t="s">
        <v>103</v>
      </c>
      <c r="G711" s="83">
        <v>0</v>
      </c>
      <c r="H711" s="83">
        <v>100</v>
      </c>
      <c r="K711" s="83" t="s">
        <v>408</v>
      </c>
      <c r="L711" s="83" t="s">
        <v>101</v>
      </c>
      <c r="M711" s="83" t="s">
        <v>410</v>
      </c>
      <c r="N711" s="83" t="s">
        <v>102</v>
      </c>
      <c r="P711" s="83">
        <v>0</v>
      </c>
      <c r="U711" s="83">
        <v>4</v>
      </c>
      <c r="V711" s="83">
        <v>1</v>
      </c>
      <c r="W711" s="83" t="s">
        <v>103</v>
      </c>
      <c r="X711" s="83">
        <v>0</v>
      </c>
    </row>
    <row r="712" spans="1:25" x14ac:dyDescent="0.2">
      <c r="A712" s="83">
        <v>1</v>
      </c>
      <c r="B712" s="84">
        <v>5701603301911</v>
      </c>
      <c r="C712" s="83">
        <v>90</v>
      </c>
      <c r="D712" s="84">
        <v>777500911</v>
      </c>
      <c r="F712" s="83" t="s">
        <v>103</v>
      </c>
      <c r="G712" s="83">
        <v>0</v>
      </c>
      <c r="H712" s="83">
        <v>100</v>
      </c>
      <c r="K712" s="83">
        <v>1</v>
      </c>
      <c r="L712" s="83" t="s">
        <v>101</v>
      </c>
      <c r="M712" s="83" t="s">
        <v>410</v>
      </c>
      <c r="N712" s="83" t="s">
        <v>102</v>
      </c>
      <c r="P712" s="83">
        <v>0</v>
      </c>
      <c r="U712" s="83">
        <v>4</v>
      </c>
      <c r="V712" s="83">
        <v>1</v>
      </c>
      <c r="W712" s="83" t="s">
        <v>103</v>
      </c>
      <c r="X712" s="83">
        <v>0</v>
      </c>
    </row>
    <row r="713" spans="1:25" x14ac:dyDescent="0.2">
      <c r="A713" s="83">
        <v>1</v>
      </c>
      <c r="B713" s="84">
        <v>5701603302911</v>
      </c>
      <c r="C713" s="83">
        <v>10</v>
      </c>
      <c r="D713" s="84">
        <v>5980463302</v>
      </c>
      <c r="F713" s="83" t="s">
        <v>103</v>
      </c>
      <c r="G713" s="83">
        <v>0</v>
      </c>
      <c r="H713" s="83">
        <v>100</v>
      </c>
      <c r="K713" s="83">
        <v>1</v>
      </c>
      <c r="L713" s="83" t="s">
        <v>101</v>
      </c>
      <c r="M713" s="83" t="s">
        <v>410</v>
      </c>
      <c r="N713" s="83" t="s">
        <v>102</v>
      </c>
      <c r="P713" s="83">
        <v>0</v>
      </c>
      <c r="U713" s="83">
        <v>4</v>
      </c>
      <c r="V713" s="83">
        <v>1</v>
      </c>
      <c r="W713" s="83" t="s">
        <v>103</v>
      </c>
      <c r="X713" s="83">
        <v>0</v>
      </c>
      <c r="Y713" s="83" t="str">
        <f>LEFT(D713,6)</f>
        <v>598046</v>
      </c>
    </row>
    <row r="714" spans="1:25" x14ac:dyDescent="0.2">
      <c r="A714" s="83">
        <v>1</v>
      </c>
      <c r="B714" s="84">
        <v>5701603302911</v>
      </c>
      <c r="C714" s="83">
        <v>20</v>
      </c>
      <c r="D714" s="84">
        <v>5980543302</v>
      </c>
      <c r="F714" s="83" t="s">
        <v>103</v>
      </c>
      <c r="G714" s="83">
        <v>0</v>
      </c>
      <c r="H714" s="83">
        <v>100</v>
      </c>
      <c r="K714" s="83">
        <v>1</v>
      </c>
      <c r="L714" s="83" t="s">
        <v>101</v>
      </c>
      <c r="M714" s="83" t="s">
        <v>410</v>
      </c>
      <c r="N714" s="83" t="s">
        <v>102</v>
      </c>
      <c r="P714" s="83">
        <v>0</v>
      </c>
      <c r="U714" s="83">
        <v>4</v>
      </c>
      <c r="V714" s="83">
        <v>1</v>
      </c>
      <c r="W714" s="83" t="s">
        <v>103</v>
      </c>
      <c r="X714" s="83">
        <v>0</v>
      </c>
    </row>
    <row r="715" spans="1:25" x14ac:dyDescent="0.2">
      <c r="A715" s="83">
        <v>1</v>
      </c>
      <c r="B715" s="84">
        <v>5701603302911</v>
      </c>
      <c r="C715" s="83">
        <v>30</v>
      </c>
      <c r="D715" s="84">
        <v>5980623302</v>
      </c>
      <c r="F715" s="83" t="s">
        <v>103</v>
      </c>
      <c r="G715" s="83">
        <v>0</v>
      </c>
      <c r="H715" s="83">
        <v>100</v>
      </c>
      <c r="K715" s="83">
        <v>1</v>
      </c>
      <c r="L715" s="83" t="s">
        <v>101</v>
      </c>
      <c r="M715" s="83" t="s">
        <v>410</v>
      </c>
      <c r="N715" s="83" t="s">
        <v>102</v>
      </c>
      <c r="P715" s="83">
        <v>0</v>
      </c>
      <c r="U715" s="83">
        <v>4</v>
      </c>
      <c r="V715" s="83">
        <v>1</v>
      </c>
      <c r="W715" s="83" t="s">
        <v>103</v>
      </c>
      <c r="X715" s="83">
        <v>0</v>
      </c>
    </row>
    <row r="716" spans="1:25" x14ac:dyDescent="0.2">
      <c r="A716" s="83">
        <v>1</v>
      </c>
      <c r="B716" s="84">
        <v>5701603302911</v>
      </c>
      <c r="C716" s="83">
        <v>40</v>
      </c>
      <c r="D716" s="84">
        <v>5980823302</v>
      </c>
      <c r="F716" s="83" t="s">
        <v>103</v>
      </c>
      <c r="G716" s="83">
        <v>0</v>
      </c>
      <c r="H716" s="83">
        <v>100</v>
      </c>
      <c r="K716" s="83">
        <v>1</v>
      </c>
      <c r="L716" s="83" t="s">
        <v>101</v>
      </c>
      <c r="M716" s="83" t="s">
        <v>410</v>
      </c>
      <c r="N716" s="83" t="s">
        <v>102</v>
      </c>
      <c r="P716" s="83">
        <v>0</v>
      </c>
      <c r="U716" s="83">
        <v>4</v>
      </c>
      <c r="V716" s="83">
        <v>1</v>
      </c>
      <c r="W716" s="83" t="s">
        <v>103</v>
      </c>
      <c r="X716" s="83">
        <v>0</v>
      </c>
    </row>
    <row r="717" spans="1:25" x14ac:dyDescent="0.2">
      <c r="A717" s="83">
        <v>1</v>
      </c>
      <c r="B717" s="84">
        <v>5701603302911</v>
      </c>
      <c r="C717" s="83">
        <v>50</v>
      </c>
      <c r="D717" s="84">
        <v>5980933302</v>
      </c>
      <c r="F717" s="83" t="s">
        <v>103</v>
      </c>
      <c r="G717" s="83">
        <v>0</v>
      </c>
      <c r="H717" s="83">
        <v>100</v>
      </c>
      <c r="K717" s="83">
        <v>1</v>
      </c>
      <c r="L717" s="83" t="s">
        <v>101</v>
      </c>
      <c r="M717" s="83" t="s">
        <v>410</v>
      </c>
      <c r="N717" s="83" t="s">
        <v>102</v>
      </c>
      <c r="P717" s="83">
        <v>0</v>
      </c>
      <c r="U717" s="83">
        <v>4</v>
      </c>
      <c r="V717" s="83">
        <v>1</v>
      </c>
      <c r="W717" s="83" t="s">
        <v>103</v>
      </c>
      <c r="X717" s="83">
        <v>0</v>
      </c>
    </row>
    <row r="718" spans="1:25" x14ac:dyDescent="0.2">
      <c r="A718" s="83">
        <v>1</v>
      </c>
      <c r="B718" s="84">
        <v>5701603302911</v>
      </c>
      <c r="C718" s="83">
        <v>60</v>
      </c>
      <c r="D718" s="84">
        <v>1010286</v>
      </c>
      <c r="F718" s="83" t="s">
        <v>103</v>
      </c>
      <c r="G718" s="83">
        <v>0</v>
      </c>
      <c r="H718" s="83">
        <v>100</v>
      </c>
      <c r="K718" s="83">
        <v>8</v>
      </c>
      <c r="L718" s="83" t="s">
        <v>101</v>
      </c>
      <c r="M718" s="83" t="s">
        <v>410</v>
      </c>
      <c r="N718" s="83" t="s">
        <v>102</v>
      </c>
      <c r="P718" s="83">
        <v>0</v>
      </c>
      <c r="U718" s="83">
        <v>4</v>
      </c>
      <c r="V718" s="83">
        <v>1</v>
      </c>
      <c r="W718" s="83" t="s">
        <v>103</v>
      </c>
      <c r="X718" s="83">
        <v>0</v>
      </c>
    </row>
    <row r="719" spans="1:25" x14ac:dyDescent="0.2">
      <c r="A719" s="83">
        <v>1</v>
      </c>
      <c r="B719" s="84">
        <v>5701603302911</v>
      </c>
      <c r="C719" s="83">
        <v>70</v>
      </c>
      <c r="D719" s="84">
        <v>1010288</v>
      </c>
      <c r="F719" s="83" t="s">
        <v>103</v>
      </c>
      <c r="G719" s="83">
        <v>0</v>
      </c>
      <c r="H719" s="83">
        <v>100</v>
      </c>
      <c r="K719" s="83">
        <v>4</v>
      </c>
      <c r="L719" s="83" t="s">
        <v>101</v>
      </c>
      <c r="M719" s="83" t="s">
        <v>410</v>
      </c>
      <c r="N719" s="83" t="s">
        <v>102</v>
      </c>
      <c r="P719" s="83">
        <v>0</v>
      </c>
      <c r="U719" s="83">
        <v>4</v>
      </c>
      <c r="V719" s="83">
        <v>1</v>
      </c>
      <c r="W719" s="83" t="s">
        <v>103</v>
      </c>
      <c r="X719" s="83">
        <v>0</v>
      </c>
    </row>
    <row r="720" spans="1:25" x14ac:dyDescent="0.2">
      <c r="A720" s="83">
        <v>1</v>
      </c>
      <c r="B720" s="84">
        <v>5701603302911</v>
      </c>
      <c r="C720" s="83">
        <v>80</v>
      </c>
      <c r="D720" s="84">
        <v>1020145</v>
      </c>
      <c r="F720" s="83" t="s">
        <v>103</v>
      </c>
      <c r="G720" s="83">
        <v>0</v>
      </c>
      <c r="H720" s="83">
        <v>100</v>
      </c>
      <c r="K720" s="83" t="s">
        <v>408</v>
      </c>
      <c r="L720" s="83" t="s">
        <v>101</v>
      </c>
      <c r="M720" s="83" t="s">
        <v>410</v>
      </c>
      <c r="N720" s="83" t="s">
        <v>102</v>
      </c>
      <c r="P720" s="83">
        <v>0</v>
      </c>
      <c r="U720" s="83">
        <v>4</v>
      </c>
      <c r="V720" s="83">
        <v>1</v>
      </c>
      <c r="W720" s="83" t="s">
        <v>103</v>
      </c>
      <c r="X720" s="83">
        <v>0</v>
      </c>
    </row>
    <row r="721" spans="1:25" x14ac:dyDescent="0.2">
      <c r="A721" s="83">
        <v>1</v>
      </c>
      <c r="B721" s="84">
        <v>5701603302911</v>
      </c>
      <c r="C721" s="83">
        <v>90</v>
      </c>
      <c r="D721" s="84">
        <v>777500911</v>
      </c>
      <c r="F721" s="83" t="s">
        <v>103</v>
      </c>
      <c r="G721" s="83">
        <v>0</v>
      </c>
      <c r="H721" s="83">
        <v>100</v>
      </c>
      <c r="K721" s="83">
        <v>1</v>
      </c>
      <c r="L721" s="83" t="s">
        <v>101</v>
      </c>
      <c r="M721" s="83" t="s">
        <v>410</v>
      </c>
      <c r="N721" s="83" t="s">
        <v>102</v>
      </c>
      <c r="P721" s="83">
        <v>0</v>
      </c>
      <c r="U721" s="83">
        <v>4</v>
      </c>
      <c r="V721" s="83">
        <v>1</v>
      </c>
      <c r="W721" s="83" t="s">
        <v>103</v>
      </c>
      <c r="X721" s="83">
        <v>0</v>
      </c>
    </row>
    <row r="722" spans="1:25" x14ac:dyDescent="0.2">
      <c r="A722" s="83">
        <v>1</v>
      </c>
      <c r="B722" s="84">
        <v>5701603303911</v>
      </c>
      <c r="C722" s="83">
        <v>10</v>
      </c>
      <c r="D722" s="84">
        <v>5980463303</v>
      </c>
      <c r="F722" s="83" t="s">
        <v>103</v>
      </c>
      <c r="G722" s="83">
        <v>0</v>
      </c>
      <c r="H722" s="83">
        <v>100</v>
      </c>
      <c r="K722" s="83">
        <v>1</v>
      </c>
      <c r="L722" s="83" t="s">
        <v>101</v>
      </c>
      <c r="M722" s="83" t="s">
        <v>410</v>
      </c>
      <c r="N722" s="83" t="s">
        <v>102</v>
      </c>
      <c r="P722" s="83">
        <v>0</v>
      </c>
      <c r="U722" s="83">
        <v>4</v>
      </c>
      <c r="V722" s="83">
        <v>1</v>
      </c>
      <c r="W722" s="83" t="s">
        <v>103</v>
      </c>
      <c r="X722" s="83">
        <v>0</v>
      </c>
      <c r="Y722" s="83" t="str">
        <f>LEFT(D722,6)</f>
        <v>598046</v>
      </c>
    </row>
    <row r="723" spans="1:25" x14ac:dyDescent="0.2">
      <c r="A723" s="83">
        <v>1</v>
      </c>
      <c r="B723" s="84">
        <v>5701603303911</v>
      </c>
      <c r="C723" s="83">
        <v>20</v>
      </c>
      <c r="D723" s="84">
        <v>5980543303</v>
      </c>
      <c r="F723" s="83" t="s">
        <v>103</v>
      </c>
      <c r="G723" s="83">
        <v>0</v>
      </c>
      <c r="H723" s="83">
        <v>100</v>
      </c>
      <c r="K723" s="83">
        <v>1</v>
      </c>
      <c r="L723" s="83" t="s">
        <v>101</v>
      </c>
      <c r="M723" s="83" t="s">
        <v>410</v>
      </c>
      <c r="N723" s="83" t="s">
        <v>102</v>
      </c>
      <c r="P723" s="83">
        <v>0</v>
      </c>
      <c r="U723" s="83">
        <v>4</v>
      </c>
      <c r="V723" s="83">
        <v>1</v>
      </c>
      <c r="W723" s="83" t="s">
        <v>103</v>
      </c>
      <c r="X723" s="83">
        <v>0</v>
      </c>
    </row>
    <row r="724" spans="1:25" x14ac:dyDescent="0.2">
      <c r="A724" s="83">
        <v>1</v>
      </c>
      <c r="B724" s="84">
        <v>5701603303911</v>
      </c>
      <c r="C724" s="83">
        <v>30</v>
      </c>
      <c r="D724" s="84">
        <v>5980623303</v>
      </c>
      <c r="F724" s="83" t="s">
        <v>103</v>
      </c>
      <c r="G724" s="83">
        <v>0</v>
      </c>
      <c r="H724" s="83">
        <v>100</v>
      </c>
      <c r="K724" s="83">
        <v>1</v>
      </c>
      <c r="L724" s="83" t="s">
        <v>101</v>
      </c>
      <c r="M724" s="83" t="s">
        <v>410</v>
      </c>
      <c r="N724" s="83" t="s">
        <v>102</v>
      </c>
      <c r="P724" s="83">
        <v>0</v>
      </c>
      <c r="U724" s="83">
        <v>4</v>
      </c>
      <c r="V724" s="83">
        <v>1</v>
      </c>
      <c r="W724" s="83" t="s">
        <v>103</v>
      </c>
      <c r="X724" s="83">
        <v>0</v>
      </c>
    </row>
    <row r="725" spans="1:25" x14ac:dyDescent="0.2">
      <c r="A725" s="83">
        <v>1</v>
      </c>
      <c r="B725" s="84">
        <v>5701603303911</v>
      </c>
      <c r="C725" s="83">
        <v>40</v>
      </c>
      <c r="D725" s="84">
        <v>5980823303</v>
      </c>
      <c r="F725" s="83" t="s">
        <v>103</v>
      </c>
      <c r="G725" s="83">
        <v>0</v>
      </c>
      <c r="H725" s="83">
        <v>100</v>
      </c>
      <c r="K725" s="83">
        <v>1</v>
      </c>
      <c r="L725" s="83" t="s">
        <v>101</v>
      </c>
      <c r="M725" s="83" t="s">
        <v>410</v>
      </c>
      <c r="N725" s="83" t="s">
        <v>102</v>
      </c>
      <c r="P725" s="83">
        <v>0</v>
      </c>
      <c r="U725" s="83">
        <v>4</v>
      </c>
      <c r="V725" s="83">
        <v>1</v>
      </c>
      <c r="W725" s="83" t="s">
        <v>103</v>
      </c>
      <c r="X725" s="83">
        <v>0</v>
      </c>
    </row>
    <row r="726" spans="1:25" x14ac:dyDescent="0.2">
      <c r="A726" s="83">
        <v>1</v>
      </c>
      <c r="B726" s="84">
        <v>5701603303911</v>
      </c>
      <c r="C726" s="83">
        <v>50</v>
      </c>
      <c r="D726" s="84">
        <v>5980933303</v>
      </c>
      <c r="F726" s="83" t="s">
        <v>103</v>
      </c>
      <c r="G726" s="83">
        <v>0</v>
      </c>
      <c r="H726" s="83">
        <v>100</v>
      </c>
      <c r="K726" s="83">
        <v>1</v>
      </c>
      <c r="L726" s="83" t="s">
        <v>101</v>
      </c>
      <c r="M726" s="83" t="s">
        <v>410</v>
      </c>
      <c r="N726" s="83" t="s">
        <v>102</v>
      </c>
      <c r="P726" s="83">
        <v>0</v>
      </c>
      <c r="U726" s="83">
        <v>4</v>
      </c>
      <c r="V726" s="83">
        <v>1</v>
      </c>
      <c r="W726" s="83" t="s">
        <v>103</v>
      </c>
      <c r="X726" s="83">
        <v>0</v>
      </c>
    </row>
    <row r="727" spans="1:25" x14ac:dyDescent="0.2">
      <c r="A727" s="83">
        <v>1</v>
      </c>
      <c r="B727" s="84">
        <v>5701603303911</v>
      </c>
      <c r="C727" s="83">
        <v>60</v>
      </c>
      <c r="D727" s="84">
        <v>1010286</v>
      </c>
      <c r="F727" s="83" t="s">
        <v>103</v>
      </c>
      <c r="G727" s="83">
        <v>0</v>
      </c>
      <c r="H727" s="83">
        <v>100</v>
      </c>
      <c r="K727" s="83">
        <v>8</v>
      </c>
      <c r="L727" s="83" t="s">
        <v>101</v>
      </c>
      <c r="M727" s="83" t="s">
        <v>410</v>
      </c>
      <c r="N727" s="83" t="s">
        <v>102</v>
      </c>
      <c r="P727" s="83">
        <v>0</v>
      </c>
      <c r="U727" s="83">
        <v>4</v>
      </c>
      <c r="V727" s="83">
        <v>1</v>
      </c>
      <c r="W727" s="83" t="s">
        <v>103</v>
      </c>
      <c r="X727" s="83">
        <v>0</v>
      </c>
    </row>
    <row r="728" spans="1:25" x14ac:dyDescent="0.2">
      <c r="A728" s="83">
        <v>1</v>
      </c>
      <c r="B728" s="84">
        <v>5701603303911</v>
      </c>
      <c r="C728" s="83">
        <v>70</v>
      </c>
      <c r="D728" s="84">
        <v>1010287</v>
      </c>
      <c r="F728" s="83" t="s">
        <v>103</v>
      </c>
      <c r="G728" s="83">
        <v>0</v>
      </c>
      <c r="H728" s="83">
        <v>100</v>
      </c>
      <c r="K728" s="83">
        <v>4</v>
      </c>
      <c r="L728" s="83" t="s">
        <v>101</v>
      </c>
      <c r="M728" s="83" t="s">
        <v>410</v>
      </c>
      <c r="N728" s="83" t="s">
        <v>102</v>
      </c>
      <c r="P728" s="83">
        <v>0</v>
      </c>
      <c r="U728" s="83">
        <v>4</v>
      </c>
      <c r="V728" s="83">
        <v>1</v>
      </c>
      <c r="W728" s="83" t="s">
        <v>103</v>
      </c>
      <c r="X728" s="83">
        <v>0</v>
      </c>
    </row>
    <row r="729" spans="1:25" x14ac:dyDescent="0.2">
      <c r="A729" s="83">
        <v>1</v>
      </c>
      <c r="B729" s="84">
        <v>5701603303911</v>
      </c>
      <c r="C729" s="83">
        <v>80</v>
      </c>
      <c r="D729" s="84">
        <v>1020145</v>
      </c>
      <c r="F729" s="83" t="s">
        <v>103</v>
      </c>
      <c r="G729" s="83">
        <v>0</v>
      </c>
      <c r="H729" s="83">
        <v>100</v>
      </c>
      <c r="K729" s="83" t="s">
        <v>408</v>
      </c>
      <c r="L729" s="83" t="s">
        <v>101</v>
      </c>
      <c r="M729" s="83" t="s">
        <v>410</v>
      </c>
      <c r="N729" s="83" t="s">
        <v>102</v>
      </c>
      <c r="P729" s="83">
        <v>0</v>
      </c>
      <c r="U729" s="83">
        <v>4</v>
      </c>
      <c r="V729" s="83">
        <v>1</v>
      </c>
      <c r="W729" s="83" t="s">
        <v>103</v>
      </c>
      <c r="X729" s="83">
        <v>0</v>
      </c>
    </row>
    <row r="730" spans="1:25" x14ac:dyDescent="0.2">
      <c r="A730" s="83">
        <v>1</v>
      </c>
      <c r="B730" s="84">
        <v>5701603303911</v>
      </c>
      <c r="C730" s="83">
        <v>90</v>
      </c>
      <c r="D730" s="84">
        <v>777500911</v>
      </c>
      <c r="F730" s="83" t="s">
        <v>103</v>
      </c>
      <c r="G730" s="83">
        <v>0</v>
      </c>
      <c r="H730" s="83">
        <v>100</v>
      </c>
      <c r="K730" s="83">
        <v>1</v>
      </c>
      <c r="L730" s="83" t="s">
        <v>101</v>
      </c>
      <c r="M730" s="83" t="s">
        <v>410</v>
      </c>
      <c r="N730" s="83" t="s">
        <v>102</v>
      </c>
      <c r="P730" s="83">
        <v>0</v>
      </c>
      <c r="U730" s="83">
        <v>4</v>
      </c>
      <c r="V730" s="83">
        <v>1</v>
      </c>
      <c r="W730" s="83" t="s">
        <v>103</v>
      </c>
      <c r="X730" s="83">
        <v>0</v>
      </c>
    </row>
    <row r="731" spans="1:25" x14ac:dyDescent="0.2">
      <c r="A731" s="83">
        <v>1</v>
      </c>
      <c r="B731" s="84">
        <v>5701603304911</v>
      </c>
      <c r="C731" s="83">
        <v>10</v>
      </c>
      <c r="D731" s="84">
        <v>5980463304</v>
      </c>
      <c r="F731" s="83" t="s">
        <v>103</v>
      </c>
      <c r="G731" s="83">
        <v>0</v>
      </c>
      <c r="H731" s="83">
        <v>100</v>
      </c>
      <c r="K731" s="83">
        <v>1</v>
      </c>
      <c r="L731" s="83" t="s">
        <v>101</v>
      </c>
      <c r="M731" s="83" t="s">
        <v>410</v>
      </c>
      <c r="N731" s="83" t="s">
        <v>102</v>
      </c>
      <c r="P731" s="83">
        <v>0</v>
      </c>
      <c r="U731" s="83">
        <v>4</v>
      </c>
      <c r="V731" s="83">
        <v>1</v>
      </c>
      <c r="W731" s="83" t="s">
        <v>103</v>
      </c>
      <c r="X731" s="83">
        <v>0</v>
      </c>
      <c r="Y731" s="83" t="str">
        <f>LEFT(D731,6)</f>
        <v>598046</v>
      </c>
    </row>
    <row r="732" spans="1:25" x14ac:dyDescent="0.2">
      <c r="A732" s="83">
        <v>1</v>
      </c>
      <c r="B732" s="84">
        <v>5701603304911</v>
      </c>
      <c r="C732" s="83">
        <v>20</v>
      </c>
      <c r="D732" s="84">
        <v>5980543304</v>
      </c>
      <c r="F732" s="83" t="s">
        <v>103</v>
      </c>
      <c r="G732" s="83">
        <v>0</v>
      </c>
      <c r="H732" s="83">
        <v>100</v>
      </c>
      <c r="K732" s="83">
        <v>1</v>
      </c>
      <c r="L732" s="83" t="s">
        <v>101</v>
      </c>
      <c r="M732" s="83" t="s">
        <v>410</v>
      </c>
      <c r="N732" s="83" t="s">
        <v>102</v>
      </c>
      <c r="P732" s="83">
        <v>0</v>
      </c>
      <c r="U732" s="83">
        <v>4</v>
      </c>
      <c r="V732" s="83">
        <v>1</v>
      </c>
      <c r="W732" s="83" t="s">
        <v>103</v>
      </c>
      <c r="X732" s="83">
        <v>0</v>
      </c>
    </row>
    <row r="733" spans="1:25" x14ac:dyDescent="0.2">
      <c r="A733" s="83">
        <v>1</v>
      </c>
      <c r="B733" s="84">
        <v>5701603304911</v>
      </c>
      <c r="C733" s="83">
        <v>30</v>
      </c>
      <c r="D733" s="84">
        <v>5980623304</v>
      </c>
      <c r="F733" s="83" t="s">
        <v>103</v>
      </c>
      <c r="G733" s="83">
        <v>0</v>
      </c>
      <c r="H733" s="83">
        <v>100</v>
      </c>
      <c r="K733" s="83">
        <v>1</v>
      </c>
      <c r="L733" s="83" t="s">
        <v>101</v>
      </c>
      <c r="M733" s="83" t="s">
        <v>410</v>
      </c>
      <c r="N733" s="83" t="s">
        <v>102</v>
      </c>
      <c r="P733" s="83">
        <v>0</v>
      </c>
      <c r="U733" s="83">
        <v>4</v>
      </c>
      <c r="V733" s="83">
        <v>1</v>
      </c>
      <c r="W733" s="83" t="s">
        <v>103</v>
      </c>
      <c r="X733" s="83">
        <v>0</v>
      </c>
    </row>
    <row r="734" spans="1:25" x14ac:dyDescent="0.2">
      <c r="A734" s="83">
        <v>1</v>
      </c>
      <c r="B734" s="84">
        <v>5701603304911</v>
      </c>
      <c r="C734" s="83">
        <v>40</v>
      </c>
      <c r="D734" s="84">
        <v>5980823304</v>
      </c>
      <c r="F734" s="83" t="s">
        <v>103</v>
      </c>
      <c r="G734" s="83">
        <v>0</v>
      </c>
      <c r="H734" s="83">
        <v>100</v>
      </c>
      <c r="K734" s="83">
        <v>1</v>
      </c>
      <c r="L734" s="83" t="s">
        <v>101</v>
      </c>
      <c r="M734" s="83" t="s">
        <v>410</v>
      </c>
      <c r="N734" s="83" t="s">
        <v>102</v>
      </c>
      <c r="P734" s="83">
        <v>0</v>
      </c>
      <c r="U734" s="83">
        <v>4</v>
      </c>
      <c r="V734" s="83">
        <v>1</v>
      </c>
      <c r="W734" s="83" t="s">
        <v>103</v>
      </c>
      <c r="X734" s="83">
        <v>0</v>
      </c>
    </row>
    <row r="735" spans="1:25" x14ac:dyDescent="0.2">
      <c r="A735" s="83">
        <v>1</v>
      </c>
      <c r="B735" s="84">
        <v>5701603304911</v>
      </c>
      <c r="C735" s="83">
        <v>50</v>
      </c>
      <c r="D735" s="84">
        <v>5980933304</v>
      </c>
      <c r="F735" s="83" t="s">
        <v>103</v>
      </c>
      <c r="G735" s="83">
        <v>0</v>
      </c>
      <c r="H735" s="83">
        <v>100</v>
      </c>
      <c r="K735" s="83">
        <v>1</v>
      </c>
      <c r="L735" s="83" t="s">
        <v>101</v>
      </c>
      <c r="M735" s="83" t="s">
        <v>410</v>
      </c>
      <c r="N735" s="83" t="s">
        <v>102</v>
      </c>
      <c r="P735" s="83">
        <v>0</v>
      </c>
      <c r="U735" s="83">
        <v>4</v>
      </c>
      <c r="V735" s="83">
        <v>1</v>
      </c>
      <c r="W735" s="83" t="s">
        <v>103</v>
      </c>
      <c r="X735" s="83">
        <v>0</v>
      </c>
    </row>
    <row r="736" spans="1:25" x14ac:dyDescent="0.2">
      <c r="A736" s="83">
        <v>1</v>
      </c>
      <c r="B736" s="84">
        <v>5701603304911</v>
      </c>
      <c r="C736" s="83">
        <v>60</v>
      </c>
      <c r="D736" s="84">
        <v>1010286</v>
      </c>
      <c r="F736" s="83" t="s">
        <v>103</v>
      </c>
      <c r="G736" s="83">
        <v>0</v>
      </c>
      <c r="H736" s="83">
        <v>100</v>
      </c>
      <c r="K736" s="83">
        <v>8</v>
      </c>
      <c r="L736" s="83" t="s">
        <v>101</v>
      </c>
      <c r="M736" s="83" t="s">
        <v>410</v>
      </c>
      <c r="N736" s="83" t="s">
        <v>102</v>
      </c>
      <c r="P736" s="83">
        <v>0</v>
      </c>
      <c r="U736" s="83">
        <v>4</v>
      </c>
      <c r="V736" s="83">
        <v>1</v>
      </c>
      <c r="W736" s="83" t="s">
        <v>103</v>
      </c>
      <c r="X736" s="83">
        <v>0</v>
      </c>
    </row>
    <row r="737" spans="1:25" x14ac:dyDescent="0.2">
      <c r="A737" s="83">
        <v>1</v>
      </c>
      <c r="B737" s="84">
        <v>5701603304911</v>
      </c>
      <c r="C737" s="83">
        <v>70</v>
      </c>
      <c r="D737" s="84">
        <v>1010288</v>
      </c>
      <c r="F737" s="83" t="s">
        <v>103</v>
      </c>
      <c r="G737" s="83">
        <v>0</v>
      </c>
      <c r="H737" s="83">
        <v>100</v>
      </c>
      <c r="K737" s="83">
        <v>4</v>
      </c>
      <c r="L737" s="83" t="s">
        <v>101</v>
      </c>
      <c r="M737" s="83" t="s">
        <v>410</v>
      </c>
      <c r="N737" s="83" t="s">
        <v>102</v>
      </c>
      <c r="P737" s="83">
        <v>0</v>
      </c>
      <c r="U737" s="83">
        <v>4</v>
      </c>
      <c r="V737" s="83">
        <v>1</v>
      </c>
      <c r="W737" s="83" t="s">
        <v>103</v>
      </c>
      <c r="X737" s="83">
        <v>0</v>
      </c>
    </row>
    <row r="738" spans="1:25" x14ac:dyDescent="0.2">
      <c r="A738" s="83">
        <v>1</v>
      </c>
      <c r="B738" s="84">
        <v>5701603304911</v>
      </c>
      <c r="C738" s="83">
        <v>80</v>
      </c>
      <c r="D738" s="84">
        <v>1020145</v>
      </c>
      <c r="F738" s="83" t="s">
        <v>103</v>
      </c>
      <c r="G738" s="83">
        <v>0</v>
      </c>
      <c r="H738" s="83">
        <v>100</v>
      </c>
      <c r="K738" s="83" t="s">
        <v>408</v>
      </c>
      <c r="L738" s="83" t="s">
        <v>101</v>
      </c>
      <c r="M738" s="83" t="s">
        <v>410</v>
      </c>
      <c r="N738" s="83" t="s">
        <v>102</v>
      </c>
      <c r="P738" s="83">
        <v>0</v>
      </c>
      <c r="U738" s="83">
        <v>4</v>
      </c>
      <c r="V738" s="83">
        <v>1</v>
      </c>
      <c r="W738" s="83" t="s">
        <v>103</v>
      </c>
      <c r="X738" s="83">
        <v>0</v>
      </c>
    </row>
    <row r="739" spans="1:25" x14ac:dyDescent="0.2">
      <c r="A739" s="83">
        <v>1</v>
      </c>
      <c r="B739" s="84">
        <v>5701603304911</v>
      </c>
      <c r="C739" s="83">
        <v>90</v>
      </c>
      <c r="D739" s="84">
        <v>777500911</v>
      </c>
      <c r="F739" s="83" t="s">
        <v>103</v>
      </c>
      <c r="G739" s="83">
        <v>0</v>
      </c>
      <c r="H739" s="83">
        <v>100</v>
      </c>
      <c r="K739" s="83">
        <v>1</v>
      </c>
      <c r="L739" s="83" t="s">
        <v>101</v>
      </c>
      <c r="M739" s="83" t="s">
        <v>410</v>
      </c>
      <c r="N739" s="83" t="s">
        <v>102</v>
      </c>
      <c r="P739" s="83">
        <v>0</v>
      </c>
      <c r="U739" s="83">
        <v>4</v>
      </c>
      <c r="V739" s="83">
        <v>1</v>
      </c>
      <c r="W739" s="83" t="s">
        <v>103</v>
      </c>
      <c r="X739" s="83">
        <v>0</v>
      </c>
    </row>
    <row r="740" spans="1:25" x14ac:dyDescent="0.2">
      <c r="A740" s="83">
        <v>1</v>
      </c>
      <c r="B740" s="84">
        <v>5701603305911</v>
      </c>
      <c r="C740" s="83">
        <v>10</v>
      </c>
      <c r="D740" s="84">
        <v>5980463305</v>
      </c>
      <c r="F740" s="83" t="s">
        <v>103</v>
      </c>
      <c r="G740" s="83">
        <v>0</v>
      </c>
      <c r="H740" s="83">
        <v>100</v>
      </c>
      <c r="K740" s="83">
        <v>1</v>
      </c>
      <c r="L740" s="83" t="s">
        <v>101</v>
      </c>
      <c r="M740" s="83" t="s">
        <v>410</v>
      </c>
      <c r="N740" s="83" t="s">
        <v>102</v>
      </c>
      <c r="P740" s="83">
        <v>0</v>
      </c>
      <c r="U740" s="83">
        <v>4</v>
      </c>
      <c r="V740" s="83">
        <v>1</v>
      </c>
      <c r="W740" s="83" t="s">
        <v>103</v>
      </c>
      <c r="X740" s="83">
        <v>0</v>
      </c>
      <c r="Y740" s="83" t="str">
        <f>LEFT(D740,6)</f>
        <v>598046</v>
      </c>
    </row>
    <row r="741" spans="1:25" x14ac:dyDescent="0.2">
      <c r="A741" s="83">
        <v>1</v>
      </c>
      <c r="B741" s="84">
        <v>5701603305911</v>
      </c>
      <c r="C741" s="83">
        <v>20</v>
      </c>
      <c r="D741" s="84">
        <v>5980543305</v>
      </c>
      <c r="F741" s="83" t="s">
        <v>103</v>
      </c>
      <c r="G741" s="83">
        <v>0</v>
      </c>
      <c r="H741" s="83">
        <v>100</v>
      </c>
      <c r="K741" s="83">
        <v>1</v>
      </c>
      <c r="L741" s="83" t="s">
        <v>101</v>
      </c>
      <c r="M741" s="83" t="s">
        <v>410</v>
      </c>
      <c r="N741" s="83" t="s">
        <v>102</v>
      </c>
      <c r="P741" s="83">
        <v>0</v>
      </c>
      <c r="U741" s="83">
        <v>4</v>
      </c>
      <c r="V741" s="83">
        <v>1</v>
      </c>
      <c r="W741" s="83" t="s">
        <v>103</v>
      </c>
      <c r="X741" s="83">
        <v>0</v>
      </c>
    </row>
    <row r="742" spans="1:25" x14ac:dyDescent="0.2">
      <c r="A742" s="83">
        <v>1</v>
      </c>
      <c r="B742" s="84">
        <v>5701603305911</v>
      </c>
      <c r="C742" s="83">
        <v>30</v>
      </c>
      <c r="D742" s="84">
        <v>5980623305</v>
      </c>
      <c r="F742" s="83" t="s">
        <v>103</v>
      </c>
      <c r="G742" s="83">
        <v>0</v>
      </c>
      <c r="H742" s="83">
        <v>100</v>
      </c>
      <c r="K742" s="83">
        <v>1</v>
      </c>
      <c r="L742" s="83" t="s">
        <v>101</v>
      </c>
      <c r="M742" s="83" t="s">
        <v>410</v>
      </c>
      <c r="N742" s="83" t="s">
        <v>102</v>
      </c>
      <c r="P742" s="83">
        <v>0</v>
      </c>
      <c r="U742" s="83">
        <v>4</v>
      </c>
      <c r="V742" s="83">
        <v>1</v>
      </c>
      <c r="W742" s="83" t="s">
        <v>103</v>
      </c>
      <c r="X742" s="83">
        <v>0</v>
      </c>
    </row>
    <row r="743" spans="1:25" x14ac:dyDescent="0.2">
      <c r="A743" s="83">
        <v>1</v>
      </c>
      <c r="B743" s="84">
        <v>5701603305911</v>
      </c>
      <c r="C743" s="83">
        <v>40</v>
      </c>
      <c r="D743" s="84">
        <v>5980823305</v>
      </c>
      <c r="F743" s="83" t="s">
        <v>103</v>
      </c>
      <c r="G743" s="83">
        <v>0</v>
      </c>
      <c r="H743" s="83">
        <v>100</v>
      </c>
      <c r="K743" s="83">
        <v>1</v>
      </c>
      <c r="L743" s="83" t="s">
        <v>101</v>
      </c>
      <c r="M743" s="83" t="s">
        <v>410</v>
      </c>
      <c r="N743" s="83" t="s">
        <v>102</v>
      </c>
      <c r="P743" s="83">
        <v>0</v>
      </c>
      <c r="U743" s="83">
        <v>4</v>
      </c>
      <c r="V743" s="83">
        <v>1</v>
      </c>
      <c r="W743" s="83" t="s">
        <v>103</v>
      </c>
      <c r="X743" s="83">
        <v>0</v>
      </c>
    </row>
    <row r="744" spans="1:25" x14ac:dyDescent="0.2">
      <c r="A744" s="83">
        <v>1</v>
      </c>
      <c r="B744" s="84">
        <v>5701603305911</v>
      </c>
      <c r="C744" s="83">
        <v>50</v>
      </c>
      <c r="D744" s="84">
        <v>5980933305</v>
      </c>
      <c r="F744" s="83" t="s">
        <v>103</v>
      </c>
      <c r="G744" s="83">
        <v>0</v>
      </c>
      <c r="H744" s="83">
        <v>100</v>
      </c>
      <c r="K744" s="83">
        <v>1</v>
      </c>
      <c r="L744" s="83" t="s">
        <v>101</v>
      </c>
      <c r="M744" s="83" t="s">
        <v>410</v>
      </c>
      <c r="N744" s="83" t="s">
        <v>102</v>
      </c>
      <c r="P744" s="83">
        <v>0</v>
      </c>
      <c r="U744" s="83">
        <v>4</v>
      </c>
      <c r="V744" s="83">
        <v>1</v>
      </c>
      <c r="W744" s="83" t="s">
        <v>103</v>
      </c>
      <c r="X744" s="83">
        <v>0</v>
      </c>
    </row>
    <row r="745" spans="1:25" x14ac:dyDescent="0.2">
      <c r="A745" s="83">
        <v>1</v>
      </c>
      <c r="B745" s="84">
        <v>5701603305911</v>
      </c>
      <c r="C745" s="83">
        <v>60</v>
      </c>
      <c r="D745" s="84">
        <v>1010286</v>
      </c>
      <c r="F745" s="83" t="s">
        <v>103</v>
      </c>
      <c r="G745" s="83">
        <v>0</v>
      </c>
      <c r="H745" s="83">
        <v>100</v>
      </c>
      <c r="K745" s="83">
        <v>8</v>
      </c>
      <c r="L745" s="83" t="s">
        <v>101</v>
      </c>
      <c r="M745" s="83" t="s">
        <v>410</v>
      </c>
      <c r="N745" s="83" t="s">
        <v>102</v>
      </c>
      <c r="P745" s="83">
        <v>0</v>
      </c>
      <c r="U745" s="83">
        <v>4</v>
      </c>
      <c r="V745" s="83">
        <v>1</v>
      </c>
      <c r="W745" s="83" t="s">
        <v>103</v>
      </c>
      <c r="X745" s="83">
        <v>0</v>
      </c>
    </row>
    <row r="746" spans="1:25" x14ac:dyDescent="0.2">
      <c r="A746" s="83">
        <v>1</v>
      </c>
      <c r="B746" s="84">
        <v>5701603305911</v>
      </c>
      <c r="C746" s="83">
        <v>70</v>
      </c>
      <c r="D746" s="84">
        <v>1010288</v>
      </c>
      <c r="F746" s="83" t="s">
        <v>103</v>
      </c>
      <c r="G746" s="83">
        <v>0</v>
      </c>
      <c r="H746" s="83">
        <v>100</v>
      </c>
      <c r="K746" s="83">
        <v>4</v>
      </c>
      <c r="L746" s="83" t="s">
        <v>101</v>
      </c>
      <c r="M746" s="83" t="s">
        <v>410</v>
      </c>
      <c r="N746" s="83" t="s">
        <v>102</v>
      </c>
      <c r="P746" s="83">
        <v>0</v>
      </c>
      <c r="U746" s="83">
        <v>4</v>
      </c>
      <c r="V746" s="83">
        <v>1</v>
      </c>
      <c r="W746" s="83" t="s">
        <v>103</v>
      </c>
      <c r="X746" s="83">
        <v>0</v>
      </c>
    </row>
    <row r="747" spans="1:25" x14ac:dyDescent="0.2">
      <c r="A747" s="83">
        <v>1</v>
      </c>
      <c r="B747" s="84">
        <v>5701603305911</v>
      </c>
      <c r="C747" s="83">
        <v>80</v>
      </c>
      <c r="D747" s="84">
        <v>1020145</v>
      </c>
      <c r="F747" s="83" t="s">
        <v>103</v>
      </c>
      <c r="G747" s="83">
        <v>0</v>
      </c>
      <c r="H747" s="83">
        <v>100</v>
      </c>
      <c r="K747" s="83" t="s">
        <v>408</v>
      </c>
      <c r="L747" s="83" t="s">
        <v>101</v>
      </c>
      <c r="M747" s="83" t="s">
        <v>410</v>
      </c>
      <c r="N747" s="83" t="s">
        <v>102</v>
      </c>
      <c r="P747" s="83">
        <v>0</v>
      </c>
      <c r="U747" s="83">
        <v>4</v>
      </c>
      <c r="V747" s="83">
        <v>1</v>
      </c>
      <c r="W747" s="83" t="s">
        <v>103</v>
      </c>
      <c r="X747" s="83">
        <v>0</v>
      </c>
    </row>
    <row r="748" spans="1:25" x14ac:dyDescent="0.2">
      <c r="A748" s="83">
        <v>1</v>
      </c>
      <c r="B748" s="84">
        <v>5701603305911</v>
      </c>
      <c r="C748" s="83">
        <v>90</v>
      </c>
      <c r="D748" s="84">
        <v>777500911</v>
      </c>
      <c r="F748" s="83" t="s">
        <v>103</v>
      </c>
      <c r="G748" s="83">
        <v>0</v>
      </c>
      <c r="H748" s="83">
        <v>100</v>
      </c>
      <c r="K748" s="83">
        <v>1</v>
      </c>
      <c r="L748" s="83" t="s">
        <v>101</v>
      </c>
      <c r="M748" s="83" t="s">
        <v>410</v>
      </c>
      <c r="N748" s="83" t="s">
        <v>102</v>
      </c>
      <c r="P748" s="83">
        <v>0</v>
      </c>
      <c r="U748" s="83">
        <v>4</v>
      </c>
      <c r="V748" s="83">
        <v>1</v>
      </c>
      <c r="W748" s="83" t="s">
        <v>103</v>
      </c>
      <c r="X748" s="83">
        <v>0</v>
      </c>
    </row>
    <row r="749" spans="1:25" x14ac:dyDescent="0.2">
      <c r="A749" s="83">
        <v>1</v>
      </c>
      <c r="B749" s="84">
        <v>5701603306911</v>
      </c>
      <c r="C749" s="83">
        <v>10</v>
      </c>
      <c r="D749" s="84">
        <v>5980463306</v>
      </c>
      <c r="F749" s="83" t="s">
        <v>103</v>
      </c>
      <c r="G749" s="83">
        <v>0</v>
      </c>
      <c r="H749" s="83">
        <v>100</v>
      </c>
      <c r="K749" s="83">
        <v>1</v>
      </c>
      <c r="L749" s="83" t="s">
        <v>101</v>
      </c>
      <c r="M749" s="83" t="s">
        <v>410</v>
      </c>
      <c r="N749" s="83" t="s">
        <v>102</v>
      </c>
      <c r="P749" s="83">
        <v>0</v>
      </c>
      <c r="U749" s="83">
        <v>4</v>
      </c>
      <c r="V749" s="83">
        <v>1</v>
      </c>
      <c r="W749" s="83" t="s">
        <v>103</v>
      </c>
      <c r="X749" s="83">
        <v>0</v>
      </c>
      <c r="Y749" s="83" t="str">
        <f>LEFT(D749,6)</f>
        <v>598046</v>
      </c>
    </row>
    <row r="750" spans="1:25" x14ac:dyDescent="0.2">
      <c r="A750" s="83">
        <v>1</v>
      </c>
      <c r="B750" s="84">
        <v>5701603306911</v>
      </c>
      <c r="C750" s="83">
        <v>20</v>
      </c>
      <c r="D750" s="84">
        <v>5980543306</v>
      </c>
      <c r="F750" s="83" t="s">
        <v>103</v>
      </c>
      <c r="G750" s="83">
        <v>0</v>
      </c>
      <c r="H750" s="83">
        <v>100</v>
      </c>
      <c r="K750" s="83">
        <v>1</v>
      </c>
      <c r="L750" s="83" t="s">
        <v>101</v>
      </c>
      <c r="M750" s="83" t="s">
        <v>410</v>
      </c>
      <c r="N750" s="83" t="s">
        <v>102</v>
      </c>
      <c r="P750" s="83">
        <v>0</v>
      </c>
      <c r="U750" s="83">
        <v>4</v>
      </c>
      <c r="V750" s="83">
        <v>1</v>
      </c>
      <c r="W750" s="83" t="s">
        <v>103</v>
      </c>
      <c r="X750" s="83">
        <v>0</v>
      </c>
    </row>
    <row r="751" spans="1:25" x14ac:dyDescent="0.2">
      <c r="A751" s="83">
        <v>1</v>
      </c>
      <c r="B751" s="84">
        <v>5701603306911</v>
      </c>
      <c r="C751" s="83">
        <v>30</v>
      </c>
      <c r="D751" s="84">
        <v>5980623306</v>
      </c>
      <c r="F751" s="83" t="s">
        <v>103</v>
      </c>
      <c r="G751" s="83">
        <v>0</v>
      </c>
      <c r="H751" s="83">
        <v>100</v>
      </c>
      <c r="K751" s="83">
        <v>1</v>
      </c>
      <c r="L751" s="83" t="s">
        <v>101</v>
      </c>
      <c r="M751" s="83" t="s">
        <v>410</v>
      </c>
      <c r="N751" s="83" t="s">
        <v>102</v>
      </c>
      <c r="P751" s="83">
        <v>0</v>
      </c>
      <c r="U751" s="83">
        <v>4</v>
      </c>
      <c r="V751" s="83">
        <v>1</v>
      </c>
      <c r="W751" s="83" t="s">
        <v>103</v>
      </c>
      <c r="X751" s="83">
        <v>0</v>
      </c>
    </row>
    <row r="752" spans="1:25" x14ac:dyDescent="0.2">
      <c r="A752" s="83">
        <v>1</v>
      </c>
      <c r="B752" s="84">
        <v>5701603306911</v>
      </c>
      <c r="C752" s="83">
        <v>40</v>
      </c>
      <c r="D752" s="84">
        <v>5980823306</v>
      </c>
      <c r="F752" s="83" t="s">
        <v>103</v>
      </c>
      <c r="G752" s="83">
        <v>0</v>
      </c>
      <c r="H752" s="83">
        <v>100</v>
      </c>
      <c r="K752" s="83">
        <v>1</v>
      </c>
      <c r="L752" s="83" t="s">
        <v>101</v>
      </c>
      <c r="M752" s="83" t="s">
        <v>410</v>
      </c>
      <c r="N752" s="83" t="s">
        <v>102</v>
      </c>
      <c r="P752" s="83">
        <v>0</v>
      </c>
      <c r="U752" s="83">
        <v>4</v>
      </c>
      <c r="V752" s="83">
        <v>1</v>
      </c>
      <c r="W752" s="83" t="s">
        <v>103</v>
      </c>
      <c r="X752" s="83">
        <v>0</v>
      </c>
    </row>
    <row r="753" spans="1:25" x14ac:dyDescent="0.2">
      <c r="A753" s="83">
        <v>1</v>
      </c>
      <c r="B753" s="84">
        <v>5701603306911</v>
      </c>
      <c r="C753" s="83">
        <v>50</v>
      </c>
      <c r="D753" s="84">
        <v>5980933306</v>
      </c>
      <c r="F753" s="83" t="s">
        <v>103</v>
      </c>
      <c r="G753" s="83">
        <v>0</v>
      </c>
      <c r="H753" s="83">
        <v>100</v>
      </c>
      <c r="K753" s="83">
        <v>1</v>
      </c>
      <c r="L753" s="83" t="s">
        <v>101</v>
      </c>
      <c r="M753" s="83" t="s">
        <v>410</v>
      </c>
      <c r="N753" s="83" t="s">
        <v>102</v>
      </c>
      <c r="P753" s="83">
        <v>0</v>
      </c>
      <c r="U753" s="83">
        <v>4</v>
      </c>
      <c r="V753" s="83">
        <v>1</v>
      </c>
      <c r="W753" s="83" t="s">
        <v>103</v>
      </c>
      <c r="X753" s="83">
        <v>0</v>
      </c>
    </row>
    <row r="754" spans="1:25" x14ac:dyDescent="0.2">
      <c r="A754" s="83">
        <v>1</v>
      </c>
      <c r="B754" s="84">
        <v>5701603306911</v>
      </c>
      <c r="C754" s="83">
        <v>60</v>
      </c>
      <c r="D754" s="84">
        <v>1010286</v>
      </c>
      <c r="F754" s="83" t="s">
        <v>103</v>
      </c>
      <c r="G754" s="83">
        <v>0</v>
      </c>
      <c r="H754" s="83">
        <v>100</v>
      </c>
      <c r="K754" s="83">
        <v>8</v>
      </c>
      <c r="L754" s="83" t="s">
        <v>101</v>
      </c>
      <c r="M754" s="83" t="s">
        <v>410</v>
      </c>
      <c r="N754" s="83" t="s">
        <v>102</v>
      </c>
      <c r="P754" s="83">
        <v>0</v>
      </c>
      <c r="U754" s="83">
        <v>4</v>
      </c>
      <c r="V754" s="83">
        <v>1</v>
      </c>
      <c r="W754" s="83" t="s">
        <v>103</v>
      </c>
      <c r="X754" s="83">
        <v>0</v>
      </c>
    </row>
    <row r="755" spans="1:25" x14ac:dyDescent="0.2">
      <c r="A755" s="83">
        <v>1</v>
      </c>
      <c r="B755" s="84">
        <v>5701603306911</v>
      </c>
      <c r="C755" s="83">
        <v>70</v>
      </c>
      <c r="D755" s="84">
        <v>1010287</v>
      </c>
      <c r="F755" s="83" t="s">
        <v>103</v>
      </c>
      <c r="G755" s="83">
        <v>0</v>
      </c>
      <c r="H755" s="83">
        <v>100</v>
      </c>
      <c r="K755" s="83">
        <v>4</v>
      </c>
      <c r="L755" s="83" t="s">
        <v>101</v>
      </c>
      <c r="M755" s="83" t="s">
        <v>410</v>
      </c>
      <c r="N755" s="83" t="s">
        <v>102</v>
      </c>
      <c r="P755" s="83">
        <v>0</v>
      </c>
      <c r="U755" s="83">
        <v>4</v>
      </c>
      <c r="V755" s="83">
        <v>1</v>
      </c>
      <c r="W755" s="83" t="s">
        <v>103</v>
      </c>
      <c r="X755" s="83">
        <v>0</v>
      </c>
    </row>
    <row r="756" spans="1:25" x14ac:dyDescent="0.2">
      <c r="A756" s="83">
        <v>1</v>
      </c>
      <c r="B756" s="84">
        <v>5701603306911</v>
      </c>
      <c r="C756" s="83">
        <v>80</v>
      </c>
      <c r="D756" s="84">
        <v>1020145</v>
      </c>
      <c r="F756" s="83" t="s">
        <v>103</v>
      </c>
      <c r="G756" s="83">
        <v>0</v>
      </c>
      <c r="H756" s="83">
        <v>100</v>
      </c>
      <c r="K756" s="83" t="s">
        <v>408</v>
      </c>
      <c r="L756" s="83" t="s">
        <v>101</v>
      </c>
      <c r="M756" s="83" t="s">
        <v>410</v>
      </c>
      <c r="N756" s="83" t="s">
        <v>102</v>
      </c>
      <c r="P756" s="83">
        <v>0</v>
      </c>
      <c r="U756" s="83">
        <v>4</v>
      </c>
      <c r="V756" s="83">
        <v>1</v>
      </c>
      <c r="W756" s="83" t="s">
        <v>103</v>
      </c>
      <c r="X756" s="83">
        <v>0</v>
      </c>
    </row>
    <row r="757" spans="1:25" x14ac:dyDescent="0.2">
      <c r="A757" s="83">
        <v>1</v>
      </c>
      <c r="B757" s="84">
        <v>5701603306911</v>
      </c>
      <c r="C757" s="83">
        <v>90</v>
      </c>
      <c r="D757" s="84">
        <v>777500911</v>
      </c>
      <c r="F757" s="83" t="s">
        <v>103</v>
      </c>
      <c r="G757" s="83">
        <v>0</v>
      </c>
      <c r="H757" s="83">
        <v>100</v>
      </c>
      <c r="K757" s="83">
        <v>1</v>
      </c>
      <c r="L757" s="83" t="s">
        <v>101</v>
      </c>
      <c r="M757" s="83" t="s">
        <v>410</v>
      </c>
      <c r="N757" s="83" t="s">
        <v>102</v>
      </c>
      <c r="P757" s="83">
        <v>0</v>
      </c>
      <c r="U757" s="83">
        <v>4</v>
      </c>
      <c r="V757" s="83">
        <v>1</v>
      </c>
      <c r="W757" s="83" t="s">
        <v>103</v>
      </c>
      <c r="X757" s="83">
        <v>0</v>
      </c>
    </row>
    <row r="758" spans="1:25" x14ac:dyDescent="0.2">
      <c r="A758" s="83">
        <v>1</v>
      </c>
      <c r="B758" s="84">
        <v>5701603307911</v>
      </c>
      <c r="C758" s="83">
        <v>10</v>
      </c>
      <c r="D758" s="84">
        <v>5980463307</v>
      </c>
      <c r="F758" s="83" t="s">
        <v>103</v>
      </c>
      <c r="G758" s="83">
        <v>0</v>
      </c>
      <c r="H758" s="83">
        <v>100</v>
      </c>
      <c r="K758" s="83">
        <v>1</v>
      </c>
      <c r="L758" s="83" t="s">
        <v>101</v>
      </c>
      <c r="M758" s="83" t="s">
        <v>410</v>
      </c>
      <c r="N758" s="83" t="s">
        <v>102</v>
      </c>
      <c r="P758" s="83">
        <v>0</v>
      </c>
      <c r="U758" s="83">
        <v>4</v>
      </c>
      <c r="V758" s="83">
        <v>1</v>
      </c>
      <c r="W758" s="83" t="s">
        <v>103</v>
      </c>
      <c r="X758" s="83">
        <v>0</v>
      </c>
      <c r="Y758" s="83" t="str">
        <f>LEFT(D758,6)</f>
        <v>598046</v>
      </c>
    </row>
    <row r="759" spans="1:25" x14ac:dyDescent="0.2">
      <c r="A759" s="83">
        <v>1</v>
      </c>
      <c r="B759" s="84">
        <v>5701603307911</v>
      </c>
      <c r="C759" s="83">
        <v>20</v>
      </c>
      <c r="D759" s="84">
        <v>5980543307</v>
      </c>
      <c r="F759" s="83" t="s">
        <v>103</v>
      </c>
      <c r="G759" s="83">
        <v>0</v>
      </c>
      <c r="H759" s="83">
        <v>100</v>
      </c>
      <c r="K759" s="83">
        <v>1</v>
      </c>
      <c r="L759" s="83" t="s">
        <v>101</v>
      </c>
      <c r="M759" s="83" t="s">
        <v>410</v>
      </c>
      <c r="N759" s="83" t="s">
        <v>102</v>
      </c>
      <c r="P759" s="83">
        <v>0</v>
      </c>
      <c r="U759" s="83">
        <v>4</v>
      </c>
      <c r="V759" s="83">
        <v>1</v>
      </c>
      <c r="W759" s="83" t="s">
        <v>103</v>
      </c>
      <c r="X759" s="83">
        <v>0</v>
      </c>
    </row>
    <row r="760" spans="1:25" x14ac:dyDescent="0.2">
      <c r="A760" s="83">
        <v>1</v>
      </c>
      <c r="B760" s="84">
        <v>5701603307911</v>
      </c>
      <c r="C760" s="83">
        <v>30</v>
      </c>
      <c r="D760" s="84">
        <v>5980623307</v>
      </c>
      <c r="F760" s="83" t="s">
        <v>103</v>
      </c>
      <c r="G760" s="83">
        <v>0</v>
      </c>
      <c r="H760" s="83">
        <v>100</v>
      </c>
      <c r="K760" s="83">
        <v>1</v>
      </c>
      <c r="L760" s="83" t="s">
        <v>101</v>
      </c>
      <c r="M760" s="83" t="s">
        <v>410</v>
      </c>
      <c r="N760" s="83" t="s">
        <v>102</v>
      </c>
      <c r="P760" s="83">
        <v>0</v>
      </c>
      <c r="U760" s="83">
        <v>4</v>
      </c>
      <c r="V760" s="83">
        <v>1</v>
      </c>
      <c r="W760" s="83" t="s">
        <v>103</v>
      </c>
      <c r="X760" s="83">
        <v>0</v>
      </c>
    </row>
    <row r="761" spans="1:25" x14ac:dyDescent="0.2">
      <c r="A761" s="83">
        <v>1</v>
      </c>
      <c r="B761" s="84">
        <v>5701603307911</v>
      </c>
      <c r="C761" s="83">
        <v>40</v>
      </c>
      <c r="D761" s="84">
        <v>5980823307</v>
      </c>
      <c r="F761" s="83" t="s">
        <v>103</v>
      </c>
      <c r="G761" s="83">
        <v>0</v>
      </c>
      <c r="H761" s="83">
        <v>100</v>
      </c>
      <c r="K761" s="83">
        <v>1</v>
      </c>
      <c r="L761" s="83" t="s">
        <v>101</v>
      </c>
      <c r="M761" s="83" t="s">
        <v>410</v>
      </c>
      <c r="N761" s="83" t="s">
        <v>102</v>
      </c>
      <c r="P761" s="83">
        <v>0</v>
      </c>
      <c r="U761" s="83">
        <v>4</v>
      </c>
      <c r="V761" s="83">
        <v>1</v>
      </c>
      <c r="W761" s="83" t="s">
        <v>103</v>
      </c>
      <c r="X761" s="83">
        <v>0</v>
      </c>
    </row>
    <row r="762" spans="1:25" x14ac:dyDescent="0.2">
      <c r="A762" s="83">
        <v>1</v>
      </c>
      <c r="B762" s="84">
        <v>5701603307911</v>
      </c>
      <c r="C762" s="83">
        <v>50</v>
      </c>
      <c r="D762" s="84">
        <v>5980933307</v>
      </c>
      <c r="F762" s="83" t="s">
        <v>103</v>
      </c>
      <c r="G762" s="83">
        <v>0</v>
      </c>
      <c r="H762" s="83">
        <v>100</v>
      </c>
      <c r="K762" s="83">
        <v>1</v>
      </c>
      <c r="L762" s="83" t="s">
        <v>101</v>
      </c>
      <c r="M762" s="83" t="s">
        <v>410</v>
      </c>
      <c r="N762" s="83" t="s">
        <v>102</v>
      </c>
      <c r="P762" s="83">
        <v>0</v>
      </c>
      <c r="U762" s="83">
        <v>4</v>
      </c>
      <c r="V762" s="83">
        <v>1</v>
      </c>
      <c r="W762" s="83" t="s">
        <v>103</v>
      </c>
      <c r="X762" s="83">
        <v>0</v>
      </c>
    </row>
    <row r="763" spans="1:25" x14ac:dyDescent="0.2">
      <c r="A763" s="83">
        <v>1</v>
      </c>
      <c r="B763" s="84">
        <v>5701603307911</v>
      </c>
      <c r="C763" s="83">
        <v>60</v>
      </c>
      <c r="D763" s="84">
        <v>1010286</v>
      </c>
      <c r="F763" s="83" t="s">
        <v>103</v>
      </c>
      <c r="G763" s="83">
        <v>0</v>
      </c>
      <c r="H763" s="83">
        <v>100</v>
      </c>
      <c r="K763" s="83">
        <v>8</v>
      </c>
      <c r="L763" s="83" t="s">
        <v>101</v>
      </c>
      <c r="M763" s="83" t="s">
        <v>410</v>
      </c>
      <c r="N763" s="83" t="s">
        <v>102</v>
      </c>
      <c r="P763" s="83">
        <v>0</v>
      </c>
      <c r="U763" s="83">
        <v>4</v>
      </c>
      <c r="V763" s="83">
        <v>1</v>
      </c>
      <c r="W763" s="83" t="s">
        <v>103</v>
      </c>
      <c r="X763" s="83">
        <v>0</v>
      </c>
    </row>
    <row r="764" spans="1:25" x14ac:dyDescent="0.2">
      <c r="A764" s="83">
        <v>1</v>
      </c>
      <c r="B764" s="84">
        <v>5701603307911</v>
      </c>
      <c r="C764" s="83">
        <v>70</v>
      </c>
      <c r="D764" s="84">
        <v>1010287</v>
      </c>
      <c r="F764" s="83" t="s">
        <v>103</v>
      </c>
      <c r="G764" s="83">
        <v>0</v>
      </c>
      <c r="H764" s="83">
        <v>100</v>
      </c>
      <c r="K764" s="83">
        <v>4</v>
      </c>
      <c r="L764" s="83" t="s">
        <v>101</v>
      </c>
      <c r="M764" s="83" t="s">
        <v>410</v>
      </c>
      <c r="N764" s="83" t="s">
        <v>102</v>
      </c>
      <c r="P764" s="83">
        <v>0</v>
      </c>
      <c r="U764" s="83">
        <v>4</v>
      </c>
      <c r="V764" s="83">
        <v>1</v>
      </c>
      <c r="W764" s="83" t="s">
        <v>103</v>
      </c>
      <c r="X764" s="83">
        <v>0</v>
      </c>
    </row>
    <row r="765" spans="1:25" x14ac:dyDescent="0.2">
      <c r="A765" s="83">
        <v>1</v>
      </c>
      <c r="B765" s="84">
        <v>5701603307911</v>
      </c>
      <c r="C765" s="83">
        <v>80</v>
      </c>
      <c r="D765" s="85">
        <v>1020145</v>
      </c>
      <c r="F765" s="83" t="s">
        <v>103</v>
      </c>
      <c r="G765" s="83">
        <v>0</v>
      </c>
      <c r="H765" s="83">
        <v>100</v>
      </c>
      <c r="K765" s="83" t="s">
        <v>408</v>
      </c>
      <c r="L765" s="83" t="s">
        <v>101</v>
      </c>
      <c r="M765" s="83" t="s">
        <v>410</v>
      </c>
      <c r="N765" s="83" t="s">
        <v>102</v>
      </c>
      <c r="P765" s="83">
        <v>0</v>
      </c>
      <c r="U765" s="83">
        <v>4</v>
      </c>
      <c r="V765" s="83">
        <v>1</v>
      </c>
      <c r="W765" s="83" t="s">
        <v>103</v>
      </c>
      <c r="X765" s="83">
        <v>0</v>
      </c>
    </row>
    <row r="766" spans="1:25" x14ac:dyDescent="0.2">
      <c r="A766" s="83">
        <v>1</v>
      </c>
      <c r="B766" s="84">
        <v>5701603307911</v>
      </c>
      <c r="C766" s="83">
        <v>90</v>
      </c>
      <c r="D766" s="84">
        <v>777500911</v>
      </c>
      <c r="F766" s="83" t="s">
        <v>103</v>
      </c>
      <c r="G766" s="83">
        <v>0</v>
      </c>
      <c r="H766" s="83">
        <v>100</v>
      </c>
      <c r="K766" s="83">
        <v>1</v>
      </c>
      <c r="L766" s="83" t="s">
        <v>101</v>
      </c>
      <c r="M766" s="83" t="s">
        <v>410</v>
      </c>
      <c r="N766" s="83" t="s">
        <v>102</v>
      </c>
      <c r="P766" s="83">
        <v>0</v>
      </c>
      <c r="U766" s="83">
        <v>4</v>
      </c>
      <c r="V766" s="83">
        <v>1</v>
      </c>
      <c r="W766" s="83" t="s">
        <v>103</v>
      </c>
      <c r="X766" s="83">
        <v>0</v>
      </c>
    </row>
    <row r="767" spans="1:25" x14ac:dyDescent="0.2">
      <c r="A767" s="83">
        <v>1</v>
      </c>
      <c r="B767" s="84">
        <v>5701603308911</v>
      </c>
      <c r="C767" s="83">
        <v>10</v>
      </c>
      <c r="D767" s="84">
        <v>5980463308</v>
      </c>
      <c r="F767" s="83" t="s">
        <v>103</v>
      </c>
      <c r="G767" s="83">
        <v>0</v>
      </c>
      <c r="H767" s="83">
        <v>100</v>
      </c>
      <c r="K767" s="83">
        <v>1</v>
      </c>
      <c r="L767" s="83" t="s">
        <v>101</v>
      </c>
      <c r="M767" s="83" t="s">
        <v>410</v>
      </c>
      <c r="N767" s="83" t="s">
        <v>102</v>
      </c>
      <c r="P767" s="83">
        <v>0</v>
      </c>
      <c r="U767" s="83">
        <v>4</v>
      </c>
      <c r="V767" s="83">
        <v>1</v>
      </c>
      <c r="W767" s="83" t="s">
        <v>103</v>
      </c>
      <c r="X767" s="83">
        <v>0</v>
      </c>
      <c r="Y767" s="83" t="str">
        <f>LEFT(D767,6)</f>
        <v>598046</v>
      </c>
    </row>
    <row r="768" spans="1:25" x14ac:dyDescent="0.2">
      <c r="A768" s="83">
        <v>1</v>
      </c>
      <c r="B768" s="84">
        <v>5701603308911</v>
      </c>
      <c r="C768" s="83">
        <v>20</v>
      </c>
      <c r="D768" s="84">
        <v>5980543308</v>
      </c>
      <c r="F768" s="83" t="s">
        <v>103</v>
      </c>
      <c r="G768" s="83">
        <v>0</v>
      </c>
      <c r="H768" s="83">
        <v>100</v>
      </c>
      <c r="K768" s="83">
        <v>1</v>
      </c>
      <c r="L768" s="83" t="s">
        <v>101</v>
      </c>
      <c r="M768" s="83" t="s">
        <v>410</v>
      </c>
      <c r="N768" s="83" t="s">
        <v>102</v>
      </c>
      <c r="P768" s="83">
        <v>0</v>
      </c>
      <c r="U768" s="83">
        <v>4</v>
      </c>
      <c r="V768" s="83">
        <v>1</v>
      </c>
      <c r="W768" s="83" t="s">
        <v>103</v>
      </c>
      <c r="X768" s="83">
        <v>0</v>
      </c>
    </row>
    <row r="769" spans="1:25" x14ac:dyDescent="0.2">
      <c r="A769" s="83">
        <v>1</v>
      </c>
      <c r="B769" s="84">
        <v>5701603308911</v>
      </c>
      <c r="C769" s="83">
        <v>30</v>
      </c>
      <c r="D769" s="84">
        <v>5980623308</v>
      </c>
      <c r="F769" s="83" t="s">
        <v>103</v>
      </c>
      <c r="G769" s="83">
        <v>0</v>
      </c>
      <c r="H769" s="83">
        <v>100</v>
      </c>
      <c r="K769" s="83">
        <v>1</v>
      </c>
      <c r="L769" s="83" t="s">
        <v>101</v>
      </c>
      <c r="M769" s="83" t="s">
        <v>410</v>
      </c>
      <c r="N769" s="83" t="s">
        <v>102</v>
      </c>
      <c r="P769" s="83">
        <v>0</v>
      </c>
      <c r="U769" s="83">
        <v>4</v>
      </c>
      <c r="V769" s="83">
        <v>1</v>
      </c>
      <c r="W769" s="83" t="s">
        <v>103</v>
      </c>
      <c r="X769" s="83">
        <v>0</v>
      </c>
    </row>
    <row r="770" spans="1:25" x14ac:dyDescent="0.2">
      <c r="A770" s="83">
        <v>1</v>
      </c>
      <c r="B770" s="84">
        <v>5701603308911</v>
      </c>
      <c r="C770" s="83">
        <v>40</v>
      </c>
      <c r="D770" s="84">
        <v>5980823308</v>
      </c>
      <c r="F770" s="83" t="s">
        <v>103</v>
      </c>
      <c r="G770" s="83">
        <v>0</v>
      </c>
      <c r="H770" s="83">
        <v>100</v>
      </c>
      <c r="K770" s="83">
        <v>1</v>
      </c>
      <c r="L770" s="83" t="s">
        <v>101</v>
      </c>
      <c r="M770" s="83" t="s">
        <v>410</v>
      </c>
      <c r="N770" s="83" t="s">
        <v>102</v>
      </c>
      <c r="P770" s="83">
        <v>0</v>
      </c>
      <c r="U770" s="83">
        <v>4</v>
      </c>
      <c r="V770" s="83">
        <v>1</v>
      </c>
      <c r="W770" s="83" t="s">
        <v>103</v>
      </c>
      <c r="X770" s="83">
        <v>0</v>
      </c>
    </row>
    <row r="771" spans="1:25" x14ac:dyDescent="0.2">
      <c r="A771" s="83">
        <v>1</v>
      </c>
      <c r="B771" s="84">
        <v>5701603308911</v>
      </c>
      <c r="C771" s="83">
        <v>50</v>
      </c>
      <c r="D771" s="84">
        <v>5980933308</v>
      </c>
      <c r="F771" s="83" t="s">
        <v>103</v>
      </c>
      <c r="G771" s="83">
        <v>0</v>
      </c>
      <c r="H771" s="83">
        <v>100</v>
      </c>
      <c r="K771" s="83">
        <v>1</v>
      </c>
      <c r="L771" s="83" t="s">
        <v>101</v>
      </c>
      <c r="M771" s="83" t="s">
        <v>410</v>
      </c>
      <c r="N771" s="83" t="s">
        <v>102</v>
      </c>
      <c r="P771" s="83">
        <v>0</v>
      </c>
      <c r="U771" s="83">
        <v>4</v>
      </c>
      <c r="V771" s="83">
        <v>1</v>
      </c>
      <c r="W771" s="83" t="s">
        <v>103</v>
      </c>
      <c r="X771" s="83">
        <v>0</v>
      </c>
    </row>
    <row r="772" spans="1:25" x14ac:dyDescent="0.2">
      <c r="A772" s="83">
        <v>1</v>
      </c>
      <c r="B772" s="84">
        <v>5701603308911</v>
      </c>
      <c r="C772" s="83">
        <v>60</v>
      </c>
      <c r="D772" s="84">
        <v>1010286</v>
      </c>
      <c r="F772" s="83" t="s">
        <v>103</v>
      </c>
      <c r="G772" s="83">
        <v>0</v>
      </c>
      <c r="H772" s="83">
        <v>100</v>
      </c>
      <c r="K772" s="83">
        <v>8</v>
      </c>
      <c r="L772" s="83" t="s">
        <v>101</v>
      </c>
      <c r="M772" s="83" t="s">
        <v>410</v>
      </c>
      <c r="N772" s="83" t="s">
        <v>102</v>
      </c>
      <c r="P772" s="83">
        <v>0</v>
      </c>
      <c r="U772" s="83">
        <v>4</v>
      </c>
      <c r="V772" s="83">
        <v>1</v>
      </c>
      <c r="W772" s="83" t="s">
        <v>103</v>
      </c>
      <c r="X772" s="83">
        <v>0</v>
      </c>
    </row>
    <row r="773" spans="1:25" x14ac:dyDescent="0.2">
      <c r="A773" s="83">
        <v>1</v>
      </c>
      <c r="B773" s="84">
        <v>5701603308911</v>
      </c>
      <c r="C773" s="83">
        <v>70</v>
      </c>
      <c r="D773" s="84">
        <v>1010288</v>
      </c>
      <c r="F773" s="83" t="s">
        <v>103</v>
      </c>
      <c r="G773" s="83">
        <v>0</v>
      </c>
      <c r="H773" s="83">
        <v>100</v>
      </c>
      <c r="K773" s="83">
        <v>4</v>
      </c>
      <c r="L773" s="83" t="s">
        <v>101</v>
      </c>
      <c r="M773" s="83" t="s">
        <v>410</v>
      </c>
      <c r="N773" s="83" t="s">
        <v>102</v>
      </c>
      <c r="P773" s="83">
        <v>0</v>
      </c>
      <c r="U773" s="83">
        <v>4</v>
      </c>
      <c r="V773" s="83">
        <v>1</v>
      </c>
      <c r="W773" s="83" t="s">
        <v>103</v>
      </c>
      <c r="X773" s="83">
        <v>0</v>
      </c>
    </row>
    <row r="774" spans="1:25" x14ac:dyDescent="0.2">
      <c r="A774" s="83">
        <v>1</v>
      </c>
      <c r="B774" s="84">
        <v>5701603308911</v>
      </c>
      <c r="C774" s="83">
        <v>80</v>
      </c>
      <c r="D774" s="84">
        <v>1020145</v>
      </c>
      <c r="F774" s="83" t="s">
        <v>103</v>
      </c>
      <c r="G774" s="83">
        <v>0</v>
      </c>
      <c r="H774" s="83">
        <v>100</v>
      </c>
      <c r="K774" s="83" t="s">
        <v>408</v>
      </c>
      <c r="L774" s="83" t="s">
        <v>101</v>
      </c>
      <c r="M774" s="83" t="s">
        <v>410</v>
      </c>
      <c r="N774" s="83" t="s">
        <v>102</v>
      </c>
      <c r="P774" s="83">
        <v>0</v>
      </c>
      <c r="U774" s="83">
        <v>4</v>
      </c>
      <c r="V774" s="83">
        <v>1</v>
      </c>
      <c r="W774" s="83" t="s">
        <v>103</v>
      </c>
      <c r="X774" s="83">
        <v>0</v>
      </c>
    </row>
    <row r="775" spans="1:25" x14ac:dyDescent="0.2">
      <c r="A775" s="83">
        <v>1</v>
      </c>
      <c r="B775" s="84">
        <v>5701603308911</v>
      </c>
      <c r="C775" s="83">
        <v>90</v>
      </c>
      <c r="D775" s="84">
        <v>777500911</v>
      </c>
      <c r="F775" s="83" t="s">
        <v>103</v>
      </c>
      <c r="G775" s="83">
        <v>0</v>
      </c>
      <c r="H775" s="83">
        <v>100</v>
      </c>
      <c r="K775" s="83">
        <v>1</v>
      </c>
      <c r="L775" s="83" t="s">
        <v>101</v>
      </c>
      <c r="M775" s="83" t="s">
        <v>410</v>
      </c>
      <c r="N775" s="83" t="s">
        <v>102</v>
      </c>
      <c r="P775" s="83">
        <v>0</v>
      </c>
      <c r="U775" s="83">
        <v>4</v>
      </c>
      <c r="V775" s="83">
        <v>1</v>
      </c>
      <c r="W775" s="83" t="s">
        <v>103</v>
      </c>
      <c r="X775" s="83">
        <v>0</v>
      </c>
    </row>
    <row r="776" spans="1:25" x14ac:dyDescent="0.2">
      <c r="A776" s="83">
        <v>1</v>
      </c>
      <c r="B776" s="84">
        <v>5701603309911</v>
      </c>
      <c r="C776" s="83">
        <v>10</v>
      </c>
      <c r="D776" s="84">
        <v>5980463309</v>
      </c>
      <c r="F776" s="83" t="s">
        <v>103</v>
      </c>
      <c r="G776" s="83">
        <v>0</v>
      </c>
      <c r="H776" s="83">
        <v>100</v>
      </c>
      <c r="K776" s="83">
        <v>1</v>
      </c>
      <c r="L776" s="83" t="s">
        <v>101</v>
      </c>
      <c r="M776" s="83" t="s">
        <v>410</v>
      </c>
      <c r="N776" s="83" t="s">
        <v>102</v>
      </c>
      <c r="P776" s="83">
        <v>0</v>
      </c>
      <c r="U776" s="83">
        <v>4</v>
      </c>
      <c r="V776" s="83">
        <v>1</v>
      </c>
      <c r="W776" s="83" t="s">
        <v>103</v>
      </c>
      <c r="X776" s="83">
        <v>0</v>
      </c>
      <c r="Y776" s="83" t="str">
        <f>LEFT(D776,6)</f>
        <v>598046</v>
      </c>
    </row>
    <row r="777" spans="1:25" x14ac:dyDescent="0.2">
      <c r="A777" s="83">
        <v>1</v>
      </c>
      <c r="B777" s="84">
        <v>5701603309911</v>
      </c>
      <c r="C777" s="83">
        <v>20</v>
      </c>
      <c r="D777" s="84">
        <v>5980543309</v>
      </c>
      <c r="F777" s="83" t="s">
        <v>103</v>
      </c>
      <c r="G777" s="83">
        <v>0</v>
      </c>
      <c r="H777" s="83">
        <v>100</v>
      </c>
      <c r="K777" s="83">
        <v>1</v>
      </c>
      <c r="L777" s="83" t="s">
        <v>101</v>
      </c>
      <c r="M777" s="83" t="s">
        <v>410</v>
      </c>
      <c r="N777" s="83" t="s">
        <v>102</v>
      </c>
      <c r="P777" s="83">
        <v>0</v>
      </c>
      <c r="U777" s="83">
        <v>4</v>
      </c>
      <c r="V777" s="83">
        <v>1</v>
      </c>
      <c r="W777" s="83" t="s">
        <v>103</v>
      </c>
      <c r="X777" s="83">
        <v>0</v>
      </c>
    </row>
    <row r="778" spans="1:25" x14ac:dyDescent="0.2">
      <c r="A778" s="83">
        <v>1</v>
      </c>
      <c r="B778" s="84">
        <v>5701603309911</v>
      </c>
      <c r="C778" s="83">
        <v>30</v>
      </c>
      <c r="D778" s="84">
        <v>5980623309</v>
      </c>
      <c r="F778" s="83" t="s">
        <v>103</v>
      </c>
      <c r="G778" s="83">
        <v>0</v>
      </c>
      <c r="H778" s="83">
        <v>100</v>
      </c>
      <c r="K778" s="83">
        <v>1</v>
      </c>
      <c r="L778" s="83" t="s">
        <v>101</v>
      </c>
      <c r="M778" s="83" t="s">
        <v>410</v>
      </c>
      <c r="N778" s="83" t="s">
        <v>102</v>
      </c>
      <c r="P778" s="83">
        <v>0</v>
      </c>
      <c r="U778" s="83">
        <v>4</v>
      </c>
      <c r="V778" s="83">
        <v>1</v>
      </c>
      <c r="W778" s="83" t="s">
        <v>103</v>
      </c>
      <c r="X778" s="83">
        <v>0</v>
      </c>
    </row>
    <row r="779" spans="1:25" x14ac:dyDescent="0.2">
      <c r="A779" s="83">
        <v>1</v>
      </c>
      <c r="B779" s="84">
        <v>5701603309911</v>
      </c>
      <c r="C779" s="83">
        <v>40</v>
      </c>
      <c r="D779" s="84">
        <v>5980823309</v>
      </c>
      <c r="F779" s="83" t="s">
        <v>103</v>
      </c>
      <c r="G779" s="83">
        <v>0</v>
      </c>
      <c r="H779" s="83">
        <v>100</v>
      </c>
      <c r="K779" s="83">
        <v>1</v>
      </c>
      <c r="L779" s="83" t="s">
        <v>101</v>
      </c>
      <c r="M779" s="83" t="s">
        <v>410</v>
      </c>
      <c r="N779" s="83" t="s">
        <v>102</v>
      </c>
      <c r="P779" s="83">
        <v>0</v>
      </c>
      <c r="U779" s="83">
        <v>4</v>
      </c>
      <c r="V779" s="83">
        <v>1</v>
      </c>
      <c r="W779" s="83" t="s">
        <v>103</v>
      </c>
      <c r="X779" s="83">
        <v>0</v>
      </c>
    </row>
    <row r="780" spans="1:25" x14ac:dyDescent="0.2">
      <c r="A780" s="83">
        <v>1</v>
      </c>
      <c r="B780" s="84">
        <v>5701603309911</v>
      </c>
      <c r="C780" s="83">
        <v>50</v>
      </c>
      <c r="D780" s="84">
        <v>5980933309</v>
      </c>
      <c r="F780" s="83" t="s">
        <v>103</v>
      </c>
      <c r="G780" s="83">
        <v>0</v>
      </c>
      <c r="H780" s="83">
        <v>100</v>
      </c>
      <c r="K780" s="83">
        <v>1</v>
      </c>
      <c r="L780" s="83" t="s">
        <v>101</v>
      </c>
      <c r="M780" s="83" t="s">
        <v>410</v>
      </c>
      <c r="N780" s="83" t="s">
        <v>102</v>
      </c>
      <c r="P780" s="83">
        <v>0</v>
      </c>
      <c r="U780" s="83">
        <v>4</v>
      </c>
      <c r="V780" s="83">
        <v>1</v>
      </c>
      <c r="W780" s="83" t="s">
        <v>103</v>
      </c>
      <c r="X780" s="83">
        <v>0</v>
      </c>
    </row>
    <row r="781" spans="1:25" x14ac:dyDescent="0.2">
      <c r="A781" s="83">
        <v>1</v>
      </c>
      <c r="B781" s="84">
        <v>5701603309911</v>
      </c>
      <c r="C781" s="83">
        <v>60</v>
      </c>
      <c r="D781" s="84">
        <v>1010286</v>
      </c>
      <c r="F781" s="83" t="s">
        <v>103</v>
      </c>
      <c r="G781" s="83">
        <v>0</v>
      </c>
      <c r="H781" s="83">
        <v>100</v>
      </c>
      <c r="K781" s="83">
        <v>8</v>
      </c>
      <c r="L781" s="83" t="s">
        <v>101</v>
      </c>
      <c r="M781" s="83" t="s">
        <v>410</v>
      </c>
      <c r="N781" s="83" t="s">
        <v>102</v>
      </c>
      <c r="P781" s="83">
        <v>0</v>
      </c>
      <c r="U781" s="83">
        <v>4</v>
      </c>
      <c r="V781" s="83">
        <v>1</v>
      </c>
      <c r="W781" s="83" t="s">
        <v>103</v>
      </c>
      <c r="X781" s="83">
        <v>0</v>
      </c>
    </row>
    <row r="782" spans="1:25" x14ac:dyDescent="0.2">
      <c r="A782" s="83">
        <v>1</v>
      </c>
      <c r="B782" s="84">
        <v>5701603309911</v>
      </c>
      <c r="C782" s="83">
        <v>70</v>
      </c>
      <c r="D782" s="84">
        <v>1010287</v>
      </c>
      <c r="F782" s="83" t="s">
        <v>103</v>
      </c>
      <c r="G782" s="83">
        <v>0</v>
      </c>
      <c r="H782" s="83">
        <v>100</v>
      </c>
      <c r="K782" s="83">
        <v>4</v>
      </c>
      <c r="L782" s="83" t="s">
        <v>101</v>
      </c>
      <c r="M782" s="83" t="s">
        <v>410</v>
      </c>
      <c r="N782" s="83" t="s">
        <v>102</v>
      </c>
      <c r="P782" s="83">
        <v>0</v>
      </c>
      <c r="U782" s="83">
        <v>4</v>
      </c>
      <c r="V782" s="83">
        <v>1</v>
      </c>
      <c r="W782" s="83" t="s">
        <v>103</v>
      </c>
      <c r="X782" s="83">
        <v>0</v>
      </c>
    </row>
    <row r="783" spans="1:25" x14ac:dyDescent="0.2">
      <c r="A783" s="83">
        <v>1</v>
      </c>
      <c r="B783" s="84">
        <v>5701603309911</v>
      </c>
      <c r="C783" s="83">
        <v>80</v>
      </c>
      <c r="D783" s="84">
        <v>1020145</v>
      </c>
      <c r="F783" s="83" t="s">
        <v>103</v>
      </c>
      <c r="G783" s="83">
        <v>0</v>
      </c>
      <c r="H783" s="83">
        <v>100</v>
      </c>
      <c r="K783" s="83" t="s">
        <v>408</v>
      </c>
      <c r="L783" s="83" t="s">
        <v>101</v>
      </c>
      <c r="M783" s="83" t="s">
        <v>410</v>
      </c>
      <c r="N783" s="83" t="s">
        <v>102</v>
      </c>
      <c r="P783" s="83">
        <v>0</v>
      </c>
      <c r="U783" s="83">
        <v>4</v>
      </c>
      <c r="V783" s="83">
        <v>1</v>
      </c>
      <c r="W783" s="83" t="s">
        <v>103</v>
      </c>
      <c r="X783" s="83">
        <v>0</v>
      </c>
    </row>
    <row r="784" spans="1:25" x14ac:dyDescent="0.2">
      <c r="A784" s="83">
        <v>1</v>
      </c>
      <c r="B784" s="84">
        <v>5701603309911</v>
      </c>
      <c r="C784" s="83">
        <v>90</v>
      </c>
      <c r="D784" s="84">
        <v>777500911</v>
      </c>
      <c r="F784" s="83" t="s">
        <v>103</v>
      </c>
      <c r="G784" s="83">
        <v>0</v>
      </c>
      <c r="H784" s="83">
        <v>100</v>
      </c>
      <c r="K784" s="83">
        <v>1</v>
      </c>
      <c r="L784" s="83" t="s">
        <v>101</v>
      </c>
      <c r="M784" s="83" t="s">
        <v>410</v>
      </c>
      <c r="N784" s="83" t="s">
        <v>102</v>
      </c>
      <c r="P784" s="83">
        <v>0</v>
      </c>
      <c r="U784" s="83">
        <v>4</v>
      </c>
      <c r="V784" s="83">
        <v>1</v>
      </c>
      <c r="W784" s="83" t="s">
        <v>103</v>
      </c>
      <c r="X784" s="83">
        <v>0</v>
      </c>
    </row>
    <row r="785" spans="1:25" x14ac:dyDescent="0.2">
      <c r="A785" s="83">
        <v>1</v>
      </c>
      <c r="B785" s="84">
        <v>5701603310911</v>
      </c>
      <c r="C785" s="83">
        <v>10</v>
      </c>
      <c r="D785" s="84">
        <v>5980463310</v>
      </c>
      <c r="F785" s="83" t="s">
        <v>103</v>
      </c>
      <c r="G785" s="83">
        <v>0</v>
      </c>
      <c r="H785" s="83">
        <v>100</v>
      </c>
      <c r="K785" s="83">
        <v>1</v>
      </c>
      <c r="L785" s="83" t="s">
        <v>101</v>
      </c>
      <c r="M785" s="83" t="s">
        <v>410</v>
      </c>
      <c r="N785" s="83" t="s">
        <v>102</v>
      </c>
      <c r="P785" s="83">
        <v>0</v>
      </c>
      <c r="U785" s="83">
        <v>4</v>
      </c>
      <c r="V785" s="83">
        <v>1</v>
      </c>
      <c r="W785" s="83" t="s">
        <v>103</v>
      </c>
      <c r="X785" s="83">
        <v>0</v>
      </c>
      <c r="Y785" s="83" t="str">
        <f>LEFT(D785,6)</f>
        <v>598046</v>
      </c>
    </row>
    <row r="786" spans="1:25" x14ac:dyDescent="0.2">
      <c r="A786" s="83">
        <v>1</v>
      </c>
      <c r="B786" s="84">
        <v>5701603310911</v>
      </c>
      <c r="C786" s="83">
        <v>20</v>
      </c>
      <c r="D786" s="84">
        <v>5980543310</v>
      </c>
      <c r="F786" s="83" t="s">
        <v>103</v>
      </c>
      <c r="G786" s="83">
        <v>0</v>
      </c>
      <c r="H786" s="83">
        <v>100</v>
      </c>
      <c r="K786" s="83">
        <v>1</v>
      </c>
      <c r="L786" s="83" t="s">
        <v>101</v>
      </c>
      <c r="M786" s="83" t="s">
        <v>410</v>
      </c>
      <c r="N786" s="83" t="s">
        <v>102</v>
      </c>
      <c r="P786" s="83">
        <v>0</v>
      </c>
      <c r="U786" s="83">
        <v>4</v>
      </c>
      <c r="V786" s="83">
        <v>1</v>
      </c>
      <c r="W786" s="83" t="s">
        <v>103</v>
      </c>
      <c r="X786" s="83">
        <v>0</v>
      </c>
    </row>
    <row r="787" spans="1:25" x14ac:dyDescent="0.2">
      <c r="A787" s="83">
        <v>1</v>
      </c>
      <c r="B787" s="84">
        <v>5701603310911</v>
      </c>
      <c r="C787" s="83">
        <v>30</v>
      </c>
      <c r="D787" s="84">
        <v>5980623310</v>
      </c>
      <c r="F787" s="83" t="s">
        <v>103</v>
      </c>
      <c r="G787" s="83">
        <v>0</v>
      </c>
      <c r="H787" s="83">
        <v>100</v>
      </c>
      <c r="K787" s="83">
        <v>1</v>
      </c>
      <c r="L787" s="83" t="s">
        <v>101</v>
      </c>
      <c r="M787" s="83" t="s">
        <v>410</v>
      </c>
      <c r="N787" s="83" t="s">
        <v>102</v>
      </c>
      <c r="P787" s="83">
        <v>0</v>
      </c>
      <c r="U787" s="83">
        <v>4</v>
      </c>
      <c r="V787" s="83">
        <v>1</v>
      </c>
      <c r="W787" s="83" t="s">
        <v>103</v>
      </c>
      <c r="X787" s="83">
        <v>0</v>
      </c>
    </row>
    <row r="788" spans="1:25" x14ac:dyDescent="0.2">
      <c r="A788" s="83">
        <v>1</v>
      </c>
      <c r="B788" s="84">
        <v>5701603310911</v>
      </c>
      <c r="C788" s="83">
        <v>40</v>
      </c>
      <c r="D788" s="84">
        <v>5980823310</v>
      </c>
      <c r="F788" s="83" t="s">
        <v>103</v>
      </c>
      <c r="G788" s="83">
        <v>0</v>
      </c>
      <c r="H788" s="83">
        <v>100</v>
      </c>
      <c r="K788" s="83">
        <v>1</v>
      </c>
      <c r="L788" s="83" t="s">
        <v>101</v>
      </c>
      <c r="M788" s="83" t="s">
        <v>410</v>
      </c>
      <c r="N788" s="83" t="s">
        <v>102</v>
      </c>
      <c r="P788" s="83">
        <v>0</v>
      </c>
      <c r="U788" s="83">
        <v>4</v>
      </c>
      <c r="V788" s="83">
        <v>1</v>
      </c>
      <c r="W788" s="83" t="s">
        <v>103</v>
      </c>
      <c r="X788" s="83">
        <v>0</v>
      </c>
    </row>
    <row r="789" spans="1:25" x14ac:dyDescent="0.2">
      <c r="A789" s="83">
        <v>1</v>
      </c>
      <c r="B789" s="84">
        <v>5701603310911</v>
      </c>
      <c r="C789" s="83">
        <v>50</v>
      </c>
      <c r="D789" s="84">
        <v>5980933310</v>
      </c>
      <c r="F789" s="83" t="s">
        <v>103</v>
      </c>
      <c r="G789" s="83">
        <v>0</v>
      </c>
      <c r="H789" s="83">
        <v>100</v>
      </c>
      <c r="K789" s="83">
        <v>1</v>
      </c>
      <c r="L789" s="83" t="s">
        <v>101</v>
      </c>
      <c r="M789" s="83" t="s">
        <v>410</v>
      </c>
      <c r="N789" s="83" t="s">
        <v>102</v>
      </c>
      <c r="P789" s="83">
        <v>0</v>
      </c>
      <c r="U789" s="83">
        <v>4</v>
      </c>
      <c r="V789" s="83">
        <v>1</v>
      </c>
      <c r="W789" s="83" t="s">
        <v>103</v>
      </c>
      <c r="X789" s="83">
        <v>0</v>
      </c>
    </row>
    <row r="790" spans="1:25" x14ac:dyDescent="0.2">
      <c r="A790" s="83">
        <v>1</v>
      </c>
      <c r="B790" s="84">
        <v>5701603310911</v>
      </c>
      <c r="C790" s="83">
        <v>60</v>
      </c>
      <c r="D790" s="84">
        <v>1010286</v>
      </c>
      <c r="F790" s="83" t="s">
        <v>103</v>
      </c>
      <c r="G790" s="83">
        <v>0</v>
      </c>
      <c r="H790" s="83">
        <v>100</v>
      </c>
      <c r="K790" s="83">
        <v>8</v>
      </c>
      <c r="L790" s="83" t="s">
        <v>101</v>
      </c>
      <c r="M790" s="83" t="s">
        <v>410</v>
      </c>
      <c r="N790" s="83" t="s">
        <v>102</v>
      </c>
      <c r="P790" s="83">
        <v>0</v>
      </c>
      <c r="U790" s="83">
        <v>4</v>
      </c>
      <c r="V790" s="83">
        <v>1</v>
      </c>
      <c r="W790" s="83" t="s">
        <v>103</v>
      </c>
      <c r="X790" s="83">
        <v>0</v>
      </c>
    </row>
    <row r="791" spans="1:25" x14ac:dyDescent="0.2">
      <c r="A791" s="83">
        <v>1</v>
      </c>
      <c r="B791" s="84">
        <v>5701603310911</v>
      </c>
      <c r="C791" s="83">
        <v>70</v>
      </c>
      <c r="D791" s="84">
        <v>1010287</v>
      </c>
      <c r="F791" s="83" t="s">
        <v>103</v>
      </c>
      <c r="G791" s="83">
        <v>0</v>
      </c>
      <c r="H791" s="83">
        <v>100</v>
      </c>
      <c r="K791" s="83">
        <v>4</v>
      </c>
      <c r="L791" s="83" t="s">
        <v>101</v>
      </c>
      <c r="M791" s="83" t="s">
        <v>410</v>
      </c>
      <c r="N791" s="83" t="s">
        <v>102</v>
      </c>
      <c r="P791" s="83">
        <v>0</v>
      </c>
      <c r="U791" s="83">
        <v>4</v>
      </c>
      <c r="V791" s="83">
        <v>1</v>
      </c>
      <c r="W791" s="83" t="s">
        <v>103</v>
      </c>
      <c r="X791" s="83">
        <v>0</v>
      </c>
    </row>
    <row r="792" spans="1:25" x14ac:dyDescent="0.2">
      <c r="A792" s="83">
        <v>1</v>
      </c>
      <c r="B792" s="84">
        <v>5701603310911</v>
      </c>
      <c r="C792" s="83">
        <v>80</v>
      </c>
      <c r="D792" s="84">
        <v>1020145</v>
      </c>
      <c r="F792" s="83" t="s">
        <v>103</v>
      </c>
      <c r="G792" s="83">
        <v>0</v>
      </c>
      <c r="H792" s="83">
        <v>100</v>
      </c>
      <c r="K792" s="83" t="s">
        <v>408</v>
      </c>
      <c r="L792" s="83" t="s">
        <v>101</v>
      </c>
      <c r="M792" s="83" t="s">
        <v>410</v>
      </c>
      <c r="N792" s="83" t="s">
        <v>102</v>
      </c>
      <c r="P792" s="83">
        <v>0</v>
      </c>
      <c r="U792" s="83">
        <v>4</v>
      </c>
      <c r="V792" s="83">
        <v>1</v>
      </c>
      <c r="W792" s="83" t="s">
        <v>103</v>
      </c>
      <c r="X792" s="83">
        <v>0</v>
      </c>
    </row>
    <row r="793" spans="1:25" x14ac:dyDescent="0.2">
      <c r="A793" s="83">
        <v>1</v>
      </c>
      <c r="B793" s="84">
        <v>5701603310911</v>
      </c>
      <c r="C793" s="83">
        <v>90</v>
      </c>
      <c r="D793" s="84">
        <v>777500911</v>
      </c>
      <c r="F793" s="83" t="s">
        <v>103</v>
      </c>
      <c r="G793" s="83">
        <v>0</v>
      </c>
      <c r="H793" s="83">
        <v>100</v>
      </c>
      <c r="K793" s="83">
        <v>1</v>
      </c>
      <c r="L793" s="83" t="s">
        <v>101</v>
      </c>
      <c r="M793" s="83" t="s">
        <v>410</v>
      </c>
      <c r="N793" s="83" t="s">
        <v>102</v>
      </c>
      <c r="P793" s="83">
        <v>0</v>
      </c>
      <c r="U793" s="83">
        <v>4</v>
      </c>
      <c r="V793" s="83">
        <v>1</v>
      </c>
      <c r="W793" s="83" t="s">
        <v>103</v>
      </c>
      <c r="X793" s="83">
        <v>0</v>
      </c>
    </row>
    <row r="794" spans="1:25" x14ac:dyDescent="0.2">
      <c r="A794" s="83">
        <v>1</v>
      </c>
      <c r="B794" s="84">
        <v>5701603300480</v>
      </c>
      <c r="C794" s="83">
        <v>10</v>
      </c>
      <c r="D794" s="84">
        <v>5980463399</v>
      </c>
      <c r="F794" s="83" t="s">
        <v>103</v>
      </c>
      <c r="G794" s="83">
        <v>0</v>
      </c>
      <c r="H794" s="83">
        <v>100</v>
      </c>
      <c r="K794" s="83">
        <v>1</v>
      </c>
      <c r="L794" s="83" t="s">
        <v>101</v>
      </c>
      <c r="M794" s="83" t="s">
        <v>410</v>
      </c>
      <c r="N794" s="83" t="s">
        <v>102</v>
      </c>
      <c r="P794" s="83">
        <v>0</v>
      </c>
      <c r="U794" s="83">
        <v>4</v>
      </c>
      <c r="V794" s="83">
        <v>1</v>
      </c>
      <c r="W794" s="83" t="s">
        <v>103</v>
      </c>
      <c r="X794" s="83">
        <v>0</v>
      </c>
      <c r="Y794" s="83" t="str">
        <f>LEFT(D794,6)</f>
        <v>598046</v>
      </c>
    </row>
    <row r="795" spans="1:25" x14ac:dyDescent="0.2">
      <c r="A795" s="83">
        <v>1</v>
      </c>
      <c r="B795" s="84">
        <v>5701603300480</v>
      </c>
      <c r="C795" s="83">
        <v>20</v>
      </c>
      <c r="D795" s="84">
        <v>5980543399</v>
      </c>
      <c r="F795" s="83" t="s">
        <v>103</v>
      </c>
      <c r="G795" s="83">
        <v>0</v>
      </c>
      <c r="H795" s="83">
        <v>100</v>
      </c>
      <c r="K795" s="83">
        <v>1</v>
      </c>
      <c r="L795" s="83" t="s">
        <v>101</v>
      </c>
      <c r="M795" s="83" t="s">
        <v>410</v>
      </c>
      <c r="N795" s="83" t="s">
        <v>102</v>
      </c>
      <c r="P795" s="83">
        <v>0</v>
      </c>
      <c r="U795" s="83">
        <v>4</v>
      </c>
      <c r="V795" s="83">
        <v>1</v>
      </c>
      <c r="W795" s="83" t="s">
        <v>103</v>
      </c>
      <c r="X795" s="83">
        <v>0</v>
      </c>
    </row>
    <row r="796" spans="1:25" x14ac:dyDescent="0.2">
      <c r="A796" s="83">
        <v>1</v>
      </c>
      <c r="B796" s="84">
        <v>5701603300480</v>
      </c>
      <c r="C796" s="83">
        <v>30</v>
      </c>
      <c r="D796" s="84">
        <v>5980623399</v>
      </c>
      <c r="F796" s="83" t="s">
        <v>103</v>
      </c>
      <c r="G796" s="83">
        <v>0</v>
      </c>
      <c r="H796" s="83">
        <v>100</v>
      </c>
      <c r="K796" s="83">
        <v>1</v>
      </c>
      <c r="L796" s="83" t="s">
        <v>101</v>
      </c>
      <c r="M796" s="83" t="s">
        <v>410</v>
      </c>
      <c r="N796" s="83" t="s">
        <v>102</v>
      </c>
      <c r="P796" s="83">
        <v>0</v>
      </c>
      <c r="U796" s="83">
        <v>4</v>
      </c>
      <c r="V796" s="83">
        <v>1</v>
      </c>
      <c r="W796" s="83" t="s">
        <v>103</v>
      </c>
      <c r="X796" s="83">
        <v>0</v>
      </c>
    </row>
    <row r="797" spans="1:25" x14ac:dyDescent="0.2">
      <c r="A797" s="83">
        <v>1</v>
      </c>
      <c r="B797" s="84">
        <v>5701603300480</v>
      </c>
      <c r="C797" s="83">
        <v>40</v>
      </c>
      <c r="D797" s="84">
        <v>5980823399</v>
      </c>
      <c r="F797" s="83" t="s">
        <v>103</v>
      </c>
      <c r="G797" s="83">
        <v>0</v>
      </c>
      <c r="H797" s="83">
        <v>100</v>
      </c>
      <c r="K797" s="83">
        <v>1</v>
      </c>
      <c r="L797" s="83" t="s">
        <v>101</v>
      </c>
      <c r="M797" s="83" t="s">
        <v>410</v>
      </c>
      <c r="N797" s="83" t="s">
        <v>102</v>
      </c>
      <c r="P797" s="83">
        <v>0</v>
      </c>
      <c r="U797" s="83">
        <v>4</v>
      </c>
      <c r="V797" s="83">
        <v>1</v>
      </c>
      <c r="W797" s="83" t="s">
        <v>103</v>
      </c>
      <c r="X797" s="83">
        <v>0</v>
      </c>
    </row>
    <row r="798" spans="1:25" x14ac:dyDescent="0.2">
      <c r="A798" s="83">
        <v>1</v>
      </c>
      <c r="B798" s="84">
        <v>5701603300480</v>
      </c>
      <c r="C798" s="83">
        <v>50</v>
      </c>
      <c r="D798" s="85">
        <v>1010277</v>
      </c>
      <c r="F798" s="83" t="s">
        <v>103</v>
      </c>
      <c r="G798" s="83">
        <v>0</v>
      </c>
      <c r="H798" s="83">
        <v>100</v>
      </c>
      <c r="K798" s="83">
        <v>1</v>
      </c>
      <c r="L798" s="83" t="s">
        <v>101</v>
      </c>
      <c r="M798" s="83" t="s">
        <v>410</v>
      </c>
      <c r="N798" s="83" t="s">
        <v>102</v>
      </c>
      <c r="P798" s="83">
        <v>0</v>
      </c>
      <c r="U798" s="83">
        <v>4</v>
      </c>
      <c r="V798" s="83">
        <v>1</v>
      </c>
      <c r="W798" s="83" t="s">
        <v>103</v>
      </c>
      <c r="X798" s="83">
        <v>0</v>
      </c>
    </row>
    <row r="799" spans="1:25" x14ac:dyDescent="0.2">
      <c r="A799" s="83">
        <v>1</v>
      </c>
      <c r="B799" s="84">
        <v>5701603300480</v>
      </c>
      <c r="C799" s="83">
        <v>60</v>
      </c>
      <c r="D799" s="84">
        <v>1010286</v>
      </c>
      <c r="F799" s="83" t="s">
        <v>103</v>
      </c>
      <c r="G799" s="83">
        <v>0</v>
      </c>
      <c r="H799" s="83">
        <v>100</v>
      </c>
      <c r="K799" s="83">
        <v>8</v>
      </c>
      <c r="L799" s="83" t="s">
        <v>101</v>
      </c>
      <c r="M799" s="83" t="s">
        <v>410</v>
      </c>
      <c r="N799" s="83" t="s">
        <v>102</v>
      </c>
      <c r="P799" s="83">
        <v>0</v>
      </c>
      <c r="U799" s="83">
        <v>4</v>
      </c>
      <c r="V799" s="83">
        <v>1</v>
      </c>
      <c r="W799" s="83" t="s">
        <v>103</v>
      </c>
      <c r="X799" s="83">
        <v>0</v>
      </c>
    </row>
    <row r="800" spans="1:25" x14ac:dyDescent="0.2">
      <c r="A800" s="83">
        <v>1</v>
      </c>
      <c r="B800" s="84">
        <v>5701603300480</v>
      </c>
      <c r="C800" s="83">
        <v>70</v>
      </c>
      <c r="D800" s="84">
        <v>1010287</v>
      </c>
      <c r="F800" s="83" t="s">
        <v>103</v>
      </c>
      <c r="G800" s="83">
        <v>0</v>
      </c>
      <c r="H800" s="83">
        <v>100</v>
      </c>
      <c r="K800" s="83">
        <v>4</v>
      </c>
      <c r="L800" s="83" t="s">
        <v>101</v>
      </c>
      <c r="M800" s="83" t="s">
        <v>410</v>
      </c>
      <c r="N800" s="83" t="s">
        <v>102</v>
      </c>
      <c r="P800" s="83">
        <v>0</v>
      </c>
      <c r="U800" s="83">
        <v>4</v>
      </c>
      <c r="V800" s="83">
        <v>1</v>
      </c>
      <c r="W800" s="83" t="s">
        <v>103</v>
      </c>
      <c r="X800" s="83">
        <v>0</v>
      </c>
    </row>
    <row r="801" spans="1:25" x14ac:dyDescent="0.2">
      <c r="A801" s="83">
        <v>1</v>
      </c>
      <c r="B801" s="84">
        <v>5701603300480</v>
      </c>
      <c r="C801" s="83">
        <v>80</v>
      </c>
      <c r="D801" s="84">
        <v>1020145</v>
      </c>
      <c r="F801" s="83" t="s">
        <v>103</v>
      </c>
      <c r="G801" s="83">
        <v>0</v>
      </c>
      <c r="H801" s="83">
        <v>100</v>
      </c>
      <c r="K801" s="83" t="s">
        <v>408</v>
      </c>
      <c r="L801" s="83" t="s">
        <v>101</v>
      </c>
      <c r="M801" s="83" t="s">
        <v>410</v>
      </c>
      <c r="N801" s="83" t="s">
        <v>102</v>
      </c>
      <c r="P801" s="83">
        <v>0</v>
      </c>
      <c r="U801" s="83">
        <v>4</v>
      </c>
      <c r="V801" s="83">
        <v>1</v>
      </c>
      <c r="W801" s="83" t="s">
        <v>103</v>
      </c>
      <c r="X801" s="83">
        <v>0</v>
      </c>
    </row>
    <row r="802" spans="1:25" x14ac:dyDescent="0.2">
      <c r="A802" s="83">
        <v>1</v>
      </c>
      <c r="B802" s="84">
        <v>5701603300480</v>
      </c>
      <c r="C802" s="83">
        <v>90</v>
      </c>
      <c r="D802" s="84">
        <v>777500480</v>
      </c>
      <c r="F802" s="83" t="s">
        <v>103</v>
      </c>
      <c r="G802" s="83">
        <v>0</v>
      </c>
      <c r="H802" s="83">
        <v>100</v>
      </c>
      <c r="K802" s="83">
        <v>1</v>
      </c>
      <c r="L802" s="83" t="s">
        <v>101</v>
      </c>
      <c r="M802" s="83" t="s">
        <v>410</v>
      </c>
      <c r="N802" s="83" t="s">
        <v>102</v>
      </c>
      <c r="P802" s="83">
        <v>0</v>
      </c>
      <c r="U802" s="83">
        <v>4</v>
      </c>
      <c r="V802" s="83">
        <v>1</v>
      </c>
      <c r="W802" s="83" t="s">
        <v>103</v>
      </c>
      <c r="X802" s="83">
        <v>0</v>
      </c>
    </row>
    <row r="803" spans="1:25" x14ac:dyDescent="0.2">
      <c r="A803" s="83">
        <v>1</v>
      </c>
      <c r="B803" s="84">
        <v>5701603301480</v>
      </c>
      <c r="C803" s="83">
        <v>10</v>
      </c>
      <c r="D803" s="84">
        <v>5980463301</v>
      </c>
      <c r="F803" s="83" t="s">
        <v>103</v>
      </c>
      <c r="G803" s="83">
        <v>0</v>
      </c>
      <c r="H803" s="83">
        <v>100</v>
      </c>
      <c r="K803" s="83">
        <v>1</v>
      </c>
      <c r="L803" s="83" t="s">
        <v>101</v>
      </c>
      <c r="M803" s="83" t="s">
        <v>410</v>
      </c>
      <c r="N803" s="83" t="s">
        <v>102</v>
      </c>
      <c r="P803" s="83">
        <v>0</v>
      </c>
      <c r="U803" s="83">
        <v>4</v>
      </c>
      <c r="V803" s="83">
        <v>1</v>
      </c>
      <c r="W803" s="83" t="s">
        <v>103</v>
      </c>
      <c r="X803" s="83">
        <v>0</v>
      </c>
      <c r="Y803" s="83" t="str">
        <f>LEFT(D803,6)</f>
        <v>598046</v>
      </c>
    </row>
    <row r="804" spans="1:25" x14ac:dyDescent="0.2">
      <c r="A804" s="83">
        <v>1</v>
      </c>
      <c r="B804" s="84">
        <v>5701603301480</v>
      </c>
      <c r="C804" s="83">
        <v>20</v>
      </c>
      <c r="D804" s="84">
        <v>5980543301</v>
      </c>
      <c r="F804" s="83" t="s">
        <v>103</v>
      </c>
      <c r="G804" s="83">
        <v>0</v>
      </c>
      <c r="H804" s="83">
        <v>100</v>
      </c>
      <c r="K804" s="83">
        <v>1</v>
      </c>
      <c r="L804" s="83" t="s">
        <v>101</v>
      </c>
      <c r="M804" s="83" t="s">
        <v>410</v>
      </c>
      <c r="N804" s="83" t="s">
        <v>102</v>
      </c>
      <c r="P804" s="83">
        <v>0</v>
      </c>
      <c r="U804" s="83">
        <v>4</v>
      </c>
      <c r="V804" s="83">
        <v>1</v>
      </c>
      <c r="W804" s="83" t="s">
        <v>103</v>
      </c>
      <c r="X804" s="83">
        <v>0</v>
      </c>
    </row>
    <row r="805" spans="1:25" x14ac:dyDescent="0.2">
      <c r="A805" s="83">
        <v>1</v>
      </c>
      <c r="B805" s="84">
        <v>5701603301480</v>
      </c>
      <c r="C805" s="83">
        <v>30</v>
      </c>
      <c r="D805" s="84">
        <v>5980623301</v>
      </c>
      <c r="F805" s="83" t="s">
        <v>103</v>
      </c>
      <c r="G805" s="83">
        <v>0</v>
      </c>
      <c r="H805" s="83">
        <v>100</v>
      </c>
      <c r="K805" s="83">
        <v>1</v>
      </c>
      <c r="L805" s="83" t="s">
        <v>101</v>
      </c>
      <c r="M805" s="83" t="s">
        <v>410</v>
      </c>
      <c r="N805" s="83" t="s">
        <v>102</v>
      </c>
      <c r="P805" s="83">
        <v>0</v>
      </c>
      <c r="U805" s="83">
        <v>4</v>
      </c>
      <c r="V805" s="83">
        <v>1</v>
      </c>
      <c r="W805" s="83" t="s">
        <v>103</v>
      </c>
      <c r="X805" s="83">
        <v>0</v>
      </c>
    </row>
    <row r="806" spans="1:25" x14ac:dyDescent="0.2">
      <c r="A806" s="83">
        <v>1</v>
      </c>
      <c r="B806" s="84">
        <v>5701603301480</v>
      </c>
      <c r="C806" s="83">
        <v>40</v>
      </c>
      <c r="D806" s="84">
        <v>5980823301</v>
      </c>
      <c r="F806" s="83" t="s">
        <v>103</v>
      </c>
      <c r="G806" s="83">
        <v>0</v>
      </c>
      <c r="H806" s="83">
        <v>100</v>
      </c>
      <c r="K806" s="83">
        <v>1</v>
      </c>
      <c r="L806" s="83" t="s">
        <v>101</v>
      </c>
      <c r="M806" s="83" t="s">
        <v>410</v>
      </c>
      <c r="N806" s="83" t="s">
        <v>102</v>
      </c>
      <c r="P806" s="83">
        <v>0</v>
      </c>
      <c r="U806" s="83">
        <v>4</v>
      </c>
      <c r="V806" s="83">
        <v>1</v>
      </c>
      <c r="W806" s="83" t="s">
        <v>103</v>
      </c>
      <c r="X806" s="83">
        <v>0</v>
      </c>
    </row>
    <row r="807" spans="1:25" x14ac:dyDescent="0.2">
      <c r="A807" s="83">
        <v>1</v>
      </c>
      <c r="B807" s="84">
        <v>5701603301480</v>
      </c>
      <c r="C807" s="83">
        <v>50</v>
      </c>
      <c r="D807" s="84">
        <v>5980933301</v>
      </c>
      <c r="F807" s="83" t="s">
        <v>103</v>
      </c>
      <c r="G807" s="83">
        <v>0</v>
      </c>
      <c r="H807" s="83">
        <v>100</v>
      </c>
      <c r="K807" s="83">
        <v>1</v>
      </c>
      <c r="L807" s="83" t="s">
        <v>101</v>
      </c>
      <c r="M807" s="83" t="s">
        <v>410</v>
      </c>
      <c r="N807" s="83" t="s">
        <v>102</v>
      </c>
      <c r="P807" s="83">
        <v>0</v>
      </c>
      <c r="U807" s="83">
        <v>4</v>
      </c>
      <c r="V807" s="83">
        <v>1</v>
      </c>
      <c r="W807" s="83" t="s">
        <v>103</v>
      </c>
      <c r="X807" s="83">
        <v>0</v>
      </c>
    </row>
    <row r="808" spans="1:25" x14ac:dyDescent="0.2">
      <c r="A808" s="83">
        <v>1</v>
      </c>
      <c r="B808" s="84">
        <v>5701603301480</v>
      </c>
      <c r="C808" s="83">
        <v>60</v>
      </c>
      <c r="D808" s="84">
        <v>1010286</v>
      </c>
      <c r="F808" s="83" t="s">
        <v>103</v>
      </c>
      <c r="G808" s="83">
        <v>0</v>
      </c>
      <c r="H808" s="83">
        <v>100</v>
      </c>
      <c r="K808" s="83">
        <v>8</v>
      </c>
      <c r="L808" s="83" t="s">
        <v>101</v>
      </c>
      <c r="M808" s="83" t="s">
        <v>410</v>
      </c>
      <c r="N808" s="83" t="s">
        <v>102</v>
      </c>
      <c r="P808" s="83">
        <v>0</v>
      </c>
      <c r="U808" s="83">
        <v>4</v>
      </c>
      <c r="V808" s="83">
        <v>1</v>
      </c>
      <c r="W808" s="83" t="s">
        <v>103</v>
      </c>
      <c r="X808" s="83">
        <v>0</v>
      </c>
    </row>
    <row r="809" spans="1:25" x14ac:dyDescent="0.2">
      <c r="A809" s="83">
        <v>1</v>
      </c>
      <c r="B809" s="84">
        <v>5701603301480</v>
      </c>
      <c r="C809" s="83">
        <v>70</v>
      </c>
      <c r="D809" s="84">
        <v>1010287</v>
      </c>
      <c r="F809" s="83" t="s">
        <v>103</v>
      </c>
      <c r="G809" s="83">
        <v>0</v>
      </c>
      <c r="H809" s="83">
        <v>100</v>
      </c>
      <c r="K809" s="83">
        <v>4</v>
      </c>
      <c r="L809" s="83" t="s">
        <v>101</v>
      </c>
      <c r="M809" s="83" t="s">
        <v>410</v>
      </c>
      <c r="N809" s="83" t="s">
        <v>102</v>
      </c>
      <c r="P809" s="83">
        <v>0</v>
      </c>
      <c r="U809" s="83">
        <v>4</v>
      </c>
      <c r="V809" s="83">
        <v>1</v>
      </c>
      <c r="W809" s="83" t="s">
        <v>103</v>
      </c>
      <c r="X809" s="83">
        <v>0</v>
      </c>
    </row>
    <row r="810" spans="1:25" x14ac:dyDescent="0.2">
      <c r="A810" s="83">
        <v>1</v>
      </c>
      <c r="B810" s="84">
        <v>5701603301480</v>
      </c>
      <c r="C810" s="83">
        <v>80</v>
      </c>
      <c r="D810" s="84">
        <v>1020145</v>
      </c>
      <c r="F810" s="83" t="s">
        <v>103</v>
      </c>
      <c r="G810" s="83">
        <v>0</v>
      </c>
      <c r="H810" s="83">
        <v>100</v>
      </c>
      <c r="K810" s="83" t="s">
        <v>408</v>
      </c>
      <c r="L810" s="83" t="s">
        <v>101</v>
      </c>
      <c r="M810" s="83" t="s">
        <v>410</v>
      </c>
      <c r="N810" s="83" t="s">
        <v>102</v>
      </c>
      <c r="P810" s="83">
        <v>0</v>
      </c>
      <c r="U810" s="83">
        <v>4</v>
      </c>
      <c r="V810" s="83">
        <v>1</v>
      </c>
      <c r="W810" s="83" t="s">
        <v>103</v>
      </c>
      <c r="X810" s="83">
        <v>0</v>
      </c>
    </row>
    <row r="811" spans="1:25" x14ac:dyDescent="0.2">
      <c r="A811" s="83">
        <v>1</v>
      </c>
      <c r="B811" s="84">
        <v>5701603301480</v>
      </c>
      <c r="C811" s="83">
        <v>90</v>
      </c>
      <c r="D811" s="84">
        <v>777500480</v>
      </c>
      <c r="F811" s="83" t="s">
        <v>103</v>
      </c>
      <c r="G811" s="83">
        <v>0</v>
      </c>
      <c r="H811" s="83">
        <v>100</v>
      </c>
      <c r="K811" s="83">
        <v>1</v>
      </c>
      <c r="L811" s="83" t="s">
        <v>101</v>
      </c>
      <c r="M811" s="83" t="s">
        <v>410</v>
      </c>
      <c r="N811" s="83" t="s">
        <v>102</v>
      </c>
      <c r="P811" s="83">
        <v>0</v>
      </c>
      <c r="U811" s="83">
        <v>4</v>
      </c>
      <c r="V811" s="83">
        <v>1</v>
      </c>
      <c r="W811" s="83" t="s">
        <v>103</v>
      </c>
      <c r="X811" s="83">
        <v>0</v>
      </c>
    </row>
    <row r="812" spans="1:25" x14ac:dyDescent="0.2">
      <c r="A812" s="83">
        <v>1</v>
      </c>
      <c r="B812" s="84">
        <v>5701603302480</v>
      </c>
      <c r="C812" s="83">
        <v>10</v>
      </c>
      <c r="D812" s="84">
        <v>5980463302</v>
      </c>
      <c r="F812" s="83" t="s">
        <v>103</v>
      </c>
      <c r="G812" s="83">
        <v>0</v>
      </c>
      <c r="H812" s="83">
        <v>100</v>
      </c>
      <c r="K812" s="83">
        <v>1</v>
      </c>
      <c r="L812" s="83" t="s">
        <v>101</v>
      </c>
      <c r="M812" s="83" t="s">
        <v>410</v>
      </c>
      <c r="N812" s="83" t="s">
        <v>102</v>
      </c>
      <c r="P812" s="83">
        <v>0</v>
      </c>
      <c r="U812" s="83">
        <v>4</v>
      </c>
      <c r="V812" s="83">
        <v>1</v>
      </c>
      <c r="W812" s="83" t="s">
        <v>103</v>
      </c>
      <c r="X812" s="83">
        <v>0</v>
      </c>
      <c r="Y812" s="83" t="str">
        <f>LEFT(D812,6)</f>
        <v>598046</v>
      </c>
    </row>
    <row r="813" spans="1:25" x14ac:dyDescent="0.2">
      <c r="A813" s="83">
        <v>1</v>
      </c>
      <c r="B813" s="84">
        <v>5701603302480</v>
      </c>
      <c r="C813" s="83">
        <v>20</v>
      </c>
      <c r="D813" s="84">
        <v>5980543302</v>
      </c>
      <c r="F813" s="83" t="s">
        <v>103</v>
      </c>
      <c r="G813" s="83">
        <v>0</v>
      </c>
      <c r="H813" s="83">
        <v>100</v>
      </c>
      <c r="K813" s="83">
        <v>1</v>
      </c>
      <c r="L813" s="83" t="s">
        <v>101</v>
      </c>
      <c r="M813" s="83" t="s">
        <v>410</v>
      </c>
      <c r="N813" s="83" t="s">
        <v>102</v>
      </c>
      <c r="P813" s="83">
        <v>0</v>
      </c>
      <c r="U813" s="83">
        <v>4</v>
      </c>
      <c r="V813" s="83">
        <v>1</v>
      </c>
      <c r="W813" s="83" t="s">
        <v>103</v>
      </c>
      <c r="X813" s="83">
        <v>0</v>
      </c>
    </row>
    <row r="814" spans="1:25" x14ac:dyDescent="0.2">
      <c r="A814" s="83">
        <v>1</v>
      </c>
      <c r="B814" s="84">
        <v>5701603302480</v>
      </c>
      <c r="C814" s="83">
        <v>30</v>
      </c>
      <c r="D814" s="84">
        <v>5980623302</v>
      </c>
      <c r="F814" s="83" t="s">
        <v>103</v>
      </c>
      <c r="G814" s="83">
        <v>0</v>
      </c>
      <c r="H814" s="83">
        <v>100</v>
      </c>
      <c r="K814" s="83">
        <v>1</v>
      </c>
      <c r="L814" s="83" t="s">
        <v>101</v>
      </c>
      <c r="M814" s="83" t="s">
        <v>410</v>
      </c>
      <c r="N814" s="83" t="s">
        <v>102</v>
      </c>
      <c r="P814" s="83">
        <v>0</v>
      </c>
      <c r="U814" s="83">
        <v>4</v>
      </c>
      <c r="V814" s="83">
        <v>1</v>
      </c>
      <c r="W814" s="83" t="s">
        <v>103</v>
      </c>
      <c r="X814" s="83">
        <v>0</v>
      </c>
    </row>
    <row r="815" spans="1:25" x14ac:dyDescent="0.2">
      <c r="A815" s="83">
        <v>1</v>
      </c>
      <c r="B815" s="84">
        <v>5701603302480</v>
      </c>
      <c r="C815" s="83">
        <v>40</v>
      </c>
      <c r="D815" s="84">
        <v>5980823302</v>
      </c>
      <c r="F815" s="83" t="s">
        <v>103</v>
      </c>
      <c r="G815" s="83">
        <v>0</v>
      </c>
      <c r="H815" s="83">
        <v>100</v>
      </c>
      <c r="K815" s="83">
        <v>1</v>
      </c>
      <c r="L815" s="83" t="s">
        <v>101</v>
      </c>
      <c r="M815" s="83" t="s">
        <v>410</v>
      </c>
      <c r="N815" s="83" t="s">
        <v>102</v>
      </c>
      <c r="P815" s="83">
        <v>0</v>
      </c>
      <c r="U815" s="83">
        <v>4</v>
      </c>
      <c r="V815" s="83">
        <v>1</v>
      </c>
      <c r="W815" s="83" t="s">
        <v>103</v>
      </c>
      <c r="X815" s="83">
        <v>0</v>
      </c>
    </row>
    <row r="816" spans="1:25" x14ac:dyDescent="0.2">
      <c r="A816" s="83">
        <v>1</v>
      </c>
      <c r="B816" s="84">
        <v>5701603302480</v>
      </c>
      <c r="C816" s="83">
        <v>50</v>
      </c>
      <c r="D816" s="84">
        <v>5980933302</v>
      </c>
      <c r="F816" s="83" t="s">
        <v>103</v>
      </c>
      <c r="G816" s="83">
        <v>0</v>
      </c>
      <c r="H816" s="83">
        <v>100</v>
      </c>
      <c r="K816" s="83">
        <v>1</v>
      </c>
      <c r="L816" s="83" t="s">
        <v>101</v>
      </c>
      <c r="M816" s="83" t="s">
        <v>410</v>
      </c>
      <c r="N816" s="83" t="s">
        <v>102</v>
      </c>
      <c r="P816" s="83">
        <v>0</v>
      </c>
      <c r="U816" s="83">
        <v>4</v>
      </c>
      <c r="V816" s="83">
        <v>1</v>
      </c>
      <c r="W816" s="83" t="s">
        <v>103</v>
      </c>
      <c r="X816" s="83">
        <v>0</v>
      </c>
    </row>
    <row r="817" spans="1:25" x14ac:dyDescent="0.2">
      <c r="A817" s="83">
        <v>1</v>
      </c>
      <c r="B817" s="84">
        <v>5701603302480</v>
      </c>
      <c r="C817" s="83">
        <v>60</v>
      </c>
      <c r="D817" s="84">
        <v>1010286</v>
      </c>
      <c r="F817" s="83" t="s">
        <v>103</v>
      </c>
      <c r="G817" s="83">
        <v>0</v>
      </c>
      <c r="H817" s="83">
        <v>100</v>
      </c>
      <c r="K817" s="83">
        <v>8</v>
      </c>
      <c r="L817" s="83" t="s">
        <v>101</v>
      </c>
      <c r="M817" s="83" t="s">
        <v>410</v>
      </c>
      <c r="N817" s="83" t="s">
        <v>102</v>
      </c>
      <c r="P817" s="83">
        <v>0</v>
      </c>
      <c r="U817" s="83">
        <v>4</v>
      </c>
      <c r="V817" s="83">
        <v>1</v>
      </c>
      <c r="W817" s="83" t="s">
        <v>103</v>
      </c>
      <c r="X817" s="83">
        <v>0</v>
      </c>
    </row>
    <row r="818" spans="1:25" x14ac:dyDescent="0.2">
      <c r="A818" s="83">
        <v>1</v>
      </c>
      <c r="B818" s="84">
        <v>5701603302480</v>
      </c>
      <c r="C818" s="83">
        <v>70</v>
      </c>
      <c r="D818" s="84">
        <v>1010288</v>
      </c>
      <c r="F818" s="83" t="s">
        <v>103</v>
      </c>
      <c r="G818" s="83">
        <v>0</v>
      </c>
      <c r="H818" s="83">
        <v>100</v>
      </c>
      <c r="K818" s="83">
        <v>4</v>
      </c>
      <c r="L818" s="83" t="s">
        <v>101</v>
      </c>
      <c r="M818" s="83" t="s">
        <v>410</v>
      </c>
      <c r="N818" s="83" t="s">
        <v>102</v>
      </c>
      <c r="P818" s="83">
        <v>0</v>
      </c>
      <c r="U818" s="83">
        <v>4</v>
      </c>
      <c r="V818" s="83">
        <v>1</v>
      </c>
      <c r="W818" s="83" t="s">
        <v>103</v>
      </c>
      <c r="X818" s="83">
        <v>0</v>
      </c>
    </row>
    <row r="819" spans="1:25" x14ac:dyDescent="0.2">
      <c r="A819" s="83">
        <v>1</v>
      </c>
      <c r="B819" s="84">
        <v>5701603302480</v>
      </c>
      <c r="C819" s="83">
        <v>80</v>
      </c>
      <c r="D819" s="84">
        <v>1020145</v>
      </c>
      <c r="F819" s="83" t="s">
        <v>103</v>
      </c>
      <c r="G819" s="83">
        <v>0</v>
      </c>
      <c r="H819" s="83">
        <v>100</v>
      </c>
      <c r="K819" s="83" t="s">
        <v>408</v>
      </c>
      <c r="L819" s="83" t="s">
        <v>101</v>
      </c>
      <c r="M819" s="83" t="s">
        <v>410</v>
      </c>
      <c r="N819" s="83" t="s">
        <v>102</v>
      </c>
      <c r="P819" s="83">
        <v>0</v>
      </c>
      <c r="U819" s="83">
        <v>4</v>
      </c>
      <c r="V819" s="83">
        <v>1</v>
      </c>
      <c r="W819" s="83" t="s">
        <v>103</v>
      </c>
      <c r="X819" s="83">
        <v>0</v>
      </c>
    </row>
    <row r="820" spans="1:25" x14ac:dyDescent="0.2">
      <c r="A820" s="83">
        <v>1</v>
      </c>
      <c r="B820" s="84">
        <v>5701603302480</v>
      </c>
      <c r="C820" s="83">
        <v>90</v>
      </c>
      <c r="D820" s="84">
        <v>777500480</v>
      </c>
      <c r="F820" s="83" t="s">
        <v>103</v>
      </c>
      <c r="G820" s="83">
        <v>0</v>
      </c>
      <c r="H820" s="83">
        <v>100</v>
      </c>
      <c r="K820" s="83">
        <v>1</v>
      </c>
      <c r="L820" s="83" t="s">
        <v>101</v>
      </c>
      <c r="M820" s="83" t="s">
        <v>410</v>
      </c>
      <c r="N820" s="83" t="s">
        <v>102</v>
      </c>
      <c r="P820" s="83">
        <v>0</v>
      </c>
      <c r="U820" s="83">
        <v>4</v>
      </c>
      <c r="V820" s="83">
        <v>1</v>
      </c>
      <c r="W820" s="83" t="s">
        <v>103</v>
      </c>
      <c r="X820" s="83">
        <v>0</v>
      </c>
    </row>
    <row r="821" spans="1:25" x14ac:dyDescent="0.2">
      <c r="A821" s="83">
        <v>1</v>
      </c>
      <c r="B821" s="84">
        <v>5701603303480</v>
      </c>
      <c r="C821" s="83">
        <v>10</v>
      </c>
      <c r="D821" s="84">
        <v>5980463303</v>
      </c>
      <c r="F821" s="83" t="s">
        <v>103</v>
      </c>
      <c r="G821" s="83">
        <v>0</v>
      </c>
      <c r="H821" s="83">
        <v>100</v>
      </c>
      <c r="K821" s="83">
        <v>1</v>
      </c>
      <c r="L821" s="83" t="s">
        <v>101</v>
      </c>
      <c r="M821" s="83" t="s">
        <v>410</v>
      </c>
      <c r="N821" s="83" t="s">
        <v>102</v>
      </c>
      <c r="P821" s="83">
        <v>0</v>
      </c>
      <c r="U821" s="83">
        <v>4</v>
      </c>
      <c r="V821" s="83">
        <v>1</v>
      </c>
      <c r="W821" s="83" t="s">
        <v>103</v>
      </c>
      <c r="X821" s="83">
        <v>0</v>
      </c>
      <c r="Y821" s="83" t="str">
        <f>LEFT(D821,6)</f>
        <v>598046</v>
      </c>
    </row>
    <row r="822" spans="1:25" x14ac:dyDescent="0.2">
      <c r="A822" s="83">
        <v>1</v>
      </c>
      <c r="B822" s="84">
        <v>5701603303480</v>
      </c>
      <c r="C822" s="83">
        <v>20</v>
      </c>
      <c r="D822" s="84">
        <v>5980543303</v>
      </c>
      <c r="F822" s="83" t="s">
        <v>103</v>
      </c>
      <c r="G822" s="83">
        <v>0</v>
      </c>
      <c r="H822" s="83">
        <v>100</v>
      </c>
      <c r="K822" s="83">
        <v>1</v>
      </c>
      <c r="L822" s="83" t="s">
        <v>101</v>
      </c>
      <c r="M822" s="83" t="s">
        <v>410</v>
      </c>
      <c r="N822" s="83" t="s">
        <v>102</v>
      </c>
      <c r="P822" s="83">
        <v>0</v>
      </c>
      <c r="U822" s="83">
        <v>4</v>
      </c>
      <c r="V822" s="83">
        <v>1</v>
      </c>
      <c r="W822" s="83" t="s">
        <v>103</v>
      </c>
      <c r="X822" s="83">
        <v>0</v>
      </c>
    </row>
    <row r="823" spans="1:25" x14ac:dyDescent="0.2">
      <c r="A823" s="83">
        <v>1</v>
      </c>
      <c r="B823" s="84">
        <v>5701603303480</v>
      </c>
      <c r="C823" s="83">
        <v>30</v>
      </c>
      <c r="D823" s="84">
        <v>5980623303</v>
      </c>
      <c r="F823" s="83" t="s">
        <v>103</v>
      </c>
      <c r="G823" s="83">
        <v>0</v>
      </c>
      <c r="H823" s="83">
        <v>100</v>
      </c>
      <c r="K823" s="83">
        <v>1</v>
      </c>
      <c r="L823" s="83" t="s">
        <v>101</v>
      </c>
      <c r="M823" s="83" t="s">
        <v>410</v>
      </c>
      <c r="N823" s="83" t="s">
        <v>102</v>
      </c>
      <c r="P823" s="83">
        <v>0</v>
      </c>
      <c r="U823" s="83">
        <v>4</v>
      </c>
      <c r="V823" s="83">
        <v>1</v>
      </c>
      <c r="W823" s="83" t="s">
        <v>103</v>
      </c>
      <c r="X823" s="83">
        <v>0</v>
      </c>
    </row>
    <row r="824" spans="1:25" x14ac:dyDescent="0.2">
      <c r="A824" s="83">
        <v>1</v>
      </c>
      <c r="B824" s="84">
        <v>5701603303480</v>
      </c>
      <c r="C824" s="83">
        <v>40</v>
      </c>
      <c r="D824" s="84">
        <v>5980823303</v>
      </c>
      <c r="F824" s="83" t="s">
        <v>103</v>
      </c>
      <c r="G824" s="83">
        <v>0</v>
      </c>
      <c r="H824" s="83">
        <v>100</v>
      </c>
      <c r="K824" s="83">
        <v>1</v>
      </c>
      <c r="L824" s="83" t="s">
        <v>101</v>
      </c>
      <c r="M824" s="83" t="s">
        <v>410</v>
      </c>
      <c r="N824" s="83" t="s">
        <v>102</v>
      </c>
      <c r="P824" s="83">
        <v>0</v>
      </c>
      <c r="U824" s="83">
        <v>4</v>
      </c>
      <c r="V824" s="83">
        <v>1</v>
      </c>
      <c r="W824" s="83" t="s">
        <v>103</v>
      </c>
      <c r="X824" s="83">
        <v>0</v>
      </c>
    </row>
    <row r="825" spans="1:25" x14ac:dyDescent="0.2">
      <c r="A825" s="83">
        <v>1</v>
      </c>
      <c r="B825" s="84">
        <v>5701603303480</v>
      </c>
      <c r="C825" s="83">
        <v>50</v>
      </c>
      <c r="D825" s="84">
        <v>5980933303</v>
      </c>
      <c r="F825" s="83" t="s">
        <v>103</v>
      </c>
      <c r="G825" s="83">
        <v>0</v>
      </c>
      <c r="H825" s="83">
        <v>100</v>
      </c>
      <c r="K825" s="83">
        <v>1</v>
      </c>
      <c r="L825" s="83" t="s">
        <v>101</v>
      </c>
      <c r="M825" s="83" t="s">
        <v>410</v>
      </c>
      <c r="N825" s="83" t="s">
        <v>102</v>
      </c>
      <c r="P825" s="83">
        <v>0</v>
      </c>
      <c r="U825" s="83">
        <v>4</v>
      </c>
      <c r="V825" s="83">
        <v>1</v>
      </c>
      <c r="W825" s="83" t="s">
        <v>103</v>
      </c>
      <c r="X825" s="83">
        <v>0</v>
      </c>
    </row>
    <row r="826" spans="1:25" x14ac:dyDescent="0.2">
      <c r="A826" s="83">
        <v>1</v>
      </c>
      <c r="B826" s="84">
        <v>5701603303480</v>
      </c>
      <c r="C826" s="83">
        <v>60</v>
      </c>
      <c r="D826" s="84">
        <v>1010286</v>
      </c>
      <c r="F826" s="83" t="s">
        <v>103</v>
      </c>
      <c r="G826" s="83">
        <v>0</v>
      </c>
      <c r="H826" s="83">
        <v>100</v>
      </c>
      <c r="K826" s="83">
        <v>8</v>
      </c>
      <c r="L826" s="83" t="s">
        <v>101</v>
      </c>
      <c r="M826" s="83" t="s">
        <v>410</v>
      </c>
      <c r="N826" s="83" t="s">
        <v>102</v>
      </c>
      <c r="P826" s="83">
        <v>0</v>
      </c>
      <c r="U826" s="83">
        <v>4</v>
      </c>
      <c r="V826" s="83">
        <v>1</v>
      </c>
      <c r="W826" s="83" t="s">
        <v>103</v>
      </c>
      <c r="X826" s="83">
        <v>0</v>
      </c>
    </row>
    <row r="827" spans="1:25" x14ac:dyDescent="0.2">
      <c r="A827" s="83">
        <v>1</v>
      </c>
      <c r="B827" s="84">
        <v>5701603303480</v>
      </c>
      <c r="C827" s="83">
        <v>70</v>
      </c>
      <c r="D827" s="84">
        <v>1010287</v>
      </c>
      <c r="F827" s="83" t="s">
        <v>103</v>
      </c>
      <c r="G827" s="83">
        <v>0</v>
      </c>
      <c r="H827" s="83">
        <v>100</v>
      </c>
      <c r="K827" s="83">
        <v>4</v>
      </c>
      <c r="L827" s="83" t="s">
        <v>101</v>
      </c>
      <c r="M827" s="83" t="s">
        <v>410</v>
      </c>
      <c r="N827" s="83" t="s">
        <v>102</v>
      </c>
      <c r="P827" s="83">
        <v>0</v>
      </c>
      <c r="U827" s="83">
        <v>4</v>
      </c>
      <c r="V827" s="83">
        <v>1</v>
      </c>
      <c r="W827" s="83" t="s">
        <v>103</v>
      </c>
      <c r="X827" s="83">
        <v>0</v>
      </c>
    </row>
    <row r="828" spans="1:25" x14ac:dyDescent="0.2">
      <c r="A828" s="83">
        <v>1</v>
      </c>
      <c r="B828" s="84">
        <v>5701603303480</v>
      </c>
      <c r="C828" s="83">
        <v>80</v>
      </c>
      <c r="D828" s="84">
        <v>1020145</v>
      </c>
      <c r="F828" s="83" t="s">
        <v>103</v>
      </c>
      <c r="G828" s="83">
        <v>0</v>
      </c>
      <c r="H828" s="83">
        <v>100</v>
      </c>
      <c r="K828" s="83" t="s">
        <v>408</v>
      </c>
      <c r="L828" s="83" t="s">
        <v>101</v>
      </c>
      <c r="M828" s="83" t="s">
        <v>410</v>
      </c>
      <c r="N828" s="83" t="s">
        <v>102</v>
      </c>
      <c r="P828" s="83">
        <v>0</v>
      </c>
      <c r="U828" s="83">
        <v>4</v>
      </c>
      <c r="V828" s="83">
        <v>1</v>
      </c>
      <c r="W828" s="83" t="s">
        <v>103</v>
      </c>
      <c r="X828" s="83">
        <v>0</v>
      </c>
    </row>
    <row r="829" spans="1:25" x14ac:dyDescent="0.2">
      <c r="A829" s="83">
        <v>1</v>
      </c>
      <c r="B829" s="84">
        <v>5701603303480</v>
      </c>
      <c r="C829" s="83">
        <v>90</v>
      </c>
      <c r="D829" s="84">
        <v>777500480</v>
      </c>
      <c r="F829" s="83" t="s">
        <v>103</v>
      </c>
      <c r="G829" s="83">
        <v>0</v>
      </c>
      <c r="H829" s="83">
        <v>100</v>
      </c>
      <c r="K829" s="83">
        <v>1</v>
      </c>
      <c r="L829" s="83" t="s">
        <v>101</v>
      </c>
      <c r="M829" s="83" t="s">
        <v>410</v>
      </c>
      <c r="N829" s="83" t="s">
        <v>102</v>
      </c>
      <c r="P829" s="83">
        <v>0</v>
      </c>
      <c r="U829" s="83">
        <v>4</v>
      </c>
      <c r="V829" s="83">
        <v>1</v>
      </c>
      <c r="W829" s="83" t="s">
        <v>103</v>
      </c>
      <c r="X829" s="83">
        <v>0</v>
      </c>
    </row>
    <row r="830" spans="1:25" x14ac:dyDescent="0.2">
      <c r="A830" s="83">
        <v>1</v>
      </c>
      <c r="B830" s="84">
        <v>5701603304480</v>
      </c>
      <c r="C830" s="83">
        <v>10</v>
      </c>
      <c r="D830" s="84">
        <v>5980463304</v>
      </c>
      <c r="F830" s="83" t="s">
        <v>103</v>
      </c>
      <c r="G830" s="83">
        <v>0</v>
      </c>
      <c r="H830" s="83">
        <v>100</v>
      </c>
      <c r="K830" s="83">
        <v>1</v>
      </c>
      <c r="L830" s="83" t="s">
        <v>101</v>
      </c>
      <c r="M830" s="83" t="s">
        <v>410</v>
      </c>
      <c r="N830" s="83" t="s">
        <v>102</v>
      </c>
      <c r="P830" s="83">
        <v>0</v>
      </c>
      <c r="U830" s="83">
        <v>4</v>
      </c>
      <c r="V830" s="83">
        <v>1</v>
      </c>
      <c r="W830" s="83" t="s">
        <v>103</v>
      </c>
      <c r="X830" s="83">
        <v>0</v>
      </c>
      <c r="Y830" s="83" t="str">
        <f>LEFT(D830,6)</f>
        <v>598046</v>
      </c>
    </row>
    <row r="831" spans="1:25" x14ac:dyDescent="0.2">
      <c r="A831" s="83">
        <v>1</v>
      </c>
      <c r="B831" s="84">
        <v>5701603304480</v>
      </c>
      <c r="C831" s="83">
        <v>20</v>
      </c>
      <c r="D831" s="84">
        <v>5980543304</v>
      </c>
      <c r="F831" s="83" t="s">
        <v>103</v>
      </c>
      <c r="G831" s="83">
        <v>0</v>
      </c>
      <c r="H831" s="83">
        <v>100</v>
      </c>
      <c r="K831" s="83">
        <v>1</v>
      </c>
      <c r="L831" s="83" t="s">
        <v>101</v>
      </c>
      <c r="M831" s="83" t="s">
        <v>410</v>
      </c>
      <c r="N831" s="83" t="s">
        <v>102</v>
      </c>
      <c r="P831" s="83">
        <v>0</v>
      </c>
      <c r="U831" s="83">
        <v>4</v>
      </c>
      <c r="V831" s="83">
        <v>1</v>
      </c>
      <c r="W831" s="83" t="s">
        <v>103</v>
      </c>
      <c r="X831" s="83">
        <v>0</v>
      </c>
    </row>
    <row r="832" spans="1:25" x14ac:dyDescent="0.2">
      <c r="A832" s="83">
        <v>1</v>
      </c>
      <c r="B832" s="84">
        <v>5701603304480</v>
      </c>
      <c r="C832" s="83">
        <v>30</v>
      </c>
      <c r="D832" s="84">
        <v>5980623304</v>
      </c>
      <c r="F832" s="83" t="s">
        <v>103</v>
      </c>
      <c r="G832" s="83">
        <v>0</v>
      </c>
      <c r="H832" s="83">
        <v>100</v>
      </c>
      <c r="K832" s="83">
        <v>1</v>
      </c>
      <c r="L832" s="83" t="s">
        <v>101</v>
      </c>
      <c r="M832" s="83" t="s">
        <v>410</v>
      </c>
      <c r="N832" s="83" t="s">
        <v>102</v>
      </c>
      <c r="P832" s="83">
        <v>0</v>
      </c>
      <c r="U832" s="83">
        <v>4</v>
      </c>
      <c r="V832" s="83">
        <v>1</v>
      </c>
      <c r="W832" s="83" t="s">
        <v>103</v>
      </c>
      <c r="X832" s="83">
        <v>0</v>
      </c>
    </row>
    <row r="833" spans="1:25" x14ac:dyDescent="0.2">
      <c r="A833" s="83">
        <v>1</v>
      </c>
      <c r="B833" s="84">
        <v>5701603304480</v>
      </c>
      <c r="C833" s="83">
        <v>40</v>
      </c>
      <c r="D833" s="84">
        <v>5980823304</v>
      </c>
      <c r="F833" s="83" t="s">
        <v>103</v>
      </c>
      <c r="G833" s="83">
        <v>0</v>
      </c>
      <c r="H833" s="83">
        <v>100</v>
      </c>
      <c r="K833" s="83">
        <v>1</v>
      </c>
      <c r="L833" s="83" t="s">
        <v>101</v>
      </c>
      <c r="M833" s="83" t="s">
        <v>410</v>
      </c>
      <c r="N833" s="83" t="s">
        <v>102</v>
      </c>
      <c r="P833" s="83">
        <v>0</v>
      </c>
      <c r="U833" s="83">
        <v>4</v>
      </c>
      <c r="V833" s="83">
        <v>1</v>
      </c>
      <c r="W833" s="83" t="s">
        <v>103</v>
      </c>
      <c r="X833" s="83">
        <v>0</v>
      </c>
    </row>
    <row r="834" spans="1:25" x14ac:dyDescent="0.2">
      <c r="A834" s="83">
        <v>1</v>
      </c>
      <c r="B834" s="84">
        <v>5701603304480</v>
      </c>
      <c r="C834" s="83">
        <v>50</v>
      </c>
      <c r="D834" s="85">
        <v>5980933304</v>
      </c>
      <c r="F834" s="83" t="s">
        <v>103</v>
      </c>
      <c r="G834" s="83">
        <v>0</v>
      </c>
      <c r="H834" s="83">
        <v>100</v>
      </c>
      <c r="K834" s="83">
        <v>1</v>
      </c>
      <c r="L834" s="83" t="s">
        <v>101</v>
      </c>
      <c r="M834" s="83" t="s">
        <v>410</v>
      </c>
      <c r="N834" s="83" t="s">
        <v>102</v>
      </c>
      <c r="P834" s="83">
        <v>0</v>
      </c>
      <c r="U834" s="83">
        <v>4</v>
      </c>
      <c r="V834" s="83">
        <v>1</v>
      </c>
      <c r="W834" s="83" t="s">
        <v>103</v>
      </c>
      <c r="X834" s="83">
        <v>0</v>
      </c>
    </row>
    <row r="835" spans="1:25" x14ac:dyDescent="0.2">
      <c r="A835" s="83">
        <v>1</v>
      </c>
      <c r="B835" s="84">
        <v>5701603304480</v>
      </c>
      <c r="C835" s="83">
        <v>60</v>
      </c>
      <c r="D835" s="84">
        <v>1010286</v>
      </c>
      <c r="F835" s="83" t="s">
        <v>103</v>
      </c>
      <c r="G835" s="83">
        <v>0</v>
      </c>
      <c r="H835" s="83">
        <v>100</v>
      </c>
      <c r="K835" s="83">
        <v>8</v>
      </c>
      <c r="L835" s="83" t="s">
        <v>101</v>
      </c>
      <c r="M835" s="83" t="s">
        <v>410</v>
      </c>
      <c r="N835" s="83" t="s">
        <v>102</v>
      </c>
      <c r="P835" s="83">
        <v>0</v>
      </c>
      <c r="U835" s="83">
        <v>4</v>
      </c>
      <c r="V835" s="83">
        <v>1</v>
      </c>
      <c r="W835" s="83" t="s">
        <v>103</v>
      </c>
      <c r="X835" s="83">
        <v>0</v>
      </c>
    </row>
    <row r="836" spans="1:25" x14ac:dyDescent="0.2">
      <c r="A836" s="83">
        <v>1</v>
      </c>
      <c r="B836" s="84">
        <v>5701603304480</v>
      </c>
      <c r="C836" s="83">
        <v>70</v>
      </c>
      <c r="D836" s="84">
        <v>1010288</v>
      </c>
      <c r="F836" s="83" t="s">
        <v>103</v>
      </c>
      <c r="G836" s="83">
        <v>0</v>
      </c>
      <c r="H836" s="83">
        <v>100</v>
      </c>
      <c r="K836" s="83">
        <v>4</v>
      </c>
      <c r="L836" s="83" t="s">
        <v>101</v>
      </c>
      <c r="M836" s="83" t="s">
        <v>410</v>
      </c>
      <c r="N836" s="83" t="s">
        <v>102</v>
      </c>
      <c r="P836" s="83">
        <v>0</v>
      </c>
      <c r="U836" s="83">
        <v>4</v>
      </c>
      <c r="V836" s="83">
        <v>1</v>
      </c>
      <c r="W836" s="83" t="s">
        <v>103</v>
      </c>
      <c r="X836" s="83">
        <v>0</v>
      </c>
    </row>
    <row r="837" spans="1:25" x14ac:dyDescent="0.2">
      <c r="A837" s="83">
        <v>1</v>
      </c>
      <c r="B837" s="84">
        <v>5701603304480</v>
      </c>
      <c r="C837" s="83">
        <v>80</v>
      </c>
      <c r="D837" s="84">
        <v>1020145</v>
      </c>
      <c r="F837" s="83" t="s">
        <v>103</v>
      </c>
      <c r="G837" s="83">
        <v>0</v>
      </c>
      <c r="H837" s="83">
        <v>100</v>
      </c>
      <c r="K837" s="83" t="s">
        <v>408</v>
      </c>
      <c r="L837" s="83" t="s">
        <v>101</v>
      </c>
      <c r="M837" s="83" t="s">
        <v>410</v>
      </c>
      <c r="N837" s="83" t="s">
        <v>102</v>
      </c>
      <c r="P837" s="83">
        <v>0</v>
      </c>
      <c r="U837" s="83">
        <v>4</v>
      </c>
      <c r="V837" s="83">
        <v>1</v>
      </c>
      <c r="W837" s="83" t="s">
        <v>103</v>
      </c>
      <c r="X837" s="83">
        <v>0</v>
      </c>
    </row>
    <row r="838" spans="1:25" x14ac:dyDescent="0.2">
      <c r="A838" s="83">
        <v>1</v>
      </c>
      <c r="B838" s="84">
        <v>5701603304480</v>
      </c>
      <c r="C838" s="83">
        <v>90</v>
      </c>
      <c r="D838" s="84">
        <v>777500480</v>
      </c>
      <c r="F838" s="83" t="s">
        <v>103</v>
      </c>
      <c r="G838" s="83">
        <v>0</v>
      </c>
      <c r="H838" s="83">
        <v>100</v>
      </c>
      <c r="K838" s="83">
        <v>1</v>
      </c>
      <c r="L838" s="83" t="s">
        <v>101</v>
      </c>
      <c r="M838" s="83" t="s">
        <v>410</v>
      </c>
      <c r="N838" s="83" t="s">
        <v>102</v>
      </c>
      <c r="P838" s="83">
        <v>0</v>
      </c>
      <c r="U838" s="83">
        <v>4</v>
      </c>
      <c r="V838" s="83">
        <v>1</v>
      </c>
      <c r="W838" s="83" t="s">
        <v>103</v>
      </c>
      <c r="X838" s="83">
        <v>0</v>
      </c>
    </row>
    <row r="839" spans="1:25" x14ac:dyDescent="0.2">
      <c r="A839" s="83">
        <v>1</v>
      </c>
      <c r="B839" s="84">
        <v>5701603305480</v>
      </c>
      <c r="C839" s="83">
        <v>10</v>
      </c>
      <c r="D839" s="84">
        <v>5980463305</v>
      </c>
      <c r="F839" s="83" t="s">
        <v>103</v>
      </c>
      <c r="G839" s="83">
        <v>0</v>
      </c>
      <c r="H839" s="83">
        <v>100</v>
      </c>
      <c r="K839" s="83">
        <v>1</v>
      </c>
      <c r="L839" s="83" t="s">
        <v>101</v>
      </c>
      <c r="M839" s="83" t="s">
        <v>410</v>
      </c>
      <c r="N839" s="83" t="s">
        <v>102</v>
      </c>
      <c r="P839" s="83">
        <v>0</v>
      </c>
      <c r="U839" s="83">
        <v>4</v>
      </c>
      <c r="V839" s="83">
        <v>1</v>
      </c>
      <c r="W839" s="83" t="s">
        <v>103</v>
      </c>
      <c r="X839" s="83">
        <v>0</v>
      </c>
      <c r="Y839" s="83" t="str">
        <f>LEFT(D839,6)</f>
        <v>598046</v>
      </c>
    </row>
    <row r="840" spans="1:25" x14ac:dyDescent="0.2">
      <c r="A840" s="83">
        <v>1</v>
      </c>
      <c r="B840" s="84">
        <v>5701603305480</v>
      </c>
      <c r="C840" s="83">
        <v>20</v>
      </c>
      <c r="D840" s="84">
        <v>5980543305</v>
      </c>
      <c r="F840" s="83" t="s">
        <v>103</v>
      </c>
      <c r="G840" s="83">
        <v>0</v>
      </c>
      <c r="H840" s="83">
        <v>100</v>
      </c>
      <c r="K840" s="83">
        <v>1</v>
      </c>
      <c r="L840" s="83" t="s">
        <v>101</v>
      </c>
      <c r="M840" s="83" t="s">
        <v>410</v>
      </c>
      <c r="N840" s="83" t="s">
        <v>102</v>
      </c>
      <c r="P840" s="83">
        <v>0</v>
      </c>
      <c r="U840" s="83">
        <v>4</v>
      </c>
      <c r="V840" s="83">
        <v>1</v>
      </c>
      <c r="W840" s="83" t="s">
        <v>103</v>
      </c>
      <c r="X840" s="83">
        <v>0</v>
      </c>
    </row>
    <row r="841" spans="1:25" x14ac:dyDescent="0.2">
      <c r="A841" s="83">
        <v>1</v>
      </c>
      <c r="B841" s="84">
        <v>5701603305480</v>
      </c>
      <c r="C841" s="83">
        <v>30</v>
      </c>
      <c r="D841" s="84">
        <v>5980623305</v>
      </c>
      <c r="F841" s="83" t="s">
        <v>103</v>
      </c>
      <c r="G841" s="83">
        <v>0</v>
      </c>
      <c r="H841" s="83">
        <v>100</v>
      </c>
      <c r="K841" s="83">
        <v>1</v>
      </c>
      <c r="L841" s="83" t="s">
        <v>101</v>
      </c>
      <c r="M841" s="83" t="s">
        <v>410</v>
      </c>
      <c r="N841" s="83" t="s">
        <v>102</v>
      </c>
      <c r="P841" s="83">
        <v>0</v>
      </c>
      <c r="U841" s="83">
        <v>4</v>
      </c>
      <c r="V841" s="83">
        <v>1</v>
      </c>
      <c r="W841" s="83" t="s">
        <v>103</v>
      </c>
      <c r="X841" s="83">
        <v>0</v>
      </c>
    </row>
    <row r="842" spans="1:25" x14ac:dyDescent="0.2">
      <c r="A842" s="83">
        <v>1</v>
      </c>
      <c r="B842" s="84">
        <v>5701603305480</v>
      </c>
      <c r="C842" s="83">
        <v>40</v>
      </c>
      <c r="D842" s="84">
        <v>5980823305</v>
      </c>
      <c r="F842" s="83" t="s">
        <v>103</v>
      </c>
      <c r="G842" s="83">
        <v>0</v>
      </c>
      <c r="H842" s="83">
        <v>100</v>
      </c>
      <c r="K842" s="83">
        <v>1</v>
      </c>
      <c r="L842" s="83" t="s">
        <v>101</v>
      </c>
      <c r="M842" s="83" t="s">
        <v>410</v>
      </c>
      <c r="N842" s="83" t="s">
        <v>102</v>
      </c>
      <c r="P842" s="83">
        <v>0</v>
      </c>
      <c r="U842" s="83">
        <v>4</v>
      </c>
      <c r="V842" s="83">
        <v>1</v>
      </c>
      <c r="W842" s="83" t="s">
        <v>103</v>
      </c>
      <c r="X842" s="83">
        <v>0</v>
      </c>
    </row>
    <row r="843" spans="1:25" x14ac:dyDescent="0.2">
      <c r="A843" s="83">
        <v>1</v>
      </c>
      <c r="B843" s="84">
        <v>5701603305480</v>
      </c>
      <c r="C843" s="83">
        <v>50</v>
      </c>
      <c r="D843" s="84">
        <v>5980933305</v>
      </c>
      <c r="F843" s="83" t="s">
        <v>103</v>
      </c>
      <c r="G843" s="83">
        <v>0</v>
      </c>
      <c r="H843" s="83">
        <v>100</v>
      </c>
      <c r="K843" s="83">
        <v>1</v>
      </c>
      <c r="L843" s="83" t="s">
        <v>101</v>
      </c>
      <c r="M843" s="83" t="s">
        <v>410</v>
      </c>
      <c r="N843" s="83" t="s">
        <v>102</v>
      </c>
      <c r="P843" s="83">
        <v>0</v>
      </c>
      <c r="U843" s="83">
        <v>4</v>
      </c>
      <c r="V843" s="83">
        <v>1</v>
      </c>
      <c r="W843" s="83" t="s">
        <v>103</v>
      </c>
      <c r="X843" s="83">
        <v>0</v>
      </c>
    </row>
    <row r="844" spans="1:25" x14ac:dyDescent="0.2">
      <c r="A844" s="83">
        <v>1</v>
      </c>
      <c r="B844" s="84">
        <v>5701603305480</v>
      </c>
      <c r="C844" s="83">
        <v>60</v>
      </c>
      <c r="D844" s="84">
        <v>1010286</v>
      </c>
      <c r="F844" s="83" t="s">
        <v>103</v>
      </c>
      <c r="G844" s="83">
        <v>0</v>
      </c>
      <c r="H844" s="83">
        <v>100</v>
      </c>
      <c r="K844" s="83">
        <v>8</v>
      </c>
      <c r="L844" s="83" t="s">
        <v>101</v>
      </c>
      <c r="M844" s="83" t="s">
        <v>410</v>
      </c>
      <c r="N844" s="83" t="s">
        <v>102</v>
      </c>
      <c r="P844" s="83">
        <v>0</v>
      </c>
      <c r="U844" s="83">
        <v>4</v>
      </c>
      <c r="V844" s="83">
        <v>1</v>
      </c>
      <c r="W844" s="83" t="s">
        <v>103</v>
      </c>
      <c r="X844" s="83">
        <v>0</v>
      </c>
    </row>
    <row r="845" spans="1:25" x14ac:dyDescent="0.2">
      <c r="A845" s="83">
        <v>1</v>
      </c>
      <c r="B845" s="84">
        <v>5701603305480</v>
      </c>
      <c r="C845" s="83">
        <v>70</v>
      </c>
      <c r="D845" s="84">
        <v>1010288</v>
      </c>
      <c r="F845" s="83" t="s">
        <v>103</v>
      </c>
      <c r="G845" s="83">
        <v>0</v>
      </c>
      <c r="H845" s="83">
        <v>100</v>
      </c>
      <c r="K845" s="83">
        <v>4</v>
      </c>
      <c r="L845" s="83" t="s">
        <v>101</v>
      </c>
      <c r="M845" s="83" t="s">
        <v>410</v>
      </c>
      <c r="N845" s="83" t="s">
        <v>102</v>
      </c>
      <c r="P845" s="83">
        <v>0</v>
      </c>
      <c r="U845" s="83">
        <v>4</v>
      </c>
      <c r="V845" s="83">
        <v>1</v>
      </c>
      <c r="W845" s="83" t="s">
        <v>103</v>
      </c>
      <c r="X845" s="83">
        <v>0</v>
      </c>
    </row>
    <row r="846" spans="1:25" x14ac:dyDescent="0.2">
      <c r="A846" s="83">
        <v>1</v>
      </c>
      <c r="B846" s="84">
        <v>5701603305480</v>
      </c>
      <c r="C846" s="83">
        <v>80</v>
      </c>
      <c r="D846" s="84">
        <v>1020145</v>
      </c>
      <c r="F846" s="83" t="s">
        <v>103</v>
      </c>
      <c r="G846" s="83">
        <v>0</v>
      </c>
      <c r="H846" s="83">
        <v>100</v>
      </c>
      <c r="K846" s="83" t="s">
        <v>408</v>
      </c>
      <c r="L846" s="83" t="s">
        <v>101</v>
      </c>
      <c r="M846" s="83" t="s">
        <v>410</v>
      </c>
      <c r="N846" s="83" t="s">
        <v>102</v>
      </c>
      <c r="P846" s="83">
        <v>0</v>
      </c>
      <c r="U846" s="83">
        <v>4</v>
      </c>
      <c r="V846" s="83">
        <v>1</v>
      </c>
      <c r="W846" s="83" t="s">
        <v>103</v>
      </c>
      <c r="X846" s="83">
        <v>0</v>
      </c>
    </row>
    <row r="847" spans="1:25" x14ac:dyDescent="0.2">
      <c r="A847" s="83">
        <v>1</v>
      </c>
      <c r="B847" s="84">
        <v>5701603305480</v>
      </c>
      <c r="C847" s="83">
        <v>90</v>
      </c>
      <c r="D847" s="84">
        <v>777500480</v>
      </c>
      <c r="F847" s="83" t="s">
        <v>103</v>
      </c>
      <c r="G847" s="83">
        <v>0</v>
      </c>
      <c r="H847" s="83">
        <v>100</v>
      </c>
      <c r="K847" s="83">
        <v>1</v>
      </c>
      <c r="L847" s="83" t="s">
        <v>101</v>
      </c>
      <c r="M847" s="83" t="s">
        <v>410</v>
      </c>
      <c r="N847" s="83" t="s">
        <v>102</v>
      </c>
      <c r="P847" s="83">
        <v>0</v>
      </c>
      <c r="U847" s="83">
        <v>4</v>
      </c>
      <c r="V847" s="83">
        <v>1</v>
      </c>
      <c r="W847" s="83" t="s">
        <v>103</v>
      </c>
      <c r="X847" s="83">
        <v>0</v>
      </c>
    </row>
    <row r="848" spans="1:25" x14ac:dyDescent="0.2">
      <c r="A848" s="83">
        <v>1</v>
      </c>
      <c r="B848" s="84">
        <v>5701603306480</v>
      </c>
      <c r="C848" s="83">
        <v>10</v>
      </c>
      <c r="D848" s="84">
        <v>5980463306</v>
      </c>
      <c r="F848" s="83" t="s">
        <v>103</v>
      </c>
      <c r="G848" s="83">
        <v>0</v>
      </c>
      <c r="H848" s="83">
        <v>100</v>
      </c>
      <c r="K848" s="83">
        <v>1</v>
      </c>
      <c r="L848" s="83" t="s">
        <v>101</v>
      </c>
      <c r="M848" s="83" t="s">
        <v>410</v>
      </c>
      <c r="N848" s="83" t="s">
        <v>102</v>
      </c>
      <c r="P848" s="83">
        <v>0</v>
      </c>
      <c r="U848" s="83">
        <v>4</v>
      </c>
      <c r="V848" s="83">
        <v>1</v>
      </c>
      <c r="W848" s="83" t="s">
        <v>103</v>
      </c>
      <c r="X848" s="83">
        <v>0</v>
      </c>
      <c r="Y848" s="83" t="str">
        <f>LEFT(D848,6)</f>
        <v>598046</v>
      </c>
    </row>
    <row r="849" spans="1:25" x14ac:dyDescent="0.2">
      <c r="A849" s="83">
        <v>1</v>
      </c>
      <c r="B849" s="84">
        <v>5701603306480</v>
      </c>
      <c r="C849" s="83">
        <v>20</v>
      </c>
      <c r="D849" s="84">
        <v>5980543306</v>
      </c>
      <c r="F849" s="83" t="s">
        <v>103</v>
      </c>
      <c r="G849" s="83">
        <v>0</v>
      </c>
      <c r="H849" s="83">
        <v>100</v>
      </c>
      <c r="K849" s="83">
        <v>1</v>
      </c>
      <c r="L849" s="83" t="s">
        <v>101</v>
      </c>
      <c r="M849" s="83" t="s">
        <v>410</v>
      </c>
      <c r="N849" s="83" t="s">
        <v>102</v>
      </c>
      <c r="P849" s="83">
        <v>0</v>
      </c>
      <c r="U849" s="83">
        <v>4</v>
      </c>
      <c r="V849" s="83">
        <v>1</v>
      </c>
      <c r="W849" s="83" t="s">
        <v>103</v>
      </c>
      <c r="X849" s="83">
        <v>0</v>
      </c>
    </row>
    <row r="850" spans="1:25" x14ac:dyDescent="0.2">
      <c r="A850" s="83">
        <v>1</v>
      </c>
      <c r="B850" s="84">
        <v>5701603306480</v>
      </c>
      <c r="C850" s="83">
        <v>30</v>
      </c>
      <c r="D850" s="84">
        <v>5980623306</v>
      </c>
      <c r="F850" s="83" t="s">
        <v>103</v>
      </c>
      <c r="G850" s="83">
        <v>0</v>
      </c>
      <c r="H850" s="83">
        <v>100</v>
      </c>
      <c r="K850" s="83">
        <v>1</v>
      </c>
      <c r="L850" s="83" t="s">
        <v>101</v>
      </c>
      <c r="M850" s="83" t="s">
        <v>410</v>
      </c>
      <c r="N850" s="83" t="s">
        <v>102</v>
      </c>
      <c r="P850" s="83">
        <v>0</v>
      </c>
      <c r="U850" s="83">
        <v>4</v>
      </c>
      <c r="V850" s="83">
        <v>1</v>
      </c>
      <c r="W850" s="83" t="s">
        <v>103</v>
      </c>
      <c r="X850" s="83">
        <v>0</v>
      </c>
    </row>
    <row r="851" spans="1:25" x14ac:dyDescent="0.2">
      <c r="A851" s="83">
        <v>1</v>
      </c>
      <c r="B851" s="84">
        <v>5701603306480</v>
      </c>
      <c r="C851" s="83">
        <v>40</v>
      </c>
      <c r="D851" s="84">
        <v>5980823306</v>
      </c>
      <c r="F851" s="83" t="s">
        <v>103</v>
      </c>
      <c r="G851" s="83">
        <v>0</v>
      </c>
      <c r="H851" s="83">
        <v>100</v>
      </c>
      <c r="K851" s="83">
        <v>1</v>
      </c>
      <c r="L851" s="83" t="s">
        <v>101</v>
      </c>
      <c r="M851" s="83" t="s">
        <v>410</v>
      </c>
      <c r="N851" s="83" t="s">
        <v>102</v>
      </c>
      <c r="P851" s="83">
        <v>0</v>
      </c>
      <c r="U851" s="83">
        <v>4</v>
      </c>
      <c r="V851" s="83">
        <v>1</v>
      </c>
      <c r="W851" s="83" t="s">
        <v>103</v>
      </c>
      <c r="X851" s="83">
        <v>0</v>
      </c>
    </row>
    <row r="852" spans="1:25" x14ac:dyDescent="0.2">
      <c r="A852" s="83">
        <v>1</v>
      </c>
      <c r="B852" s="84">
        <v>5701603306480</v>
      </c>
      <c r="C852" s="83">
        <v>50</v>
      </c>
      <c r="D852" s="84">
        <v>5980933306</v>
      </c>
      <c r="F852" s="83" t="s">
        <v>103</v>
      </c>
      <c r="G852" s="83">
        <v>0</v>
      </c>
      <c r="H852" s="83">
        <v>100</v>
      </c>
      <c r="K852" s="83">
        <v>1</v>
      </c>
      <c r="L852" s="83" t="s">
        <v>101</v>
      </c>
      <c r="M852" s="83" t="s">
        <v>410</v>
      </c>
      <c r="N852" s="83" t="s">
        <v>102</v>
      </c>
      <c r="P852" s="83">
        <v>0</v>
      </c>
      <c r="U852" s="83">
        <v>4</v>
      </c>
      <c r="V852" s="83">
        <v>1</v>
      </c>
      <c r="W852" s="83" t="s">
        <v>103</v>
      </c>
      <c r="X852" s="83">
        <v>0</v>
      </c>
    </row>
    <row r="853" spans="1:25" x14ac:dyDescent="0.2">
      <c r="A853" s="83">
        <v>1</v>
      </c>
      <c r="B853" s="84">
        <v>5701603306480</v>
      </c>
      <c r="C853" s="83">
        <v>60</v>
      </c>
      <c r="D853" s="84">
        <v>1010286</v>
      </c>
      <c r="F853" s="83" t="s">
        <v>103</v>
      </c>
      <c r="G853" s="83">
        <v>0</v>
      </c>
      <c r="H853" s="83">
        <v>100</v>
      </c>
      <c r="K853" s="83">
        <v>8</v>
      </c>
      <c r="L853" s="83" t="s">
        <v>101</v>
      </c>
      <c r="M853" s="83" t="s">
        <v>410</v>
      </c>
      <c r="N853" s="83" t="s">
        <v>102</v>
      </c>
      <c r="P853" s="83">
        <v>0</v>
      </c>
      <c r="U853" s="83">
        <v>4</v>
      </c>
      <c r="V853" s="83">
        <v>1</v>
      </c>
      <c r="W853" s="83" t="s">
        <v>103</v>
      </c>
      <c r="X853" s="83">
        <v>0</v>
      </c>
    </row>
    <row r="854" spans="1:25" x14ac:dyDescent="0.2">
      <c r="A854" s="83">
        <v>1</v>
      </c>
      <c r="B854" s="84">
        <v>5701603306480</v>
      </c>
      <c r="C854" s="83">
        <v>70</v>
      </c>
      <c r="D854" s="84">
        <v>1010287</v>
      </c>
      <c r="F854" s="83" t="s">
        <v>103</v>
      </c>
      <c r="G854" s="83">
        <v>0</v>
      </c>
      <c r="H854" s="83">
        <v>100</v>
      </c>
      <c r="K854" s="83">
        <v>4</v>
      </c>
      <c r="L854" s="83" t="s">
        <v>101</v>
      </c>
      <c r="M854" s="83" t="s">
        <v>410</v>
      </c>
      <c r="N854" s="83" t="s">
        <v>102</v>
      </c>
      <c r="P854" s="83">
        <v>0</v>
      </c>
      <c r="U854" s="83">
        <v>4</v>
      </c>
      <c r="V854" s="83">
        <v>1</v>
      </c>
      <c r="W854" s="83" t="s">
        <v>103</v>
      </c>
      <c r="X854" s="83">
        <v>0</v>
      </c>
    </row>
    <row r="855" spans="1:25" x14ac:dyDescent="0.2">
      <c r="A855" s="83">
        <v>1</v>
      </c>
      <c r="B855" s="84">
        <v>5701603306480</v>
      </c>
      <c r="C855" s="83">
        <v>80</v>
      </c>
      <c r="D855" s="84">
        <v>1020145</v>
      </c>
      <c r="F855" s="83" t="s">
        <v>103</v>
      </c>
      <c r="G855" s="83">
        <v>0</v>
      </c>
      <c r="H855" s="83">
        <v>100</v>
      </c>
      <c r="K855" s="83" t="s">
        <v>408</v>
      </c>
      <c r="L855" s="83" t="s">
        <v>101</v>
      </c>
      <c r="M855" s="83" t="s">
        <v>410</v>
      </c>
      <c r="N855" s="83" t="s">
        <v>102</v>
      </c>
      <c r="P855" s="83">
        <v>0</v>
      </c>
      <c r="U855" s="83">
        <v>4</v>
      </c>
      <c r="V855" s="83">
        <v>1</v>
      </c>
      <c r="W855" s="83" t="s">
        <v>103</v>
      </c>
      <c r="X855" s="83">
        <v>0</v>
      </c>
    </row>
    <row r="856" spans="1:25" x14ac:dyDescent="0.2">
      <c r="A856" s="83">
        <v>1</v>
      </c>
      <c r="B856" s="84">
        <v>5701603306480</v>
      </c>
      <c r="C856" s="83">
        <v>90</v>
      </c>
      <c r="D856" s="84">
        <v>777500480</v>
      </c>
      <c r="F856" s="83" t="s">
        <v>103</v>
      </c>
      <c r="G856" s="83">
        <v>0</v>
      </c>
      <c r="H856" s="83">
        <v>100</v>
      </c>
      <c r="K856" s="83">
        <v>1</v>
      </c>
      <c r="L856" s="83" t="s">
        <v>101</v>
      </c>
      <c r="M856" s="83" t="s">
        <v>410</v>
      </c>
      <c r="N856" s="83" t="s">
        <v>102</v>
      </c>
      <c r="P856" s="83">
        <v>0</v>
      </c>
      <c r="U856" s="83">
        <v>4</v>
      </c>
      <c r="V856" s="83">
        <v>1</v>
      </c>
      <c r="W856" s="83" t="s">
        <v>103</v>
      </c>
      <c r="X856" s="83">
        <v>0</v>
      </c>
    </row>
    <row r="857" spans="1:25" x14ac:dyDescent="0.2">
      <c r="A857" s="83">
        <v>1</v>
      </c>
      <c r="B857" s="84">
        <v>5701603307480</v>
      </c>
      <c r="C857" s="83">
        <v>10</v>
      </c>
      <c r="D857" s="84">
        <v>5980463307</v>
      </c>
      <c r="F857" s="83" t="s">
        <v>103</v>
      </c>
      <c r="G857" s="83">
        <v>0</v>
      </c>
      <c r="H857" s="83">
        <v>100</v>
      </c>
      <c r="K857" s="83">
        <v>1</v>
      </c>
      <c r="L857" s="83" t="s">
        <v>101</v>
      </c>
      <c r="M857" s="83" t="s">
        <v>410</v>
      </c>
      <c r="N857" s="83" t="s">
        <v>102</v>
      </c>
      <c r="P857" s="83">
        <v>0</v>
      </c>
      <c r="U857" s="83">
        <v>4</v>
      </c>
      <c r="V857" s="83">
        <v>1</v>
      </c>
      <c r="W857" s="83" t="s">
        <v>103</v>
      </c>
      <c r="X857" s="83">
        <v>0</v>
      </c>
      <c r="Y857" s="83" t="str">
        <f>LEFT(D857,6)</f>
        <v>598046</v>
      </c>
    </row>
    <row r="858" spans="1:25" x14ac:dyDescent="0.2">
      <c r="A858" s="83">
        <v>1</v>
      </c>
      <c r="B858" s="84">
        <v>5701603307480</v>
      </c>
      <c r="C858" s="83">
        <v>20</v>
      </c>
      <c r="D858" s="84">
        <v>5980543307</v>
      </c>
      <c r="F858" s="83" t="s">
        <v>103</v>
      </c>
      <c r="G858" s="83">
        <v>0</v>
      </c>
      <c r="H858" s="83">
        <v>100</v>
      </c>
      <c r="K858" s="83">
        <v>1</v>
      </c>
      <c r="L858" s="83" t="s">
        <v>101</v>
      </c>
      <c r="M858" s="83" t="s">
        <v>410</v>
      </c>
      <c r="N858" s="83" t="s">
        <v>102</v>
      </c>
      <c r="P858" s="83">
        <v>0</v>
      </c>
      <c r="U858" s="83">
        <v>4</v>
      </c>
      <c r="V858" s="83">
        <v>1</v>
      </c>
      <c r="W858" s="83" t="s">
        <v>103</v>
      </c>
      <c r="X858" s="83">
        <v>0</v>
      </c>
    </row>
    <row r="859" spans="1:25" x14ac:dyDescent="0.2">
      <c r="A859" s="83">
        <v>1</v>
      </c>
      <c r="B859" s="84">
        <v>5701603307480</v>
      </c>
      <c r="C859" s="83">
        <v>30</v>
      </c>
      <c r="D859" s="84">
        <v>5980623307</v>
      </c>
      <c r="F859" s="83" t="s">
        <v>103</v>
      </c>
      <c r="G859" s="83">
        <v>0</v>
      </c>
      <c r="H859" s="83">
        <v>100</v>
      </c>
      <c r="K859" s="83">
        <v>1</v>
      </c>
      <c r="L859" s="83" t="s">
        <v>101</v>
      </c>
      <c r="M859" s="83" t="s">
        <v>410</v>
      </c>
      <c r="N859" s="83" t="s">
        <v>102</v>
      </c>
      <c r="P859" s="83">
        <v>0</v>
      </c>
      <c r="U859" s="83">
        <v>4</v>
      </c>
      <c r="V859" s="83">
        <v>1</v>
      </c>
      <c r="W859" s="83" t="s">
        <v>103</v>
      </c>
      <c r="X859" s="83">
        <v>0</v>
      </c>
    </row>
    <row r="860" spans="1:25" x14ac:dyDescent="0.2">
      <c r="A860" s="83">
        <v>1</v>
      </c>
      <c r="B860" s="84">
        <v>5701603307480</v>
      </c>
      <c r="C860" s="83">
        <v>40</v>
      </c>
      <c r="D860" s="84">
        <v>5980823307</v>
      </c>
      <c r="F860" s="83" t="s">
        <v>103</v>
      </c>
      <c r="G860" s="83">
        <v>0</v>
      </c>
      <c r="H860" s="83">
        <v>100</v>
      </c>
      <c r="K860" s="83">
        <v>1</v>
      </c>
      <c r="L860" s="83" t="s">
        <v>101</v>
      </c>
      <c r="M860" s="83" t="s">
        <v>410</v>
      </c>
      <c r="N860" s="83" t="s">
        <v>102</v>
      </c>
      <c r="P860" s="83">
        <v>0</v>
      </c>
      <c r="U860" s="83">
        <v>4</v>
      </c>
      <c r="V860" s="83">
        <v>1</v>
      </c>
      <c r="W860" s="83" t="s">
        <v>103</v>
      </c>
      <c r="X860" s="83">
        <v>0</v>
      </c>
    </row>
    <row r="861" spans="1:25" x14ac:dyDescent="0.2">
      <c r="A861" s="83">
        <v>1</v>
      </c>
      <c r="B861" s="84">
        <v>5701603307480</v>
      </c>
      <c r="C861" s="83">
        <v>50</v>
      </c>
      <c r="D861" s="84">
        <v>5980933307</v>
      </c>
      <c r="F861" s="83" t="s">
        <v>103</v>
      </c>
      <c r="G861" s="83">
        <v>0</v>
      </c>
      <c r="H861" s="83">
        <v>100</v>
      </c>
      <c r="K861" s="83">
        <v>1</v>
      </c>
      <c r="L861" s="83" t="s">
        <v>101</v>
      </c>
      <c r="M861" s="83" t="s">
        <v>410</v>
      </c>
      <c r="N861" s="83" t="s">
        <v>102</v>
      </c>
      <c r="P861" s="83">
        <v>0</v>
      </c>
      <c r="U861" s="83">
        <v>4</v>
      </c>
      <c r="V861" s="83">
        <v>1</v>
      </c>
      <c r="W861" s="83" t="s">
        <v>103</v>
      </c>
      <c r="X861" s="83">
        <v>0</v>
      </c>
    </row>
    <row r="862" spans="1:25" x14ac:dyDescent="0.2">
      <c r="A862" s="83">
        <v>1</v>
      </c>
      <c r="B862" s="84">
        <v>5701603307480</v>
      </c>
      <c r="C862" s="83">
        <v>60</v>
      </c>
      <c r="D862" s="84">
        <v>1010286</v>
      </c>
      <c r="F862" s="83" t="s">
        <v>103</v>
      </c>
      <c r="G862" s="83">
        <v>0</v>
      </c>
      <c r="H862" s="83">
        <v>100</v>
      </c>
      <c r="K862" s="83">
        <v>8</v>
      </c>
      <c r="L862" s="83" t="s">
        <v>101</v>
      </c>
      <c r="M862" s="83" t="s">
        <v>410</v>
      </c>
      <c r="N862" s="83" t="s">
        <v>102</v>
      </c>
      <c r="P862" s="83">
        <v>0</v>
      </c>
      <c r="U862" s="83">
        <v>4</v>
      </c>
      <c r="V862" s="83">
        <v>1</v>
      </c>
      <c r="W862" s="83" t="s">
        <v>103</v>
      </c>
      <c r="X862" s="83">
        <v>0</v>
      </c>
    </row>
    <row r="863" spans="1:25" x14ac:dyDescent="0.2">
      <c r="A863" s="83">
        <v>1</v>
      </c>
      <c r="B863" s="84">
        <v>5701603307480</v>
      </c>
      <c r="C863" s="83">
        <v>70</v>
      </c>
      <c r="D863" s="84">
        <v>1010287</v>
      </c>
      <c r="F863" s="83" t="s">
        <v>103</v>
      </c>
      <c r="G863" s="83">
        <v>0</v>
      </c>
      <c r="H863" s="83">
        <v>100</v>
      </c>
      <c r="K863" s="83">
        <v>4</v>
      </c>
      <c r="L863" s="83" t="s">
        <v>101</v>
      </c>
      <c r="M863" s="83" t="s">
        <v>410</v>
      </c>
      <c r="N863" s="83" t="s">
        <v>102</v>
      </c>
      <c r="P863" s="83">
        <v>0</v>
      </c>
      <c r="U863" s="83">
        <v>4</v>
      </c>
      <c r="V863" s="83">
        <v>1</v>
      </c>
      <c r="W863" s="83" t="s">
        <v>103</v>
      </c>
      <c r="X863" s="83">
        <v>0</v>
      </c>
    </row>
    <row r="864" spans="1:25" x14ac:dyDescent="0.2">
      <c r="A864" s="83">
        <v>1</v>
      </c>
      <c r="B864" s="84">
        <v>5701603307480</v>
      </c>
      <c r="C864" s="83">
        <v>80</v>
      </c>
      <c r="D864" s="84">
        <v>1020145</v>
      </c>
      <c r="F864" s="83" t="s">
        <v>103</v>
      </c>
      <c r="G864" s="83">
        <v>0</v>
      </c>
      <c r="H864" s="83">
        <v>100</v>
      </c>
      <c r="K864" s="83" t="s">
        <v>408</v>
      </c>
      <c r="L864" s="83" t="s">
        <v>101</v>
      </c>
      <c r="M864" s="83" t="s">
        <v>410</v>
      </c>
      <c r="N864" s="83" t="s">
        <v>102</v>
      </c>
      <c r="P864" s="83">
        <v>0</v>
      </c>
      <c r="U864" s="83">
        <v>4</v>
      </c>
      <c r="V864" s="83">
        <v>1</v>
      </c>
      <c r="W864" s="83" t="s">
        <v>103</v>
      </c>
      <c r="X864" s="83">
        <v>0</v>
      </c>
    </row>
    <row r="865" spans="1:25" x14ac:dyDescent="0.2">
      <c r="A865" s="83">
        <v>1</v>
      </c>
      <c r="B865" s="84">
        <v>5701603307480</v>
      </c>
      <c r="C865" s="83">
        <v>90</v>
      </c>
      <c r="D865" s="84">
        <v>777500480</v>
      </c>
      <c r="F865" s="83" t="s">
        <v>103</v>
      </c>
      <c r="G865" s="83">
        <v>0</v>
      </c>
      <c r="H865" s="83">
        <v>100</v>
      </c>
      <c r="K865" s="83">
        <v>1</v>
      </c>
      <c r="L865" s="83" t="s">
        <v>101</v>
      </c>
      <c r="M865" s="83" t="s">
        <v>410</v>
      </c>
      <c r="N865" s="83" t="s">
        <v>102</v>
      </c>
      <c r="P865" s="83">
        <v>0</v>
      </c>
      <c r="U865" s="83">
        <v>4</v>
      </c>
      <c r="V865" s="83">
        <v>1</v>
      </c>
      <c r="W865" s="83" t="s">
        <v>103</v>
      </c>
      <c r="X865" s="83">
        <v>0</v>
      </c>
    </row>
    <row r="866" spans="1:25" x14ac:dyDescent="0.2">
      <c r="A866" s="83">
        <v>1</v>
      </c>
      <c r="B866" s="84">
        <v>5701603308480</v>
      </c>
      <c r="C866" s="83">
        <v>10</v>
      </c>
      <c r="D866" s="84">
        <v>5980463308</v>
      </c>
      <c r="F866" s="83" t="s">
        <v>103</v>
      </c>
      <c r="G866" s="83">
        <v>0</v>
      </c>
      <c r="H866" s="83">
        <v>100</v>
      </c>
      <c r="K866" s="83">
        <v>1</v>
      </c>
      <c r="L866" s="83" t="s">
        <v>101</v>
      </c>
      <c r="M866" s="83" t="s">
        <v>410</v>
      </c>
      <c r="N866" s="83" t="s">
        <v>102</v>
      </c>
      <c r="P866" s="83">
        <v>0</v>
      </c>
      <c r="U866" s="83">
        <v>4</v>
      </c>
      <c r="V866" s="83">
        <v>1</v>
      </c>
      <c r="W866" s="83" t="s">
        <v>103</v>
      </c>
      <c r="X866" s="83">
        <v>0</v>
      </c>
      <c r="Y866" s="83" t="str">
        <f>LEFT(D866,6)</f>
        <v>598046</v>
      </c>
    </row>
    <row r="867" spans="1:25" x14ac:dyDescent="0.2">
      <c r="A867" s="83">
        <v>1</v>
      </c>
      <c r="B867" s="84">
        <v>5701603308480</v>
      </c>
      <c r="C867" s="83">
        <v>20</v>
      </c>
      <c r="D867" s="84">
        <v>5980543308</v>
      </c>
      <c r="F867" s="83" t="s">
        <v>103</v>
      </c>
      <c r="G867" s="83">
        <v>0</v>
      </c>
      <c r="H867" s="83">
        <v>100</v>
      </c>
      <c r="K867" s="83">
        <v>1</v>
      </c>
      <c r="L867" s="83" t="s">
        <v>101</v>
      </c>
      <c r="M867" s="83" t="s">
        <v>410</v>
      </c>
      <c r="N867" s="83" t="s">
        <v>102</v>
      </c>
      <c r="P867" s="83">
        <v>0</v>
      </c>
      <c r="U867" s="83">
        <v>4</v>
      </c>
      <c r="V867" s="83">
        <v>1</v>
      </c>
      <c r="W867" s="83" t="s">
        <v>103</v>
      </c>
      <c r="X867" s="83">
        <v>0</v>
      </c>
    </row>
    <row r="868" spans="1:25" x14ac:dyDescent="0.2">
      <c r="A868" s="83">
        <v>1</v>
      </c>
      <c r="B868" s="84">
        <v>5701603308480</v>
      </c>
      <c r="C868" s="83">
        <v>30</v>
      </c>
      <c r="D868" s="84">
        <v>5980623308</v>
      </c>
      <c r="F868" s="83" t="s">
        <v>103</v>
      </c>
      <c r="G868" s="83">
        <v>0</v>
      </c>
      <c r="H868" s="83">
        <v>100</v>
      </c>
      <c r="K868" s="83">
        <v>1</v>
      </c>
      <c r="L868" s="83" t="s">
        <v>101</v>
      </c>
      <c r="M868" s="83" t="s">
        <v>410</v>
      </c>
      <c r="N868" s="83" t="s">
        <v>102</v>
      </c>
      <c r="P868" s="83">
        <v>0</v>
      </c>
      <c r="U868" s="83">
        <v>4</v>
      </c>
      <c r="V868" s="83">
        <v>1</v>
      </c>
      <c r="W868" s="83" t="s">
        <v>103</v>
      </c>
      <c r="X868" s="83">
        <v>0</v>
      </c>
    </row>
    <row r="869" spans="1:25" x14ac:dyDescent="0.2">
      <c r="A869" s="83">
        <v>1</v>
      </c>
      <c r="B869" s="84">
        <v>5701603308480</v>
      </c>
      <c r="C869" s="83">
        <v>40</v>
      </c>
      <c r="D869" s="84">
        <v>5980823308</v>
      </c>
      <c r="F869" s="83" t="s">
        <v>103</v>
      </c>
      <c r="G869" s="83">
        <v>0</v>
      </c>
      <c r="H869" s="83">
        <v>100</v>
      </c>
      <c r="K869" s="83">
        <v>1</v>
      </c>
      <c r="L869" s="83" t="s">
        <v>101</v>
      </c>
      <c r="M869" s="83" t="s">
        <v>410</v>
      </c>
      <c r="N869" s="83" t="s">
        <v>102</v>
      </c>
      <c r="P869" s="83">
        <v>0</v>
      </c>
      <c r="U869" s="83">
        <v>4</v>
      </c>
      <c r="V869" s="83">
        <v>1</v>
      </c>
      <c r="W869" s="83" t="s">
        <v>103</v>
      </c>
      <c r="X869" s="83">
        <v>0</v>
      </c>
    </row>
    <row r="870" spans="1:25" x14ac:dyDescent="0.2">
      <c r="A870" s="83">
        <v>1</v>
      </c>
      <c r="B870" s="84">
        <v>5701603308480</v>
      </c>
      <c r="C870" s="83">
        <v>50</v>
      </c>
      <c r="D870" s="84">
        <v>5980933308</v>
      </c>
      <c r="F870" s="83" t="s">
        <v>103</v>
      </c>
      <c r="G870" s="83">
        <v>0</v>
      </c>
      <c r="H870" s="83">
        <v>100</v>
      </c>
      <c r="K870" s="83">
        <v>1</v>
      </c>
      <c r="L870" s="83" t="s">
        <v>101</v>
      </c>
      <c r="M870" s="83" t="s">
        <v>410</v>
      </c>
      <c r="N870" s="83" t="s">
        <v>102</v>
      </c>
      <c r="P870" s="83">
        <v>0</v>
      </c>
      <c r="U870" s="83">
        <v>4</v>
      </c>
      <c r="V870" s="83">
        <v>1</v>
      </c>
      <c r="W870" s="83" t="s">
        <v>103</v>
      </c>
      <c r="X870" s="83">
        <v>0</v>
      </c>
    </row>
    <row r="871" spans="1:25" x14ac:dyDescent="0.2">
      <c r="A871" s="83">
        <v>1</v>
      </c>
      <c r="B871" s="84">
        <v>5701603308480</v>
      </c>
      <c r="C871" s="83">
        <v>60</v>
      </c>
      <c r="D871" s="84">
        <v>1010286</v>
      </c>
      <c r="F871" s="83" t="s">
        <v>103</v>
      </c>
      <c r="G871" s="83">
        <v>0</v>
      </c>
      <c r="H871" s="83">
        <v>100</v>
      </c>
      <c r="K871" s="83">
        <v>8</v>
      </c>
      <c r="L871" s="83" t="s">
        <v>101</v>
      </c>
      <c r="M871" s="83" t="s">
        <v>410</v>
      </c>
      <c r="N871" s="83" t="s">
        <v>102</v>
      </c>
      <c r="P871" s="83">
        <v>0</v>
      </c>
      <c r="U871" s="83">
        <v>4</v>
      </c>
      <c r="V871" s="83">
        <v>1</v>
      </c>
      <c r="W871" s="83" t="s">
        <v>103</v>
      </c>
      <c r="X871" s="83">
        <v>0</v>
      </c>
    </row>
    <row r="872" spans="1:25" x14ac:dyDescent="0.2">
      <c r="A872" s="83">
        <v>1</v>
      </c>
      <c r="B872" s="84">
        <v>5701603308480</v>
      </c>
      <c r="C872" s="83">
        <v>70</v>
      </c>
      <c r="D872" s="84">
        <v>1010288</v>
      </c>
      <c r="F872" s="83" t="s">
        <v>103</v>
      </c>
      <c r="G872" s="83">
        <v>0</v>
      </c>
      <c r="H872" s="83">
        <v>100</v>
      </c>
      <c r="K872" s="83">
        <v>4</v>
      </c>
      <c r="L872" s="83" t="s">
        <v>101</v>
      </c>
      <c r="M872" s="83" t="s">
        <v>410</v>
      </c>
      <c r="N872" s="83" t="s">
        <v>102</v>
      </c>
      <c r="P872" s="83">
        <v>0</v>
      </c>
      <c r="U872" s="83">
        <v>4</v>
      </c>
      <c r="V872" s="83">
        <v>1</v>
      </c>
      <c r="W872" s="83" t="s">
        <v>103</v>
      </c>
      <c r="X872" s="83">
        <v>0</v>
      </c>
    </row>
    <row r="873" spans="1:25" x14ac:dyDescent="0.2">
      <c r="A873" s="83">
        <v>1</v>
      </c>
      <c r="B873" s="84">
        <v>5701603308480</v>
      </c>
      <c r="C873" s="83">
        <v>80</v>
      </c>
      <c r="D873" s="84">
        <v>1020145</v>
      </c>
      <c r="F873" s="83" t="s">
        <v>103</v>
      </c>
      <c r="G873" s="83">
        <v>0</v>
      </c>
      <c r="H873" s="83">
        <v>100</v>
      </c>
      <c r="K873" s="83" t="s">
        <v>408</v>
      </c>
      <c r="L873" s="83" t="s">
        <v>101</v>
      </c>
      <c r="M873" s="83" t="s">
        <v>410</v>
      </c>
      <c r="N873" s="83" t="s">
        <v>102</v>
      </c>
      <c r="P873" s="83">
        <v>0</v>
      </c>
      <c r="U873" s="83">
        <v>4</v>
      </c>
      <c r="V873" s="83">
        <v>1</v>
      </c>
      <c r="W873" s="83" t="s">
        <v>103</v>
      </c>
      <c r="X873" s="83">
        <v>0</v>
      </c>
    </row>
    <row r="874" spans="1:25" x14ac:dyDescent="0.2">
      <c r="A874" s="83">
        <v>1</v>
      </c>
      <c r="B874" s="84">
        <v>5701603308480</v>
      </c>
      <c r="C874" s="83">
        <v>90</v>
      </c>
      <c r="D874" s="84">
        <v>777500480</v>
      </c>
      <c r="F874" s="83" t="s">
        <v>103</v>
      </c>
      <c r="G874" s="83">
        <v>0</v>
      </c>
      <c r="H874" s="83">
        <v>100</v>
      </c>
      <c r="K874" s="83">
        <v>1</v>
      </c>
      <c r="L874" s="83" t="s">
        <v>101</v>
      </c>
      <c r="M874" s="83" t="s">
        <v>410</v>
      </c>
      <c r="N874" s="83" t="s">
        <v>102</v>
      </c>
      <c r="P874" s="83">
        <v>0</v>
      </c>
      <c r="U874" s="83">
        <v>4</v>
      </c>
      <c r="V874" s="83">
        <v>1</v>
      </c>
      <c r="W874" s="83" t="s">
        <v>103</v>
      </c>
      <c r="X874" s="83">
        <v>0</v>
      </c>
    </row>
    <row r="875" spans="1:25" x14ac:dyDescent="0.2">
      <c r="A875" s="83">
        <v>1</v>
      </c>
      <c r="B875" s="84">
        <v>5701603309480</v>
      </c>
      <c r="C875" s="83">
        <v>10</v>
      </c>
      <c r="D875" s="84">
        <v>5980463309</v>
      </c>
      <c r="F875" s="83" t="s">
        <v>103</v>
      </c>
      <c r="G875" s="83">
        <v>0</v>
      </c>
      <c r="H875" s="83">
        <v>100</v>
      </c>
      <c r="K875" s="83">
        <v>1</v>
      </c>
      <c r="L875" s="83" t="s">
        <v>101</v>
      </c>
      <c r="M875" s="83" t="s">
        <v>410</v>
      </c>
      <c r="N875" s="83" t="s">
        <v>102</v>
      </c>
      <c r="P875" s="83">
        <v>0</v>
      </c>
      <c r="U875" s="83">
        <v>4</v>
      </c>
      <c r="V875" s="83">
        <v>1</v>
      </c>
      <c r="W875" s="83" t="s">
        <v>103</v>
      </c>
      <c r="X875" s="83">
        <v>0</v>
      </c>
      <c r="Y875" s="83" t="str">
        <f>LEFT(D875,6)</f>
        <v>598046</v>
      </c>
    </row>
    <row r="876" spans="1:25" x14ac:dyDescent="0.2">
      <c r="A876" s="83">
        <v>1</v>
      </c>
      <c r="B876" s="84">
        <v>5701603309480</v>
      </c>
      <c r="C876" s="83">
        <v>20</v>
      </c>
      <c r="D876" s="84">
        <v>5980543309</v>
      </c>
      <c r="F876" s="83" t="s">
        <v>103</v>
      </c>
      <c r="G876" s="83">
        <v>0</v>
      </c>
      <c r="H876" s="83">
        <v>100</v>
      </c>
      <c r="K876" s="83">
        <v>1</v>
      </c>
      <c r="L876" s="83" t="s">
        <v>101</v>
      </c>
      <c r="M876" s="83" t="s">
        <v>410</v>
      </c>
      <c r="N876" s="83" t="s">
        <v>102</v>
      </c>
      <c r="P876" s="83">
        <v>0</v>
      </c>
      <c r="U876" s="83">
        <v>4</v>
      </c>
      <c r="V876" s="83">
        <v>1</v>
      </c>
      <c r="W876" s="83" t="s">
        <v>103</v>
      </c>
      <c r="X876" s="83">
        <v>0</v>
      </c>
    </row>
    <row r="877" spans="1:25" x14ac:dyDescent="0.2">
      <c r="A877" s="83">
        <v>1</v>
      </c>
      <c r="B877" s="84">
        <v>5701603309480</v>
      </c>
      <c r="C877" s="83">
        <v>30</v>
      </c>
      <c r="D877" s="84">
        <v>5980623309</v>
      </c>
      <c r="F877" s="83" t="s">
        <v>103</v>
      </c>
      <c r="G877" s="83">
        <v>0</v>
      </c>
      <c r="H877" s="83">
        <v>100</v>
      </c>
      <c r="K877" s="83">
        <v>1</v>
      </c>
      <c r="L877" s="83" t="s">
        <v>101</v>
      </c>
      <c r="M877" s="83" t="s">
        <v>410</v>
      </c>
      <c r="N877" s="83" t="s">
        <v>102</v>
      </c>
      <c r="P877" s="83">
        <v>0</v>
      </c>
      <c r="U877" s="83">
        <v>4</v>
      </c>
      <c r="V877" s="83">
        <v>1</v>
      </c>
      <c r="W877" s="83" t="s">
        <v>103</v>
      </c>
      <c r="X877" s="83">
        <v>0</v>
      </c>
    </row>
    <row r="878" spans="1:25" x14ac:dyDescent="0.2">
      <c r="A878" s="83">
        <v>1</v>
      </c>
      <c r="B878" s="84">
        <v>5701603309480</v>
      </c>
      <c r="C878" s="83">
        <v>40</v>
      </c>
      <c r="D878" s="84">
        <v>5980823309</v>
      </c>
      <c r="F878" s="83" t="s">
        <v>103</v>
      </c>
      <c r="G878" s="83">
        <v>0</v>
      </c>
      <c r="H878" s="83">
        <v>100</v>
      </c>
      <c r="K878" s="83">
        <v>1</v>
      </c>
      <c r="L878" s="83" t="s">
        <v>101</v>
      </c>
      <c r="M878" s="83" t="s">
        <v>410</v>
      </c>
      <c r="N878" s="83" t="s">
        <v>102</v>
      </c>
      <c r="P878" s="83">
        <v>0</v>
      </c>
      <c r="U878" s="83">
        <v>4</v>
      </c>
      <c r="V878" s="83">
        <v>1</v>
      </c>
      <c r="W878" s="83" t="s">
        <v>103</v>
      </c>
      <c r="X878" s="83">
        <v>0</v>
      </c>
    </row>
    <row r="879" spans="1:25" x14ac:dyDescent="0.2">
      <c r="A879" s="83">
        <v>1</v>
      </c>
      <c r="B879" s="84">
        <v>5701603309480</v>
      </c>
      <c r="C879" s="83">
        <v>50</v>
      </c>
      <c r="D879" s="84">
        <v>5980933309</v>
      </c>
      <c r="F879" s="83" t="s">
        <v>103</v>
      </c>
      <c r="G879" s="83">
        <v>0</v>
      </c>
      <c r="H879" s="83">
        <v>100</v>
      </c>
      <c r="K879" s="83">
        <v>1</v>
      </c>
      <c r="L879" s="83" t="s">
        <v>101</v>
      </c>
      <c r="M879" s="83" t="s">
        <v>410</v>
      </c>
      <c r="N879" s="83" t="s">
        <v>102</v>
      </c>
      <c r="P879" s="83">
        <v>0</v>
      </c>
      <c r="U879" s="83">
        <v>4</v>
      </c>
      <c r="V879" s="83">
        <v>1</v>
      </c>
      <c r="W879" s="83" t="s">
        <v>103</v>
      </c>
      <c r="X879" s="83">
        <v>0</v>
      </c>
    </row>
    <row r="880" spans="1:25" x14ac:dyDescent="0.2">
      <c r="A880" s="83">
        <v>1</v>
      </c>
      <c r="B880" s="84">
        <v>5701603309480</v>
      </c>
      <c r="C880" s="83">
        <v>60</v>
      </c>
      <c r="D880" s="84">
        <v>1010286</v>
      </c>
      <c r="F880" s="83" t="s">
        <v>103</v>
      </c>
      <c r="G880" s="83">
        <v>0</v>
      </c>
      <c r="H880" s="83">
        <v>100</v>
      </c>
      <c r="K880" s="83">
        <v>8</v>
      </c>
      <c r="L880" s="83" t="s">
        <v>101</v>
      </c>
      <c r="M880" s="83" t="s">
        <v>410</v>
      </c>
      <c r="N880" s="83" t="s">
        <v>102</v>
      </c>
      <c r="P880" s="83">
        <v>0</v>
      </c>
      <c r="U880" s="83">
        <v>4</v>
      </c>
      <c r="V880" s="83">
        <v>1</v>
      </c>
      <c r="W880" s="83" t="s">
        <v>103</v>
      </c>
      <c r="X880" s="83">
        <v>0</v>
      </c>
    </row>
    <row r="881" spans="1:25" x14ac:dyDescent="0.2">
      <c r="A881" s="83">
        <v>1</v>
      </c>
      <c r="B881" s="84">
        <v>5701603309480</v>
      </c>
      <c r="C881" s="83">
        <v>70</v>
      </c>
      <c r="D881" s="84">
        <v>1010287</v>
      </c>
      <c r="F881" s="83" t="s">
        <v>103</v>
      </c>
      <c r="G881" s="83">
        <v>0</v>
      </c>
      <c r="H881" s="83">
        <v>100</v>
      </c>
      <c r="K881" s="83">
        <v>4</v>
      </c>
      <c r="L881" s="83" t="s">
        <v>101</v>
      </c>
      <c r="M881" s="83" t="s">
        <v>410</v>
      </c>
      <c r="N881" s="83" t="s">
        <v>102</v>
      </c>
      <c r="P881" s="83">
        <v>0</v>
      </c>
      <c r="U881" s="83">
        <v>4</v>
      </c>
      <c r="V881" s="83">
        <v>1</v>
      </c>
      <c r="W881" s="83" t="s">
        <v>103</v>
      </c>
      <c r="X881" s="83">
        <v>0</v>
      </c>
    </row>
    <row r="882" spans="1:25" x14ac:dyDescent="0.2">
      <c r="A882" s="83">
        <v>1</v>
      </c>
      <c r="B882" s="84">
        <v>5701603309480</v>
      </c>
      <c r="C882" s="83">
        <v>80</v>
      </c>
      <c r="D882" s="84">
        <v>1020145</v>
      </c>
      <c r="F882" s="83" t="s">
        <v>103</v>
      </c>
      <c r="G882" s="83">
        <v>0</v>
      </c>
      <c r="H882" s="83">
        <v>100</v>
      </c>
      <c r="K882" s="83" t="s">
        <v>408</v>
      </c>
      <c r="L882" s="83" t="s">
        <v>101</v>
      </c>
      <c r="M882" s="83" t="s">
        <v>410</v>
      </c>
      <c r="N882" s="83" t="s">
        <v>102</v>
      </c>
      <c r="P882" s="83">
        <v>0</v>
      </c>
      <c r="U882" s="83">
        <v>4</v>
      </c>
      <c r="V882" s="83">
        <v>1</v>
      </c>
      <c r="W882" s="83" t="s">
        <v>103</v>
      </c>
      <c r="X882" s="83">
        <v>0</v>
      </c>
    </row>
    <row r="883" spans="1:25" x14ac:dyDescent="0.2">
      <c r="A883" s="83">
        <v>1</v>
      </c>
      <c r="B883" s="84">
        <v>5701603309480</v>
      </c>
      <c r="C883" s="83">
        <v>90</v>
      </c>
      <c r="D883" s="84">
        <v>777500480</v>
      </c>
      <c r="F883" s="83" t="s">
        <v>103</v>
      </c>
      <c r="G883" s="83">
        <v>0</v>
      </c>
      <c r="H883" s="83">
        <v>100</v>
      </c>
      <c r="K883" s="83">
        <v>1</v>
      </c>
      <c r="L883" s="83" t="s">
        <v>101</v>
      </c>
      <c r="M883" s="83" t="s">
        <v>410</v>
      </c>
      <c r="N883" s="83" t="s">
        <v>102</v>
      </c>
      <c r="P883" s="83">
        <v>0</v>
      </c>
      <c r="U883" s="83">
        <v>4</v>
      </c>
      <c r="V883" s="83">
        <v>1</v>
      </c>
      <c r="W883" s="83" t="s">
        <v>103</v>
      </c>
      <c r="X883" s="83">
        <v>0</v>
      </c>
    </row>
    <row r="884" spans="1:25" x14ac:dyDescent="0.2">
      <c r="A884" s="83">
        <v>1</v>
      </c>
      <c r="B884" s="84">
        <v>5701603310480</v>
      </c>
      <c r="C884" s="83">
        <v>10</v>
      </c>
      <c r="D884" s="84">
        <v>5980463310</v>
      </c>
      <c r="F884" s="83" t="s">
        <v>103</v>
      </c>
      <c r="G884" s="83">
        <v>0</v>
      </c>
      <c r="H884" s="83">
        <v>100</v>
      </c>
      <c r="K884" s="83">
        <v>1</v>
      </c>
      <c r="L884" s="83" t="s">
        <v>101</v>
      </c>
      <c r="M884" s="83" t="s">
        <v>410</v>
      </c>
      <c r="N884" s="83" t="s">
        <v>102</v>
      </c>
      <c r="P884" s="83">
        <v>0</v>
      </c>
      <c r="U884" s="83">
        <v>4</v>
      </c>
      <c r="V884" s="83">
        <v>1</v>
      </c>
      <c r="W884" s="83" t="s">
        <v>103</v>
      </c>
      <c r="X884" s="83">
        <v>0</v>
      </c>
      <c r="Y884" s="83" t="str">
        <f>LEFT(D884,6)</f>
        <v>598046</v>
      </c>
    </row>
    <row r="885" spans="1:25" x14ac:dyDescent="0.2">
      <c r="A885" s="83">
        <v>1</v>
      </c>
      <c r="B885" s="84">
        <v>5701603310480</v>
      </c>
      <c r="C885" s="83">
        <v>20</v>
      </c>
      <c r="D885" s="84">
        <v>5980543310</v>
      </c>
      <c r="F885" s="83" t="s">
        <v>103</v>
      </c>
      <c r="G885" s="83">
        <v>0</v>
      </c>
      <c r="H885" s="83">
        <v>100</v>
      </c>
      <c r="K885" s="83">
        <v>1</v>
      </c>
      <c r="L885" s="83" t="s">
        <v>101</v>
      </c>
      <c r="M885" s="83" t="s">
        <v>410</v>
      </c>
      <c r="N885" s="83" t="s">
        <v>102</v>
      </c>
      <c r="P885" s="83">
        <v>0</v>
      </c>
      <c r="U885" s="83">
        <v>4</v>
      </c>
      <c r="V885" s="83">
        <v>1</v>
      </c>
      <c r="W885" s="83" t="s">
        <v>103</v>
      </c>
      <c r="X885" s="83">
        <v>0</v>
      </c>
    </row>
    <row r="886" spans="1:25" x14ac:dyDescent="0.2">
      <c r="A886" s="83">
        <v>1</v>
      </c>
      <c r="B886" s="84">
        <v>5701603310480</v>
      </c>
      <c r="C886" s="83">
        <v>30</v>
      </c>
      <c r="D886" s="84">
        <v>5980623310</v>
      </c>
      <c r="F886" s="83" t="s">
        <v>103</v>
      </c>
      <c r="G886" s="83">
        <v>0</v>
      </c>
      <c r="H886" s="83">
        <v>100</v>
      </c>
      <c r="K886" s="83">
        <v>1</v>
      </c>
      <c r="L886" s="83" t="s">
        <v>101</v>
      </c>
      <c r="M886" s="83" t="s">
        <v>410</v>
      </c>
      <c r="N886" s="83" t="s">
        <v>102</v>
      </c>
      <c r="P886" s="83">
        <v>0</v>
      </c>
      <c r="U886" s="83">
        <v>4</v>
      </c>
      <c r="V886" s="83">
        <v>1</v>
      </c>
      <c r="W886" s="83" t="s">
        <v>103</v>
      </c>
      <c r="X886" s="83">
        <v>0</v>
      </c>
    </row>
    <row r="887" spans="1:25" x14ac:dyDescent="0.2">
      <c r="A887" s="83">
        <v>1</v>
      </c>
      <c r="B887" s="84">
        <v>5701603310480</v>
      </c>
      <c r="C887" s="83">
        <v>40</v>
      </c>
      <c r="D887" s="84">
        <v>5980823310</v>
      </c>
      <c r="F887" s="83" t="s">
        <v>103</v>
      </c>
      <c r="G887" s="83">
        <v>0</v>
      </c>
      <c r="H887" s="83">
        <v>100</v>
      </c>
      <c r="K887" s="83">
        <v>1</v>
      </c>
      <c r="L887" s="83" t="s">
        <v>101</v>
      </c>
      <c r="M887" s="83" t="s">
        <v>410</v>
      </c>
      <c r="N887" s="83" t="s">
        <v>102</v>
      </c>
      <c r="P887" s="83">
        <v>0</v>
      </c>
      <c r="U887" s="83">
        <v>4</v>
      </c>
      <c r="V887" s="83">
        <v>1</v>
      </c>
      <c r="W887" s="83" t="s">
        <v>103</v>
      </c>
      <c r="X887" s="83">
        <v>0</v>
      </c>
    </row>
    <row r="888" spans="1:25" x14ac:dyDescent="0.2">
      <c r="A888" s="83">
        <v>1</v>
      </c>
      <c r="B888" s="84">
        <v>5701603310480</v>
      </c>
      <c r="C888" s="83">
        <v>50</v>
      </c>
      <c r="D888" s="84">
        <v>5980933310</v>
      </c>
      <c r="F888" s="83" t="s">
        <v>103</v>
      </c>
      <c r="G888" s="83">
        <v>0</v>
      </c>
      <c r="H888" s="83">
        <v>100</v>
      </c>
      <c r="K888" s="83">
        <v>1</v>
      </c>
      <c r="L888" s="83" t="s">
        <v>101</v>
      </c>
      <c r="M888" s="83" t="s">
        <v>410</v>
      </c>
      <c r="N888" s="83" t="s">
        <v>102</v>
      </c>
      <c r="P888" s="83">
        <v>0</v>
      </c>
      <c r="U888" s="83">
        <v>4</v>
      </c>
      <c r="V888" s="83">
        <v>1</v>
      </c>
      <c r="W888" s="83" t="s">
        <v>103</v>
      </c>
      <c r="X888" s="83">
        <v>0</v>
      </c>
    </row>
    <row r="889" spans="1:25" x14ac:dyDescent="0.2">
      <c r="A889" s="83">
        <v>1</v>
      </c>
      <c r="B889" s="84">
        <v>5701603310480</v>
      </c>
      <c r="C889" s="83">
        <v>60</v>
      </c>
      <c r="D889" s="84">
        <v>1010286</v>
      </c>
      <c r="F889" s="83" t="s">
        <v>103</v>
      </c>
      <c r="G889" s="83">
        <v>0</v>
      </c>
      <c r="H889" s="83">
        <v>100</v>
      </c>
      <c r="K889" s="83">
        <v>8</v>
      </c>
      <c r="L889" s="83" t="s">
        <v>101</v>
      </c>
      <c r="M889" s="83" t="s">
        <v>410</v>
      </c>
      <c r="N889" s="83" t="s">
        <v>102</v>
      </c>
      <c r="P889" s="83">
        <v>0</v>
      </c>
      <c r="U889" s="83">
        <v>4</v>
      </c>
      <c r="V889" s="83">
        <v>1</v>
      </c>
      <c r="W889" s="83" t="s">
        <v>103</v>
      </c>
      <c r="X889" s="83">
        <v>0</v>
      </c>
    </row>
    <row r="890" spans="1:25" x14ac:dyDescent="0.2">
      <c r="A890" s="83">
        <v>1</v>
      </c>
      <c r="B890" s="84">
        <v>5701603310480</v>
      </c>
      <c r="C890" s="83">
        <v>70</v>
      </c>
      <c r="D890" s="84">
        <v>1010287</v>
      </c>
      <c r="F890" s="83" t="s">
        <v>103</v>
      </c>
      <c r="G890" s="83">
        <v>0</v>
      </c>
      <c r="H890" s="83">
        <v>100</v>
      </c>
      <c r="K890" s="83">
        <v>4</v>
      </c>
      <c r="L890" s="83" t="s">
        <v>101</v>
      </c>
      <c r="M890" s="83" t="s">
        <v>410</v>
      </c>
      <c r="N890" s="83" t="s">
        <v>102</v>
      </c>
      <c r="P890" s="83">
        <v>0</v>
      </c>
      <c r="U890" s="83">
        <v>4</v>
      </c>
      <c r="V890" s="83">
        <v>1</v>
      </c>
      <c r="W890" s="83" t="s">
        <v>103</v>
      </c>
      <c r="X890" s="83">
        <v>0</v>
      </c>
    </row>
    <row r="891" spans="1:25" x14ac:dyDescent="0.2">
      <c r="A891" s="83">
        <v>1</v>
      </c>
      <c r="B891" s="84">
        <v>5701603310480</v>
      </c>
      <c r="C891" s="83">
        <v>80</v>
      </c>
      <c r="D891" s="84">
        <v>1020145</v>
      </c>
      <c r="F891" s="83" t="s">
        <v>103</v>
      </c>
      <c r="G891" s="83">
        <v>0</v>
      </c>
      <c r="H891" s="83">
        <v>100</v>
      </c>
      <c r="K891" s="83" t="s">
        <v>408</v>
      </c>
      <c r="L891" s="83" t="s">
        <v>101</v>
      </c>
      <c r="M891" s="83" t="s">
        <v>410</v>
      </c>
      <c r="N891" s="83" t="s">
        <v>102</v>
      </c>
      <c r="P891" s="83">
        <v>0</v>
      </c>
      <c r="U891" s="83">
        <v>4</v>
      </c>
      <c r="V891" s="83">
        <v>1</v>
      </c>
      <c r="W891" s="83" t="s">
        <v>103</v>
      </c>
      <c r="X891" s="83">
        <v>0</v>
      </c>
    </row>
    <row r="892" spans="1:25" x14ac:dyDescent="0.2">
      <c r="A892" s="83">
        <v>1</v>
      </c>
      <c r="B892" s="84">
        <v>5701603310480</v>
      </c>
      <c r="C892" s="83">
        <v>90</v>
      </c>
      <c r="D892" s="84">
        <v>777500480</v>
      </c>
      <c r="F892" s="83" t="s">
        <v>103</v>
      </c>
      <c r="G892" s="83">
        <v>0</v>
      </c>
      <c r="H892" s="83">
        <v>100</v>
      </c>
      <c r="K892" s="83">
        <v>1</v>
      </c>
      <c r="L892" s="83" t="s">
        <v>101</v>
      </c>
      <c r="M892" s="83" t="s">
        <v>410</v>
      </c>
      <c r="N892" s="83" t="s">
        <v>102</v>
      </c>
      <c r="P892" s="83">
        <v>0</v>
      </c>
      <c r="U892" s="83">
        <v>4</v>
      </c>
      <c r="V892" s="83">
        <v>1</v>
      </c>
      <c r="W892" s="83" t="s">
        <v>103</v>
      </c>
      <c r="X892" s="83">
        <v>0</v>
      </c>
    </row>
    <row r="893" spans="1:25" x14ac:dyDescent="0.2">
      <c r="A893" s="83">
        <v>1</v>
      </c>
      <c r="B893" s="84">
        <v>5701603300501</v>
      </c>
      <c r="C893" s="83">
        <v>10</v>
      </c>
      <c r="D893" s="84">
        <v>5980463399</v>
      </c>
      <c r="F893" s="83" t="s">
        <v>103</v>
      </c>
      <c r="G893" s="83">
        <v>0</v>
      </c>
      <c r="H893" s="83">
        <v>100</v>
      </c>
      <c r="K893" s="83">
        <v>1</v>
      </c>
      <c r="L893" s="83" t="s">
        <v>101</v>
      </c>
      <c r="M893" s="83" t="s">
        <v>410</v>
      </c>
      <c r="N893" s="83" t="s">
        <v>102</v>
      </c>
      <c r="P893" s="83">
        <v>0</v>
      </c>
      <c r="U893" s="83">
        <v>4</v>
      </c>
      <c r="V893" s="83">
        <v>1</v>
      </c>
      <c r="W893" s="83" t="s">
        <v>103</v>
      </c>
      <c r="X893" s="83">
        <v>0</v>
      </c>
      <c r="Y893" s="83" t="str">
        <f>LEFT(D893,6)</f>
        <v>598046</v>
      </c>
    </row>
    <row r="894" spans="1:25" x14ac:dyDescent="0.2">
      <c r="A894" s="83">
        <v>1</v>
      </c>
      <c r="B894" s="84">
        <v>5701603300501</v>
      </c>
      <c r="C894" s="83">
        <v>20</v>
      </c>
      <c r="D894" s="84">
        <v>5980543399</v>
      </c>
      <c r="F894" s="83" t="s">
        <v>103</v>
      </c>
      <c r="G894" s="83">
        <v>0</v>
      </c>
      <c r="H894" s="83">
        <v>100</v>
      </c>
      <c r="K894" s="83">
        <v>1</v>
      </c>
      <c r="L894" s="83" t="s">
        <v>101</v>
      </c>
      <c r="M894" s="83" t="s">
        <v>410</v>
      </c>
      <c r="N894" s="83" t="s">
        <v>102</v>
      </c>
      <c r="P894" s="83">
        <v>0</v>
      </c>
      <c r="U894" s="83">
        <v>4</v>
      </c>
      <c r="V894" s="83">
        <v>1</v>
      </c>
      <c r="W894" s="83" t="s">
        <v>103</v>
      </c>
      <c r="X894" s="83">
        <v>0</v>
      </c>
    </row>
    <row r="895" spans="1:25" x14ac:dyDescent="0.2">
      <c r="A895" s="83">
        <v>1</v>
      </c>
      <c r="B895" s="84">
        <v>5701603300501</v>
      </c>
      <c r="C895" s="83">
        <v>30</v>
      </c>
      <c r="D895" s="84">
        <v>5980623399</v>
      </c>
      <c r="F895" s="83" t="s">
        <v>103</v>
      </c>
      <c r="G895" s="83">
        <v>0</v>
      </c>
      <c r="H895" s="83">
        <v>100</v>
      </c>
      <c r="K895" s="83">
        <v>1</v>
      </c>
      <c r="L895" s="83" t="s">
        <v>101</v>
      </c>
      <c r="M895" s="83" t="s">
        <v>410</v>
      </c>
      <c r="N895" s="83" t="s">
        <v>102</v>
      </c>
      <c r="P895" s="83">
        <v>0</v>
      </c>
      <c r="U895" s="83">
        <v>4</v>
      </c>
      <c r="V895" s="83">
        <v>1</v>
      </c>
      <c r="W895" s="83" t="s">
        <v>103</v>
      </c>
      <c r="X895" s="83">
        <v>0</v>
      </c>
    </row>
    <row r="896" spans="1:25" x14ac:dyDescent="0.2">
      <c r="A896" s="83">
        <v>1</v>
      </c>
      <c r="B896" s="84">
        <v>5701603300501</v>
      </c>
      <c r="C896" s="83">
        <v>40</v>
      </c>
      <c r="D896" s="84">
        <v>5980823399</v>
      </c>
      <c r="F896" s="83" t="s">
        <v>103</v>
      </c>
      <c r="G896" s="83">
        <v>0</v>
      </c>
      <c r="H896" s="83">
        <v>100</v>
      </c>
      <c r="K896" s="83">
        <v>1</v>
      </c>
      <c r="L896" s="83" t="s">
        <v>101</v>
      </c>
      <c r="M896" s="83" t="s">
        <v>410</v>
      </c>
      <c r="N896" s="83" t="s">
        <v>102</v>
      </c>
      <c r="P896" s="83">
        <v>0</v>
      </c>
      <c r="U896" s="83">
        <v>4</v>
      </c>
      <c r="V896" s="83">
        <v>1</v>
      </c>
      <c r="W896" s="83" t="s">
        <v>103</v>
      </c>
      <c r="X896" s="83">
        <v>0</v>
      </c>
    </row>
    <row r="897" spans="1:25" x14ac:dyDescent="0.2">
      <c r="A897" s="83">
        <v>1</v>
      </c>
      <c r="B897" s="84">
        <v>5701603300501</v>
      </c>
      <c r="C897" s="83">
        <v>50</v>
      </c>
      <c r="D897" s="85">
        <v>1010277</v>
      </c>
      <c r="F897" s="83" t="s">
        <v>103</v>
      </c>
      <c r="G897" s="83">
        <v>0</v>
      </c>
      <c r="H897" s="83">
        <v>100</v>
      </c>
      <c r="K897" s="83">
        <v>1</v>
      </c>
      <c r="L897" s="83" t="s">
        <v>101</v>
      </c>
      <c r="M897" s="83" t="s">
        <v>410</v>
      </c>
      <c r="N897" s="83" t="s">
        <v>102</v>
      </c>
      <c r="P897" s="83">
        <v>0</v>
      </c>
      <c r="U897" s="83">
        <v>4</v>
      </c>
      <c r="V897" s="83">
        <v>1</v>
      </c>
      <c r="W897" s="83" t="s">
        <v>103</v>
      </c>
      <c r="X897" s="83">
        <v>0</v>
      </c>
    </row>
    <row r="898" spans="1:25" x14ac:dyDescent="0.2">
      <c r="A898" s="83">
        <v>1</v>
      </c>
      <c r="B898" s="84">
        <v>5701603300501</v>
      </c>
      <c r="C898" s="83">
        <v>60</v>
      </c>
      <c r="D898" s="84">
        <v>1010286</v>
      </c>
      <c r="F898" s="83" t="s">
        <v>103</v>
      </c>
      <c r="G898" s="83">
        <v>0</v>
      </c>
      <c r="H898" s="83">
        <v>100</v>
      </c>
      <c r="K898" s="83">
        <v>8</v>
      </c>
      <c r="L898" s="83" t="s">
        <v>101</v>
      </c>
      <c r="M898" s="83" t="s">
        <v>410</v>
      </c>
      <c r="N898" s="83" t="s">
        <v>102</v>
      </c>
      <c r="P898" s="83">
        <v>0</v>
      </c>
      <c r="U898" s="83">
        <v>4</v>
      </c>
      <c r="V898" s="83">
        <v>1</v>
      </c>
      <c r="W898" s="83" t="s">
        <v>103</v>
      </c>
      <c r="X898" s="83">
        <v>0</v>
      </c>
    </row>
    <row r="899" spans="1:25" x14ac:dyDescent="0.2">
      <c r="A899" s="83">
        <v>1</v>
      </c>
      <c r="B899" s="84">
        <v>5701603300501</v>
      </c>
      <c r="C899" s="83">
        <v>70</v>
      </c>
      <c r="D899" s="84">
        <v>1010287</v>
      </c>
      <c r="F899" s="83" t="s">
        <v>103</v>
      </c>
      <c r="G899" s="83">
        <v>0</v>
      </c>
      <c r="H899" s="83">
        <v>100</v>
      </c>
      <c r="K899" s="83">
        <v>4</v>
      </c>
      <c r="L899" s="83" t="s">
        <v>101</v>
      </c>
      <c r="M899" s="83" t="s">
        <v>410</v>
      </c>
      <c r="N899" s="83" t="s">
        <v>102</v>
      </c>
      <c r="P899" s="83">
        <v>0</v>
      </c>
      <c r="U899" s="83">
        <v>4</v>
      </c>
      <c r="V899" s="83">
        <v>1</v>
      </c>
      <c r="W899" s="83" t="s">
        <v>103</v>
      </c>
      <c r="X899" s="83">
        <v>0</v>
      </c>
    </row>
    <row r="900" spans="1:25" x14ac:dyDescent="0.2">
      <c r="A900" s="83">
        <v>1</v>
      </c>
      <c r="B900" s="84">
        <v>5701603300501</v>
      </c>
      <c r="C900" s="83">
        <v>80</v>
      </c>
      <c r="D900" s="84">
        <v>1020145</v>
      </c>
      <c r="F900" s="83" t="s">
        <v>103</v>
      </c>
      <c r="G900" s="83">
        <v>0</v>
      </c>
      <c r="H900" s="83">
        <v>100</v>
      </c>
      <c r="K900" s="83" t="s">
        <v>408</v>
      </c>
      <c r="L900" s="83" t="s">
        <v>101</v>
      </c>
      <c r="M900" s="83" t="s">
        <v>410</v>
      </c>
      <c r="N900" s="83" t="s">
        <v>102</v>
      </c>
      <c r="P900" s="83">
        <v>0</v>
      </c>
      <c r="U900" s="83">
        <v>4</v>
      </c>
      <c r="V900" s="83">
        <v>1</v>
      </c>
      <c r="W900" s="83" t="s">
        <v>103</v>
      </c>
      <c r="X900" s="83">
        <v>0</v>
      </c>
    </row>
    <row r="901" spans="1:25" x14ac:dyDescent="0.2">
      <c r="A901" s="83">
        <v>1</v>
      </c>
      <c r="B901" s="84">
        <v>5701603300501</v>
      </c>
      <c r="C901" s="83">
        <v>90</v>
      </c>
      <c r="D901" s="84">
        <v>777500501</v>
      </c>
      <c r="F901" s="83" t="s">
        <v>103</v>
      </c>
      <c r="G901" s="83">
        <v>0</v>
      </c>
      <c r="H901" s="83">
        <v>100</v>
      </c>
      <c r="K901" s="83">
        <v>1</v>
      </c>
      <c r="L901" s="83" t="s">
        <v>101</v>
      </c>
      <c r="M901" s="83" t="s">
        <v>410</v>
      </c>
      <c r="N901" s="83" t="s">
        <v>102</v>
      </c>
      <c r="P901" s="83">
        <v>0</v>
      </c>
      <c r="U901" s="83">
        <v>4</v>
      </c>
      <c r="V901" s="83">
        <v>1</v>
      </c>
      <c r="W901" s="83" t="s">
        <v>103</v>
      </c>
      <c r="X901" s="83">
        <v>0</v>
      </c>
    </row>
    <row r="902" spans="1:25" x14ac:dyDescent="0.2">
      <c r="A902" s="83">
        <v>1</v>
      </c>
      <c r="B902" s="84">
        <v>5701603301501</v>
      </c>
      <c r="C902" s="83">
        <v>10</v>
      </c>
      <c r="D902" s="84">
        <v>5980463301</v>
      </c>
      <c r="F902" s="83" t="s">
        <v>103</v>
      </c>
      <c r="G902" s="83">
        <v>0</v>
      </c>
      <c r="H902" s="83">
        <v>100</v>
      </c>
      <c r="K902" s="83">
        <v>1</v>
      </c>
      <c r="L902" s="83" t="s">
        <v>101</v>
      </c>
      <c r="M902" s="83" t="s">
        <v>410</v>
      </c>
      <c r="N902" s="83" t="s">
        <v>102</v>
      </c>
      <c r="P902" s="83">
        <v>0</v>
      </c>
      <c r="U902" s="83">
        <v>4</v>
      </c>
      <c r="V902" s="83">
        <v>1</v>
      </c>
      <c r="W902" s="83" t="s">
        <v>103</v>
      </c>
      <c r="X902" s="83">
        <v>0</v>
      </c>
      <c r="Y902" s="83" t="str">
        <f>LEFT(D902,6)</f>
        <v>598046</v>
      </c>
    </row>
    <row r="903" spans="1:25" x14ac:dyDescent="0.2">
      <c r="A903" s="83">
        <v>1</v>
      </c>
      <c r="B903" s="84">
        <v>5701603301501</v>
      </c>
      <c r="C903" s="83">
        <v>20</v>
      </c>
      <c r="D903" s="85">
        <v>5980543301</v>
      </c>
      <c r="F903" s="83" t="s">
        <v>103</v>
      </c>
      <c r="G903" s="83">
        <v>0</v>
      </c>
      <c r="H903" s="83">
        <v>100</v>
      </c>
      <c r="K903" s="83">
        <v>1</v>
      </c>
      <c r="L903" s="83" t="s">
        <v>101</v>
      </c>
      <c r="M903" s="83" t="s">
        <v>410</v>
      </c>
      <c r="N903" s="83" t="s">
        <v>102</v>
      </c>
      <c r="P903" s="83">
        <v>0</v>
      </c>
      <c r="U903" s="83">
        <v>4</v>
      </c>
      <c r="V903" s="83">
        <v>1</v>
      </c>
      <c r="W903" s="83" t="s">
        <v>103</v>
      </c>
      <c r="X903" s="83">
        <v>0</v>
      </c>
    </row>
    <row r="904" spans="1:25" x14ac:dyDescent="0.2">
      <c r="A904" s="83">
        <v>1</v>
      </c>
      <c r="B904" s="84">
        <v>5701603301501</v>
      </c>
      <c r="C904" s="83">
        <v>30</v>
      </c>
      <c r="D904" s="84">
        <v>5980623301</v>
      </c>
      <c r="F904" s="83" t="s">
        <v>103</v>
      </c>
      <c r="G904" s="83">
        <v>0</v>
      </c>
      <c r="H904" s="83">
        <v>100</v>
      </c>
      <c r="K904" s="83">
        <v>1</v>
      </c>
      <c r="L904" s="83" t="s">
        <v>101</v>
      </c>
      <c r="M904" s="83" t="s">
        <v>410</v>
      </c>
      <c r="N904" s="83" t="s">
        <v>102</v>
      </c>
      <c r="P904" s="83">
        <v>0</v>
      </c>
      <c r="U904" s="83">
        <v>4</v>
      </c>
      <c r="V904" s="83">
        <v>1</v>
      </c>
      <c r="W904" s="83" t="s">
        <v>103</v>
      </c>
      <c r="X904" s="83">
        <v>0</v>
      </c>
    </row>
    <row r="905" spans="1:25" x14ac:dyDescent="0.2">
      <c r="A905" s="83">
        <v>1</v>
      </c>
      <c r="B905" s="84">
        <v>5701603301501</v>
      </c>
      <c r="C905" s="83">
        <v>40</v>
      </c>
      <c r="D905" s="84">
        <v>5980823301</v>
      </c>
      <c r="F905" s="83" t="s">
        <v>103</v>
      </c>
      <c r="G905" s="83">
        <v>0</v>
      </c>
      <c r="H905" s="83">
        <v>100</v>
      </c>
      <c r="K905" s="83">
        <v>1</v>
      </c>
      <c r="L905" s="83" t="s">
        <v>101</v>
      </c>
      <c r="M905" s="83" t="s">
        <v>410</v>
      </c>
      <c r="N905" s="83" t="s">
        <v>102</v>
      </c>
      <c r="P905" s="83">
        <v>0</v>
      </c>
      <c r="U905" s="83">
        <v>4</v>
      </c>
      <c r="V905" s="83">
        <v>1</v>
      </c>
      <c r="W905" s="83" t="s">
        <v>103</v>
      </c>
      <c r="X905" s="83">
        <v>0</v>
      </c>
    </row>
    <row r="906" spans="1:25" x14ac:dyDescent="0.2">
      <c r="A906" s="83">
        <v>1</v>
      </c>
      <c r="B906" s="84">
        <v>5701603301501</v>
      </c>
      <c r="C906" s="83">
        <v>50</v>
      </c>
      <c r="D906" s="84">
        <v>5980933301</v>
      </c>
      <c r="F906" s="83" t="s">
        <v>103</v>
      </c>
      <c r="G906" s="83">
        <v>0</v>
      </c>
      <c r="H906" s="83">
        <v>100</v>
      </c>
      <c r="K906" s="83">
        <v>1</v>
      </c>
      <c r="L906" s="83" t="s">
        <v>101</v>
      </c>
      <c r="M906" s="83" t="s">
        <v>410</v>
      </c>
      <c r="N906" s="83" t="s">
        <v>102</v>
      </c>
      <c r="P906" s="83">
        <v>0</v>
      </c>
      <c r="U906" s="83">
        <v>4</v>
      </c>
      <c r="V906" s="83">
        <v>1</v>
      </c>
      <c r="W906" s="83" t="s">
        <v>103</v>
      </c>
      <c r="X906" s="83">
        <v>0</v>
      </c>
    </row>
    <row r="907" spans="1:25" x14ac:dyDescent="0.2">
      <c r="A907" s="83">
        <v>1</v>
      </c>
      <c r="B907" s="84">
        <v>5701603301501</v>
      </c>
      <c r="C907" s="83">
        <v>60</v>
      </c>
      <c r="D907" s="84">
        <v>1010286</v>
      </c>
      <c r="F907" s="83" t="s">
        <v>103</v>
      </c>
      <c r="G907" s="83">
        <v>0</v>
      </c>
      <c r="H907" s="83">
        <v>100</v>
      </c>
      <c r="K907" s="83">
        <v>8</v>
      </c>
      <c r="L907" s="83" t="s">
        <v>101</v>
      </c>
      <c r="M907" s="83" t="s">
        <v>410</v>
      </c>
      <c r="N907" s="83" t="s">
        <v>102</v>
      </c>
      <c r="P907" s="83">
        <v>0</v>
      </c>
      <c r="U907" s="83">
        <v>4</v>
      </c>
      <c r="V907" s="83">
        <v>1</v>
      </c>
      <c r="W907" s="83" t="s">
        <v>103</v>
      </c>
      <c r="X907" s="83">
        <v>0</v>
      </c>
    </row>
    <row r="908" spans="1:25" x14ac:dyDescent="0.2">
      <c r="A908" s="83">
        <v>1</v>
      </c>
      <c r="B908" s="84">
        <v>5701603301501</v>
      </c>
      <c r="C908" s="83">
        <v>70</v>
      </c>
      <c r="D908" s="84">
        <v>1010287</v>
      </c>
      <c r="F908" s="83" t="s">
        <v>103</v>
      </c>
      <c r="G908" s="83">
        <v>0</v>
      </c>
      <c r="H908" s="83">
        <v>100</v>
      </c>
      <c r="K908" s="83">
        <v>4</v>
      </c>
      <c r="L908" s="83" t="s">
        <v>101</v>
      </c>
      <c r="M908" s="83" t="s">
        <v>410</v>
      </c>
      <c r="N908" s="83" t="s">
        <v>102</v>
      </c>
      <c r="P908" s="83">
        <v>0</v>
      </c>
      <c r="U908" s="83">
        <v>4</v>
      </c>
      <c r="V908" s="83">
        <v>1</v>
      </c>
      <c r="W908" s="83" t="s">
        <v>103</v>
      </c>
      <c r="X908" s="83">
        <v>0</v>
      </c>
    </row>
    <row r="909" spans="1:25" x14ac:dyDescent="0.2">
      <c r="A909" s="83">
        <v>1</v>
      </c>
      <c r="B909" s="84">
        <v>5701603301501</v>
      </c>
      <c r="C909" s="83">
        <v>80</v>
      </c>
      <c r="D909" s="84">
        <v>1020145</v>
      </c>
      <c r="F909" s="83" t="s">
        <v>103</v>
      </c>
      <c r="G909" s="83">
        <v>0</v>
      </c>
      <c r="H909" s="83">
        <v>100</v>
      </c>
      <c r="K909" s="83" t="s">
        <v>408</v>
      </c>
      <c r="L909" s="83" t="s">
        <v>101</v>
      </c>
      <c r="M909" s="83" t="s">
        <v>410</v>
      </c>
      <c r="N909" s="83" t="s">
        <v>102</v>
      </c>
      <c r="P909" s="83">
        <v>0</v>
      </c>
      <c r="U909" s="83">
        <v>4</v>
      </c>
      <c r="V909" s="83">
        <v>1</v>
      </c>
      <c r="W909" s="83" t="s">
        <v>103</v>
      </c>
      <c r="X909" s="83">
        <v>0</v>
      </c>
    </row>
    <row r="910" spans="1:25" x14ac:dyDescent="0.2">
      <c r="A910" s="83">
        <v>1</v>
      </c>
      <c r="B910" s="84">
        <v>5701603301501</v>
      </c>
      <c r="C910" s="83">
        <v>90</v>
      </c>
      <c r="D910" s="84">
        <v>777500501</v>
      </c>
      <c r="F910" s="83" t="s">
        <v>103</v>
      </c>
      <c r="G910" s="83">
        <v>0</v>
      </c>
      <c r="H910" s="83">
        <v>100</v>
      </c>
      <c r="K910" s="83">
        <v>1</v>
      </c>
      <c r="L910" s="83" t="s">
        <v>101</v>
      </c>
      <c r="M910" s="83" t="s">
        <v>410</v>
      </c>
      <c r="N910" s="83" t="s">
        <v>102</v>
      </c>
      <c r="P910" s="83">
        <v>0</v>
      </c>
      <c r="U910" s="83">
        <v>4</v>
      </c>
      <c r="V910" s="83">
        <v>1</v>
      </c>
      <c r="W910" s="83" t="s">
        <v>103</v>
      </c>
      <c r="X910" s="83">
        <v>0</v>
      </c>
    </row>
    <row r="911" spans="1:25" x14ac:dyDescent="0.2">
      <c r="A911" s="83">
        <v>1</v>
      </c>
      <c r="B911" s="84">
        <v>5701603302501</v>
      </c>
      <c r="C911" s="83">
        <v>10</v>
      </c>
      <c r="D911" s="84">
        <v>5980463302</v>
      </c>
      <c r="F911" s="83" t="s">
        <v>103</v>
      </c>
      <c r="G911" s="83">
        <v>0</v>
      </c>
      <c r="H911" s="83">
        <v>100</v>
      </c>
      <c r="K911" s="83">
        <v>1</v>
      </c>
      <c r="L911" s="83" t="s">
        <v>101</v>
      </c>
      <c r="M911" s="83" t="s">
        <v>410</v>
      </c>
      <c r="N911" s="83" t="s">
        <v>102</v>
      </c>
      <c r="P911" s="83">
        <v>0</v>
      </c>
      <c r="U911" s="83">
        <v>4</v>
      </c>
      <c r="V911" s="83">
        <v>1</v>
      </c>
      <c r="W911" s="83" t="s">
        <v>103</v>
      </c>
      <c r="X911" s="83">
        <v>0</v>
      </c>
      <c r="Y911" s="83" t="str">
        <f>LEFT(D911,6)</f>
        <v>598046</v>
      </c>
    </row>
    <row r="912" spans="1:25" x14ac:dyDescent="0.2">
      <c r="A912" s="83">
        <v>1</v>
      </c>
      <c r="B912" s="84">
        <v>5701603302501</v>
      </c>
      <c r="C912" s="83">
        <v>20</v>
      </c>
      <c r="D912" s="84">
        <v>5980543302</v>
      </c>
      <c r="F912" s="83" t="s">
        <v>103</v>
      </c>
      <c r="G912" s="83">
        <v>0</v>
      </c>
      <c r="H912" s="83">
        <v>100</v>
      </c>
      <c r="K912" s="83">
        <v>1</v>
      </c>
      <c r="L912" s="83" t="s">
        <v>101</v>
      </c>
      <c r="M912" s="83" t="s">
        <v>410</v>
      </c>
      <c r="N912" s="83" t="s">
        <v>102</v>
      </c>
      <c r="P912" s="83">
        <v>0</v>
      </c>
      <c r="U912" s="83">
        <v>4</v>
      </c>
      <c r="V912" s="83">
        <v>1</v>
      </c>
      <c r="W912" s="83" t="s">
        <v>103</v>
      </c>
      <c r="X912" s="83">
        <v>0</v>
      </c>
    </row>
    <row r="913" spans="1:25" x14ac:dyDescent="0.2">
      <c r="A913" s="83">
        <v>1</v>
      </c>
      <c r="B913" s="84">
        <v>5701603302501</v>
      </c>
      <c r="C913" s="83">
        <v>30</v>
      </c>
      <c r="D913" s="84">
        <v>5980623302</v>
      </c>
      <c r="F913" s="83" t="s">
        <v>103</v>
      </c>
      <c r="G913" s="83">
        <v>0</v>
      </c>
      <c r="H913" s="83">
        <v>100</v>
      </c>
      <c r="K913" s="83">
        <v>1</v>
      </c>
      <c r="L913" s="83" t="s">
        <v>101</v>
      </c>
      <c r="M913" s="83" t="s">
        <v>410</v>
      </c>
      <c r="N913" s="83" t="s">
        <v>102</v>
      </c>
      <c r="P913" s="83">
        <v>0</v>
      </c>
      <c r="U913" s="83">
        <v>4</v>
      </c>
      <c r="V913" s="83">
        <v>1</v>
      </c>
      <c r="W913" s="83" t="s">
        <v>103</v>
      </c>
      <c r="X913" s="83">
        <v>0</v>
      </c>
    </row>
    <row r="914" spans="1:25" x14ac:dyDescent="0.2">
      <c r="A914" s="83">
        <v>1</v>
      </c>
      <c r="B914" s="84">
        <v>5701603302501</v>
      </c>
      <c r="C914" s="83">
        <v>40</v>
      </c>
      <c r="D914" s="84">
        <v>5980823302</v>
      </c>
      <c r="F914" s="83" t="s">
        <v>103</v>
      </c>
      <c r="G914" s="83">
        <v>0</v>
      </c>
      <c r="H914" s="83">
        <v>100</v>
      </c>
      <c r="K914" s="83">
        <v>1</v>
      </c>
      <c r="L914" s="83" t="s">
        <v>101</v>
      </c>
      <c r="M914" s="83" t="s">
        <v>410</v>
      </c>
      <c r="N914" s="83" t="s">
        <v>102</v>
      </c>
      <c r="P914" s="83">
        <v>0</v>
      </c>
      <c r="U914" s="83">
        <v>4</v>
      </c>
      <c r="V914" s="83">
        <v>1</v>
      </c>
      <c r="W914" s="83" t="s">
        <v>103</v>
      </c>
      <c r="X914" s="83">
        <v>0</v>
      </c>
    </row>
    <row r="915" spans="1:25" x14ac:dyDescent="0.2">
      <c r="A915" s="83">
        <v>1</v>
      </c>
      <c r="B915" s="84">
        <v>5701603302501</v>
      </c>
      <c r="C915" s="83">
        <v>50</v>
      </c>
      <c r="D915" s="84">
        <v>5980933302</v>
      </c>
      <c r="F915" s="83" t="s">
        <v>103</v>
      </c>
      <c r="G915" s="83">
        <v>0</v>
      </c>
      <c r="H915" s="83">
        <v>100</v>
      </c>
      <c r="K915" s="83">
        <v>1</v>
      </c>
      <c r="L915" s="83" t="s">
        <v>101</v>
      </c>
      <c r="M915" s="83" t="s">
        <v>410</v>
      </c>
      <c r="N915" s="83" t="s">
        <v>102</v>
      </c>
      <c r="P915" s="83">
        <v>0</v>
      </c>
      <c r="U915" s="83">
        <v>4</v>
      </c>
      <c r="V915" s="83">
        <v>1</v>
      </c>
      <c r="W915" s="83" t="s">
        <v>103</v>
      </c>
      <c r="X915" s="83">
        <v>0</v>
      </c>
    </row>
    <row r="916" spans="1:25" x14ac:dyDescent="0.2">
      <c r="A916" s="83">
        <v>1</v>
      </c>
      <c r="B916" s="84">
        <v>5701603302501</v>
      </c>
      <c r="C916" s="83">
        <v>60</v>
      </c>
      <c r="D916" s="84">
        <v>1010286</v>
      </c>
      <c r="F916" s="83" t="s">
        <v>103</v>
      </c>
      <c r="G916" s="83">
        <v>0</v>
      </c>
      <c r="H916" s="83">
        <v>100</v>
      </c>
      <c r="K916" s="83">
        <v>8</v>
      </c>
      <c r="L916" s="83" t="s">
        <v>101</v>
      </c>
      <c r="M916" s="83" t="s">
        <v>410</v>
      </c>
      <c r="N916" s="83" t="s">
        <v>102</v>
      </c>
      <c r="P916" s="83">
        <v>0</v>
      </c>
      <c r="U916" s="83">
        <v>4</v>
      </c>
      <c r="V916" s="83">
        <v>1</v>
      </c>
      <c r="W916" s="83" t="s">
        <v>103</v>
      </c>
      <c r="X916" s="83">
        <v>0</v>
      </c>
    </row>
    <row r="917" spans="1:25" x14ac:dyDescent="0.2">
      <c r="A917" s="83">
        <v>1</v>
      </c>
      <c r="B917" s="84">
        <v>5701603302501</v>
      </c>
      <c r="C917" s="83">
        <v>70</v>
      </c>
      <c r="D917" s="84">
        <v>1010288</v>
      </c>
      <c r="F917" s="83" t="s">
        <v>103</v>
      </c>
      <c r="G917" s="83">
        <v>0</v>
      </c>
      <c r="H917" s="83">
        <v>100</v>
      </c>
      <c r="K917" s="83">
        <v>4</v>
      </c>
      <c r="L917" s="83" t="s">
        <v>101</v>
      </c>
      <c r="M917" s="83" t="s">
        <v>410</v>
      </c>
      <c r="N917" s="83" t="s">
        <v>102</v>
      </c>
      <c r="P917" s="83">
        <v>0</v>
      </c>
      <c r="U917" s="83">
        <v>4</v>
      </c>
      <c r="V917" s="83">
        <v>1</v>
      </c>
      <c r="W917" s="83" t="s">
        <v>103</v>
      </c>
      <c r="X917" s="83">
        <v>0</v>
      </c>
    </row>
    <row r="918" spans="1:25" x14ac:dyDescent="0.2">
      <c r="A918" s="83">
        <v>1</v>
      </c>
      <c r="B918" s="84">
        <v>5701603302501</v>
      </c>
      <c r="C918" s="83">
        <v>80</v>
      </c>
      <c r="D918" s="84">
        <v>1020145</v>
      </c>
      <c r="F918" s="83" t="s">
        <v>103</v>
      </c>
      <c r="G918" s="83">
        <v>0</v>
      </c>
      <c r="H918" s="83">
        <v>100</v>
      </c>
      <c r="K918" s="83" t="s">
        <v>408</v>
      </c>
      <c r="L918" s="83" t="s">
        <v>101</v>
      </c>
      <c r="M918" s="83" t="s">
        <v>410</v>
      </c>
      <c r="N918" s="83" t="s">
        <v>102</v>
      </c>
      <c r="P918" s="83">
        <v>0</v>
      </c>
      <c r="U918" s="83">
        <v>4</v>
      </c>
      <c r="V918" s="83">
        <v>1</v>
      </c>
      <c r="W918" s="83" t="s">
        <v>103</v>
      </c>
      <c r="X918" s="83">
        <v>0</v>
      </c>
    </row>
    <row r="919" spans="1:25" x14ac:dyDescent="0.2">
      <c r="A919" s="83">
        <v>1</v>
      </c>
      <c r="B919" s="84">
        <v>5701603302501</v>
      </c>
      <c r="C919" s="83">
        <v>90</v>
      </c>
      <c r="D919" s="84">
        <v>777500501</v>
      </c>
      <c r="F919" s="83" t="s">
        <v>103</v>
      </c>
      <c r="G919" s="83">
        <v>0</v>
      </c>
      <c r="H919" s="83">
        <v>100</v>
      </c>
      <c r="K919" s="83">
        <v>1</v>
      </c>
      <c r="L919" s="83" t="s">
        <v>101</v>
      </c>
      <c r="M919" s="83" t="s">
        <v>410</v>
      </c>
      <c r="N919" s="83" t="s">
        <v>102</v>
      </c>
      <c r="P919" s="83">
        <v>0</v>
      </c>
      <c r="U919" s="83">
        <v>4</v>
      </c>
      <c r="V919" s="83">
        <v>1</v>
      </c>
      <c r="W919" s="83" t="s">
        <v>103</v>
      </c>
      <c r="X919" s="83">
        <v>0</v>
      </c>
    </row>
    <row r="920" spans="1:25" x14ac:dyDescent="0.2">
      <c r="A920" s="83">
        <v>1</v>
      </c>
      <c r="B920" s="84">
        <v>5701603303501</v>
      </c>
      <c r="C920" s="83">
        <v>10</v>
      </c>
      <c r="D920" s="84">
        <v>5980463303</v>
      </c>
      <c r="F920" s="83" t="s">
        <v>103</v>
      </c>
      <c r="G920" s="83">
        <v>0</v>
      </c>
      <c r="H920" s="83">
        <v>100</v>
      </c>
      <c r="K920" s="83">
        <v>1</v>
      </c>
      <c r="L920" s="83" t="s">
        <v>101</v>
      </c>
      <c r="M920" s="83" t="s">
        <v>410</v>
      </c>
      <c r="N920" s="83" t="s">
        <v>102</v>
      </c>
      <c r="P920" s="83">
        <v>0</v>
      </c>
      <c r="U920" s="83">
        <v>4</v>
      </c>
      <c r="V920" s="83">
        <v>1</v>
      </c>
      <c r="W920" s="83" t="s">
        <v>103</v>
      </c>
      <c r="X920" s="83">
        <v>0</v>
      </c>
      <c r="Y920" s="83" t="str">
        <f>LEFT(D920,6)</f>
        <v>598046</v>
      </c>
    </row>
    <row r="921" spans="1:25" x14ac:dyDescent="0.2">
      <c r="A921" s="83">
        <v>1</v>
      </c>
      <c r="B921" s="84">
        <v>5701603303501</v>
      </c>
      <c r="C921" s="83">
        <v>20</v>
      </c>
      <c r="D921" s="84">
        <v>5980543303</v>
      </c>
      <c r="F921" s="83" t="s">
        <v>103</v>
      </c>
      <c r="G921" s="83">
        <v>0</v>
      </c>
      <c r="H921" s="83">
        <v>100</v>
      </c>
      <c r="K921" s="83">
        <v>1</v>
      </c>
      <c r="L921" s="83" t="s">
        <v>101</v>
      </c>
      <c r="M921" s="83" t="s">
        <v>410</v>
      </c>
      <c r="N921" s="83" t="s">
        <v>102</v>
      </c>
      <c r="P921" s="83">
        <v>0</v>
      </c>
      <c r="U921" s="83">
        <v>4</v>
      </c>
      <c r="V921" s="83">
        <v>1</v>
      </c>
      <c r="W921" s="83" t="s">
        <v>103</v>
      </c>
      <c r="X921" s="83">
        <v>0</v>
      </c>
    </row>
    <row r="922" spans="1:25" x14ac:dyDescent="0.2">
      <c r="A922" s="83">
        <v>1</v>
      </c>
      <c r="B922" s="84">
        <v>5701603303501</v>
      </c>
      <c r="C922" s="83">
        <v>30</v>
      </c>
      <c r="D922" s="84">
        <v>5980623303</v>
      </c>
      <c r="F922" s="83" t="s">
        <v>103</v>
      </c>
      <c r="G922" s="83">
        <v>0</v>
      </c>
      <c r="H922" s="83">
        <v>100</v>
      </c>
      <c r="K922" s="83">
        <v>1</v>
      </c>
      <c r="L922" s="83" t="s">
        <v>101</v>
      </c>
      <c r="M922" s="83" t="s">
        <v>410</v>
      </c>
      <c r="N922" s="83" t="s">
        <v>102</v>
      </c>
      <c r="P922" s="83">
        <v>0</v>
      </c>
      <c r="U922" s="83">
        <v>4</v>
      </c>
      <c r="V922" s="83">
        <v>1</v>
      </c>
      <c r="W922" s="83" t="s">
        <v>103</v>
      </c>
      <c r="X922" s="83">
        <v>0</v>
      </c>
    </row>
    <row r="923" spans="1:25" x14ac:dyDescent="0.2">
      <c r="A923" s="83">
        <v>1</v>
      </c>
      <c r="B923" s="84">
        <v>5701603303501</v>
      </c>
      <c r="C923" s="83">
        <v>40</v>
      </c>
      <c r="D923" s="84">
        <v>5980823303</v>
      </c>
      <c r="F923" s="83" t="s">
        <v>103</v>
      </c>
      <c r="G923" s="83">
        <v>0</v>
      </c>
      <c r="H923" s="83">
        <v>100</v>
      </c>
      <c r="K923" s="83">
        <v>1</v>
      </c>
      <c r="L923" s="83" t="s">
        <v>101</v>
      </c>
      <c r="M923" s="83" t="s">
        <v>410</v>
      </c>
      <c r="N923" s="83" t="s">
        <v>102</v>
      </c>
      <c r="P923" s="83">
        <v>0</v>
      </c>
      <c r="U923" s="83">
        <v>4</v>
      </c>
      <c r="V923" s="83">
        <v>1</v>
      </c>
      <c r="W923" s="83" t="s">
        <v>103</v>
      </c>
      <c r="X923" s="83">
        <v>0</v>
      </c>
    </row>
    <row r="924" spans="1:25" x14ac:dyDescent="0.2">
      <c r="A924" s="83">
        <v>1</v>
      </c>
      <c r="B924" s="84">
        <v>5701603303501</v>
      </c>
      <c r="C924" s="83">
        <v>50</v>
      </c>
      <c r="D924" s="84">
        <v>5980933303</v>
      </c>
      <c r="F924" s="83" t="s">
        <v>103</v>
      </c>
      <c r="G924" s="83">
        <v>0</v>
      </c>
      <c r="H924" s="83">
        <v>100</v>
      </c>
      <c r="K924" s="83">
        <v>1</v>
      </c>
      <c r="L924" s="83" t="s">
        <v>101</v>
      </c>
      <c r="M924" s="83" t="s">
        <v>410</v>
      </c>
      <c r="N924" s="83" t="s">
        <v>102</v>
      </c>
      <c r="P924" s="83">
        <v>0</v>
      </c>
      <c r="U924" s="83">
        <v>4</v>
      </c>
      <c r="V924" s="83">
        <v>1</v>
      </c>
      <c r="W924" s="83" t="s">
        <v>103</v>
      </c>
      <c r="X924" s="83">
        <v>0</v>
      </c>
    </row>
    <row r="925" spans="1:25" x14ac:dyDescent="0.2">
      <c r="A925" s="83">
        <v>1</v>
      </c>
      <c r="B925" s="84">
        <v>5701603303501</v>
      </c>
      <c r="C925" s="83">
        <v>60</v>
      </c>
      <c r="D925" s="84">
        <v>1010286</v>
      </c>
      <c r="F925" s="83" t="s">
        <v>103</v>
      </c>
      <c r="G925" s="83">
        <v>0</v>
      </c>
      <c r="H925" s="83">
        <v>100</v>
      </c>
      <c r="K925" s="83">
        <v>8</v>
      </c>
      <c r="L925" s="83" t="s">
        <v>101</v>
      </c>
      <c r="M925" s="83" t="s">
        <v>410</v>
      </c>
      <c r="N925" s="83" t="s">
        <v>102</v>
      </c>
      <c r="P925" s="83">
        <v>0</v>
      </c>
      <c r="U925" s="83">
        <v>4</v>
      </c>
      <c r="V925" s="83">
        <v>1</v>
      </c>
      <c r="W925" s="83" t="s">
        <v>103</v>
      </c>
      <c r="X925" s="83">
        <v>0</v>
      </c>
    </row>
    <row r="926" spans="1:25" x14ac:dyDescent="0.2">
      <c r="A926" s="83">
        <v>1</v>
      </c>
      <c r="B926" s="84">
        <v>5701603303501</v>
      </c>
      <c r="C926" s="83">
        <v>70</v>
      </c>
      <c r="D926" s="84">
        <v>1010287</v>
      </c>
      <c r="F926" s="83" t="s">
        <v>103</v>
      </c>
      <c r="G926" s="83">
        <v>0</v>
      </c>
      <c r="H926" s="83">
        <v>100</v>
      </c>
      <c r="K926" s="83">
        <v>4</v>
      </c>
      <c r="L926" s="83" t="s">
        <v>101</v>
      </c>
      <c r="M926" s="83" t="s">
        <v>410</v>
      </c>
      <c r="N926" s="83" t="s">
        <v>102</v>
      </c>
      <c r="P926" s="83">
        <v>0</v>
      </c>
      <c r="U926" s="83">
        <v>4</v>
      </c>
      <c r="V926" s="83">
        <v>1</v>
      </c>
      <c r="W926" s="83" t="s">
        <v>103</v>
      </c>
      <c r="X926" s="83">
        <v>0</v>
      </c>
    </row>
    <row r="927" spans="1:25" x14ac:dyDescent="0.2">
      <c r="A927" s="83">
        <v>1</v>
      </c>
      <c r="B927" s="84">
        <v>5701603303501</v>
      </c>
      <c r="C927" s="83">
        <v>80</v>
      </c>
      <c r="D927" s="84">
        <v>1020145</v>
      </c>
      <c r="F927" s="83" t="s">
        <v>103</v>
      </c>
      <c r="G927" s="83">
        <v>0</v>
      </c>
      <c r="H927" s="83">
        <v>100</v>
      </c>
      <c r="K927" s="83" t="s">
        <v>408</v>
      </c>
      <c r="L927" s="83" t="s">
        <v>101</v>
      </c>
      <c r="M927" s="83" t="s">
        <v>410</v>
      </c>
      <c r="N927" s="83" t="s">
        <v>102</v>
      </c>
      <c r="P927" s="83">
        <v>0</v>
      </c>
      <c r="U927" s="83">
        <v>4</v>
      </c>
      <c r="V927" s="83">
        <v>1</v>
      </c>
      <c r="W927" s="83" t="s">
        <v>103</v>
      </c>
      <c r="X927" s="83">
        <v>0</v>
      </c>
    </row>
    <row r="928" spans="1:25" x14ac:dyDescent="0.2">
      <c r="A928" s="83">
        <v>1</v>
      </c>
      <c r="B928" s="84">
        <v>5701603303501</v>
      </c>
      <c r="C928" s="83">
        <v>90</v>
      </c>
      <c r="D928" s="84">
        <v>777500501</v>
      </c>
      <c r="F928" s="83" t="s">
        <v>103</v>
      </c>
      <c r="G928" s="83">
        <v>0</v>
      </c>
      <c r="H928" s="83">
        <v>100</v>
      </c>
      <c r="K928" s="83">
        <v>1</v>
      </c>
      <c r="L928" s="83" t="s">
        <v>101</v>
      </c>
      <c r="M928" s="83" t="s">
        <v>410</v>
      </c>
      <c r="N928" s="83" t="s">
        <v>102</v>
      </c>
      <c r="P928" s="83">
        <v>0</v>
      </c>
      <c r="U928" s="83">
        <v>4</v>
      </c>
      <c r="V928" s="83">
        <v>1</v>
      </c>
      <c r="W928" s="83" t="s">
        <v>103</v>
      </c>
      <c r="X928" s="83">
        <v>0</v>
      </c>
    </row>
    <row r="929" spans="1:25" x14ac:dyDescent="0.2">
      <c r="A929" s="83">
        <v>1</v>
      </c>
      <c r="B929" s="84">
        <v>5701603304501</v>
      </c>
      <c r="C929" s="83">
        <v>10</v>
      </c>
      <c r="D929" s="84">
        <v>5980463304</v>
      </c>
      <c r="F929" s="83" t="s">
        <v>103</v>
      </c>
      <c r="G929" s="83">
        <v>0</v>
      </c>
      <c r="H929" s="83">
        <v>100</v>
      </c>
      <c r="K929" s="83">
        <v>1</v>
      </c>
      <c r="L929" s="83" t="s">
        <v>101</v>
      </c>
      <c r="M929" s="83" t="s">
        <v>410</v>
      </c>
      <c r="N929" s="83" t="s">
        <v>102</v>
      </c>
      <c r="P929" s="83">
        <v>0</v>
      </c>
      <c r="U929" s="83">
        <v>4</v>
      </c>
      <c r="V929" s="83">
        <v>1</v>
      </c>
      <c r="W929" s="83" t="s">
        <v>103</v>
      </c>
      <c r="X929" s="83">
        <v>0</v>
      </c>
      <c r="Y929" s="83" t="str">
        <f>LEFT(D929,6)</f>
        <v>598046</v>
      </c>
    </row>
    <row r="930" spans="1:25" x14ac:dyDescent="0.2">
      <c r="A930" s="83">
        <v>1</v>
      </c>
      <c r="B930" s="84">
        <v>5701603304501</v>
      </c>
      <c r="C930" s="83">
        <v>20</v>
      </c>
      <c r="D930" s="84">
        <v>5980543304</v>
      </c>
      <c r="F930" s="83" t="s">
        <v>103</v>
      </c>
      <c r="G930" s="83">
        <v>0</v>
      </c>
      <c r="H930" s="83">
        <v>100</v>
      </c>
      <c r="K930" s="83">
        <v>1</v>
      </c>
      <c r="L930" s="83" t="s">
        <v>101</v>
      </c>
      <c r="M930" s="83" t="s">
        <v>410</v>
      </c>
      <c r="N930" s="83" t="s">
        <v>102</v>
      </c>
      <c r="P930" s="83">
        <v>0</v>
      </c>
      <c r="U930" s="83">
        <v>4</v>
      </c>
      <c r="V930" s="83">
        <v>1</v>
      </c>
      <c r="W930" s="83" t="s">
        <v>103</v>
      </c>
      <c r="X930" s="83">
        <v>0</v>
      </c>
    </row>
    <row r="931" spans="1:25" x14ac:dyDescent="0.2">
      <c r="A931" s="83">
        <v>1</v>
      </c>
      <c r="B931" s="84">
        <v>5701603304501</v>
      </c>
      <c r="C931" s="83">
        <v>30</v>
      </c>
      <c r="D931" s="84">
        <v>5980623304</v>
      </c>
      <c r="F931" s="83" t="s">
        <v>103</v>
      </c>
      <c r="G931" s="83">
        <v>0</v>
      </c>
      <c r="H931" s="83">
        <v>100</v>
      </c>
      <c r="K931" s="83">
        <v>1</v>
      </c>
      <c r="L931" s="83" t="s">
        <v>101</v>
      </c>
      <c r="M931" s="83" t="s">
        <v>410</v>
      </c>
      <c r="N931" s="83" t="s">
        <v>102</v>
      </c>
      <c r="P931" s="83">
        <v>0</v>
      </c>
      <c r="U931" s="83">
        <v>4</v>
      </c>
      <c r="V931" s="83">
        <v>1</v>
      </c>
      <c r="W931" s="83" t="s">
        <v>103</v>
      </c>
      <c r="X931" s="83">
        <v>0</v>
      </c>
    </row>
    <row r="932" spans="1:25" x14ac:dyDescent="0.2">
      <c r="A932" s="83">
        <v>1</v>
      </c>
      <c r="B932" s="84">
        <v>5701603304501</v>
      </c>
      <c r="C932" s="83">
        <v>40</v>
      </c>
      <c r="D932" s="84">
        <v>5980823304</v>
      </c>
      <c r="F932" s="83" t="s">
        <v>103</v>
      </c>
      <c r="G932" s="83">
        <v>0</v>
      </c>
      <c r="H932" s="83">
        <v>100</v>
      </c>
      <c r="K932" s="83">
        <v>1</v>
      </c>
      <c r="L932" s="83" t="s">
        <v>101</v>
      </c>
      <c r="M932" s="83" t="s">
        <v>410</v>
      </c>
      <c r="N932" s="83" t="s">
        <v>102</v>
      </c>
      <c r="P932" s="83">
        <v>0</v>
      </c>
      <c r="U932" s="83">
        <v>4</v>
      </c>
      <c r="V932" s="83">
        <v>1</v>
      </c>
      <c r="W932" s="83" t="s">
        <v>103</v>
      </c>
      <c r="X932" s="83">
        <v>0</v>
      </c>
    </row>
    <row r="933" spans="1:25" x14ac:dyDescent="0.2">
      <c r="A933" s="83">
        <v>1</v>
      </c>
      <c r="B933" s="84">
        <v>5701603304501</v>
      </c>
      <c r="C933" s="83">
        <v>50</v>
      </c>
      <c r="D933" s="84">
        <v>5980933304</v>
      </c>
      <c r="F933" s="83" t="s">
        <v>103</v>
      </c>
      <c r="G933" s="83">
        <v>0</v>
      </c>
      <c r="H933" s="83">
        <v>100</v>
      </c>
      <c r="K933" s="83">
        <v>1</v>
      </c>
      <c r="L933" s="83" t="s">
        <v>101</v>
      </c>
      <c r="M933" s="83" t="s">
        <v>410</v>
      </c>
      <c r="N933" s="83" t="s">
        <v>102</v>
      </c>
      <c r="P933" s="83">
        <v>0</v>
      </c>
      <c r="U933" s="83">
        <v>4</v>
      </c>
      <c r="V933" s="83">
        <v>1</v>
      </c>
      <c r="W933" s="83" t="s">
        <v>103</v>
      </c>
      <c r="X933" s="83">
        <v>0</v>
      </c>
    </row>
    <row r="934" spans="1:25" x14ac:dyDescent="0.2">
      <c r="A934" s="83">
        <v>1</v>
      </c>
      <c r="B934" s="84">
        <v>5701603304501</v>
      </c>
      <c r="C934" s="83">
        <v>60</v>
      </c>
      <c r="D934" s="84">
        <v>1010286</v>
      </c>
      <c r="F934" s="83" t="s">
        <v>103</v>
      </c>
      <c r="G934" s="83">
        <v>0</v>
      </c>
      <c r="H934" s="83">
        <v>100</v>
      </c>
      <c r="K934" s="83">
        <v>8</v>
      </c>
      <c r="L934" s="83" t="s">
        <v>101</v>
      </c>
      <c r="M934" s="83" t="s">
        <v>410</v>
      </c>
      <c r="N934" s="83" t="s">
        <v>102</v>
      </c>
      <c r="P934" s="83">
        <v>0</v>
      </c>
      <c r="U934" s="83">
        <v>4</v>
      </c>
      <c r="V934" s="83">
        <v>1</v>
      </c>
      <c r="W934" s="83" t="s">
        <v>103</v>
      </c>
      <c r="X934" s="83">
        <v>0</v>
      </c>
    </row>
    <row r="935" spans="1:25" x14ac:dyDescent="0.2">
      <c r="A935" s="83">
        <v>1</v>
      </c>
      <c r="B935" s="84">
        <v>5701603304501</v>
      </c>
      <c r="C935" s="83">
        <v>70</v>
      </c>
      <c r="D935" s="84">
        <v>1010288</v>
      </c>
      <c r="F935" s="83" t="s">
        <v>103</v>
      </c>
      <c r="G935" s="83">
        <v>0</v>
      </c>
      <c r="H935" s="83">
        <v>100</v>
      </c>
      <c r="K935" s="83">
        <v>4</v>
      </c>
      <c r="L935" s="83" t="s">
        <v>101</v>
      </c>
      <c r="M935" s="83" t="s">
        <v>410</v>
      </c>
      <c r="N935" s="83" t="s">
        <v>102</v>
      </c>
      <c r="P935" s="83">
        <v>0</v>
      </c>
      <c r="U935" s="83">
        <v>4</v>
      </c>
      <c r="V935" s="83">
        <v>1</v>
      </c>
      <c r="W935" s="83" t="s">
        <v>103</v>
      </c>
      <c r="X935" s="83">
        <v>0</v>
      </c>
    </row>
    <row r="936" spans="1:25" x14ac:dyDescent="0.2">
      <c r="A936" s="83">
        <v>1</v>
      </c>
      <c r="B936" s="84">
        <v>5701603304501</v>
      </c>
      <c r="C936" s="83">
        <v>80</v>
      </c>
      <c r="D936" s="84">
        <v>1020145</v>
      </c>
      <c r="F936" s="83" t="s">
        <v>103</v>
      </c>
      <c r="G936" s="83">
        <v>0</v>
      </c>
      <c r="H936" s="83">
        <v>100</v>
      </c>
      <c r="K936" s="83" t="s">
        <v>408</v>
      </c>
      <c r="L936" s="83" t="s">
        <v>101</v>
      </c>
      <c r="M936" s="83" t="s">
        <v>410</v>
      </c>
      <c r="N936" s="83" t="s">
        <v>102</v>
      </c>
      <c r="P936" s="83">
        <v>0</v>
      </c>
      <c r="U936" s="83">
        <v>4</v>
      </c>
      <c r="V936" s="83">
        <v>1</v>
      </c>
      <c r="W936" s="83" t="s">
        <v>103</v>
      </c>
      <c r="X936" s="83">
        <v>0</v>
      </c>
    </row>
    <row r="937" spans="1:25" x14ac:dyDescent="0.2">
      <c r="A937" s="83">
        <v>1</v>
      </c>
      <c r="B937" s="84">
        <v>5701603304501</v>
      </c>
      <c r="C937" s="83">
        <v>90</v>
      </c>
      <c r="D937" s="84">
        <v>777500501</v>
      </c>
      <c r="F937" s="83" t="s">
        <v>103</v>
      </c>
      <c r="G937" s="83">
        <v>0</v>
      </c>
      <c r="H937" s="83">
        <v>100</v>
      </c>
      <c r="K937" s="83">
        <v>1</v>
      </c>
      <c r="L937" s="83" t="s">
        <v>101</v>
      </c>
      <c r="M937" s="83" t="s">
        <v>410</v>
      </c>
      <c r="N937" s="83" t="s">
        <v>102</v>
      </c>
      <c r="P937" s="83">
        <v>0</v>
      </c>
      <c r="U937" s="83">
        <v>4</v>
      </c>
      <c r="V937" s="83">
        <v>1</v>
      </c>
      <c r="W937" s="83" t="s">
        <v>103</v>
      </c>
      <c r="X937" s="83">
        <v>0</v>
      </c>
    </row>
    <row r="938" spans="1:25" x14ac:dyDescent="0.2">
      <c r="A938" s="83">
        <v>1</v>
      </c>
      <c r="B938" s="84">
        <v>5701603305501</v>
      </c>
      <c r="C938" s="83">
        <v>10</v>
      </c>
      <c r="D938" s="84">
        <v>5980463305</v>
      </c>
      <c r="F938" s="83" t="s">
        <v>103</v>
      </c>
      <c r="G938" s="83">
        <v>0</v>
      </c>
      <c r="H938" s="83">
        <v>100</v>
      </c>
      <c r="K938" s="83">
        <v>1</v>
      </c>
      <c r="L938" s="83" t="s">
        <v>101</v>
      </c>
      <c r="M938" s="83" t="s">
        <v>410</v>
      </c>
      <c r="N938" s="83" t="s">
        <v>102</v>
      </c>
      <c r="P938" s="83">
        <v>0</v>
      </c>
      <c r="U938" s="83">
        <v>4</v>
      </c>
      <c r="V938" s="83">
        <v>1</v>
      </c>
      <c r="W938" s="83" t="s">
        <v>103</v>
      </c>
      <c r="X938" s="83">
        <v>0</v>
      </c>
      <c r="Y938" s="83" t="str">
        <f>LEFT(D938,6)</f>
        <v>598046</v>
      </c>
    </row>
    <row r="939" spans="1:25" x14ac:dyDescent="0.2">
      <c r="A939" s="83">
        <v>1</v>
      </c>
      <c r="B939" s="84">
        <v>5701603305501</v>
      </c>
      <c r="C939" s="83">
        <v>20</v>
      </c>
      <c r="D939" s="84">
        <v>5980543305</v>
      </c>
      <c r="F939" s="83" t="s">
        <v>103</v>
      </c>
      <c r="G939" s="83">
        <v>0</v>
      </c>
      <c r="H939" s="83">
        <v>100</v>
      </c>
      <c r="K939" s="83">
        <v>1</v>
      </c>
      <c r="L939" s="83" t="s">
        <v>101</v>
      </c>
      <c r="M939" s="83" t="s">
        <v>410</v>
      </c>
      <c r="N939" s="83" t="s">
        <v>102</v>
      </c>
      <c r="P939" s="83">
        <v>0</v>
      </c>
      <c r="U939" s="83">
        <v>4</v>
      </c>
      <c r="V939" s="83">
        <v>1</v>
      </c>
      <c r="W939" s="83" t="s">
        <v>103</v>
      </c>
      <c r="X939" s="83">
        <v>0</v>
      </c>
    </row>
    <row r="940" spans="1:25" x14ac:dyDescent="0.2">
      <c r="A940" s="83">
        <v>1</v>
      </c>
      <c r="B940" s="84">
        <v>5701603305501</v>
      </c>
      <c r="C940" s="83">
        <v>30</v>
      </c>
      <c r="D940" s="84">
        <v>5980623305</v>
      </c>
      <c r="F940" s="83" t="s">
        <v>103</v>
      </c>
      <c r="G940" s="83">
        <v>0</v>
      </c>
      <c r="H940" s="83">
        <v>100</v>
      </c>
      <c r="K940" s="83">
        <v>1</v>
      </c>
      <c r="L940" s="83" t="s">
        <v>101</v>
      </c>
      <c r="M940" s="83" t="s">
        <v>410</v>
      </c>
      <c r="N940" s="83" t="s">
        <v>102</v>
      </c>
      <c r="P940" s="83">
        <v>0</v>
      </c>
      <c r="U940" s="83">
        <v>4</v>
      </c>
      <c r="V940" s="83">
        <v>1</v>
      </c>
      <c r="W940" s="83" t="s">
        <v>103</v>
      </c>
      <c r="X940" s="83">
        <v>0</v>
      </c>
    </row>
    <row r="941" spans="1:25" x14ac:dyDescent="0.2">
      <c r="A941" s="83">
        <v>1</v>
      </c>
      <c r="B941" s="84">
        <v>5701603305501</v>
      </c>
      <c r="C941" s="83">
        <v>40</v>
      </c>
      <c r="D941" s="84">
        <v>5980823305</v>
      </c>
      <c r="F941" s="83" t="s">
        <v>103</v>
      </c>
      <c r="G941" s="83">
        <v>0</v>
      </c>
      <c r="H941" s="83">
        <v>100</v>
      </c>
      <c r="K941" s="83">
        <v>1</v>
      </c>
      <c r="L941" s="83" t="s">
        <v>101</v>
      </c>
      <c r="M941" s="83" t="s">
        <v>410</v>
      </c>
      <c r="N941" s="83" t="s">
        <v>102</v>
      </c>
      <c r="P941" s="83">
        <v>0</v>
      </c>
      <c r="U941" s="83">
        <v>4</v>
      </c>
      <c r="V941" s="83">
        <v>1</v>
      </c>
      <c r="W941" s="83" t="s">
        <v>103</v>
      </c>
      <c r="X941" s="83">
        <v>0</v>
      </c>
    </row>
    <row r="942" spans="1:25" x14ac:dyDescent="0.2">
      <c r="A942" s="83">
        <v>1</v>
      </c>
      <c r="B942" s="84">
        <v>5701603305501</v>
      </c>
      <c r="C942" s="83">
        <v>50</v>
      </c>
      <c r="D942" s="84">
        <v>5980933305</v>
      </c>
      <c r="F942" s="83" t="s">
        <v>103</v>
      </c>
      <c r="G942" s="83">
        <v>0</v>
      </c>
      <c r="H942" s="83">
        <v>100</v>
      </c>
      <c r="K942" s="83">
        <v>1</v>
      </c>
      <c r="L942" s="83" t="s">
        <v>101</v>
      </c>
      <c r="M942" s="83" t="s">
        <v>410</v>
      </c>
      <c r="N942" s="83" t="s">
        <v>102</v>
      </c>
      <c r="P942" s="83">
        <v>0</v>
      </c>
      <c r="U942" s="83">
        <v>4</v>
      </c>
      <c r="V942" s="83">
        <v>1</v>
      </c>
      <c r="W942" s="83" t="s">
        <v>103</v>
      </c>
      <c r="X942" s="83">
        <v>0</v>
      </c>
    </row>
    <row r="943" spans="1:25" x14ac:dyDescent="0.2">
      <c r="A943" s="83">
        <v>1</v>
      </c>
      <c r="B943" s="84">
        <v>5701603305501</v>
      </c>
      <c r="C943" s="83">
        <v>60</v>
      </c>
      <c r="D943" s="84">
        <v>1010286</v>
      </c>
      <c r="F943" s="83" t="s">
        <v>103</v>
      </c>
      <c r="G943" s="83">
        <v>0</v>
      </c>
      <c r="H943" s="83">
        <v>100</v>
      </c>
      <c r="K943" s="83">
        <v>8</v>
      </c>
      <c r="L943" s="83" t="s">
        <v>101</v>
      </c>
      <c r="M943" s="83" t="s">
        <v>410</v>
      </c>
      <c r="N943" s="83" t="s">
        <v>102</v>
      </c>
      <c r="P943" s="83">
        <v>0</v>
      </c>
      <c r="U943" s="83">
        <v>4</v>
      </c>
      <c r="V943" s="83">
        <v>1</v>
      </c>
      <c r="W943" s="83" t="s">
        <v>103</v>
      </c>
      <c r="X943" s="83">
        <v>0</v>
      </c>
    </row>
    <row r="944" spans="1:25" x14ac:dyDescent="0.2">
      <c r="A944" s="83">
        <v>1</v>
      </c>
      <c r="B944" s="84">
        <v>5701603305501</v>
      </c>
      <c r="C944" s="83">
        <v>70</v>
      </c>
      <c r="D944" s="84">
        <v>1010288</v>
      </c>
      <c r="F944" s="83" t="s">
        <v>103</v>
      </c>
      <c r="G944" s="83">
        <v>0</v>
      </c>
      <c r="H944" s="83">
        <v>100</v>
      </c>
      <c r="K944" s="83">
        <v>4</v>
      </c>
      <c r="L944" s="83" t="s">
        <v>101</v>
      </c>
      <c r="M944" s="83" t="s">
        <v>410</v>
      </c>
      <c r="N944" s="83" t="s">
        <v>102</v>
      </c>
      <c r="P944" s="83">
        <v>0</v>
      </c>
      <c r="U944" s="83">
        <v>4</v>
      </c>
      <c r="V944" s="83">
        <v>1</v>
      </c>
      <c r="W944" s="83" t="s">
        <v>103</v>
      </c>
      <c r="X944" s="83">
        <v>0</v>
      </c>
    </row>
    <row r="945" spans="1:25" x14ac:dyDescent="0.2">
      <c r="A945" s="83">
        <v>1</v>
      </c>
      <c r="B945" s="84">
        <v>5701603305501</v>
      </c>
      <c r="C945" s="83">
        <v>80</v>
      </c>
      <c r="D945" s="84">
        <v>1020145</v>
      </c>
      <c r="F945" s="83" t="s">
        <v>103</v>
      </c>
      <c r="G945" s="83">
        <v>0</v>
      </c>
      <c r="H945" s="83">
        <v>100</v>
      </c>
      <c r="K945" s="83" t="s">
        <v>408</v>
      </c>
      <c r="L945" s="83" t="s">
        <v>101</v>
      </c>
      <c r="M945" s="83" t="s">
        <v>410</v>
      </c>
      <c r="N945" s="83" t="s">
        <v>102</v>
      </c>
      <c r="P945" s="83">
        <v>0</v>
      </c>
      <c r="U945" s="83">
        <v>4</v>
      </c>
      <c r="V945" s="83">
        <v>1</v>
      </c>
      <c r="W945" s="83" t="s">
        <v>103</v>
      </c>
      <c r="X945" s="83">
        <v>0</v>
      </c>
    </row>
    <row r="946" spans="1:25" x14ac:dyDescent="0.2">
      <c r="A946" s="83">
        <v>1</v>
      </c>
      <c r="B946" s="84">
        <v>5701603305501</v>
      </c>
      <c r="C946" s="83">
        <v>90</v>
      </c>
      <c r="D946" s="84">
        <v>777500501</v>
      </c>
      <c r="F946" s="83" t="s">
        <v>103</v>
      </c>
      <c r="G946" s="83">
        <v>0</v>
      </c>
      <c r="H946" s="83">
        <v>100</v>
      </c>
      <c r="K946" s="83">
        <v>1</v>
      </c>
      <c r="L946" s="83" t="s">
        <v>101</v>
      </c>
      <c r="M946" s="83" t="s">
        <v>410</v>
      </c>
      <c r="N946" s="83" t="s">
        <v>102</v>
      </c>
      <c r="P946" s="83">
        <v>0</v>
      </c>
      <c r="U946" s="83">
        <v>4</v>
      </c>
      <c r="V946" s="83">
        <v>1</v>
      </c>
      <c r="W946" s="83" t="s">
        <v>103</v>
      </c>
      <c r="X946" s="83">
        <v>0</v>
      </c>
    </row>
    <row r="947" spans="1:25" x14ac:dyDescent="0.2">
      <c r="A947" s="83">
        <v>1</v>
      </c>
      <c r="B947" s="84">
        <v>5701603306501</v>
      </c>
      <c r="C947" s="83">
        <v>10</v>
      </c>
      <c r="D947" s="84">
        <v>5980463306</v>
      </c>
      <c r="F947" s="83" t="s">
        <v>103</v>
      </c>
      <c r="G947" s="83">
        <v>0</v>
      </c>
      <c r="H947" s="83">
        <v>100</v>
      </c>
      <c r="K947" s="83">
        <v>1</v>
      </c>
      <c r="L947" s="83" t="s">
        <v>101</v>
      </c>
      <c r="M947" s="83" t="s">
        <v>410</v>
      </c>
      <c r="N947" s="83" t="s">
        <v>102</v>
      </c>
      <c r="P947" s="83">
        <v>0</v>
      </c>
      <c r="U947" s="83">
        <v>4</v>
      </c>
      <c r="V947" s="83">
        <v>1</v>
      </c>
      <c r="W947" s="83" t="s">
        <v>103</v>
      </c>
      <c r="X947" s="83">
        <v>0</v>
      </c>
      <c r="Y947" s="83" t="str">
        <f>LEFT(D947,6)</f>
        <v>598046</v>
      </c>
    </row>
    <row r="948" spans="1:25" x14ac:dyDescent="0.2">
      <c r="A948" s="83">
        <v>1</v>
      </c>
      <c r="B948" s="84">
        <v>5701603306501</v>
      </c>
      <c r="C948" s="83">
        <v>20</v>
      </c>
      <c r="D948" s="84">
        <v>5980543306</v>
      </c>
      <c r="F948" s="83" t="s">
        <v>103</v>
      </c>
      <c r="G948" s="83">
        <v>0</v>
      </c>
      <c r="H948" s="83">
        <v>100</v>
      </c>
      <c r="K948" s="83">
        <v>1</v>
      </c>
      <c r="L948" s="83" t="s">
        <v>101</v>
      </c>
      <c r="M948" s="83" t="s">
        <v>410</v>
      </c>
      <c r="N948" s="83" t="s">
        <v>102</v>
      </c>
      <c r="P948" s="83">
        <v>0</v>
      </c>
      <c r="U948" s="83">
        <v>4</v>
      </c>
      <c r="V948" s="83">
        <v>1</v>
      </c>
      <c r="W948" s="83" t="s">
        <v>103</v>
      </c>
      <c r="X948" s="83">
        <v>0</v>
      </c>
    </row>
    <row r="949" spans="1:25" x14ac:dyDescent="0.2">
      <c r="A949" s="83">
        <v>1</v>
      </c>
      <c r="B949" s="84">
        <v>5701603306501</v>
      </c>
      <c r="C949" s="83">
        <v>30</v>
      </c>
      <c r="D949" s="84">
        <v>5980623306</v>
      </c>
      <c r="F949" s="83" t="s">
        <v>103</v>
      </c>
      <c r="G949" s="83">
        <v>0</v>
      </c>
      <c r="H949" s="83">
        <v>100</v>
      </c>
      <c r="K949" s="83">
        <v>1</v>
      </c>
      <c r="L949" s="83" t="s">
        <v>101</v>
      </c>
      <c r="M949" s="83" t="s">
        <v>410</v>
      </c>
      <c r="N949" s="83" t="s">
        <v>102</v>
      </c>
      <c r="P949" s="83">
        <v>0</v>
      </c>
      <c r="U949" s="83">
        <v>4</v>
      </c>
      <c r="V949" s="83">
        <v>1</v>
      </c>
      <c r="W949" s="83" t="s">
        <v>103</v>
      </c>
      <c r="X949" s="83">
        <v>0</v>
      </c>
    </row>
    <row r="950" spans="1:25" x14ac:dyDescent="0.2">
      <c r="A950" s="83">
        <v>1</v>
      </c>
      <c r="B950" s="84">
        <v>5701603306501</v>
      </c>
      <c r="C950" s="83">
        <v>40</v>
      </c>
      <c r="D950" s="84">
        <v>5980823306</v>
      </c>
      <c r="F950" s="83" t="s">
        <v>103</v>
      </c>
      <c r="G950" s="83">
        <v>0</v>
      </c>
      <c r="H950" s="83">
        <v>100</v>
      </c>
      <c r="K950" s="83">
        <v>1</v>
      </c>
      <c r="L950" s="83" t="s">
        <v>101</v>
      </c>
      <c r="M950" s="83" t="s">
        <v>410</v>
      </c>
      <c r="N950" s="83" t="s">
        <v>102</v>
      </c>
      <c r="P950" s="83">
        <v>0</v>
      </c>
      <c r="U950" s="83">
        <v>4</v>
      </c>
      <c r="V950" s="83">
        <v>1</v>
      </c>
      <c r="W950" s="83" t="s">
        <v>103</v>
      </c>
      <c r="X950" s="83">
        <v>0</v>
      </c>
    </row>
    <row r="951" spans="1:25" x14ac:dyDescent="0.2">
      <c r="A951" s="83">
        <v>1</v>
      </c>
      <c r="B951" s="84">
        <v>5701603306501</v>
      </c>
      <c r="C951" s="83">
        <v>50</v>
      </c>
      <c r="D951" s="84">
        <v>5980933306</v>
      </c>
      <c r="F951" s="83" t="s">
        <v>103</v>
      </c>
      <c r="G951" s="83">
        <v>0</v>
      </c>
      <c r="H951" s="83">
        <v>100</v>
      </c>
      <c r="K951" s="83">
        <v>1</v>
      </c>
      <c r="L951" s="83" t="s">
        <v>101</v>
      </c>
      <c r="M951" s="83" t="s">
        <v>410</v>
      </c>
      <c r="N951" s="83" t="s">
        <v>102</v>
      </c>
      <c r="P951" s="83">
        <v>0</v>
      </c>
      <c r="U951" s="83">
        <v>4</v>
      </c>
      <c r="V951" s="83">
        <v>1</v>
      </c>
      <c r="W951" s="83" t="s">
        <v>103</v>
      </c>
      <c r="X951" s="83">
        <v>0</v>
      </c>
    </row>
    <row r="952" spans="1:25" x14ac:dyDescent="0.2">
      <c r="A952" s="83">
        <v>1</v>
      </c>
      <c r="B952" s="84">
        <v>5701603306501</v>
      </c>
      <c r="C952" s="83">
        <v>60</v>
      </c>
      <c r="D952" s="84">
        <v>1010286</v>
      </c>
      <c r="F952" s="83" t="s">
        <v>103</v>
      </c>
      <c r="G952" s="83">
        <v>0</v>
      </c>
      <c r="H952" s="83">
        <v>100</v>
      </c>
      <c r="K952" s="83">
        <v>8</v>
      </c>
      <c r="L952" s="83" t="s">
        <v>101</v>
      </c>
      <c r="M952" s="83" t="s">
        <v>410</v>
      </c>
      <c r="N952" s="83" t="s">
        <v>102</v>
      </c>
      <c r="P952" s="83">
        <v>0</v>
      </c>
      <c r="U952" s="83">
        <v>4</v>
      </c>
      <c r="V952" s="83">
        <v>1</v>
      </c>
      <c r="W952" s="83" t="s">
        <v>103</v>
      </c>
      <c r="X952" s="83">
        <v>0</v>
      </c>
    </row>
    <row r="953" spans="1:25" x14ac:dyDescent="0.2">
      <c r="A953" s="83">
        <v>1</v>
      </c>
      <c r="B953" s="84">
        <v>5701603306501</v>
      </c>
      <c r="C953" s="83">
        <v>70</v>
      </c>
      <c r="D953" s="84">
        <v>1010287</v>
      </c>
      <c r="F953" s="83" t="s">
        <v>103</v>
      </c>
      <c r="G953" s="83">
        <v>0</v>
      </c>
      <c r="H953" s="83">
        <v>100</v>
      </c>
      <c r="K953" s="83">
        <v>4</v>
      </c>
      <c r="L953" s="83" t="s">
        <v>101</v>
      </c>
      <c r="M953" s="83" t="s">
        <v>410</v>
      </c>
      <c r="N953" s="83" t="s">
        <v>102</v>
      </c>
      <c r="P953" s="83">
        <v>0</v>
      </c>
      <c r="U953" s="83">
        <v>4</v>
      </c>
      <c r="V953" s="83">
        <v>1</v>
      </c>
      <c r="W953" s="83" t="s">
        <v>103</v>
      </c>
      <c r="X953" s="83">
        <v>0</v>
      </c>
    </row>
    <row r="954" spans="1:25" x14ac:dyDescent="0.2">
      <c r="A954" s="83">
        <v>1</v>
      </c>
      <c r="B954" s="84">
        <v>5701603306501</v>
      </c>
      <c r="C954" s="83">
        <v>80</v>
      </c>
      <c r="D954" s="84">
        <v>1020145</v>
      </c>
      <c r="F954" s="83" t="s">
        <v>103</v>
      </c>
      <c r="G954" s="83">
        <v>0</v>
      </c>
      <c r="H954" s="83">
        <v>100</v>
      </c>
      <c r="K954" s="83" t="s">
        <v>408</v>
      </c>
      <c r="L954" s="83" t="s">
        <v>101</v>
      </c>
      <c r="M954" s="83" t="s">
        <v>410</v>
      </c>
      <c r="N954" s="83" t="s">
        <v>102</v>
      </c>
      <c r="P954" s="83">
        <v>0</v>
      </c>
      <c r="U954" s="83">
        <v>4</v>
      </c>
      <c r="V954" s="83">
        <v>1</v>
      </c>
      <c r="W954" s="83" t="s">
        <v>103</v>
      </c>
      <c r="X954" s="83">
        <v>0</v>
      </c>
    </row>
    <row r="955" spans="1:25" x14ac:dyDescent="0.2">
      <c r="A955" s="83">
        <v>1</v>
      </c>
      <c r="B955" s="84">
        <v>5701603306501</v>
      </c>
      <c r="C955" s="83">
        <v>90</v>
      </c>
      <c r="D955" s="84">
        <v>777500501</v>
      </c>
      <c r="F955" s="83" t="s">
        <v>103</v>
      </c>
      <c r="G955" s="83">
        <v>0</v>
      </c>
      <c r="H955" s="83">
        <v>100</v>
      </c>
      <c r="K955" s="83">
        <v>1</v>
      </c>
      <c r="L955" s="83" t="s">
        <v>101</v>
      </c>
      <c r="M955" s="83" t="s">
        <v>410</v>
      </c>
      <c r="N955" s="83" t="s">
        <v>102</v>
      </c>
      <c r="P955" s="83">
        <v>0</v>
      </c>
      <c r="U955" s="83">
        <v>4</v>
      </c>
      <c r="V955" s="83">
        <v>1</v>
      </c>
      <c r="W955" s="83" t="s">
        <v>103</v>
      </c>
      <c r="X955" s="83">
        <v>0</v>
      </c>
    </row>
    <row r="956" spans="1:25" x14ac:dyDescent="0.2">
      <c r="A956" s="83">
        <v>1</v>
      </c>
      <c r="B956" s="84">
        <v>5701603307501</v>
      </c>
      <c r="C956" s="83">
        <v>10</v>
      </c>
      <c r="D956" s="84">
        <v>5980463307</v>
      </c>
      <c r="F956" s="83" t="s">
        <v>103</v>
      </c>
      <c r="G956" s="83">
        <v>0</v>
      </c>
      <c r="H956" s="83">
        <v>100</v>
      </c>
      <c r="K956" s="83">
        <v>1</v>
      </c>
      <c r="L956" s="83" t="s">
        <v>101</v>
      </c>
      <c r="M956" s="83" t="s">
        <v>410</v>
      </c>
      <c r="N956" s="83" t="s">
        <v>102</v>
      </c>
      <c r="P956" s="83">
        <v>0</v>
      </c>
      <c r="U956" s="83">
        <v>4</v>
      </c>
      <c r="V956" s="83">
        <v>1</v>
      </c>
      <c r="W956" s="83" t="s">
        <v>103</v>
      </c>
      <c r="X956" s="83">
        <v>0</v>
      </c>
      <c r="Y956" s="83" t="str">
        <f>LEFT(D956,6)</f>
        <v>598046</v>
      </c>
    </row>
    <row r="957" spans="1:25" x14ac:dyDescent="0.2">
      <c r="A957" s="83">
        <v>1</v>
      </c>
      <c r="B957" s="84">
        <v>5701603307501</v>
      </c>
      <c r="C957" s="83">
        <v>20</v>
      </c>
      <c r="D957" s="84">
        <v>5980543307</v>
      </c>
      <c r="F957" s="83" t="s">
        <v>103</v>
      </c>
      <c r="G957" s="83">
        <v>0</v>
      </c>
      <c r="H957" s="83">
        <v>100</v>
      </c>
      <c r="K957" s="83">
        <v>1</v>
      </c>
      <c r="L957" s="83" t="s">
        <v>101</v>
      </c>
      <c r="M957" s="83" t="s">
        <v>410</v>
      </c>
      <c r="N957" s="83" t="s">
        <v>102</v>
      </c>
      <c r="P957" s="83">
        <v>0</v>
      </c>
      <c r="U957" s="83">
        <v>4</v>
      </c>
      <c r="V957" s="83">
        <v>1</v>
      </c>
      <c r="W957" s="83" t="s">
        <v>103</v>
      </c>
      <c r="X957" s="83">
        <v>0</v>
      </c>
    </row>
    <row r="958" spans="1:25" x14ac:dyDescent="0.2">
      <c r="A958" s="83">
        <v>1</v>
      </c>
      <c r="B958" s="84">
        <v>5701603307501</v>
      </c>
      <c r="C958" s="83">
        <v>30</v>
      </c>
      <c r="D958" s="84">
        <v>5980623307</v>
      </c>
      <c r="F958" s="83" t="s">
        <v>103</v>
      </c>
      <c r="G958" s="83">
        <v>0</v>
      </c>
      <c r="H958" s="83">
        <v>100</v>
      </c>
      <c r="K958" s="83">
        <v>1</v>
      </c>
      <c r="L958" s="83" t="s">
        <v>101</v>
      </c>
      <c r="M958" s="83" t="s">
        <v>410</v>
      </c>
      <c r="N958" s="83" t="s">
        <v>102</v>
      </c>
      <c r="P958" s="83">
        <v>0</v>
      </c>
      <c r="U958" s="83">
        <v>4</v>
      </c>
      <c r="V958" s="83">
        <v>1</v>
      </c>
      <c r="W958" s="83" t="s">
        <v>103</v>
      </c>
      <c r="X958" s="83">
        <v>0</v>
      </c>
    </row>
    <row r="959" spans="1:25" x14ac:dyDescent="0.2">
      <c r="A959" s="83">
        <v>1</v>
      </c>
      <c r="B959" s="84">
        <v>5701603307501</v>
      </c>
      <c r="C959" s="83">
        <v>40</v>
      </c>
      <c r="D959" s="84">
        <v>5980823307</v>
      </c>
      <c r="F959" s="83" t="s">
        <v>103</v>
      </c>
      <c r="G959" s="83">
        <v>0</v>
      </c>
      <c r="H959" s="83">
        <v>100</v>
      </c>
      <c r="K959" s="83">
        <v>1</v>
      </c>
      <c r="L959" s="83" t="s">
        <v>101</v>
      </c>
      <c r="M959" s="83" t="s">
        <v>410</v>
      </c>
      <c r="N959" s="83" t="s">
        <v>102</v>
      </c>
      <c r="P959" s="83">
        <v>0</v>
      </c>
      <c r="U959" s="83">
        <v>4</v>
      </c>
      <c r="V959" s="83">
        <v>1</v>
      </c>
      <c r="W959" s="83" t="s">
        <v>103</v>
      </c>
      <c r="X959" s="83">
        <v>0</v>
      </c>
    </row>
    <row r="960" spans="1:25" x14ac:dyDescent="0.2">
      <c r="A960" s="83">
        <v>1</v>
      </c>
      <c r="B960" s="84">
        <v>5701603307501</v>
      </c>
      <c r="C960" s="83">
        <v>50</v>
      </c>
      <c r="D960" s="84">
        <v>5980933307</v>
      </c>
      <c r="F960" s="83" t="s">
        <v>103</v>
      </c>
      <c r="G960" s="83">
        <v>0</v>
      </c>
      <c r="H960" s="83">
        <v>100</v>
      </c>
      <c r="K960" s="83">
        <v>1</v>
      </c>
      <c r="L960" s="83" t="s">
        <v>101</v>
      </c>
      <c r="M960" s="83" t="s">
        <v>410</v>
      </c>
      <c r="N960" s="83" t="s">
        <v>102</v>
      </c>
      <c r="P960" s="83">
        <v>0</v>
      </c>
      <c r="U960" s="83">
        <v>4</v>
      </c>
      <c r="V960" s="83">
        <v>1</v>
      </c>
      <c r="W960" s="83" t="s">
        <v>103</v>
      </c>
      <c r="X960" s="83">
        <v>0</v>
      </c>
    </row>
    <row r="961" spans="1:25" x14ac:dyDescent="0.2">
      <c r="A961" s="83">
        <v>1</v>
      </c>
      <c r="B961" s="84">
        <v>5701603307501</v>
      </c>
      <c r="C961" s="83">
        <v>60</v>
      </c>
      <c r="D961" s="84">
        <v>1010286</v>
      </c>
      <c r="F961" s="83" t="s">
        <v>103</v>
      </c>
      <c r="G961" s="83">
        <v>0</v>
      </c>
      <c r="H961" s="83">
        <v>100</v>
      </c>
      <c r="K961" s="83">
        <v>8</v>
      </c>
      <c r="L961" s="83" t="s">
        <v>101</v>
      </c>
      <c r="M961" s="83" t="s">
        <v>410</v>
      </c>
      <c r="N961" s="83" t="s">
        <v>102</v>
      </c>
      <c r="P961" s="83">
        <v>0</v>
      </c>
      <c r="U961" s="83">
        <v>4</v>
      </c>
      <c r="V961" s="83">
        <v>1</v>
      </c>
      <c r="W961" s="83" t="s">
        <v>103</v>
      </c>
      <c r="X961" s="83">
        <v>0</v>
      </c>
    </row>
    <row r="962" spans="1:25" x14ac:dyDescent="0.2">
      <c r="A962" s="83">
        <v>1</v>
      </c>
      <c r="B962" s="84">
        <v>5701603307501</v>
      </c>
      <c r="C962" s="83">
        <v>70</v>
      </c>
      <c r="D962" s="84">
        <v>1010287</v>
      </c>
      <c r="F962" s="83" t="s">
        <v>103</v>
      </c>
      <c r="G962" s="83">
        <v>0</v>
      </c>
      <c r="H962" s="83">
        <v>100</v>
      </c>
      <c r="K962" s="83">
        <v>4</v>
      </c>
      <c r="L962" s="83" t="s">
        <v>101</v>
      </c>
      <c r="M962" s="83" t="s">
        <v>410</v>
      </c>
      <c r="N962" s="83" t="s">
        <v>102</v>
      </c>
      <c r="P962" s="83">
        <v>0</v>
      </c>
      <c r="U962" s="83">
        <v>4</v>
      </c>
      <c r="V962" s="83">
        <v>1</v>
      </c>
      <c r="W962" s="83" t="s">
        <v>103</v>
      </c>
      <c r="X962" s="83">
        <v>0</v>
      </c>
    </row>
    <row r="963" spans="1:25" x14ac:dyDescent="0.2">
      <c r="A963" s="83">
        <v>1</v>
      </c>
      <c r="B963" s="84">
        <v>5701603307501</v>
      </c>
      <c r="C963" s="83">
        <v>80</v>
      </c>
      <c r="D963" s="84">
        <v>1020145</v>
      </c>
      <c r="F963" s="83" t="s">
        <v>103</v>
      </c>
      <c r="G963" s="83">
        <v>0</v>
      </c>
      <c r="H963" s="83">
        <v>100</v>
      </c>
      <c r="K963" s="83" t="s">
        <v>408</v>
      </c>
      <c r="L963" s="83" t="s">
        <v>101</v>
      </c>
      <c r="M963" s="83" t="s">
        <v>410</v>
      </c>
      <c r="N963" s="83" t="s">
        <v>102</v>
      </c>
      <c r="P963" s="83">
        <v>0</v>
      </c>
      <c r="U963" s="83">
        <v>4</v>
      </c>
      <c r="V963" s="83">
        <v>1</v>
      </c>
      <c r="W963" s="83" t="s">
        <v>103</v>
      </c>
      <c r="X963" s="83">
        <v>0</v>
      </c>
    </row>
    <row r="964" spans="1:25" x14ac:dyDescent="0.2">
      <c r="A964" s="83">
        <v>1</v>
      </c>
      <c r="B964" s="84">
        <v>5701603307501</v>
      </c>
      <c r="C964" s="83">
        <v>90</v>
      </c>
      <c r="D964" s="84">
        <v>777500501</v>
      </c>
      <c r="F964" s="83" t="s">
        <v>103</v>
      </c>
      <c r="G964" s="83">
        <v>0</v>
      </c>
      <c r="H964" s="83">
        <v>100</v>
      </c>
      <c r="K964" s="83">
        <v>1</v>
      </c>
      <c r="L964" s="83" t="s">
        <v>101</v>
      </c>
      <c r="M964" s="83" t="s">
        <v>410</v>
      </c>
      <c r="N964" s="83" t="s">
        <v>102</v>
      </c>
      <c r="P964" s="83">
        <v>0</v>
      </c>
      <c r="U964" s="83">
        <v>4</v>
      </c>
      <c r="V964" s="83">
        <v>1</v>
      </c>
      <c r="W964" s="83" t="s">
        <v>103</v>
      </c>
      <c r="X964" s="83">
        <v>0</v>
      </c>
    </row>
    <row r="965" spans="1:25" x14ac:dyDescent="0.2">
      <c r="A965" s="83">
        <v>1</v>
      </c>
      <c r="B965" s="84">
        <v>5701603308501</v>
      </c>
      <c r="C965" s="83">
        <v>10</v>
      </c>
      <c r="D965" s="84">
        <v>5980463308</v>
      </c>
      <c r="F965" s="83" t="s">
        <v>103</v>
      </c>
      <c r="G965" s="83">
        <v>0</v>
      </c>
      <c r="H965" s="83">
        <v>100</v>
      </c>
      <c r="K965" s="83">
        <v>1</v>
      </c>
      <c r="L965" s="83" t="s">
        <v>101</v>
      </c>
      <c r="M965" s="83" t="s">
        <v>410</v>
      </c>
      <c r="N965" s="83" t="s">
        <v>102</v>
      </c>
      <c r="P965" s="83">
        <v>0</v>
      </c>
      <c r="U965" s="83">
        <v>4</v>
      </c>
      <c r="V965" s="83">
        <v>1</v>
      </c>
      <c r="W965" s="83" t="s">
        <v>103</v>
      </c>
      <c r="X965" s="83">
        <v>0</v>
      </c>
      <c r="Y965" s="83" t="str">
        <f>LEFT(D965,6)</f>
        <v>598046</v>
      </c>
    </row>
    <row r="966" spans="1:25" x14ac:dyDescent="0.2">
      <c r="A966" s="83">
        <v>1</v>
      </c>
      <c r="B966" s="84">
        <v>5701603308501</v>
      </c>
      <c r="C966" s="83">
        <v>20</v>
      </c>
      <c r="D966" s="84">
        <v>5980543308</v>
      </c>
      <c r="F966" s="83" t="s">
        <v>103</v>
      </c>
      <c r="G966" s="83">
        <v>0</v>
      </c>
      <c r="H966" s="83">
        <v>100</v>
      </c>
      <c r="K966" s="83">
        <v>1</v>
      </c>
      <c r="L966" s="83" t="s">
        <v>101</v>
      </c>
      <c r="M966" s="83" t="s">
        <v>410</v>
      </c>
      <c r="N966" s="83" t="s">
        <v>102</v>
      </c>
      <c r="P966" s="83">
        <v>0</v>
      </c>
      <c r="U966" s="83">
        <v>4</v>
      </c>
      <c r="V966" s="83">
        <v>1</v>
      </c>
      <c r="W966" s="83" t="s">
        <v>103</v>
      </c>
      <c r="X966" s="83">
        <v>0</v>
      </c>
    </row>
    <row r="967" spans="1:25" x14ac:dyDescent="0.2">
      <c r="A967" s="83">
        <v>1</v>
      </c>
      <c r="B967" s="84">
        <v>5701603308501</v>
      </c>
      <c r="C967" s="83">
        <v>30</v>
      </c>
      <c r="D967" s="84">
        <v>5980623308</v>
      </c>
      <c r="F967" s="83" t="s">
        <v>103</v>
      </c>
      <c r="G967" s="83">
        <v>0</v>
      </c>
      <c r="H967" s="83">
        <v>100</v>
      </c>
      <c r="K967" s="83">
        <v>1</v>
      </c>
      <c r="L967" s="83" t="s">
        <v>101</v>
      </c>
      <c r="M967" s="83" t="s">
        <v>410</v>
      </c>
      <c r="N967" s="83" t="s">
        <v>102</v>
      </c>
      <c r="P967" s="83">
        <v>0</v>
      </c>
      <c r="U967" s="83">
        <v>4</v>
      </c>
      <c r="V967" s="83">
        <v>1</v>
      </c>
      <c r="W967" s="83" t="s">
        <v>103</v>
      </c>
      <c r="X967" s="83">
        <v>0</v>
      </c>
    </row>
    <row r="968" spans="1:25" x14ac:dyDescent="0.2">
      <c r="A968" s="83">
        <v>1</v>
      </c>
      <c r="B968" s="84">
        <v>5701603308501</v>
      </c>
      <c r="C968" s="83">
        <v>40</v>
      </c>
      <c r="D968" s="84">
        <v>5980823308</v>
      </c>
      <c r="F968" s="83" t="s">
        <v>103</v>
      </c>
      <c r="G968" s="83">
        <v>0</v>
      </c>
      <c r="H968" s="83">
        <v>100</v>
      </c>
      <c r="K968" s="83">
        <v>1</v>
      </c>
      <c r="L968" s="83" t="s">
        <v>101</v>
      </c>
      <c r="M968" s="83" t="s">
        <v>410</v>
      </c>
      <c r="N968" s="83" t="s">
        <v>102</v>
      </c>
      <c r="P968" s="83">
        <v>0</v>
      </c>
      <c r="U968" s="83">
        <v>4</v>
      </c>
      <c r="V968" s="83">
        <v>1</v>
      </c>
      <c r="W968" s="83" t="s">
        <v>103</v>
      </c>
      <c r="X968" s="83">
        <v>0</v>
      </c>
    </row>
    <row r="969" spans="1:25" x14ac:dyDescent="0.2">
      <c r="A969" s="83">
        <v>1</v>
      </c>
      <c r="B969" s="84">
        <v>5701603308501</v>
      </c>
      <c r="C969" s="83">
        <v>50</v>
      </c>
      <c r="D969" s="84">
        <v>5980933308</v>
      </c>
      <c r="F969" s="83" t="s">
        <v>103</v>
      </c>
      <c r="G969" s="83">
        <v>0</v>
      </c>
      <c r="H969" s="83">
        <v>100</v>
      </c>
      <c r="K969" s="83">
        <v>1</v>
      </c>
      <c r="L969" s="83" t="s">
        <v>101</v>
      </c>
      <c r="M969" s="83" t="s">
        <v>410</v>
      </c>
      <c r="N969" s="83" t="s">
        <v>102</v>
      </c>
      <c r="P969" s="83">
        <v>0</v>
      </c>
      <c r="U969" s="83">
        <v>4</v>
      </c>
      <c r="V969" s="83">
        <v>1</v>
      </c>
      <c r="W969" s="83" t="s">
        <v>103</v>
      </c>
      <c r="X969" s="83">
        <v>0</v>
      </c>
    </row>
    <row r="970" spans="1:25" x14ac:dyDescent="0.2">
      <c r="A970" s="83">
        <v>1</v>
      </c>
      <c r="B970" s="84">
        <v>5701603308501</v>
      </c>
      <c r="C970" s="83">
        <v>60</v>
      </c>
      <c r="D970" s="84">
        <v>1010286</v>
      </c>
      <c r="F970" s="83" t="s">
        <v>103</v>
      </c>
      <c r="G970" s="83">
        <v>0</v>
      </c>
      <c r="H970" s="83">
        <v>100</v>
      </c>
      <c r="K970" s="83">
        <v>8</v>
      </c>
      <c r="L970" s="83" t="s">
        <v>101</v>
      </c>
      <c r="M970" s="83" t="s">
        <v>410</v>
      </c>
      <c r="N970" s="83" t="s">
        <v>102</v>
      </c>
      <c r="P970" s="83">
        <v>0</v>
      </c>
      <c r="U970" s="83">
        <v>4</v>
      </c>
      <c r="V970" s="83">
        <v>1</v>
      </c>
      <c r="W970" s="83" t="s">
        <v>103</v>
      </c>
      <c r="X970" s="83">
        <v>0</v>
      </c>
    </row>
    <row r="971" spans="1:25" x14ac:dyDescent="0.2">
      <c r="A971" s="83">
        <v>1</v>
      </c>
      <c r="B971" s="84">
        <v>5701603308501</v>
      </c>
      <c r="C971" s="83">
        <v>70</v>
      </c>
      <c r="D971" s="84">
        <v>1010288</v>
      </c>
      <c r="F971" s="83" t="s">
        <v>103</v>
      </c>
      <c r="G971" s="83">
        <v>0</v>
      </c>
      <c r="H971" s="83">
        <v>100</v>
      </c>
      <c r="K971" s="83">
        <v>4</v>
      </c>
      <c r="L971" s="83" t="s">
        <v>101</v>
      </c>
      <c r="M971" s="83" t="s">
        <v>410</v>
      </c>
      <c r="N971" s="83" t="s">
        <v>102</v>
      </c>
      <c r="P971" s="83">
        <v>0</v>
      </c>
      <c r="U971" s="83">
        <v>4</v>
      </c>
      <c r="V971" s="83">
        <v>1</v>
      </c>
      <c r="W971" s="83" t="s">
        <v>103</v>
      </c>
      <c r="X971" s="83">
        <v>0</v>
      </c>
    </row>
    <row r="972" spans="1:25" x14ac:dyDescent="0.2">
      <c r="A972" s="83">
        <v>1</v>
      </c>
      <c r="B972" s="84">
        <v>5701603308501</v>
      </c>
      <c r="C972" s="83">
        <v>80</v>
      </c>
      <c r="D972" s="85">
        <v>1020145</v>
      </c>
      <c r="F972" s="83" t="s">
        <v>103</v>
      </c>
      <c r="G972" s="83">
        <v>0</v>
      </c>
      <c r="H972" s="83">
        <v>100</v>
      </c>
      <c r="K972" s="83" t="s">
        <v>408</v>
      </c>
      <c r="L972" s="83" t="s">
        <v>101</v>
      </c>
      <c r="M972" s="83" t="s">
        <v>410</v>
      </c>
      <c r="N972" s="83" t="s">
        <v>102</v>
      </c>
      <c r="P972" s="83">
        <v>0</v>
      </c>
      <c r="U972" s="83">
        <v>4</v>
      </c>
      <c r="V972" s="83">
        <v>1</v>
      </c>
      <c r="W972" s="83" t="s">
        <v>103</v>
      </c>
      <c r="X972" s="83">
        <v>0</v>
      </c>
    </row>
    <row r="973" spans="1:25" x14ac:dyDescent="0.2">
      <c r="A973" s="83">
        <v>1</v>
      </c>
      <c r="B973" s="84">
        <v>5701603308501</v>
      </c>
      <c r="C973" s="83">
        <v>90</v>
      </c>
      <c r="D973" s="84">
        <v>777500501</v>
      </c>
      <c r="F973" s="83" t="s">
        <v>103</v>
      </c>
      <c r="G973" s="83">
        <v>0</v>
      </c>
      <c r="H973" s="83">
        <v>100</v>
      </c>
      <c r="K973" s="83">
        <v>1</v>
      </c>
      <c r="L973" s="83" t="s">
        <v>101</v>
      </c>
      <c r="M973" s="83" t="s">
        <v>410</v>
      </c>
      <c r="N973" s="83" t="s">
        <v>102</v>
      </c>
      <c r="P973" s="83">
        <v>0</v>
      </c>
      <c r="U973" s="83">
        <v>4</v>
      </c>
      <c r="V973" s="83">
        <v>1</v>
      </c>
      <c r="W973" s="83" t="s">
        <v>103</v>
      </c>
      <c r="X973" s="83">
        <v>0</v>
      </c>
    </row>
    <row r="974" spans="1:25" x14ac:dyDescent="0.2">
      <c r="A974" s="83">
        <v>1</v>
      </c>
      <c r="B974" s="84">
        <v>5701603309501</v>
      </c>
      <c r="C974" s="83">
        <v>10</v>
      </c>
      <c r="D974" s="84">
        <v>5980463309</v>
      </c>
      <c r="F974" s="83" t="s">
        <v>103</v>
      </c>
      <c r="G974" s="83">
        <v>0</v>
      </c>
      <c r="H974" s="83">
        <v>100</v>
      </c>
      <c r="K974" s="83">
        <v>1</v>
      </c>
      <c r="L974" s="83" t="s">
        <v>101</v>
      </c>
      <c r="M974" s="83" t="s">
        <v>410</v>
      </c>
      <c r="N974" s="83" t="s">
        <v>102</v>
      </c>
      <c r="P974" s="83">
        <v>0</v>
      </c>
      <c r="U974" s="83">
        <v>4</v>
      </c>
      <c r="V974" s="83">
        <v>1</v>
      </c>
      <c r="W974" s="83" t="s">
        <v>103</v>
      </c>
      <c r="X974" s="83">
        <v>0</v>
      </c>
      <c r="Y974" s="83" t="str">
        <f>LEFT(D974,6)</f>
        <v>598046</v>
      </c>
    </row>
    <row r="975" spans="1:25" x14ac:dyDescent="0.2">
      <c r="A975" s="83">
        <v>1</v>
      </c>
      <c r="B975" s="84">
        <v>5701603309501</v>
      </c>
      <c r="C975" s="83">
        <v>20</v>
      </c>
      <c r="D975" s="84">
        <v>5980543309</v>
      </c>
      <c r="F975" s="83" t="s">
        <v>103</v>
      </c>
      <c r="G975" s="83">
        <v>0</v>
      </c>
      <c r="H975" s="83">
        <v>100</v>
      </c>
      <c r="K975" s="83">
        <v>1</v>
      </c>
      <c r="L975" s="83" t="s">
        <v>101</v>
      </c>
      <c r="M975" s="83" t="s">
        <v>410</v>
      </c>
      <c r="N975" s="83" t="s">
        <v>102</v>
      </c>
      <c r="P975" s="83">
        <v>0</v>
      </c>
      <c r="U975" s="83">
        <v>4</v>
      </c>
      <c r="V975" s="83">
        <v>1</v>
      </c>
      <c r="W975" s="83" t="s">
        <v>103</v>
      </c>
      <c r="X975" s="83">
        <v>0</v>
      </c>
    </row>
    <row r="976" spans="1:25" x14ac:dyDescent="0.2">
      <c r="A976" s="83">
        <v>1</v>
      </c>
      <c r="B976" s="84">
        <v>5701603309501</v>
      </c>
      <c r="C976" s="83">
        <v>30</v>
      </c>
      <c r="D976" s="84">
        <v>5980623309</v>
      </c>
      <c r="F976" s="83" t="s">
        <v>103</v>
      </c>
      <c r="G976" s="83">
        <v>0</v>
      </c>
      <c r="H976" s="83">
        <v>100</v>
      </c>
      <c r="K976" s="83">
        <v>1</v>
      </c>
      <c r="L976" s="83" t="s">
        <v>101</v>
      </c>
      <c r="M976" s="83" t="s">
        <v>410</v>
      </c>
      <c r="N976" s="83" t="s">
        <v>102</v>
      </c>
      <c r="P976" s="83">
        <v>0</v>
      </c>
      <c r="U976" s="83">
        <v>4</v>
      </c>
      <c r="V976" s="83">
        <v>1</v>
      </c>
      <c r="W976" s="83" t="s">
        <v>103</v>
      </c>
      <c r="X976" s="83">
        <v>0</v>
      </c>
    </row>
    <row r="977" spans="1:25" x14ac:dyDescent="0.2">
      <c r="A977" s="83">
        <v>1</v>
      </c>
      <c r="B977" s="84">
        <v>5701603309501</v>
      </c>
      <c r="C977" s="83">
        <v>40</v>
      </c>
      <c r="D977" s="84">
        <v>5980823309</v>
      </c>
      <c r="F977" s="83" t="s">
        <v>103</v>
      </c>
      <c r="G977" s="83">
        <v>0</v>
      </c>
      <c r="H977" s="83">
        <v>100</v>
      </c>
      <c r="K977" s="83">
        <v>1</v>
      </c>
      <c r="L977" s="83" t="s">
        <v>101</v>
      </c>
      <c r="M977" s="83" t="s">
        <v>410</v>
      </c>
      <c r="N977" s="83" t="s">
        <v>102</v>
      </c>
      <c r="P977" s="83">
        <v>0</v>
      </c>
      <c r="U977" s="83">
        <v>4</v>
      </c>
      <c r="V977" s="83">
        <v>1</v>
      </c>
      <c r="W977" s="83" t="s">
        <v>103</v>
      </c>
      <c r="X977" s="83">
        <v>0</v>
      </c>
    </row>
    <row r="978" spans="1:25" x14ac:dyDescent="0.2">
      <c r="A978" s="83">
        <v>1</v>
      </c>
      <c r="B978" s="84">
        <v>5701603309501</v>
      </c>
      <c r="C978" s="83">
        <v>50</v>
      </c>
      <c r="D978" s="84">
        <v>5980933309</v>
      </c>
      <c r="F978" s="83" t="s">
        <v>103</v>
      </c>
      <c r="G978" s="83">
        <v>0</v>
      </c>
      <c r="H978" s="83">
        <v>100</v>
      </c>
      <c r="K978" s="83">
        <v>1</v>
      </c>
      <c r="L978" s="83" t="s">
        <v>101</v>
      </c>
      <c r="M978" s="83" t="s">
        <v>410</v>
      </c>
      <c r="N978" s="83" t="s">
        <v>102</v>
      </c>
      <c r="P978" s="83">
        <v>0</v>
      </c>
      <c r="U978" s="83">
        <v>4</v>
      </c>
      <c r="V978" s="83">
        <v>1</v>
      </c>
      <c r="W978" s="83" t="s">
        <v>103</v>
      </c>
      <c r="X978" s="83">
        <v>0</v>
      </c>
    </row>
    <row r="979" spans="1:25" x14ac:dyDescent="0.2">
      <c r="A979" s="83">
        <v>1</v>
      </c>
      <c r="B979" s="84">
        <v>5701603309501</v>
      </c>
      <c r="C979" s="83">
        <v>60</v>
      </c>
      <c r="D979" s="84">
        <v>1010286</v>
      </c>
      <c r="F979" s="83" t="s">
        <v>103</v>
      </c>
      <c r="G979" s="83">
        <v>0</v>
      </c>
      <c r="H979" s="83">
        <v>100</v>
      </c>
      <c r="K979" s="83">
        <v>8</v>
      </c>
      <c r="L979" s="83" t="s">
        <v>101</v>
      </c>
      <c r="M979" s="83" t="s">
        <v>410</v>
      </c>
      <c r="N979" s="83" t="s">
        <v>102</v>
      </c>
      <c r="P979" s="83">
        <v>0</v>
      </c>
      <c r="U979" s="83">
        <v>4</v>
      </c>
      <c r="V979" s="83">
        <v>1</v>
      </c>
      <c r="W979" s="83" t="s">
        <v>103</v>
      </c>
      <c r="X979" s="83">
        <v>0</v>
      </c>
    </row>
    <row r="980" spans="1:25" x14ac:dyDescent="0.2">
      <c r="A980" s="83">
        <v>1</v>
      </c>
      <c r="B980" s="84">
        <v>5701603309501</v>
      </c>
      <c r="C980" s="83">
        <v>70</v>
      </c>
      <c r="D980" s="84">
        <v>1010287</v>
      </c>
      <c r="F980" s="83" t="s">
        <v>103</v>
      </c>
      <c r="G980" s="83">
        <v>0</v>
      </c>
      <c r="H980" s="83">
        <v>100</v>
      </c>
      <c r="K980" s="83">
        <v>4</v>
      </c>
      <c r="L980" s="83" t="s">
        <v>101</v>
      </c>
      <c r="M980" s="83" t="s">
        <v>410</v>
      </c>
      <c r="N980" s="83" t="s">
        <v>102</v>
      </c>
      <c r="P980" s="83">
        <v>0</v>
      </c>
      <c r="U980" s="83">
        <v>4</v>
      </c>
      <c r="V980" s="83">
        <v>1</v>
      </c>
      <c r="W980" s="83" t="s">
        <v>103</v>
      </c>
      <c r="X980" s="83">
        <v>0</v>
      </c>
    </row>
    <row r="981" spans="1:25" x14ac:dyDescent="0.2">
      <c r="A981" s="83">
        <v>1</v>
      </c>
      <c r="B981" s="84">
        <v>5701603309501</v>
      </c>
      <c r="C981" s="83">
        <v>80</v>
      </c>
      <c r="D981" s="84">
        <v>1020145</v>
      </c>
      <c r="F981" s="83" t="s">
        <v>103</v>
      </c>
      <c r="G981" s="83">
        <v>0</v>
      </c>
      <c r="H981" s="83">
        <v>100</v>
      </c>
      <c r="K981" s="83" t="s">
        <v>408</v>
      </c>
      <c r="L981" s="83" t="s">
        <v>101</v>
      </c>
      <c r="M981" s="83" t="s">
        <v>410</v>
      </c>
      <c r="N981" s="83" t="s">
        <v>102</v>
      </c>
      <c r="P981" s="83">
        <v>0</v>
      </c>
      <c r="U981" s="83">
        <v>4</v>
      </c>
      <c r="V981" s="83">
        <v>1</v>
      </c>
      <c r="W981" s="83" t="s">
        <v>103</v>
      </c>
      <c r="X981" s="83">
        <v>0</v>
      </c>
    </row>
    <row r="982" spans="1:25" x14ac:dyDescent="0.2">
      <c r="A982" s="83">
        <v>1</v>
      </c>
      <c r="B982" s="84">
        <v>5701603309501</v>
      </c>
      <c r="C982" s="83">
        <v>90</v>
      </c>
      <c r="D982" s="84">
        <v>777500501</v>
      </c>
      <c r="F982" s="83" t="s">
        <v>103</v>
      </c>
      <c r="G982" s="83">
        <v>0</v>
      </c>
      <c r="H982" s="83">
        <v>100</v>
      </c>
      <c r="K982" s="83">
        <v>1</v>
      </c>
      <c r="L982" s="83" t="s">
        <v>101</v>
      </c>
      <c r="M982" s="83" t="s">
        <v>410</v>
      </c>
      <c r="N982" s="83" t="s">
        <v>102</v>
      </c>
      <c r="P982" s="83">
        <v>0</v>
      </c>
      <c r="U982" s="83">
        <v>4</v>
      </c>
      <c r="V982" s="83">
        <v>1</v>
      </c>
      <c r="W982" s="83" t="s">
        <v>103</v>
      </c>
      <c r="X982" s="83">
        <v>0</v>
      </c>
    </row>
    <row r="983" spans="1:25" x14ac:dyDescent="0.2">
      <c r="A983" s="83">
        <v>1</v>
      </c>
      <c r="B983" s="84">
        <v>5701603310501</v>
      </c>
      <c r="C983" s="83">
        <v>10</v>
      </c>
      <c r="D983" s="84">
        <v>5980463310</v>
      </c>
      <c r="F983" s="83" t="s">
        <v>103</v>
      </c>
      <c r="G983" s="83">
        <v>0</v>
      </c>
      <c r="H983" s="83">
        <v>100</v>
      </c>
      <c r="K983" s="83">
        <v>1</v>
      </c>
      <c r="L983" s="83" t="s">
        <v>101</v>
      </c>
      <c r="M983" s="83" t="s">
        <v>410</v>
      </c>
      <c r="N983" s="83" t="s">
        <v>102</v>
      </c>
      <c r="P983" s="83">
        <v>0</v>
      </c>
      <c r="U983" s="83">
        <v>4</v>
      </c>
      <c r="V983" s="83">
        <v>1</v>
      </c>
      <c r="W983" s="83" t="s">
        <v>103</v>
      </c>
      <c r="X983" s="83">
        <v>0</v>
      </c>
      <c r="Y983" s="83" t="str">
        <f>LEFT(D983,6)</f>
        <v>598046</v>
      </c>
    </row>
    <row r="984" spans="1:25" x14ac:dyDescent="0.2">
      <c r="A984" s="83">
        <v>1</v>
      </c>
      <c r="B984" s="84">
        <v>5701603310501</v>
      </c>
      <c r="C984" s="83">
        <v>20</v>
      </c>
      <c r="D984" s="84">
        <v>5980543310</v>
      </c>
      <c r="F984" s="83" t="s">
        <v>103</v>
      </c>
      <c r="G984" s="83">
        <v>0</v>
      </c>
      <c r="H984" s="83">
        <v>100</v>
      </c>
      <c r="K984" s="83">
        <v>1</v>
      </c>
      <c r="L984" s="83" t="s">
        <v>101</v>
      </c>
      <c r="M984" s="83" t="s">
        <v>410</v>
      </c>
      <c r="N984" s="83" t="s">
        <v>102</v>
      </c>
      <c r="P984" s="83">
        <v>0</v>
      </c>
      <c r="U984" s="83">
        <v>4</v>
      </c>
      <c r="V984" s="83">
        <v>1</v>
      </c>
      <c r="W984" s="83" t="s">
        <v>103</v>
      </c>
      <c r="X984" s="83">
        <v>0</v>
      </c>
    </row>
    <row r="985" spans="1:25" x14ac:dyDescent="0.2">
      <c r="A985" s="83">
        <v>1</v>
      </c>
      <c r="B985" s="84">
        <v>5701603310501</v>
      </c>
      <c r="C985" s="83">
        <v>30</v>
      </c>
      <c r="D985" s="84">
        <v>5980623310</v>
      </c>
      <c r="F985" s="83" t="s">
        <v>103</v>
      </c>
      <c r="G985" s="83">
        <v>0</v>
      </c>
      <c r="H985" s="83">
        <v>100</v>
      </c>
      <c r="K985" s="83">
        <v>1</v>
      </c>
      <c r="L985" s="83" t="s">
        <v>101</v>
      </c>
      <c r="M985" s="83" t="s">
        <v>410</v>
      </c>
      <c r="N985" s="83" t="s">
        <v>102</v>
      </c>
      <c r="P985" s="83">
        <v>0</v>
      </c>
      <c r="U985" s="83">
        <v>4</v>
      </c>
      <c r="V985" s="83">
        <v>1</v>
      </c>
      <c r="W985" s="83" t="s">
        <v>103</v>
      </c>
      <c r="X985" s="83">
        <v>0</v>
      </c>
    </row>
    <row r="986" spans="1:25" x14ac:dyDescent="0.2">
      <c r="A986" s="83">
        <v>1</v>
      </c>
      <c r="B986" s="84">
        <v>5701603310501</v>
      </c>
      <c r="C986" s="83">
        <v>40</v>
      </c>
      <c r="D986" s="84">
        <v>5980823310</v>
      </c>
      <c r="F986" s="83" t="s">
        <v>103</v>
      </c>
      <c r="G986" s="83">
        <v>0</v>
      </c>
      <c r="H986" s="83">
        <v>100</v>
      </c>
      <c r="K986" s="83">
        <v>1</v>
      </c>
      <c r="L986" s="83" t="s">
        <v>101</v>
      </c>
      <c r="M986" s="83" t="s">
        <v>410</v>
      </c>
      <c r="N986" s="83" t="s">
        <v>102</v>
      </c>
      <c r="P986" s="83">
        <v>0</v>
      </c>
      <c r="U986" s="83">
        <v>4</v>
      </c>
      <c r="V986" s="83">
        <v>1</v>
      </c>
      <c r="W986" s="83" t="s">
        <v>103</v>
      </c>
      <c r="X986" s="83">
        <v>0</v>
      </c>
    </row>
    <row r="987" spans="1:25" x14ac:dyDescent="0.2">
      <c r="A987" s="83">
        <v>1</v>
      </c>
      <c r="B987" s="84">
        <v>5701603310501</v>
      </c>
      <c r="C987" s="83">
        <v>50</v>
      </c>
      <c r="D987" s="84">
        <v>5980933310</v>
      </c>
      <c r="F987" s="83" t="s">
        <v>103</v>
      </c>
      <c r="G987" s="83">
        <v>0</v>
      </c>
      <c r="H987" s="83">
        <v>100</v>
      </c>
      <c r="K987" s="83">
        <v>1</v>
      </c>
      <c r="L987" s="83" t="s">
        <v>101</v>
      </c>
      <c r="M987" s="83" t="s">
        <v>410</v>
      </c>
      <c r="N987" s="83" t="s">
        <v>102</v>
      </c>
      <c r="P987" s="83">
        <v>0</v>
      </c>
      <c r="U987" s="83">
        <v>4</v>
      </c>
      <c r="V987" s="83">
        <v>1</v>
      </c>
      <c r="W987" s="83" t="s">
        <v>103</v>
      </c>
      <c r="X987" s="83">
        <v>0</v>
      </c>
    </row>
    <row r="988" spans="1:25" x14ac:dyDescent="0.2">
      <c r="A988" s="83">
        <v>1</v>
      </c>
      <c r="B988" s="84">
        <v>5701603310501</v>
      </c>
      <c r="C988" s="83">
        <v>60</v>
      </c>
      <c r="D988" s="84">
        <v>1010286</v>
      </c>
      <c r="F988" s="83" t="s">
        <v>103</v>
      </c>
      <c r="G988" s="83">
        <v>0</v>
      </c>
      <c r="H988" s="83">
        <v>100</v>
      </c>
      <c r="K988" s="83">
        <v>8</v>
      </c>
      <c r="L988" s="83" t="s">
        <v>101</v>
      </c>
      <c r="M988" s="83" t="s">
        <v>410</v>
      </c>
      <c r="N988" s="83" t="s">
        <v>102</v>
      </c>
      <c r="P988" s="83">
        <v>0</v>
      </c>
      <c r="U988" s="83">
        <v>4</v>
      </c>
      <c r="V988" s="83">
        <v>1</v>
      </c>
      <c r="W988" s="83" t="s">
        <v>103</v>
      </c>
      <c r="X988" s="83">
        <v>0</v>
      </c>
    </row>
    <row r="989" spans="1:25" x14ac:dyDescent="0.2">
      <c r="A989" s="83">
        <v>1</v>
      </c>
      <c r="B989" s="84">
        <v>5701603310501</v>
      </c>
      <c r="C989" s="83">
        <v>70</v>
      </c>
      <c r="D989" s="84">
        <v>1010287</v>
      </c>
      <c r="F989" s="83" t="s">
        <v>103</v>
      </c>
      <c r="G989" s="83">
        <v>0</v>
      </c>
      <c r="H989" s="83">
        <v>100</v>
      </c>
      <c r="K989" s="83">
        <v>4</v>
      </c>
      <c r="L989" s="83" t="s">
        <v>101</v>
      </c>
      <c r="M989" s="83" t="s">
        <v>410</v>
      </c>
      <c r="N989" s="83" t="s">
        <v>102</v>
      </c>
      <c r="P989" s="83">
        <v>0</v>
      </c>
      <c r="U989" s="83">
        <v>4</v>
      </c>
      <c r="V989" s="83">
        <v>1</v>
      </c>
      <c r="W989" s="83" t="s">
        <v>103</v>
      </c>
      <c r="X989" s="83">
        <v>0</v>
      </c>
    </row>
    <row r="990" spans="1:25" x14ac:dyDescent="0.2">
      <c r="A990" s="83">
        <v>1</v>
      </c>
      <c r="B990" s="84">
        <v>5701603310501</v>
      </c>
      <c r="C990" s="83">
        <v>80</v>
      </c>
      <c r="D990" s="84">
        <v>1020145</v>
      </c>
      <c r="F990" s="83" t="s">
        <v>103</v>
      </c>
      <c r="G990" s="83">
        <v>0</v>
      </c>
      <c r="H990" s="83">
        <v>100</v>
      </c>
      <c r="K990" s="83" t="s">
        <v>408</v>
      </c>
      <c r="L990" s="83" t="s">
        <v>101</v>
      </c>
      <c r="M990" s="83" t="s">
        <v>410</v>
      </c>
      <c r="N990" s="83" t="s">
        <v>102</v>
      </c>
      <c r="P990" s="83">
        <v>0</v>
      </c>
      <c r="U990" s="83">
        <v>4</v>
      </c>
      <c r="V990" s="83">
        <v>1</v>
      </c>
      <c r="W990" s="83" t="s">
        <v>103</v>
      </c>
      <c r="X990" s="83">
        <v>0</v>
      </c>
    </row>
    <row r="991" spans="1:25" x14ac:dyDescent="0.2">
      <c r="A991" s="83">
        <v>1</v>
      </c>
      <c r="B991" s="84">
        <v>5701603310501</v>
      </c>
      <c r="C991" s="83">
        <v>90</v>
      </c>
      <c r="D991" s="84">
        <v>777500501</v>
      </c>
      <c r="F991" s="83" t="s">
        <v>103</v>
      </c>
      <c r="G991" s="83">
        <v>0</v>
      </c>
      <c r="H991" s="83">
        <v>100</v>
      </c>
      <c r="K991" s="83">
        <v>1</v>
      </c>
      <c r="L991" s="83" t="s">
        <v>101</v>
      </c>
      <c r="M991" s="83" t="s">
        <v>410</v>
      </c>
      <c r="N991" s="83" t="s">
        <v>102</v>
      </c>
      <c r="P991" s="83">
        <v>0</v>
      </c>
      <c r="U991" s="83">
        <v>4</v>
      </c>
      <c r="V991" s="83">
        <v>1</v>
      </c>
      <c r="W991" s="83" t="s">
        <v>103</v>
      </c>
      <c r="X991" s="83">
        <v>0</v>
      </c>
    </row>
    <row r="992" spans="1:25" x14ac:dyDescent="0.2">
      <c r="A992" s="83">
        <v>1</v>
      </c>
      <c r="B992" s="84">
        <v>5701603300450</v>
      </c>
      <c r="C992" s="83">
        <v>10</v>
      </c>
      <c r="D992" s="84">
        <v>5980463399</v>
      </c>
      <c r="F992" s="83" t="s">
        <v>103</v>
      </c>
      <c r="G992" s="83">
        <v>0</v>
      </c>
      <c r="H992" s="83">
        <v>100</v>
      </c>
      <c r="K992" s="83">
        <v>1</v>
      </c>
      <c r="L992" s="83" t="s">
        <v>101</v>
      </c>
      <c r="M992" s="83" t="s">
        <v>410</v>
      </c>
      <c r="N992" s="83" t="s">
        <v>102</v>
      </c>
      <c r="P992" s="83">
        <v>0</v>
      </c>
      <c r="U992" s="83">
        <v>4</v>
      </c>
      <c r="V992" s="83">
        <v>1</v>
      </c>
      <c r="W992" s="83" t="s">
        <v>103</v>
      </c>
      <c r="X992" s="83">
        <v>0</v>
      </c>
      <c r="Y992" s="83" t="str">
        <f>LEFT(D992,6)</f>
        <v>598046</v>
      </c>
    </row>
    <row r="993" spans="1:25" x14ac:dyDescent="0.2">
      <c r="A993" s="83">
        <v>1</v>
      </c>
      <c r="B993" s="84">
        <v>5701603300450</v>
      </c>
      <c r="C993" s="83">
        <v>20</v>
      </c>
      <c r="D993" s="84">
        <v>5980543399</v>
      </c>
      <c r="F993" s="83" t="s">
        <v>103</v>
      </c>
      <c r="G993" s="83">
        <v>0</v>
      </c>
      <c r="H993" s="83">
        <v>100</v>
      </c>
      <c r="K993" s="83">
        <v>1</v>
      </c>
      <c r="L993" s="83" t="s">
        <v>101</v>
      </c>
      <c r="M993" s="83" t="s">
        <v>410</v>
      </c>
      <c r="N993" s="83" t="s">
        <v>102</v>
      </c>
      <c r="P993" s="83">
        <v>0</v>
      </c>
      <c r="U993" s="83">
        <v>4</v>
      </c>
      <c r="V993" s="83">
        <v>1</v>
      </c>
      <c r="W993" s="83" t="s">
        <v>103</v>
      </c>
      <c r="X993" s="83">
        <v>0</v>
      </c>
    </row>
    <row r="994" spans="1:25" x14ac:dyDescent="0.2">
      <c r="A994" s="83">
        <v>1</v>
      </c>
      <c r="B994" s="84">
        <v>5701603300450</v>
      </c>
      <c r="C994" s="83">
        <v>30</v>
      </c>
      <c r="D994" s="84">
        <v>5980623399</v>
      </c>
      <c r="F994" s="83" t="s">
        <v>103</v>
      </c>
      <c r="G994" s="83">
        <v>0</v>
      </c>
      <c r="H994" s="83">
        <v>100</v>
      </c>
      <c r="K994" s="83">
        <v>1</v>
      </c>
      <c r="L994" s="83" t="s">
        <v>101</v>
      </c>
      <c r="M994" s="83" t="s">
        <v>410</v>
      </c>
      <c r="N994" s="83" t="s">
        <v>102</v>
      </c>
      <c r="P994" s="83">
        <v>0</v>
      </c>
      <c r="U994" s="83">
        <v>4</v>
      </c>
      <c r="V994" s="83">
        <v>1</v>
      </c>
      <c r="W994" s="83" t="s">
        <v>103</v>
      </c>
      <c r="X994" s="83">
        <v>0</v>
      </c>
    </row>
    <row r="995" spans="1:25" x14ac:dyDescent="0.2">
      <c r="A995" s="83">
        <v>1</v>
      </c>
      <c r="B995" s="84">
        <v>5701603300450</v>
      </c>
      <c r="C995" s="83">
        <v>40</v>
      </c>
      <c r="D995" s="84">
        <v>5980823399</v>
      </c>
      <c r="F995" s="83" t="s">
        <v>103</v>
      </c>
      <c r="G995" s="83">
        <v>0</v>
      </c>
      <c r="H995" s="83">
        <v>100</v>
      </c>
      <c r="K995" s="83">
        <v>1</v>
      </c>
      <c r="L995" s="83" t="s">
        <v>101</v>
      </c>
      <c r="M995" s="83" t="s">
        <v>410</v>
      </c>
      <c r="N995" s="83" t="s">
        <v>102</v>
      </c>
      <c r="P995" s="83">
        <v>0</v>
      </c>
      <c r="U995" s="83">
        <v>4</v>
      </c>
      <c r="V995" s="83">
        <v>1</v>
      </c>
      <c r="W995" s="83" t="s">
        <v>103</v>
      </c>
      <c r="X995" s="83">
        <v>0</v>
      </c>
    </row>
    <row r="996" spans="1:25" x14ac:dyDescent="0.2">
      <c r="A996" s="83">
        <v>1</v>
      </c>
      <c r="B996" s="84">
        <v>5701603300450</v>
      </c>
      <c r="C996" s="83">
        <v>50</v>
      </c>
      <c r="D996" s="85">
        <v>1010277</v>
      </c>
      <c r="F996" s="83" t="s">
        <v>103</v>
      </c>
      <c r="G996" s="83">
        <v>0</v>
      </c>
      <c r="H996" s="83">
        <v>100</v>
      </c>
      <c r="K996" s="83">
        <v>1</v>
      </c>
      <c r="L996" s="83" t="s">
        <v>101</v>
      </c>
      <c r="M996" s="83" t="s">
        <v>410</v>
      </c>
      <c r="N996" s="83" t="s">
        <v>102</v>
      </c>
      <c r="P996" s="83">
        <v>0</v>
      </c>
      <c r="U996" s="83">
        <v>4</v>
      </c>
      <c r="V996" s="83">
        <v>1</v>
      </c>
      <c r="W996" s="83" t="s">
        <v>103</v>
      </c>
      <c r="X996" s="83">
        <v>0</v>
      </c>
    </row>
    <row r="997" spans="1:25" x14ac:dyDescent="0.2">
      <c r="A997" s="83">
        <v>1</v>
      </c>
      <c r="B997" s="84">
        <v>5701603300450</v>
      </c>
      <c r="C997" s="83">
        <v>60</v>
      </c>
      <c r="D997" s="84">
        <v>1010286</v>
      </c>
      <c r="F997" s="83" t="s">
        <v>103</v>
      </c>
      <c r="G997" s="83">
        <v>0</v>
      </c>
      <c r="H997" s="83">
        <v>100</v>
      </c>
      <c r="K997" s="83">
        <v>8</v>
      </c>
      <c r="L997" s="83" t="s">
        <v>101</v>
      </c>
      <c r="M997" s="83" t="s">
        <v>410</v>
      </c>
      <c r="N997" s="83" t="s">
        <v>102</v>
      </c>
      <c r="P997" s="83">
        <v>0</v>
      </c>
      <c r="U997" s="83">
        <v>4</v>
      </c>
      <c r="V997" s="83">
        <v>1</v>
      </c>
      <c r="W997" s="83" t="s">
        <v>103</v>
      </c>
      <c r="X997" s="83">
        <v>0</v>
      </c>
    </row>
    <row r="998" spans="1:25" x14ac:dyDescent="0.2">
      <c r="A998" s="83">
        <v>1</v>
      </c>
      <c r="B998" s="84">
        <v>5701603300450</v>
      </c>
      <c r="C998" s="83">
        <v>70</v>
      </c>
      <c r="D998" s="84">
        <v>1010287</v>
      </c>
      <c r="F998" s="83" t="s">
        <v>103</v>
      </c>
      <c r="G998" s="83">
        <v>0</v>
      </c>
      <c r="H998" s="83">
        <v>100</v>
      </c>
      <c r="K998" s="83">
        <v>4</v>
      </c>
      <c r="L998" s="83" t="s">
        <v>101</v>
      </c>
      <c r="M998" s="83" t="s">
        <v>410</v>
      </c>
      <c r="N998" s="83" t="s">
        <v>102</v>
      </c>
      <c r="P998" s="83">
        <v>0</v>
      </c>
      <c r="U998" s="83">
        <v>4</v>
      </c>
      <c r="V998" s="83">
        <v>1</v>
      </c>
      <c r="W998" s="83" t="s">
        <v>103</v>
      </c>
      <c r="X998" s="83">
        <v>0</v>
      </c>
    </row>
    <row r="999" spans="1:25" x14ac:dyDescent="0.2">
      <c r="A999" s="83">
        <v>1</v>
      </c>
      <c r="B999" s="84">
        <v>5701603300450</v>
      </c>
      <c r="C999" s="83">
        <v>80</v>
      </c>
      <c r="D999" s="84">
        <v>1020145</v>
      </c>
      <c r="F999" s="83" t="s">
        <v>103</v>
      </c>
      <c r="G999" s="83">
        <v>0</v>
      </c>
      <c r="H999" s="83">
        <v>100</v>
      </c>
      <c r="K999" s="83" t="s">
        <v>408</v>
      </c>
      <c r="L999" s="83" t="s">
        <v>101</v>
      </c>
      <c r="M999" s="83" t="s">
        <v>410</v>
      </c>
      <c r="N999" s="83" t="s">
        <v>102</v>
      </c>
      <c r="P999" s="83">
        <v>0</v>
      </c>
      <c r="U999" s="83">
        <v>4</v>
      </c>
      <c r="V999" s="83">
        <v>1</v>
      </c>
      <c r="W999" s="83" t="s">
        <v>103</v>
      </c>
      <c r="X999" s="83">
        <v>0</v>
      </c>
    </row>
    <row r="1000" spans="1:25" x14ac:dyDescent="0.2">
      <c r="A1000" s="83">
        <v>1</v>
      </c>
      <c r="B1000" s="84">
        <v>5701603300450</v>
      </c>
      <c r="C1000" s="83">
        <v>90</v>
      </c>
      <c r="D1000" s="84">
        <v>777500450</v>
      </c>
      <c r="F1000" s="83" t="s">
        <v>103</v>
      </c>
      <c r="G1000" s="83">
        <v>0</v>
      </c>
      <c r="H1000" s="83">
        <v>100</v>
      </c>
      <c r="K1000" s="83">
        <v>1</v>
      </c>
      <c r="L1000" s="83" t="s">
        <v>101</v>
      </c>
      <c r="M1000" s="83" t="s">
        <v>410</v>
      </c>
      <c r="N1000" s="83" t="s">
        <v>102</v>
      </c>
      <c r="P1000" s="83">
        <v>0</v>
      </c>
      <c r="U1000" s="83">
        <v>4</v>
      </c>
      <c r="V1000" s="83">
        <v>1</v>
      </c>
      <c r="W1000" s="83" t="s">
        <v>103</v>
      </c>
      <c r="X1000" s="83">
        <v>0</v>
      </c>
    </row>
    <row r="1001" spans="1:25" x14ac:dyDescent="0.2">
      <c r="A1001" s="83">
        <v>1</v>
      </c>
      <c r="B1001" s="84">
        <v>5701603301450</v>
      </c>
      <c r="C1001" s="83">
        <v>10</v>
      </c>
      <c r="D1001" s="84">
        <v>5980463301</v>
      </c>
      <c r="F1001" s="83" t="s">
        <v>103</v>
      </c>
      <c r="G1001" s="83">
        <v>0</v>
      </c>
      <c r="H1001" s="83">
        <v>100</v>
      </c>
      <c r="K1001" s="83">
        <v>1</v>
      </c>
      <c r="L1001" s="83" t="s">
        <v>101</v>
      </c>
      <c r="M1001" s="83" t="s">
        <v>410</v>
      </c>
      <c r="N1001" s="83" t="s">
        <v>102</v>
      </c>
      <c r="P1001" s="83">
        <v>0</v>
      </c>
      <c r="U1001" s="83">
        <v>4</v>
      </c>
      <c r="V1001" s="83">
        <v>1</v>
      </c>
      <c r="W1001" s="83" t="s">
        <v>103</v>
      </c>
      <c r="X1001" s="83">
        <v>0</v>
      </c>
      <c r="Y1001" s="83" t="str">
        <f>LEFT(D1001,6)</f>
        <v>598046</v>
      </c>
    </row>
    <row r="1002" spans="1:25" x14ac:dyDescent="0.2">
      <c r="A1002" s="83">
        <v>1</v>
      </c>
      <c r="B1002" s="84">
        <v>5701603301450</v>
      </c>
      <c r="C1002" s="83">
        <v>20</v>
      </c>
      <c r="D1002" s="84">
        <v>5980543301</v>
      </c>
      <c r="F1002" s="83" t="s">
        <v>103</v>
      </c>
      <c r="G1002" s="83">
        <v>0</v>
      </c>
      <c r="H1002" s="83">
        <v>100</v>
      </c>
      <c r="K1002" s="83">
        <v>1</v>
      </c>
      <c r="L1002" s="83" t="s">
        <v>101</v>
      </c>
      <c r="M1002" s="83" t="s">
        <v>410</v>
      </c>
      <c r="N1002" s="83" t="s">
        <v>102</v>
      </c>
      <c r="P1002" s="83">
        <v>0</v>
      </c>
      <c r="U1002" s="83">
        <v>4</v>
      </c>
      <c r="V1002" s="83">
        <v>1</v>
      </c>
      <c r="W1002" s="83" t="s">
        <v>103</v>
      </c>
      <c r="X1002" s="83">
        <v>0</v>
      </c>
    </row>
    <row r="1003" spans="1:25" x14ac:dyDescent="0.2">
      <c r="A1003" s="83">
        <v>1</v>
      </c>
      <c r="B1003" s="84">
        <v>5701603301450</v>
      </c>
      <c r="C1003" s="83">
        <v>30</v>
      </c>
      <c r="D1003" s="84">
        <v>5980623301</v>
      </c>
      <c r="F1003" s="83" t="s">
        <v>103</v>
      </c>
      <c r="G1003" s="83">
        <v>0</v>
      </c>
      <c r="H1003" s="83">
        <v>100</v>
      </c>
      <c r="K1003" s="83">
        <v>1</v>
      </c>
      <c r="L1003" s="83" t="s">
        <v>101</v>
      </c>
      <c r="M1003" s="83" t="s">
        <v>410</v>
      </c>
      <c r="N1003" s="83" t="s">
        <v>102</v>
      </c>
      <c r="P1003" s="83">
        <v>0</v>
      </c>
      <c r="U1003" s="83">
        <v>4</v>
      </c>
      <c r="V1003" s="83">
        <v>1</v>
      </c>
      <c r="W1003" s="83" t="s">
        <v>103</v>
      </c>
      <c r="X1003" s="83">
        <v>0</v>
      </c>
    </row>
    <row r="1004" spans="1:25" x14ac:dyDescent="0.2">
      <c r="A1004" s="83">
        <v>1</v>
      </c>
      <c r="B1004" s="84">
        <v>5701603301450</v>
      </c>
      <c r="C1004" s="83">
        <v>40</v>
      </c>
      <c r="D1004" s="84">
        <v>5980823301</v>
      </c>
      <c r="F1004" s="83" t="s">
        <v>103</v>
      </c>
      <c r="G1004" s="83">
        <v>0</v>
      </c>
      <c r="H1004" s="83">
        <v>100</v>
      </c>
      <c r="K1004" s="83">
        <v>1</v>
      </c>
      <c r="L1004" s="83" t="s">
        <v>101</v>
      </c>
      <c r="M1004" s="83" t="s">
        <v>410</v>
      </c>
      <c r="N1004" s="83" t="s">
        <v>102</v>
      </c>
      <c r="P1004" s="83">
        <v>0</v>
      </c>
      <c r="U1004" s="83">
        <v>4</v>
      </c>
      <c r="V1004" s="83">
        <v>1</v>
      </c>
      <c r="W1004" s="83" t="s">
        <v>103</v>
      </c>
      <c r="X1004" s="83">
        <v>0</v>
      </c>
    </row>
    <row r="1005" spans="1:25" x14ac:dyDescent="0.2">
      <c r="A1005" s="83">
        <v>1</v>
      </c>
      <c r="B1005" s="84">
        <v>5701603301450</v>
      </c>
      <c r="C1005" s="83">
        <v>50</v>
      </c>
      <c r="D1005" s="84">
        <v>5980933301</v>
      </c>
      <c r="F1005" s="83" t="s">
        <v>103</v>
      </c>
      <c r="G1005" s="83">
        <v>0</v>
      </c>
      <c r="H1005" s="83">
        <v>100</v>
      </c>
      <c r="K1005" s="83">
        <v>1</v>
      </c>
      <c r="L1005" s="83" t="s">
        <v>101</v>
      </c>
      <c r="M1005" s="83" t="s">
        <v>410</v>
      </c>
      <c r="N1005" s="83" t="s">
        <v>102</v>
      </c>
      <c r="P1005" s="83">
        <v>0</v>
      </c>
      <c r="U1005" s="83">
        <v>4</v>
      </c>
      <c r="V1005" s="83">
        <v>1</v>
      </c>
      <c r="W1005" s="83" t="s">
        <v>103</v>
      </c>
      <c r="X1005" s="83">
        <v>0</v>
      </c>
    </row>
    <row r="1006" spans="1:25" x14ac:dyDescent="0.2">
      <c r="A1006" s="83">
        <v>1</v>
      </c>
      <c r="B1006" s="84">
        <v>5701603301450</v>
      </c>
      <c r="C1006" s="83">
        <v>60</v>
      </c>
      <c r="D1006" s="84">
        <v>1010286</v>
      </c>
      <c r="F1006" s="83" t="s">
        <v>103</v>
      </c>
      <c r="G1006" s="83">
        <v>0</v>
      </c>
      <c r="H1006" s="83">
        <v>100</v>
      </c>
      <c r="K1006" s="83">
        <v>8</v>
      </c>
      <c r="L1006" s="83" t="s">
        <v>101</v>
      </c>
      <c r="M1006" s="83" t="s">
        <v>410</v>
      </c>
      <c r="N1006" s="83" t="s">
        <v>102</v>
      </c>
      <c r="P1006" s="83">
        <v>0</v>
      </c>
      <c r="U1006" s="83">
        <v>4</v>
      </c>
      <c r="V1006" s="83">
        <v>1</v>
      </c>
      <c r="W1006" s="83" t="s">
        <v>103</v>
      </c>
      <c r="X1006" s="83">
        <v>0</v>
      </c>
    </row>
    <row r="1007" spans="1:25" x14ac:dyDescent="0.2">
      <c r="A1007" s="83">
        <v>1</v>
      </c>
      <c r="B1007" s="84">
        <v>5701603301450</v>
      </c>
      <c r="C1007" s="83">
        <v>70</v>
      </c>
      <c r="D1007" s="84">
        <v>1010287</v>
      </c>
      <c r="F1007" s="83" t="s">
        <v>103</v>
      </c>
      <c r="G1007" s="83">
        <v>0</v>
      </c>
      <c r="H1007" s="83">
        <v>100</v>
      </c>
      <c r="K1007" s="83">
        <v>4</v>
      </c>
      <c r="L1007" s="83" t="s">
        <v>101</v>
      </c>
      <c r="M1007" s="83" t="s">
        <v>410</v>
      </c>
      <c r="N1007" s="83" t="s">
        <v>102</v>
      </c>
      <c r="P1007" s="83">
        <v>0</v>
      </c>
      <c r="U1007" s="83">
        <v>4</v>
      </c>
      <c r="V1007" s="83">
        <v>1</v>
      </c>
      <c r="W1007" s="83" t="s">
        <v>103</v>
      </c>
      <c r="X1007" s="83">
        <v>0</v>
      </c>
    </row>
    <row r="1008" spans="1:25" x14ac:dyDescent="0.2">
      <c r="A1008" s="83">
        <v>1</v>
      </c>
      <c r="B1008" s="84">
        <v>5701603301450</v>
      </c>
      <c r="C1008" s="83">
        <v>80</v>
      </c>
      <c r="D1008" s="84">
        <v>1020145</v>
      </c>
      <c r="F1008" s="83" t="s">
        <v>103</v>
      </c>
      <c r="G1008" s="83">
        <v>0</v>
      </c>
      <c r="H1008" s="83">
        <v>100</v>
      </c>
      <c r="K1008" s="83" t="s">
        <v>408</v>
      </c>
      <c r="L1008" s="83" t="s">
        <v>101</v>
      </c>
      <c r="M1008" s="83" t="s">
        <v>410</v>
      </c>
      <c r="N1008" s="83" t="s">
        <v>102</v>
      </c>
      <c r="P1008" s="83">
        <v>0</v>
      </c>
      <c r="U1008" s="83">
        <v>4</v>
      </c>
      <c r="V1008" s="83">
        <v>1</v>
      </c>
      <c r="W1008" s="83" t="s">
        <v>103</v>
      </c>
      <c r="X1008" s="83">
        <v>0</v>
      </c>
    </row>
    <row r="1009" spans="1:25" x14ac:dyDescent="0.2">
      <c r="A1009" s="83">
        <v>1</v>
      </c>
      <c r="B1009" s="84">
        <v>5701603301450</v>
      </c>
      <c r="C1009" s="83">
        <v>90</v>
      </c>
      <c r="D1009" s="84">
        <v>777500450</v>
      </c>
      <c r="F1009" s="83" t="s">
        <v>103</v>
      </c>
      <c r="G1009" s="83">
        <v>0</v>
      </c>
      <c r="H1009" s="83">
        <v>100</v>
      </c>
      <c r="K1009" s="83">
        <v>1</v>
      </c>
      <c r="L1009" s="83" t="s">
        <v>101</v>
      </c>
      <c r="M1009" s="83" t="s">
        <v>410</v>
      </c>
      <c r="N1009" s="83" t="s">
        <v>102</v>
      </c>
      <c r="P1009" s="83">
        <v>0</v>
      </c>
      <c r="U1009" s="83">
        <v>4</v>
      </c>
      <c r="V1009" s="83">
        <v>1</v>
      </c>
      <c r="W1009" s="83" t="s">
        <v>103</v>
      </c>
      <c r="X1009" s="83">
        <v>0</v>
      </c>
    </row>
    <row r="1010" spans="1:25" x14ac:dyDescent="0.2">
      <c r="A1010" s="83">
        <v>1</v>
      </c>
      <c r="B1010" s="84">
        <v>5701603302450</v>
      </c>
      <c r="C1010" s="83">
        <v>10</v>
      </c>
      <c r="D1010" s="84">
        <v>5980463302</v>
      </c>
      <c r="F1010" s="83" t="s">
        <v>103</v>
      </c>
      <c r="G1010" s="83">
        <v>0</v>
      </c>
      <c r="H1010" s="83">
        <v>100</v>
      </c>
      <c r="K1010" s="83">
        <v>1</v>
      </c>
      <c r="L1010" s="83" t="s">
        <v>101</v>
      </c>
      <c r="M1010" s="83" t="s">
        <v>410</v>
      </c>
      <c r="N1010" s="83" t="s">
        <v>102</v>
      </c>
      <c r="P1010" s="83">
        <v>0</v>
      </c>
      <c r="U1010" s="83">
        <v>4</v>
      </c>
      <c r="V1010" s="83">
        <v>1</v>
      </c>
      <c r="W1010" s="83" t="s">
        <v>103</v>
      </c>
      <c r="X1010" s="83">
        <v>0</v>
      </c>
      <c r="Y1010" s="83" t="str">
        <f>LEFT(D1010,6)</f>
        <v>598046</v>
      </c>
    </row>
    <row r="1011" spans="1:25" x14ac:dyDescent="0.2">
      <c r="A1011" s="83">
        <v>1</v>
      </c>
      <c r="B1011" s="84">
        <v>5701603302450</v>
      </c>
      <c r="C1011" s="83">
        <v>20</v>
      </c>
      <c r="D1011" s="84">
        <v>5980543302</v>
      </c>
      <c r="F1011" s="83" t="s">
        <v>103</v>
      </c>
      <c r="G1011" s="83">
        <v>0</v>
      </c>
      <c r="H1011" s="83">
        <v>100</v>
      </c>
      <c r="K1011" s="83">
        <v>1</v>
      </c>
      <c r="L1011" s="83" t="s">
        <v>101</v>
      </c>
      <c r="M1011" s="83" t="s">
        <v>410</v>
      </c>
      <c r="N1011" s="83" t="s">
        <v>102</v>
      </c>
      <c r="P1011" s="83">
        <v>0</v>
      </c>
      <c r="U1011" s="83">
        <v>4</v>
      </c>
      <c r="V1011" s="83">
        <v>1</v>
      </c>
      <c r="W1011" s="83" t="s">
        <v>103</v>
      </c>
      <c r="X1011" s="83">
        <v>0</v>
      </c>
    </row>
    <row r="1012" spans="1:25" x14ac:dyDescent="0.2">
      <c r="A1012" s="83">
        <v>1</v>
      </c>
      <c r="B1012" s="84">
        <v>5701603302450</v>
      </c>
      <c r="C1012" s="83">
        <v>30</v>
      </c>
      <c r="D1012" s="84">
        <v>5980623302</v>
      </c>
      <c r="F1012" s="83" t="s">
        <v>103</v>
      </c>
      <c r="G1012" s="83">
        <v>0</v>
      </c>
      <c r="H1012" s="83">
        <v>100</v>
      </c>
      <c r="K1012" s="83">
        <v>1</v>
      </c>
      <c r="L1012" s="83" t="s">
        <v>101</v>
      </c>
      <c r="M1012" s="83" t="s">
        <v>410</v>
      </c>
      <c r="N1012" s="83" t="s">
        <v>102</v>
      </c>
      <c r="P1012" s="83">
        <v>0</v>
      </c>
      <c r="U1012" s="83">
        <v>4</v>
      </c>
      <c r="V1012" s="83">
        <v>1</v>
      </c>
      <c r="W1012" s="83" t="s">
        <v>103</v>
      </c>
      <c r="X1012" s="83">
        <v>0</v>
      </c>
    </row>
    <row r="1013" spans="1:25" x14ac:dyDescent="0.2">
      <c r="A1013" s="83">
        <v>1</v>
      </c>
      <c r="B1013" s="84">
        <v>5701603302450</v>
      </c>
      <c r="C1013" s="83">
        <v>40</v>
      </c>
      <c r="D1013" s="84">
        <v>5980823302</v>
      </c>
      <c r="F1013" s="83" t="s">
        <v>103</v>
      </c>
      <c r="G1013" s="83">
        <v>0</v>
      </c>
      <c r="H1013" s="83">
        <v>100</v>
      </c>
      <c r="K1013" s="83">
        <v>1</v>
      </c>
      <c r="L1013" s="83" t="s">
        <v>101</v>
      </c>
      <c r="M1013" s="83" t="s">
        <v>410</v>
      </c>
      <c r="N1013" s="83" t="s">
        <v>102</v>
      </c>
      <c r="P1013" s="83">
        <v>0</v>
      </c>
      <c r="U1013" s="83">
        <v>4</v>
      </c>
      <c r="V1013" s="83">
        <v>1</v>
      </c>
      <c r="W1013" s="83" t="s">
        <v>103</v>
      </c>
      <c r="X1013" s="83">
        <v>0</v>
      </c>
    </row>
    <row r="1014" spans="1:25" x14ac:dyDescent="0.2">
      <c r="A1014" s="83">
        <v>1</v>
      </c>
      <c r="B1014" s="84">
        <v>5701603302450</v>
      </c>
      <c r="C1014" s="83">
        <v>50</v>
      </c>
      <c r="D1014" s="84">
        <v>5980933302</v>
      </c>
      <c r="F1014" s="83" t="s">
        <v>103</v>
      </c>
      <c r="G1014" s="83">
        <v>0</v>
      </c>
      <c r="H1014" s="83">
        <v>100</v>
      </c>
      <c r="K1014" s="83">
        <v>1</v>
      </c>
      <c r="L1014" s="83" t="s">
        <v>101</v>
      </c>
      <c r="M1014" s="83" t="s">
        <v>410</v>
      </c>
      <c r="N1014" s="83" t="s">
        <v>102</v>
      </c>
      <c r="P1014" s="83">
        <v>0</v>
      </c>
      <c r="U1014" s="83">
        <v>4</v>
      </c>
      <c r="V1014" s="83">
        <v>1</v>
      </c>
      <c r="W1014" s="83" t="s">
        <v>103</v>
      </c>
      <c r="X1014" s="83">
        <v>0</v>
      </c>
    </row>
    <row r="1015" spans="1:25" x14ac:dyDescent="0.2">
      <c r="A1015" s="83">
        <v>1</v>
      </c>
      <c r="B1015" s="84">
        <v>5701603302450</v>
      </c>
      <c r="C1015" s="83">
        <v>60</v>
      </c>
      <c r="D1015" s="84">
        <v>1010286</v>
      </c>
      <c r="F1015" s="83" t="s">
        <v>103</v>
      </c>
      <c r="G1015" s="83">
        <v>0</v>
      </c>
      <c r="H1015" s="83">
        <v>100</v>
      </c>
      <c r="K1015" s="83">
        <v>8</v>
      </c>
      <c r="L1015" s="83" t="s">
        <v>101</v>
      </c>
      <c r="M1015" s="83" t="s">
        <v>410</v>
      </c>
      <c r="N1015" s="83" t="s">
        <v>102</v>
      </c>
      <c r="P1015" s="83">
        <v>0</v>
      </c>
      <c r="U1015" s="83">
        <v>4</v>
      </c>
      <c r="V1015" s="83">
        <v>1</v>
      </c>
      <c r="W1015" s="83" t="s">
        <v>103</v>
      </c>
      <c r="X1015" s="83">
        <v>0</v>
      </c>
    </row>
    <row r="1016" spans="1:25" x14ac:dyDescent="0.2">
      <c r="A1016" s="83">
        <v>1</v>
      </c>
      <c r="B1016" s="84">
        <v>5701603302450</v>
      </c>
      <c r="C1016" s="83">
        <v>70</v>
      </c>
      <c r="D1016" s="84">
        <v>1010288</v>
      </c>
      <c r="F1016" s="83" t="s">
        <v>103</v>
      </c>
      <c r="G1016" s="83">
        <v>0</v>
      </c>
      <c r="H1016" s="83">
        <v>100</v>
      </c>
      <c r="K1016" s="83">
        <v>4</v>
      </c>
      <c r="L1016" s="83" t="s">
        <v>101</v>
      </c>
      <c r="M1016" s="83" t="s">
        <v>410</v>
      </c>
      <c r="N1016" s="83" t="s">
        <v>102</v>
      </c>
      <c r="P1016" s="83">
        <v>0</v>
      </c>
      <c r="U1016" s="83">
        <v>4</v>
      </c>
      <c r="V1016" s="83">
        <v>1</v>
      </c>
      <c r="W1016" s="83" t="s">
        <v>103</v>
      </c>
      <c r="X1016" s="83">
        <v>0</v>
      </c>
    </row>
    <row r="1017" spans="1:25" x14ac:dyDescent="0.2">
      <c r="A1017" s="83">
        <v>1</v>
      </c>
      <c r="B1017" s="84">
        <v>5701603302450</v>
      </c>
      <c r="C1017" s="83">
        <v>80</v>
      </c>
      <c r="D1017" s="84">
        <v>1020145</v>
      </c>
      <c r="F1017" s="83" t="s">
        <v>103</v>
      </c>
      <c r="G1017" s="83">
        <v>0</v>
      </c>
      <c r="H1017" s="83">
        <v>100</v>
      </c>
      <c r="K1017" s="83" t="s">
        <v>408</v>
      </c>
      <c r="L1017" s="83" t="s">
        <v>101</v>
      </c>
      <c r="M1017" s="83" t="s">
        <v>410</v>
      </c>
      <c r="N1017" s="83" t="s">
        <v>102</v>
      </c>
      <c r="P1017" s="83">
        <v>0</v>
      </c>
      <c r="U1017" s="83">
        <v>4</v>
      </c>
      <c r="V1017" s="83">
        <v>1</v>
      </c>
      <c r="W1017" s="83" t="s">
        <v>103</v>
      </c>
      <c r="X1017" s="83">
        <v>0</v>
      </c>
    </row>
    <row r="1018" spans="1:25" x14ac:dyDescent="0.2">
      <c r="A1018" s="83">
        <v>1</v>
      </c>
      <c r="B1018" s="84">
        <v>5701603302450</v>
      </c>
      <c r="C1018" s="83">
        <v>90</v>
      </c>
      <c r="D1018" s="84">
        <v>777500450</v>
      </c>
      <c r="F1018" s="83" t="s">
        <v>103</v>
      </c>
      <c r="G1018" s="83">
        <v>0</v>
      </c>
      <c r="H1018" s="83">
        <v>100</v>
      </c>
      <c r="K1018" s="83">
        <v>1</v>
      </c>
      <c r="L1018" s="83" t="s">
        <v>101</v>
      </c>
      <c r="M1018" s="83" t="s">
        <v>410</v>
      </c>
      <c r="N1018" s="83" t="s">
        <v>102</v>
      </c>
      <c r="P1018" s="83">
        <v>0</v>
      </c>
      <c r="U1018" s="83">
        <v>4</v>
      </c>
      <c r="V1018" s="83">
        <v>1</v>
      </c>
      <c r="W1018" s="83" t="s">
        <v>103</v>
      </c>
      <c r="X1018" s="83">
        <v>0</v>
      </c>
    </row>
    <row r="1019" spans="1:25" x14ac:dyDescent="0.2">
      <c r="A1019" s="83">
        <v>1</v>
      </c>
      <c r="B1019" s="84">
        <v>5701603303450</v>
      </c>
      <c r="C1019" s="83">
        <v>10</v>
      </c>
      <c r="D1019" s="84">
        <v>5980463303</v>
      </c>
      <c r="F1019" s="83" t="s">
        <v>103</v>
      </c>
      <c r="G1019" s="83">
        <v>0</v>
      </c>
      <c r="H1019" s="83">
        <v>100</v>
      </c>
      <c r="K1019" s="83">
        <v>1</v>
      </c>
      <c r="L1019" s="83" t="s">
        <v>101</v>
      </c>
      <c r="M1019" s="83" t="s">
        <v>410</v>
      </c>
      <c r="N1019" s="83" t="s">
        <v>102</v>
      </c>
      <c r="P1019" s="83">
        <v>0</v>
      </c>
      <c r="U1019" s="83">
        <v>4</v>
      </c>
      <c r="V1019" s="83">
        <v>1</v>
      </c>
      <c r="W1019" s="83" t="s">
        <v>103</v>
      </c>
      <c r="X1019" s="83">
        <v>0</v>
      </c>
      <c r="Y1019" s="83" t="str">
        <f>LEFT(D1019,6)</f>
        <v>598046</v>
      </c>
    </row>
    <row r="1020" spans="1:25" x14ac:dyDescent="0.2">
      <c r="A1020" s="83">
        <v>1</v>
      </c>
      <c r="B1020" s="84">
        <v>5701603303450</v>
      </c>
      <c r="C1020" s="83">
        <v>20</v>
      </c>
      <c r="D1020" s="84">
        <v>5980543303</v>
      </c>
      <c r="F1020" s="83" t="s">
        <v>103</v>
      </c>
      <c r="G1020" s="83">
        <v>0</v>
      </c>
      <c r="H1020" s="83">
        <v>100</v>
      </c>
      <c r="K1020" s="83">
        <v>1</v>
      </c>
      <c r="L1020" s="83" t="s">
        <v>101</v>
      </c>
      <c r="M1020" s="83" t="s">
        <v>410</v>
      </c>
      <c r="N1020" s="83" t="s">
        <v>102</v>
      </c>
      <c r="P1020" s="83">
        <v>0</v>
      </c>
      <c r="U1020" s="83">
        <v>4</v>
      </c>
      <c r="V1020" s="83">
        <v>1</v>
      </c>
      <c r="W1020" s="83" t="s">
        <v>103</v>
      </c>
      <c r="X1020" s="83">
        <v>0</v>
      </c>
    </row>
    <row r="1021" spans="1:25" x14ac:dyDescent="0.2">
      <c r="A1021" s="83">
        <v>1</v>
      </c>
      <c r="B1021" s="84">
        <v>5701603303450</v>
      </c>
      <c r="C1021" s="83">
        <v>30</v>
      </c>
      <c r="D1021" s="84">
        <v>5980623303</v>
      </c>
      <c r="F1021" s="83" t="s">
        <v>103</v>
      </c>
      <c r="G1021" s="83">
        <v>0</v>
      </c>
      <c r="H1021" s="83">
        <v>100</v>
      </c>
      <c r="K1021" s="83">
        <v>1</v>
      </c>
      <c r="L1021" s="83" t="s">
        <v>101</v>
      </c>
      <c r="M1021" s="83" t="s">
        <v>410</v>
      </c>
      <c r="N1021" s="83" t="s">
        <v>102</v>
      </c>
      <c r="P1021" s="83">
        <v>0</v>
      </c>
      <c r="U1021" s="83">
        <v>4</v>
      </c>
      <c r="V1021" s="83">
        <v>1</v>
      </c>
      <c r="W1021" s="83" t="s">
        <v>103</v>
      </c>
      <c r="X1021" s="83">
        <v>0</v>
      </c>
    </row>
    <row r="1022" spans="1:25" x14ac:dyDescent="0.2">
      <c r="A1022" s="83">
        <v>1</v>
      </c>
      <c r="B1022" s="84">
        <v>5701603303450</v>
      </c>
      <c r="C1022" s="83">
        <v>40</v>
      </c>
      <c r="D1022" s="84">
        <v>5980823303</v>
      </c>
      <c r="F1022" s="83" t="s">
        <v>103</v>
      </c>
      <c r="G1022" s="83">
        <v>0</v>
      </c>
      <c r="H1022" s="83">
        <v>100</v>
      </c>
      <c r="K1022" s="83">
        <v>1</v>
      </c>
      <c r="L1022" s="83" t="s">
        <v>101</v>
      </c>
      <c r="M1022" s="83" t="s">
        <v>410</v>
      </c>
      <c r="N1022" s="83" t="s">
        <v>102</v>
      </c>
      <c r="P1022" s="83">
        <v>0</v>
      </c>
      <c r="U1022" s="83">
        <v>4</v>
      </c>
      <c r="V1022" s="83">
        <v>1</v>
      </c>
      <c r="W1022" s="83" t="s">
        <v>103</v>
      </c>
      <c r="X1022" s="83">
        <v>0</v>
      </c>
    </row>
    <row r="1023" spans="1:25" x14ac:dyDescent="0.2">
      <c r="A1023" s="83">
        <v>1</v>
      </c>
      <c r="B1023" s="84">
        <v>5701603303450</v>
      </c>
      <c r="C1023" s="83">
        <v>50</v>
      </c>
      <c r="D1023" s="84">
        <v>5980933303</v>
      </c>
      <c r="F1023" s="83" t="s">
        <v>103</v>
      </c>
      <c r="G1023" s="83">
        <v>0</v>
      </c>
      <c r="H1023" s="83">
        <v>100</v>
      </c>
      <c r="K1023" s="83">
        <v>1</v>
      </c>
      <c r="L1023" s="83" t="s">
        <v>101</v>
      </c>
      <c r="M1023" s="83" t="s">
        <v>410</v>
      </c>
      <c r="N1023" s="83" t="s">
        <v>102</v>
      </c>
      <c r="P1023" s="83">
        <v>0</v>
      </c>
      <c r="U1023" s="83">
        <v>4</v>
      </c>
      <c r="V1023" s="83">
        <v>1</v>
      </c>
      <c r="W1023" s="83" t="s">
        <v>103</v>
      </c>
      <c r="X1023" s="83">
        <v>0</v>
      </c>
    </row>
    <row r="1024" spans="1:25" x14ac:dyDescent="0.2">
      <c r="A1024" s="83">
        <v>1</v>
      </c>
      <c r="B1024" s="84">
        <v>5701603303450</v>
      </c>
      <c r="C1024" s="83">
        <v>60</v>
      </c>
      <c r="D1024" s="84">
        <v>1010286</v>
      </c>
      <c r="F1024" s="83" t="s">
        <v>103</v>
      </c>
      <c r="G1024" s="83">
        <v>0</v>
      </c>
      <c r="H1024" s="83">
        <v>100</v>
      </c>
      <c r="K1024" s="83">
        <v>8</v>
      </c>
      <c r="L1024" s="83" t="s">
        <v>101</v>
      </c>
      <c r="M1024" s="83" t="s">
        <v>410</v>
      </c>
      <c r="N1024" s="83" t="s">
        <v>102</v>
      </c>
      <c r="P1024" s="83">
        <v>0</v>
      </c>
      <c r="U1024" s="83">
        <v>4</v>
      </c>
      <c r="V1024" s="83">
        <v>1</v>
      </c>
      <c r="W1024" s="83" t="s">
        <v>103</v>
      </c>
      <c r="X1024" s="83">
        <v>0</v>
      </c>
    </row>
    <row r="1025" spans="1:25" x14ac:dyDescent="0.2">
      <c r="A1025" s="83">
        <v>1</v>
      </c>
      <c r="B1025" s="84">
        <v>5701603303450</v>
      </c>
      <c r="C1025" s="83">
        <v>70</v>
      </c>
      <c r="D1025" s="84">
        <v>1010287</v>
      </c>
      <c r="F1025" s="83" t="s">
        <v>103</v>
      </c>
      <c r="G1025" s="83">
        <v>0</v>
      </c>
      <c r="H1025" s="83">
        <v>100</v>
      </c>
      <c r="K1025" s="83">
        <v>4</v>
      </c>
      <c r="L1025" s="83" t="s">
        <v>101</v>
      </c>
      <c r="M1025" s="83" t="s">
        <v>410</v>
      </c>
      <c r="N1025" s="83" t="s">
        <v>102</v>
      </c>
      <c r="P1025" s="83">
        <v>0</v>
      </c>
      <c r="U1025" s="83">
        <v>4</v>
      </c>
      <c r="V1025" s="83">
        <v>1</v>
      </c>
      <c r="W1025" s="83" t="s">
        <v>103</v>
      </c>
      <c r="X1025" s="83">
        <v>0</v>
      </c>
    </row>
    <row r="1026" spans="1:25" x14ac:dyDescent="0.2">
      <c r="A1026" s="83">
        <v>1</v>
      </c>
      <c r="B1026" s="84">
        <v>5701603303450</v>
      </c>
      <c r="C1026" s="83">
        <v>80</v>
      </c>
      <c r="D1026" s="84">
        <v>1020145</v>
      </c>
      <c r="F1026" s="83" t="s">
        <v>103</v>
      </c>
      <c r="G1026" s="83">
        <v>0</v>
      </c>
      <c r="H1026" s="83">
        <v>100</v>
      </c>
      <c r="K1026" s="83" t="s">
        <v>408</v>
      </c>
      <c r="L1026" s="83" t="s">
        <v>101</v>
      </c>
      <c r="M1026" s="83" t="s">
        <v>410</v>
      </c>
      <c r="N1026" s="83" t="s">
        <v>102</v>
      </c>
      <c r="P1026" s="83">
        <v>0</v>
      </c>
      <c r="U1026" s="83">
        <v>4</v>
      </c>
      <c r="V1026" s="83">
        <v>1</v>
      </c>
      <c r="W1026" s="83" t="s">
        <v>103</v>
      </c>
      <c r="X1026" s="83">
        <v>0</v>
      </c>
    </row>
    <row r="1027" spans="1:25" x14ac:dyDescent="0.2">
      <c r="A1027" s="83">
        <v>1</v>
      </c>
      <c r="B1027" s="84">
        <v>5701603303450</v>
      </c>
      <c r="C1027" s="83">
        <v>90</v>
      </c>
      <c r="D1027" s="84">
        <v>777500450</v>
      </c>
      <c r="F1027" s="83" t="s">
        <v>103</v>
      </c>
      <c r="G1027" s="83">
        <v>0</v>
      </c>
      <c r="H1027" s="83">
        <v>100</v>
      </c>
      <c r="K1027" s="83">
        <v>1</v>
      </c>
      <c r="L1027" s="83" t="s">
        <v>101</v>
      </c>
      <c r="M1027" s="83" t="s">
        <v>410</v>
      </c>
      <c r="N1027" s="83" t="s">
        <v>102</v>
      </c>
      <c r="P1027" s="83">
        <v>0</v>
      </c>
      <c r="U1027" s="83">
        <v>4</v>
      </c>
      <c r="V1027" s="83">
        <v>1</v>
      </c>
      <c r="W1027" s="83" t="s">
        <v>103</v>
      </c>
      <c r="X1027" s="83">
        <v>0</v>
      </c>
    </row>
    <row r="1028" spans="1:25" x14ac:dyDescent="0.2">
      <c r="A1028" s="83">
        <v>1</v>
      </c>
      <c r="B1028" s="84">
        <v>5701603304450</v>
      </c>
      <c r="C1028" s="83">
        <v>10</v>
      </c>
      <c r="D1028" s="84">
        <v>5980463304</v>
      </c>
      <c r="F1028" s="83" t="s">
        <v>103</v>
      </c>
      <c r="G1028" s="83">
        <v>0</v>
      </c>
      <c r="H1028" s="83">
        <v>100</v>
      </c>
      <c r="K1028" s="83">
        <v>1</v>
      </c>
      <c r="L1028" s="83" t="s">
        <v>101</v>
      </c>
      <c r="M1028" s="83" t="s">
        <v>410</v>
      </c>
      <c r="N1028" s="83" t="s">
        <v>102</v>
      </c>
      <c r="P1028" s="83">
        <v>0</v>
      </c>
      <c r="U1028" s="83">
        <v>4</v>
      </c>
      <c r="V1028" s="83">
        <v>1</v>
      </c>
      <c r="W1028" s="83" t="s">
        <v>103</v>
      </c>
      <c r="X1028" s="83">
        <v>0</v>
      </c>
      <c r="Y1028" s="83" t="str">
        <f>LEFT(D1028,6)</f>
        <v>598046</v>
      </c>
    </row>
    <row r="1029" spans="1:25" x14ac:dyDescent="0.2">
      <c r="A1029" s="83">
        <v>1</v>
      </c>
      <c r="B1029" s="84">
        <v>5701603304450</v>
      </c>
      <c r="C1029" s="83">
        <v>20</v>
      </c>
      <c r="D1029" s="84">
        <v>5980543304</v>
      </c>
      <c r="F1029" s="83" t="s">
        <v>103</v>
      </c>
      <c r="G1029" s="83">
        <v>0</v>
      </c>
      <c r="H1029" s="83">
        <v>100</v>
      </c>
      <c r="K1029" s="83">
        <v>1</v>
      </c>
      <c r="L1029" s="83" t="s">
        <v>101</v>
      </c>
      <c r="M1029" s="83" t="s">
        <v>410</v>
      </c>
      <c r="N1029" s="83" t="s">
        <v>102</v>
      </c>
      <c r="P1029" s="83">
        <v>0</v>
      </c>
      <c r="U1029" s="83">
        <v>4</v>
      </c>
      <c r="V1029" s="83">
        <v>1</v>
      </c>
      <c r="W1029" s="83" t="s">
        <v>103</v>
      </c>
      <c r="X1029" s="83">
        <v>0</v>
      </c>
    </row>
    <row r="1030" spans="1:25" x14ac:dyDescent="0.2">
      <c r="A1030" s="83">
        <v>1</v>
      </c>
      <c r="B1030" s="84">
        <v>5701603304450</v>
      </c>
      <c r="C1030" s="83">
        <v>30</v>
      </c>
      <c r="D1030" s="84">
        <v>5980623304</v>
      </c>
      <c r="F1030" s="83" t="s">
        <v>103</v>
      </c>
      <c r="G1030" s="83">
        <v>0</v>
      </c>
      <c r="H1030" s="83">
        <v>100</v>
      </c>
      <c r="K1030" s="83">
        <v>1</v>
      </c>
      <c r="L1030" s="83" t="s">
        <v>101</v>
      </c>
      <c r="M1030" s="83" t="s">
        <v>410</v>
      </c>
      <c r="N1030" s="83" t="s">
        <v>102</v>
      </c>
      <c r="P1030" s="83">
        <v>0</v>
      </c>
      <c r="U1030" s="83">
        <v>4</v>
      </c>
      <c r="V1030" s="83">
        <v>1</v>
      </c>
      <c r="W1030" s="83" t="s">
        <v>103</v>
      </c>
      <c r="X1030" s="83">
        <v>0</v>
      </c>
    </row>
    <row r="1031" spans="1:25" x14ac:dyDescent="0.2">
      <c r="A1031" s="83">
        <v>1</v>
      </c>
      <c r="B1031" s="84">
        <v>5701603304450</v>
      </c>
      <c r="C1031" s="83">
        <v>40</v>
      </c>
      <c r="D1031" s="84">
        <v>5980823304</v>
      </c>
      <c r="F1031" s="83" t="s">
        <v>103</v>
      </c>
      <c r="G1031" s="83">
        <v>0</v>
      </c>
      <c r="H1031" s="83">
        <v>100</v>
      </c>
      <c r="K1031" s="83">
        <v>1</v>
      </c>
      <c r="L1031" s="83" t="s">
        <v>101</v>
      </c>
      <c r="M1031" s="83" t="s">
        <v>410</v>
      </c>
      <c r="N1031" s="83" t="s">
        <v>102</v>
      </c>
      <c r="P1031" s="83">
        <v>0</v>
      </c>
      <c r="U1031" s="83">
        <v>4</v>
      </c>
      <c r="V1031" s="83">
        <v>1</v>
      </c>
      <c r="W1031" s="83" t="s">
        <v>103</v>
      </c>
      <c r="X1031" s="83">
        <v>0</v>
      </c>
    </row>
    <row r="1032" spans="1:25" x14ac:dyDescent="0.2">
      <c r="A1032" s="83">
        <v>1</v>
      </c>
      <c r="B1032" s="84">
        <v>5701603304450</v>
      </c>
      <c r="C1032" s="83">
        <v>50</v>
      </c>
      <c r="D1032" s="84">
        <v>5980933304</v>
      </c>
      <c r="F1032" s="83" t="s">
        <v>103</v>
      </c>
      <c r="G1032" s="83">
        <v>0</v>
      </c>
      <c r="H1032" s="83">
        <v>100</v>
      </c>
      <c r="K1032" s="83">
        <v>1</v>
      </c>
      <c r="L1032" s="83" t="s">
        <v>101</v>
      </c>
      <c r="M1032" s="83" t="s">
        <v>410</v>
      </c>
      <c r="N1032" s="83" t="s">
        <v>102</v>
      </c>
      <c r="P1032" s="83">
        <v>0</v>
      </c>
      <c r="U1032" s="83">
        <v>4</v>
      </c>
      <c r="V1032" s="83">
        <v>1</v>
      </c>
      <c r="W1032" s="83" t="s">
        <v>103</v>
      </c>
      <c r="X1032" s="83">
        <v>0</v>
      </c>
    </row>
    <row r="1033" spans="1:25" x14ac:dyDescent="0.2">
      <c r="A1033" s="83">
        <v>1</v>
      </c>
      <c r="B1033" s="84">
        <v>5701603304450</v>
      </c>
      <c r="C1033" s="83">
        <v>60</v>
      </c>
      <c r="D1033" s="84">
        <v>1010286</v>
      </c>
      <c r="F1033" s="83" t="s">
        <v>103</v>
      </c>
      <c r="G1033" s="83">
        <v>0</v>
      </c>
      <c r="H1033" s="83">
        <v>100</v>
      </c>
      <c r="K1033" s="83">
        <v>8</v>
      </c>
      <c r="L1033" s="83" t="s">
        <v>101</v>
      </c>
      <c r="M1033" s="83" t="s">
        <v>410</v>
      </c>
      <c r="N1033" s="83" t="s">
        <v>102</v>
      </c>
      <c r="P1033" s="83">
        <v>0</v>
      </c>
      <c r="U1033" s="83">
        <v>4</v>
      </c>
      <c r="V1033" s="83">
        <v>1</v>
      </c>
      <c r="W1033" s="83" t="s">
        <v>103</v>
      </c>
      <c r="X1033" s="83">
        <v>0</v>
      </c>
    </row>
    <row r="1034" spans="1:25" x14ac:dyDescent="0.2">
      <c r="A1034" s="83">
        <v>1</v>
      </c>
      <c r="B1034" s="84">
        <v>5701603304450</v>
      </c>
      <c r="C1034" s="83">
        <v>70</v>
      </c>
      <c r="D1034" s="84">
        <v>1010288</v>
      </c>
      <c r="F1034" s="83" t="s">
        <v>103</v>
      </c>
      <c r="G1034" s="83">
        <v>0</v>
      </c>
      <c r="H1034" s="83">
        <v>100</v>
      </c>
      <c r="K1034" s="83">
        <v>4</v>
      </c>
      <c r="L1034" s="83" t="s">
        <v>101</v>
      </c>
      <c r="M1034" s="83" t="s">
        <v>410</v>
      </c>
      <c r="N1034" s="83" t="s">
        <v>102</v>
      </c>
      <c r="P1034" s="83">
        <v>0</v>
      </c>
      <c r="U1034" s="83">
        <v>4</v>
      </c>
      <c r="V1034" s="83">
        <v>1</v>
      </c>
      <c r="W1034" s="83" t="s">
        <v>103</v>
      </c>
      <c r="X1034" s="83">
        <v>0</v>
      </c>
    </row>
    <row r="1035" spans="1:25" x14ac:dyDescent="0.2">
      <c r="A1035" s="83">
        <v>1</v>
      </c>
      <c r="B1035" s="84">
        <v>5701603304450</v>
      </c>
      <c r="C1035" s="83">
        <v>80</v>
      </c>
      <c r="D1035" s="84">
        <v>1020145</v>
      </c>
      <c r="F1035" s="83" t="s">
        <v>103</v>
      </c>
      <c r="G1035" s="83">
        <v>0</v>
      </c>
      <c r="H1035" s="83">
        <v>100</v>
      </c>
      <c r="K1035" s="83" t="s">
        <v>408</v>
      </c>
      <c r="L1035" s="83" t="s">
        <v>101</v>
      </c>
      <c r="M1035" s="83" t="s">
        <v>410</v>
      </c>
      <c r="N1035" s="83" t="s">
        <v>102</v>
      </c>
      <c r="P1035" s="83">
        <v>0</v>
      </c>
      <c r="U1035" s="83">
        <v>4</v>
      </c>
      <c r="V1035" s="83">
        <v>1</v>
      </c>
      <c r="W1035" s="83" t="s">
        <v>103</v>
      </c>
      <c r="X1035" s="83">
        <v>0</v>
      </c>
    </row>
    <row r="1036" spans="1:25" x14ac:dyDescent="0.2">
      <c r="A1036" s="83">
        <v>1</v>
      </c>
      <c r="B1036" s="84">
        <v>5701603304450</v>
      </c>
      <c r="C1036" s="83">
        <v>90</v>
      </c>
      <c r="D1036" s="84">
        <v>777500450</v>
      </c>
      <c r="F1036" s="83" t="s">
        <v>103</v>
      </c>
      <c r="G1036" s="83">
        <v>0</v>
      </c>
      <c r="H1036" s="83">
        <v>100</v>
      </c>
      <c r="K1036" s="83">
        <v>1</v>
      </c>
      <c r="L1036" s="83" t="s">
        <v>101</v>
      </c>
      <c r="M1036" s="83" t="s">
        <v>410</v>
      </c>
      <c r="N1036" s="83" t="s">
        <v>102</v>
      </c>
      <c r="P1036" s="83">
        <v>0</v>
      </c>
      <c r="U1036" s="83">
        <v>4</v>
      </c>
      <c r="V1036" s="83">
        <v>1</v>
      </c>
      <c r="W1036" s="83" t="s">
        <v>103</v>
      </c>
      <c r="X1036" s="83">
        <v>0</v>
      </c>
    </row>
    <row r="1037" spans="1:25" x14ac:dyDescent="0.2">
      <c r="A1037" s="83">
        <v>1</v>
      </c>
      <c r="B1037" s="84">
        <v>5701603305450</v>
      </c>
      <c r="C1037" s="83">
        <v>10</v>
      </c>
      <c r="D1037" s="84">
        <v>5980463305</v>
      </c>
      <c r="F1037" s="83" t="s">
        <v>103</v>
      </c>
      <c r="G1037" s="83">
        <v>0</v>
      </c>
      <c r="H1037" s="83">
        <v>100</v>
      </c>
      <c r="K1037" s="83">
        <v>1</v>
      </c>
      <c r="L1037" s="83" t="s">
        <v>101</v>
      </c>
      <c r="M1037" s="83" t="s">
        <v>410</v>
      </c>
      <c r="N1037" s="83" t="s">
        <v>102</v>
      </c>
      <c r="P1037" s="83">
        <v>0</v>
      </c>
      <c r="U1037" s="83">
        <v>4</v>
      </c>
      <c r="V1037" s="83">
        <v>1</v>
      </c>
      <c r="W1037" s="83" t="s">
        <v>103</v>
      </c>
      <c r="X1037" s="83">
        <v>0</v>
      </c>
      <c r="Y1037" s="83" t="str">
        <f>LEFT(D1037,6)</f>
        <v>598046</v>
      </c>
    </row>
    <row r="1038" spans="1:25" x14ac:dyDescent="0.2">
      <c r="A1038" s="83">
        <v>1</v>
      </c>
      <c r="B1038" s="84">
        <v>5701603305450</v>
      </c>
      <c r="C1038" s="83">
        <v>20</v>
      </c>
      <c r="D1038" s="84">
        <v>5980543305</v>
      </c>
      <c r="F1038" s="83" t="s">
        <v>103</v>
      </c>
      <c r="G1038" s="83">
        <v>0</v>
      </c>
      <c r="H1038" s="83">
        <v>100</v>
      </c>
      <c r="K1038" s="83">
        <v>1</v>
      </c>
      <c r="L1038" s="83" t="s">
        <v>101</v>
      </c>
      <c r="M1038" s="83" t="s">
        <v>410</v>
      </c>
      <c r="N1038" s="83" t="s">
        <v>102</v>
      </c>
      <c r="P1038" s="83">
        <v>0</v>
      </c>
      <c r="U1038" s="83">
        <v>4</v>
      </c>
      <c r="V1038" s="83">
        <v>1</v>
      </c>
      <c r="W1038" s="83" t="s">
        <v>103</v>
      </c>
      <c r="X1038" s="83">
        <v>0</v>
      </c>
    </row>
    <row r="1039" spans="1:25" x14ac:dyDescent="0.2">
      <c r="A1039" s="83">
        <v>1</v>
      </c>
      <c r="B1039" s="84">
        <v>5701603305450</v>
      </c>
      <c r="C1039" s="83">
        <v>30</v>
      </c>
      <c r="D1039" s="84">
        <v>5980623305</v>
      </c>
      <c r="F1039" s="83" t="s">
        <v>103</v>
      </c>
      <c r="G1039" s="83">
        <v>0</v>
      </c>
      <c r="H1039" s="83">
        <v>100</v>
      </c>
      <c r="K1039" s="83">
        <v>1</v>
      </c>
      <c r="L1039" s="83" t="s">
        <v>101</v>
      </c>
      <c r="M1039" s="83" t="s">
        <v>410</v>
      </c>
      <c r="N1039" s="83" t="s">
        <v>102</v>
      </c>
      <c r="P1039" s="83">
        <v>0</v>
      </c>
      <c r="U1039" s="83">
        <v>4</v>
      </c>
      <c r="V1039" s="83">
        <v>1</v>
      </c>
      <c r="W1039" s="83" t="s">
        <v>103</v>
      </c>
      <c r="X1039" s="83">
        <v>0</v>
      </c>
    </row>
    <row r="1040" spans="1:25" x14ac:dyDescent="0.2">
      <c r="A1040" s="83">
        <v>1</v>
      </c>
      <c r="B1040" s="84">
        <v>5701603305450</v>
      </c>
      <c r="C1040" s="83">
        <v>40</v>
      </c>
      <c r="D1040" s="84">
        <v>5980823305</v>
      </c>
      <c r="F1040" s="83" t="s">
        <v>103</v>
      </c>
      <c r="G1040" s="83">
        <v>0</v>
      </c>
      <c r="H1040" s="83">
        <v>100</v>
      </c>
      <c r="K1040" s="83">
        <v>1</v>
      </c>
      <c r="L1040" s="83" t="s">
        <v>101</v>
      </c>
      <c r="M1040" s="83" t="s">
        <v>410</v>
      </c>
      <c r="N1040" s="83" t="s">
        <v>102</v>
      </c>
      <c r="P1040" s="83">
        <v>0</v>
      </c>
      <c r="U1040" s="83">
        <v>4</v>
      </c>
      <c r="V1040" s="83">
        <v>1</v>
      </c>
      <c r="W1040" s="83" t="s">
        <v>103</v>
      </c>
      <c r="X1040" s="83">
        <v>0</v>
      </c>
    </row>
    <row r="1041" spans="1:25" x14ac:dyDescent="0.2">
      <c r="A1041" s="83">
        <v>1</v>
      </c>
      <c r="B1041" s="84">
        <v>5701603305450</v>
      </c>
      <c r="C1041" s="83">
        <v>50</v>
      </c>
      <c r="D1041" s="85">
        <v>5980933305</v>
      </c>
      <c r="F1041" s="83" t="s">
        <v>103</v>
      </c>
      <c r="G1041" s="83">
        <v>0</v>
      </c>
      <c r="H1041" s="83">
        <v>100</v>
      </c>
      <c r="K1041" s="83">
        <v>1</v>
      </c>
      <c r="L1041" s="83" t="s">
        <v>101</v>
      </c>
      <c r="M1041" s="83" t="s">
        <v>410</v>
      </c>
      <c r="N1041" s="83" t="s">
        <v>102</v>
      </c>
      <c r="P1041" s="83">
        <v>0</v>
      </c>
      <c r="U1041" s="83">
        <v>4</v>
      </c>
      <c r="V1041" s="83">
        <v>1</v>
      </c>
      <c r="W1041" s="83" t="s">
        <v>103</v>
      </c>
      <c r="X1041" s="83">
        <v>0</v>
      </c>
    </row>
    <row r="1042" spans="1:25" x14ac:dyDescent="0.2">
      <c r="A1042" s="83">
        <v>1</v>
      </c>
      <c r="B1042" s="84">
        <v>5701603305450</v>
      </c>
      <c r="C1042" s="83">
        <v>60</v>
      </c>
      <c r="D1042" s="84">
        <v>1010286</v>
      </c>
      <c r="F1042" s="83" t="s">
        <v>103</v>
      </c>
      <c r="G1042" s="83">
        <v>0</v>
      </c>
      <c r="H1042" s="83">
        <v>100</v>
      </c>
      <c r="K1042" s="83">
        <v>8</v>
      </c>
      <c r="L1042" s="83" t="s">
        <v>101</v>
      </c>
      <c r="M1042" s="83" t="s">
        <v>410</v>
      </c>
      <c r="N1042" s="83" t="s">
        <v>102</v>
      </c>
      <c r="P1042" s="83">
        <v>0</v>
      </c>
      <c r="U1042" s="83">
        <v>4</v>
      </c>
      <c r="V1042" s="83">
        <v>1</v>
      </c>
      <c r="W1042" s="83" t="s">
        <v>103</v>
      </c>
      <c r="X1042" s="83">
        <v>0</v>
      </c>
    </row>
    <row r="1043" spans="1:25" x14ac:dyDescent="0.2">
      <c r="A1043" s="83">
        <v>1</v>
      </c>
      <c r="B1043" s="84">
        <v>5701603305450</v>
      </c>
      <c r="C1043" s="83">
        <v>70</v>
      </c>
      <c r="D1043" s="84">
        <v>1010288</v>
      </c>
      <c r="F1043" s="83" t="s">
        <v>103</v>
      </c>
      <c r="G1043" s="83">
        <v>0</v>
      </c>
      <c r="H1043" s="83">
        <v>100</v>
      </c>
      <c r="K1043" s="83">
        <v>4</v>
      </c>
      <c r="L1043" s="83" t="s">
        <v>101</v>
      </c>
      <c r="M1043" s="83" t="s">
        <v>410</v>
      </c>
      <c r="N1043" s="83" t="s">
        <v>102</v>
      </c>
      <c r="P1043" s="83">
        <v>0</v>
      </c>
      <c r="U1043" s="83">
        <v>4</v>
      </c>
      <c r="V1043" s="83">
        <v>1</v>
      </c>
      <c r="W1043" s="83" t="s">
        <v>103</v>
      </c>
      <c r="X1043" s="83">
        <v>0</v>
      </c>
    </row>
    <row r="1044" spans="1:25" x14ac:dyDescent="0.2">
      <c r="A1044" s="83">
        <v>1</v>
      </c>
      <c r="B1044" s="84">
        <v>5701603305450</v>
      </c>
      <c r="C1044" s="83">
        <v>80</v>
      </c>
      <c r="D1044" s="84">
        <v>1020145</v>
      </c>
      <c r="F1044" s="83" t="s">
        <v>103</v>
      </c>
      <c r="G1044" s="83">
        <v>0</v>
      </c>
      <c r="H1044" s="83">
        <v>100</v>
      </c>
      <c r="K1044" s="83" t="s">
        <v>408</v>
      </c>
      <c r="L1044" s="83" t="s">
        <v>101</v>
      </c>
      <c r="M1044" s="83" t="s">
        <v>410</v>
      </c>
      <c r="N1044" s="83" t="s">
        <v>102</v>
      </c>
      <c r="P1044" s="83">
        <v>0</v>
      </c>
      <c r="U1044" s="83">
        <v>4</v>
      </c>
      <c r="V1044" s="83">
        <v>1</v>
      </c>
      <c r="W1044" s="83" t="s">
        <v>103</v>
      </c>
      <c r="X1044" s="83">
        <v>0</v>
      </c>
    </row>
    <row r="1045" spans="1:25" x14ac:dyDescent="0.2">
      <c r="A1045" s="83">
        <v>1</v>
      </c>
      <c r="B1045" s="84">
        <v>5701603305450</v>
      </c>
      <c r="C1045" s="83">
        <v>90</v>
      </c>
      <c r="D1045" s="84">
        <v>777500450</v>
      </c>
      <c r="F1045" s="83" t="s">
        <v>103</v>
      </c>
      <c r="G1045" s="83">
        <v>0</v>
      </c>
      <c r="H1045" s="83">
        <v>100</v>
      </c>
      <c r="K1045" s="83">
        <v>1</v>
      </c>
      <c r="L1045" s="83" t="s">
        <v>101</v>
      </c>
      <c r="M1045" s="83" t="s">
        <v>410</v>
      </c>
      <c r="N1045" s="83" t="s">
        <v>102</v>
      </c>
      <c r="P1045" s="83">
        <v>0</v>
      </c>
      <c r="U1045" s="83">
        <v>4</v>
      </c>
      <c r="V1045" s="83">
        <v>1</v>
      </c>
      <c r="W1045" s="83" t="s">
        <v>103</v>
      </c>
      <c r="X1045" s="83">
        <v>0</v>
      </c>
    </row>
    <row r="1046" spans="1:25" x14ac:dyDescent="0.2">
      <c r="A1046" s="83">
        <v>1</v>
      </c>
      <c r="B1046" s="84">
        <v>5701603306450</v>
      </c>
      <c r="C1046" s="83">
        <v>10</v>
      </c>
      <c r="D1046" s="84">
        <v>5980463306</v>
      </c>
      <c r="F1046" s="83" t="s">
        <v>103</v>
      </c>
      <c r="G1046" s="83">
        <v>0</v>
      </c>
      <c r="H1046" s="83">
        <v>100</v>
      </c>
      <c r="K1046" s="83">
        <v>1</v>
      </c>
      <c r="L1046" s="83" t="s">
        <v>101</v>
      </c>
      <c r="M1046" s="83" t="s">
        <v>410</v>
      </c>
      <c r="N1046" s="83" t="s">
        <v>102</v>
      </c>
      <c r="P1046" s="83">
        <v>0</v>
      </c>
      <c r="U1046" s="83">
        <v>4</v>
      </c>
      <c r="V1046" s="83">
        <v>1</v>
      </c>
      <c r="W1046" s="83" t="s">
        <v>103</v>
      </c>
      <c r="X1046" s="83">
        <v>0</v>
      </c>
      <c r="Y1046" s="83" t="str">
        <f>LEFT(D1046,6)</f>
        <v>598046</v>
      </c>
    </row>
    <row r="1047" spans="1:25" x14ac:dyDescent="0.2">
      <c r="A1047" s="83">
        <v>1</v>
      </c>
      <c r="B1047" s="84">
        <v>5701603306450</v>
      </c>
      <c r="C1047" s="83">
        <v>20</v>
      </c>
      <c r="D1047" s="84">
        <v>5980543306</v>
      </c>
      <c r="F1047" s="83" t="s">
        <v>103</v>
      </c>
      <c r="G1047" s="83">
        <v>0</v>
      </c>
      <c r="H1047" s="83">
        <v>100</v>
      </c>
      <c r="K1047" s="83">
        <v>1</v>
      </c>
      <c r="L1047" s="83" t="s">
        <v>101</v>
      </c>
      <c r="M1047" s="83" t="s">
        <v>410</v>
      </c>
      <c r="N1047" s="83" t="s">
        <v>102</v>
      </c>
      <c r="P1047" s="83">
        <v>0</v>
      </c>
      <c r="U1047" s="83">
        <v>4</v>
      </c>
      <c r="V1047" s="83">
        <v>1</v>
      </c>
      <c r="W1047" s="83" t="s">
        <v>103</v>
      </c>
      <c r="X1047" s="83">
        <v>0</v>
      </c>
    </row>
    <row r="1048" spans="1:25" x14ac:dyDescent="0.2">
      <c r="A1048" s="83">
        <v>1</v>
      </c>
      <c r="B1048" s="84">
        <v>5701603306450</v>
      </c>
      <c r="C1048" s="83">
        <v>30</v>
      </c>
      <c r="D1048" s="84">
        <v>5980623306</v>
      </c>
      <c r="F1048" s="83" t="s">
        <v>103</v>
      </c>
      <c r="G1048" s="83">
        <v>0</v>
      </c>
      <c r="H1048" s="83">
        <v>100</v>
      </c>
      <c r="K1048" s="83">
        <v>1</v>
      </c>
      <c r="L1048" s="83" t="s">
        <v>101</v>
      </c>
      <c r="M1048" s="83" t="s">
        <v>410</v>
      </c>
      <c r="N1048" s="83" t="s">
        <v>102</v>
      </c>
      <c r="P1048" s="83">
        <v>0</v>
      </c>
      <c r="U1048" s="83">
        <v>4</v>
      </c>
      <c r="V1048" s="83">
        <v>1</v>
      </c>
      <c r="W1048" s="83" t="s">
        <v>103</v>
      </c>
      <c r="X1048" s="83">
        <v>0</v>
      </c>
    </row>
    <row r="1049" spans="1:25" x14ac:dyDescent="0.2">
      <c r="A1049" s="83">
        <v>1</v>
      </c>
      <c r="B1049" s="84">
        <v>5701603306450</v>
      </c>
      <c r="C1049" s="83">
        <v>40</v>
      </c>
      <c r="D1049" s="84">
        <v>5980823306</v>
      </c>
      <c r="F1049" s="83" t="s">
        <v>103</v>
      </c>
      <c r="G1049" s="83">
        <v>0</v>
      </c>
      <c r="H1049" s="83">
        <v>100</v>
      </c>
      <c r="K1049" s="83">
        <v>1</v>
      </c>
      <c r="L1049" s="83" t="s">
        <v>101</v>
      </c>
      <c r="M1049" s="83" t="s">
        <v>410</v>
      </c>
      <c r="N1049" s="83" t="s">
        <v>102</v>
      </c>
      <c r="P1049" s="83">
        <v>0</v>
      </c>
      <c r="U1049" s="83">
        <v>4</v>
      </c>
      <c r="V1049" s="83">
        <v>1</v>
      </c>
      <c r="W1049" s="83" t="s">
        <v>103</v>
      </c>
      <c r="X1049" s="83">
        <v>0</v>
      </c>
    </row>
    <row r="1050" spans="1:25" x14ac:dyDescent="0.2">
      <c r="A1050" s="83">
        <v>1</v>
      </c>
      <c r="B1050" s="84">
        <v>5701603306450</v>
      </c>
      <c r="C1050" s="83">
        <v>50</v>
      </c>
      <c r="D1050" s="84">
        <v>5980933306</v>
      </c>
      <c r="F1050" s="83" t="s">
        <v>103</v>
      </c>
      <c r="G1050" s="83">
        <v>0</v>
      </c>
      <c r="H1050" s="83">
        <v>100</v>
      </c>
      <c r="K1050" s="83">
        <v>1</v>
      </c>
      <c r="L1050" s="83" t="s">
        <v>101</v>
      </c>
      <c r="M1050" s="83" t="s">
        <v>410</v>
      </c>
      <c r="N1050" s="83" t="s">
        <v>102</v>
      </c>
      <c r="P1050" s="83">
        <v>0</v>
      </c>
      <c r="U1050" s="83">
        <v>4</v>
      </c>
      <c r="V1050" s="83">
        <v>1</v>
      </c>
      <c r="W1050" s="83" t="s">
        <v>103</v>
      </c>
      <c r="X1050" s="83">
        <v>0</v>
      </c>
    </row>
    <row r="1051" spans="1:25" x14ac:dyDescent="0.2">
      <c r="A1051" s="83">
        <v>1</v>
      </c>
      <c r="B1051" s="84">
        <v>5701603306450</v>
      </c>
      <c r="C1051" s="83">
        <v>60</v>
      </c>
      <c r="D1051" s="84">
        <v>1010286</v>
      </c>
      <c r="F1051" s="83" t="s">
        <v>103</v>
      </c>
      <c r="G1051" s="83">
        <v>0</v>
      </c>
      <c r="H1051" s="83">
        <v>100</v>
      </c>
      <c r="K1051" s="83">
        <v>8</v>
      </c>
      <c r="L1051" s="83" t="s">
        <v>101</v>
      </c>
      <c r="M1051" s="83" t="s">
        <v>410</v>
      </c>
      <c r="N1051" s="83" t="s">
        <v>102</v>
      </c>
      <c r="P1051" s="83">
        <v>0</v>
      </c>
      <c r="U1051" s="83">
        <v>4</v>
      </c>
      <c r="V1051" s="83">
        <v>1</v>
      </c>
      <c r="W1051" s="83" t="s">
        <v>103</v>
      </c>
      <c r="X1051" s="83">
        <v>0</v>
      </c>
    </row>
    <row r="1052" spans="1:25" x14ac:dyDescent="0.2">
      <c r="A1052" s="83">
        <v>1</v>
      </c>
      <c r="B1052" s="84">
        <v>5701603306450</v>
      </c>
      <c r="C1052" s="83">
        <v>70</v>
      </c>
      <c r="D1052" s="84">
        <v>1010287</v>
      </c>
      <c r="F1052" s="83" t="s">
        <v>103</v>
      </c>
      <c r="G1052" s="83">
        <v>0</v>
      </c>
      <c r="H1052" s="83">
        <v>100</v>
      </c>
      <c r="K1052" s="83">
        <v>4</v>
      </c>
      <c r="L1052" s="83" t="s">
        <v>101</v>
      </c>
      <c r="M1052" s="83" t="s">
        <v>410</v>
      </c>
      <c r="N1052" s="83" t="s">
        <v>102</v>
      </c>
      <c r="P1052" s="83">
        <v>0</v>
      </c>
      <c r="U1052" s="83">
        <v>4</v>
      </c>
      <c r="V1052" s="83">
        <v>1</v>
      </c>
      <c r="W1052" s="83" t="s">
        <v>103</v>
      </c>
      <c r="X1052" s="83">
        <v>0</v>
      </c>
    </row>
    <row r="1053" spans="1:25" x14ac:dyDescent="0.2">
      <c r="A1053" s="83">
        <v>1</v>
      </c>
      <c r="B1053" s="84">
        <v>5701603306450</v>
      </c>
      <c r="C1053" s="83">
        <v>80</v>
      </c>
      <c r="D1053" s="84">
        <v>1020145</v>
      </c>
      <c r="F1053" s="83" t="s">
        <v>103</v>
      </c>
      <c r="G1053" s="83">
        <v>0</v>
      </c>
      <c r="H1053" s="83">
        <v>100</v>
      </c>
      <c r="K1053" s="83" t="s">
        <v>408</v>
      </c>
      <c r="L1053" s="83" t="s">
        <v>101</v>
      </c>
      <c r="M1053" s="83" t="s">
        <v>410</v>
      </c>
      <c r="N1053" s="83" t="s">
        <v>102</v>
      </c>
      <c r="P1053" s="83">
        <v>0</v>
      </c>
      <c r="U1053" s="83">
        <v>4</v>
      </c>
      <c r="V1053" s="83">
        <v>1</v>
      </c>
      <c r="W1053" s="83" t="s">
        <v>103</v>
      </c>
      <c r="X1053" s="83">
        <v>0</v>
      </c>
    </row>
    <row r="1054" spans="1:25" x14ac:dyDescent="0.2">
      <c r="A1054" s="83">
        <v>1</v>
      </c>
      <c r="B1054" s="84">
        <v>5701603306450</v>
      </c>
      <c r="C1054" s="83">
        <v>90</v>
      </c>
      <c r="D1054" s="84">
        <v>777500450</v>
      </c>
      <c r="F1054" s="83" t="s">
        <v>103</v>
      </c>
      <c r="G1054" s="83">
        <v>0</v>
      </c>
      <c r="H1054" s="83">
        <v>100</v>
      </c>
      <c r="K1054" s="83">
        <v>1</v>
      </c>
      <c r="L1054" s="83" t="s">
        <v>101</v>
      </c>
      <c r="M1054" s="83" t="s">
        <v>410</v>
      </c>
      <c r="N1054" s="83" t="s">
        <v>102</v>
      </c>
      <c r="P1054" s="83">
        <v>0</v>
      </c>
      <c r="U1054" s="83">
        <v>4</v>
      </c>
      <c r="V1054" s="83">
        <v>1</v>
      </c>
      <c r="W1054" s="83" t="s">
        <v>103</v>
      </c>
      <c r="X1054" s="83">
        <v>0</v>
      </c>
    </row>
    <row r="1055" spans="1:25" x14ac:dyDescent="0.2">
      <c r="A1055" s="83">
        <v>1</v>
      </c>
      <c r="B1055" s="84">
        <v>5701603307450</v>
      </c>
      <c r="C1055" s="83">
        <v>10</v>
      </c>
      <c r="D1055" s="84">
        <v>5980463307</v>
      </c>
      <c r="F1055" s="83" t="s">
        <v>103</v>
      </c>
      <c r="G1055" s="83">
        <v>0</v>
      </c>
      <c r="H1055" s="83">
        <v>100</v>
      </c>
      <c r="K1055" s="83">
        <v>1</v>
      </c>
      <c r="L1055" s="83" t="s">
        <v>101</v>
      </c>
      <c r="M1055" s="83" t="s">
        <v>410</v>
      </c>
      <c r="N1055" s="83" t="s">
        <v>102</v>
      </c>
      <c r="P1055" s="83">
        <v>0</v>
      </c>
      <c r="U1055" s="83">
        <v>4</v>
      </c>
      <c r="V1055" s="83">
        <v>1</v>
      </c>
      <c r="W1055" s="83" t="s">
        <v>103</v>
      </c>
      <c r="X1055" s="83">
        <v>0</v>
      </c>
      <c r="Y1055" s="83" t="str">
        <f>LEFT(D1055,6)</f>
        <v>598046</v>
      </c>
    </row>
    <row r="1056" spans="1:25" x14ac:dyDescent="0.2">
      <c r="A1056" s="83">
        <v>1</v>
      </c>
      <c r="B1056" s="84">
        <v>5701603307450</v>
      </c>
      <c r="C1056" s="83">
        <v>20</v>
      </c>
      <c r="D1056" s="84">
        <v>5980543307</v>
      </c>
      <c r="F1056" s="83" t="s">
        <v>103</v>
      </c>
      <c r="G1056" s="83">
        <v>0</v>
      </c>
      <c r="H1056" s="83">
        <v>100</v>
      </c>
      <c r="K1056" s="83">
        <v>1</v>
      </c>
      <c r="L1056" s="83" t="s">
        <v>101</v>
      </c>
      <c r="M1056" s="83" t="s">
        <v>410</v>
      </c>
      <c r="N1056" s="83" t="s">
        <v>102</v>
      </c>
      <c r="P1056" s="83">
        <v>0</v>
      </c>
      <c r="U1056" s="83">
        <v>4</v>
      </c>
      <c r="V1056" s="83">
        <v>1</v>
      </c>
      <c r="W1056" s="83" t="s">
        <v>103</v>
      </c>
      <c r="X1056" s="83">
        <v>0</v>
      </c>
    </row>
    <row r="1057" spans="1:25" x14ac:dyDescent="0.2">
      <c r="A1057" s="83">
        <v>1</v>
      </c>
      <c r="B1057" s="84">
        <v>5701603307450</v>
      </c>
      <c r="C1057" s="83">
        <v>30</v>
      </c>
      <c r="D1057" s="84">
        <v>5980623307</v>
      </c>
      <c r="F1057" s="83" t="s">
        <v>103</v>
      </c>
      <c r="G1057" s="83">
        <v>0</v>
      </c>
      <c r="H1057" s="83">
        <v>100</v>
      </c>
      <c r="K1057" s="83">
        <v>1</v>
      </c>
      <c r="L1057" s="83" t="s">
        <v>101</v>
      </c>
      <c r="M1057" s="83" t="s">
        <v>410</v>
      </c>
      <c r="N1057" s="83" t="s">
        <v>102</v>
      </c>
      <c r="P1057" s="83">
        <v>0</v>
      </c>
      <c r="U1057" s="83">
        <v>4</v>
      </c>
      <c r="V1057" s="83">
        <v>1</v>
      </c>
      <c r="W1057" s="83" t="s">
        <v>103</v>
      </c>
      <c r="X1057" s="83">
        <v>0</v>
      </c>
    </row>
    <row r="1058" spans="1:25" x14ac:dyDescent="0.2">
      <c r="A1058" s="83">
        <v>1</v>
      </c>
      <c r="B1058" s="84">
        <v>5701603307450</v>
      </c>
      <c r="C1058" s="83">
        <v>40</v>
      </c>
      <c r="D1058" s="84">
        <v>5980823307</v>
      </c>
      <c r="F1058" s="83" t="s">
        <v>103</v>
      </c>
      <c r="G1058" s="83">
        <v>0</v>
      </c>
      <c r="H1058" s="83">
        <v>100</v>
      </c>
      <c r="K1058" s="83">
        <v>1</v>
      </c>
      <c r="L1058" s="83" t="s">
        <v>101</v>
      </c>
      <c r="M1058" s="83" t="s">
        <v>410</v>
      </c>
      <c r="N1058" s="83" t="s">
        <v>102</v>
      </c>
      <c r="P1058" s="83">
        <v>0</v>
      </c>
      <c r="U1058" s="83">
        <v>4</v>
      </c>
      <c r="V1058" s="83">
        <v>1</v>
      </c>
      <c r="W1058" s="83" t="s">
        <v>103</v>
      </c>
      <c r="X1058" s="83">
        <v>0</v>
      </c>
    </row>
    <row r="1059" spans="1:25" x14ac:dyDescent="0.2">
      <c r="A1059" s="83">
        <v>1</v>
      </c>
      <c r="B1059" s="84">
        <v>5701603307450</v>
      </c>
      <c r="C1059" s="83">
        <v>50</v>
      </c>
      <c r="D1059" s="84">
        <v>5980933307</v>
      </c>
      <c r="F1059" s="83" t="s">
        <v>103</v>
      </c>
      <c r="G1059" s="83">
        <v>0</v>
      </c>
      <c r="H1059" s="83">
        <v>100</v>
      </c>
      <c r="K1059" s="83">
        <v>1</v>
      </c>
      <c r="L1059" s="83" t="s">
        <v>101</v>
      </c>
      <c r="M1059" s="83" t="s">
        <v>410</v>
      </c>
      <c r="N1059" s="83" t="s">
        <v>102</v>
      </c>
      <c r="P1059" s="83">
        <v>0</v>
      </c>
      <c r="U1059" s="83">
        <v>4</v>
      </c>
      <c r="V1059" s="83">
        <v>1</v>
      </c>
      <c r="W1059" s="83" t="s">
        <v>103</v>
      </c>
      <c r="X1059" s="83">
        <v>0</v>
      </c>
    </row>
    <row r="1060" spans="1:25" x14ac:dyDescent="0.2">
      <c r="A1060" s="83">
        <v>1</v>
      </c>
      <c r="B1060" s="84">
        <v>5701603307450</v>
      </c>
      <c r="C1060" s="83">
        <v>60</v>
      </c>
      <c r="D1060" s="84">
        <v>1010286</v>
      </c>
      <c r="F1060" s="83" t="s">
        <v>103</v>
      </c>
      <c r="G1060" s="83">
        <v>0</v>
      </c>
      <c r="H1060" s="83">
        <v>100</v>
      </c>
      <c r="K1060" s="83">
        <v>8</v>
      </c>
      <c r="L1060" s="83" t="s">
        <v>101</v>
      </c>
      <c r="M1060" s="83" t="s">
        <v>410</v>
      </c>
      <c r="N1060" s="83" t="s">
        <v>102</v>
      </c>
      <c r="P1060" s="83">
        <v>0</v>
      </c>
      <c r="U1060" s="83">
        <v>4</v>
      </c>
      <c r="V1060" s="83">
        <v>1</v>
      </c>
      <c r="W1060" s="83" t="s">
        <v>103</v>
      </c>
      <c r="X1060" s="83">
        <v>0</v>
      </c>
    </row>
    <row r="1061" spans="1:25" x14ac:dyDescent="0.2">
      <c r="A1061" s="83">
        <v>1</v>
      </c>
      <c r="B1061" s="84">
        <v>5701603307450</v>
      </c>
      <c r="C1061" s="83">
        <v>70</v>
      </c>
      <c r="D1061" s="84">
        <v>1010287</v>
      </c>
      <c r="F1061" s="83" t="s">
        <v>103</v>
      </c>
      <c r="G1061" s="83">
        <v>0</v>
      </c>
      <c r="H1061" s="83">
        <v>100</v>
      </c>
      <c r="K1061" s="83">
        <v>4</v>
      </c>
      <c r="L1061" s="83" t="s">
        <v>101</v>
      </c>
      <c r="M1061" s="83" t="s">
        <v>410</v>
      </c>
      <c r="N1061" s="83" t="s">
        <v>102</v>
      </c>
      <c r="P1061" s="83">
        <v>0</v>
      </c>
      <c r="U1061" s="83">
        <v>4</v>
      </c>
      <c r="V1061" s="83">
        <v>1</v>
      </c>
      <c r="W1061" s="83" t="s">
        <v>103</v>
      </c>
      <c r="X1061" s="83">
        <v>0</v>
      </c>
    </row>
    <row r="1062" spans="1:25" x14ac:dyDescent="0.2">
      <c r="A1062" s="83">
        <v>1</v>
      </c>
      <c r="B1062" s="84">
        <v>5701603307450</v>
      </c>
      <c r="C1062" s="83">
        <v>80</v>
      </c>
      <c r="D1062" s="84">
        <v>1020145</v>
      </c>
      <c r="F1062" s="83" t="s">
        <v>103</v>
      </c>
      <c r="G1062" s="83">
        <v>0</v>
      </c>
      <c r="H1062" s="83">
        <v>100</v>
      </c>
      <c r="K1062" s="83" t="s">
        <v>408</v>
      </c>
      <c r="L1062" s="83" t="s">
        <v>101</v>
      </c>
      <c r="M1062" s="83" t="s">
        <v>410</v>
      </c>
      <c r="N1062" s="83" t="s">
        <v>102</v>
      </c>
      <c r="P1062" s="83">
        <v>0</v>
      </c>
      <c r="U1062" s="83">
        <v>4</v>
      </c>
      <c r="V1062" s="83">
        <v>1</v>
      </c>
      <c r="W1062" s="83" t="s">
        <v>103</v>
      </c>
      <c r="X1062" s="83">
        <v>0</v>
      </c>
    </row>
    <row r="1063" spans="1:25" x14ac:dyDescent="0.2">
      <c r="A1063" s="83">
        <v>1</v>
      </c>
      <c r="B1063" s="84">
        <v>5701603307450</v>
      </c>
      <c r="C1063" s="83">
        <v>90</v>
      </c>
      <c r="D1063" s="84">
        <v>777500450</v>
      </c>
      <c r="F1063" s="83" t="s">
        <v>103</v>
      </c>
      <c r="G1063" s="83">
        <v>0</v>
      </c>
      <c r="H1063" s="83">
        <v>100</v>
      </c>
      <c r="K1063" s="83">
        <v>1</v>
      </c>
      <c r="L1063" s="83" t="s">
        <v>101</v>
      </c>
      <c r="M1063" s="83" t="s">
        <v>410</v>
      </c>
      <c r="N1063" s="83" t="s">
        <v>102</v>
      </c>
      <c r="P1063" s="83">
        <v>0</v>
      </c>
      <c r="U1063" s="83">
        <v>4</v>
      </c>
      <c r="V1063" s="83">
        <v>1</v>
      </c>
      <c r="W1063" s="83" t="s">
        <v>103</v>
      </c>
      <c r="X1063" s="83">
        <v>0</v>
      </c>
    </row>
    <row r="1064" spans="1:25" x14ac:dyDescent="0.2">
      <c r="A1064" s="83">
        <v>1</v>
      </c>
      <c r="B1064" s="84">
        <v>5701603308450</v>
      </c>
      <c r="C1064" s="83">
        <v>10</v>
      </c>
      <c r="D1064" s="84">
        <v>5980463308</v>
      </c>
      <c r="F1064" s="83" t="s">
        <v>103</v>
      </c>
      <c r="G1064" s="83">
        <v>0</v>
      </c>
      <c r="H1064" s="83">
        <v>100</v>
      </c>
      <c r="K1064" s="83">
        <v>1</v>
      </c>
      <c r="L1064" s="83" t="s">
        <v>101</v>
      </c>
      <c r="M1064" s="83" t="s">
        <v>410</v>
      </c>
      <c r="N1064" s="83" t="s">
        <v>102</v>
      </c>
      <c r="P1064" s="83">
        <v>0</v>
      </c>
      <c r="U1064" s="83">
        <v>4</v>
      </c>
      <c r="V1064" s="83">
        <v>1</v>
      </c>
      <c r="W1064" s="83" t="s">
        <v>103</v>
      </c>
      <c r="X1064" s="83">
        <v>0</v>
      </c>
      <c r="Y1064" s="83" t="str">
        <f>LEFT(D1064,6)</f>
        <v>598046</v>
      </c>
    </row>
    <row r="1065" spans="1:25" x14ac:dyDescent="0.2">
      <c r="A1065" s="83">
        <v>1</v>
      </c>
      <c r="B1065" s="84">
        <v>5701603308450</v>
      </c>
      <c r="C1065" s="83">
        <v>20</v>
      </c>
      <c r="D1065" s="84">
        <v>5980543308</v>
      </c>
      <c r="F1065" s="83" t="s">
        <v>103</v>
      </c>
      <c r="G1065" s="83">
        <v>0</v>
      </c>
      <c r="H1065" s="83">
        <v>100</v>
      </c>
      <c r="K1065" s="83">
        <v>1</v>
      </c>
      <c r="L1065" s="83" t="s">
        <v>101</v>
      </c>
      <c r="M1065" s="83" t="s">
        <v>410</v>
      </c>
      <c r="N1065" s="83" t="s">
        <v>102</v>
      </c>
      <c r="P1065" s="83">
        <v>0</v>
      </c>
      <c r="U1065" s="83">
        <v>4</v>
      </c>
      <c r="V1065" s="83">
        <v>1</v>
      </c>
      <c r="W1065" s="83" t="s">
        <v>103</v>
      </c>
      <c r="X1065" s="83">
        <v>0</v>
      </c>
    </row>
    <row r="1066" spans="1:25" x14ac:dyDescent="0.2">
      <c r="A1066" s="83">
        <v>1</v>
      </c>
      <c r="B1066" s="84">
        <v>5701603308450</v>
      </c>
      <c r="C1066" s="83">
        <v>30</v>
      </c>
      <c r="D1066" s="84">
        <v>5980623308</v>
      </c>
      <c r="F1066" s="83" t="s">
        <v>103</v>
      </c>
      <c r="G1066" s="83">
        <v>0</v>
      </c>
      <c r="H1066" s="83">
        <v>100</v>
      </c>
      <c r="K1066" s="83">
        <v>1</v>
      </c>
      <c r="L1066" s="83" t="s">
        <v>101</v>
      </c>
      <c r="M1066" s="83" t="s">
        <v>410</v>
      </c>
      <c r="N1066" s="83" t="s">
        <v>102</v>
      </c>
      <c r="P1066" s="83">
        <v>0</v>
      </c>
      <c r="U1066" s="83">
        <v>4</v>
      </c>
      <c r="V1066" s="83">
        <v>1</v>
      </c>
      <c r="W1066" s="83" t="s">
        <v>103</v>
      </c>
      <c r="X1066" s="83">
        <v>0</v>
      </c>
    </row>
    <row r="1067" spans="1:25" x14ac:dyDescent="0.2">
      <c r="A1067" s="83">
        <v>1</v>
      </c>
      <c r="B1067" s="84">
        <v>5701603308450</v>
      </c>
      <c r="C1067" s="83">
        <v>40</v>
      </c>
      <c r="D1067" s="84">
        <v>5980823308</v>
      </c>
      <c r="F1067" s="83" t="s">
        <v>103</v>
      </c>
      <c r="G1067" s="83">
        <v>0</v>
      </c>
      <c r="H1067" s="83">
        <v>100</v>
      </c>
      <c r="K1067" s="83">
        <v>1</v>
      </c>
      <c r="L1067" s="83" t="s">
        <v>101</v>
      </c>
      <c r="M1067" s="83" t="s">
        <v>410</v>
      </c>
      <c r="N1067" s="83" t="s">
        <v>102</v>
      </c>
      <c r="P1067" s="83">
        <v>0</v>
      </c>
      <c r="U1067" s="83">
        <v>4</v>
      </c>
      <c r="V1067" s="83">
        <v>1</v>
      </c>
      <c r="W1067" s="83" t="s">
        <v>103</v>
      </c>
      <c r="X1067" s="83">
        <v>0</v>
      </c>
    </row>
    <row r="1068" spans="1:25" x14ac:dyDescent="0.2">
      <c r="A1068" s="83">
        <v>1</v>
      </c>
      <c r="B1068" s="84">
        <v>5701603308450</v>
      </c>
      <c r="C1068" s="83">
        <v>50</v>
      </c>
      <c r="D1068" s="84">
        <v>5980933308</v>
      </c>
      <c r="F1068" s="83" t="s">
        <v>103</v>
      </c>
      <c r="G1068" s="83">
        <v>0</v>
      </c>
      <c r="H1068" s="83">
        <v>100</v>
      </c>
      <c r="K1068" s="83">
        <v>1</v>
      </c>
      <c r="L1068" s="83" t="s">
        <v>101</v>
      </c>
      <c r="M1068" s="83" t="s">
        <v>410</v>
      </c>
      <c r="N1068" s="83" t="s">
        <v>102</v>
      </c>
      <c r="P1068" s="83">
        <v>0</v>
      </c>
      <c r="U1068" s="83">
        <v>4</v>
      </c>
      <c r="V1068" s="83">
        <v>1</v>
      </c>
      <c r="W1068" s="83" t="s">
        <v>103</v>
      </c>
      <c r="X1068" s="83">
        <v>0</v>
      </c>
    </row>
    <row r="1069" spans="1:25" x14ac:dyDescent="0.2">
      <c r="A1069" s="83">
        <v>1</v>
      </c>
      <c r="B1069" s="84">
        <v>5701603308450</v>
      </c>
      <c r="C1069" s="83">
        <v>60</v>
      </c>
      <c r="D1069" s="84">
        <v>1010286</v>
      </c>
      <c r="F1069" s="83" t="s">
        <v>103</v>
      </c>
      <c r="G1069" s="83">
        <v>0</v>
      </c>
      <c r="H1069" s="83">
        <v>100</v>
      </c>
      <c r="K1069" s="83">
        <v>8</v>
      </c>
      <c r="L1069" s="83" t="s">
        <v>101</v>
      </c>
      <c r="M1069" s="83" t="s">
        <v>410</v>
      </c>
      <c r="N1069" s="83" t="s">
        <v>102</v>
      </c>
      <c r="P1069" s="83">
        <v>0</v>
      </c>
      <c r="U1069" s="83">
        <v>4</v>
      </c>
      <c r="V1069" s="83">
        <v>1</v>
      </c>
      <c r="W1069" s="83" t="s">
        <v>103</v>
      </c>
      <c r="X1069" s="83">
        <v>0</v>
      </c>
    </row>
    <row r="1070" spans="1:25" x14ac:dyDescent="0.2">
      <c r="A1070" s="83">
        <v>1</v>
      </c>
      <c r="B1070" s="84">
        <v>5701603308450</v>
      </c>
      <c r="C1070" s="83">
        <v>70</v>
      </c>
      <c r="D1070" s="84">
        <v>1010288</v>
      </c>
      <c r="F1070" s="83" t="s">
        <v>103</v>
      </c>
      <c r="G1070" s="83">
        <v>0</v>
      </c>
      <c r="H1070" s="83">
        <v>100</v>
      </c>
      <c r="K1070" s="83">
        <v>4</v>
      </c>
      <c r="L1070" s="83" t="s">
        <v>101</v>
      </c>
      <c r="M1070" s="83" t="s">
        <v>410</v>
      </c>
      <c r="N1070" s="83" t="s">
        <v>102</v>
      </c>
      <c r="P1070" s="83">
        <v>0</v>
      </c>
      <c r="U1070" s="83">
        <v>4</v>
      </c>
      <c r="V1070" s="83">
        <v>1</v>
      </c>
      <c r="W1070" s="83" t="s">
        <v>103</v>
      </c>
      <c r="X1070" s="83">
        <v>0</v>
      </c>
    </row>
    <row r="1071" spans="1:25" x14ac:dyDescent="0.2">
      <c r="A1071" s="83">
        <v>1</v>
      </c>
      <c r="B1071" s="84">
        <v>5701603308450</v>
      </c>
      <c r="C1071" s="83">
        <v>80</v>
      </c>
      <c r="D1071" s="84">
        <v>1020145</v>
      </c>
      <c r="F1071" s="83" t="s">
        <v>103</v>
      </c>
      <c r="G1071" s="83">
        <v>0</v>
      </c>
      <c r="H1071" s="83">
        <v>100</v>
      </c>
      <c r="K1071" s="83" t="s">
        <v>408</v>
      </c>
      <c r="L1071" s="83" t="s">
        <v>101</v>
      </c>
      <c r="M1071" s="83" t="s">
        <v>410</v>
      </c>
      <c r="N1071" s="83" t="s">
        <v>102</v>
      </c>
      <c r="P1071" s="83">
        <v>0</v>
      </c>
      <c r="U1071" s="83">
        <v>4</v>
      </c>
      <c r="V1071" s="83">
        <v>1</v>
      </c>
      <c r="W1071" s="83" t="s">
        <v>103</v>
      </c>
      <c r="X1071" s="83">
        <v>0</v>
      </c>
    </row>
    <row r="1072" spans="1:25" x14ac:dyDescent="0.2">
      <c r="A1072" s="83">
        <v>1</v>
      </c>
      <c r="B1072" s="84">
        <v>5701603308450</v>
      </c>
      <c r="C1072" s="83">
        <v>90</v>
      </c>
      <c r="D1072" s="84">
        <v>777500450</v>
      </c>
      <c r="F1072" s="83" t="s">
        <v>103</v>
      </c>
      <c r="G1072" s="83">
        <v>0</v>
      </c>
      <c r="H1072" s="83">
        <v>100</v>
      </c>
      <c r="K1072" s="83">
        <v>1</v>
      </c>
      <c r="L1072" s="83" t="s">
        <v>101</v>
      </c>
      <c r="M1072" s="83" t="s">
        <v>410</v>
      </c>
      <c r="N1072" s="83" t="s">
        <v>102</v>
      </c>
      <c r="P1072" s="83">
        <v>0</v>
      </c>
      <c r="U1072" s="83">
        <v>4</v>
      </c>
      <c r="V1072" s="83">
        <v>1</v>
      </c>
      <c r="W1072" s="83" t="s">
        <v>103</v>
      </c>
      <c r="X1072" s="83">
        <v>0</v>
      </c>
    </row>
    <row r="1073" spans="1:25" x14ac:dyDescent="0.2">
      <c r="A1073" s="83">
        <v>1</v>
      </c>
      <c r="B1073" s="84">
        <v>5701603309450</v>
      </c>
      <c r="C1073" s="83">
        <v>10</v>
      </c>
      <c r="D1073" s="84">
        <v>5980463309</v>
      </c>
      <c r="F1073" s="83" t="s">
        <v>103</v>
      </c>
      <c r="G1073" s="83">
        <v>0</v>
      </c>
      <c r="H1073" s="83">
        <v>100</v>
      </c>
      <c r="K1073" s="83">
        <v>1</v>
      </c>
      <c r="L1073" s="83" t="s">
        <v>101</v>
      </c>
      <c r="M1073" s="83" t="s">
        <v>410</v>
      </c>
      <c r="N1073" s="83" t="s">
        <v>102</v>
      </c>
      <c r="P1073" s="83">
        <v>0</v>
      </c>
      <c r="U1073" s="83">
        <v>4</v>
      </c>
      <c r="V1073" s="83">
        <v>1</v>
      </c>
      <c r="W1073" s="83" t="s">
        <v>103</v>
      </c>
      <c r="X1073" s="83">
        <v>0</v>
      </c>
      <c r="Y1073" s="83" t="str">
        <f>LEFT(D1073,6)</f>
        <v>598046</v>
      </c>
    </row>
    <row r="1074" spans="1:25" x14ac:dyDescent="0.2">
      <c r="A1074" s="83">
        <v>1</v>
      </c>
      <c r="B1074" s="84">
        <v>5701603309450</v>
      </c>
      <c r="C1074" s="83">
        <v>20</v>
      </c>
      <c r="D1074" s="84">
        <v>5980543309</v>
      </c>
      <c r="F1074" s="83" t="s">
        <v>103</v>
      </c>
      <c r="G1074" s="83">
        <v>0</v>
      </c>
      <c r="H1074" s="83">
        <v>100</v>
      </c>
      <c r="K1074" s="83">
        <v>1</v>
      </c>
      <c r="L1074" s="83" t="s">
        <v>101</v>
      </c>
      <c r="M1074" s="83" t="s">
        <v>410</v>
      </c>
      <c r="N1074" s="83" t="s">
        <v>102</v>
      </c>
      <c r="P1074" s="83">
        <v>0</v>
      </c>
      <c r="U1074" s="83">
        <v>4</v>
      </c>
      <c r="V1074" s="83">
        <v>1</v>
      </c>
      <c r="W1074" s="83" t="s">
        <v>103</v>
      </c>
      <c r="X1074" s="83">
        <v>0</v>
      </c>
    </row>
    <row r="1075" spans="1:25" x14ac:dyDescent="0.2">
      <c r="A1075" s="83">
        <v>1</v>
      </c>
      <c r="B1075" s="84">
        <v>5701603309450</v>
      </c>
      <c r="C1075" s="83">
        <v>30</v>
      </c>
      <c r="D1075" s="84">
        <v>5980623309</v>
      </c>
      <c r="F1075" s="83" t="s">
        <v>103</v>
      </c>
      <c r="G1075" s="83">
        <v>0</v>
      </c>
      <c r="H1075" s="83">
        <v>100</v>
      </c>
      <c r="K1075" s="83">
        <v>1</v>
      </c>
      <c r="L1075" s="83" t="s">
        <v>101</v>
      </c>
      <c r="M1075" s="83" t="s">
        <v>410</v>
      </c>
      <c r="N1075" s="83" t="s">
        <v>102</v>
      </c>
      <c r="P1075" s="83">
        <v>0</v>
      </c>
      <c r="U1075" s="83">
        <v>4</v>
      </c>
      <c r="V1075" s="83">
        <v>1</v>
      </c>
      <c r="W1075" s="83" t="s">
        <v>103</v>
      </c>
      <c r="X1075" s="83">
        <v>0</v>
      </c>
    </row>
    <row r="1076" spans="1:25" x14ac:dyDescent="0.2">
      <c r="A1076" s="83">
        <v>1</v>
      </c>
      <c r="B1076" s="84">
        <v>5701603309450</v>
      </c>
      <c r="C1076" s="83">
        <v>40</v>
      </c>
      <c r="D1076" s="84">
        <v>5980823309</v>
      </c>
      <c r="F1076" s="83" t="s">
        <v>103</v>
      </c>
      <c r="G1076" s="83">
        <v>0</v>
      </c>
      <c r="H1076" s="83">
        <v>100</v>
      </c>
      <c r="K1076" s="83">
        <v>1</v>
      </c>
      <c r="L1076" s="83" t="s">
        <v>101</v>
      </c>
      <c r="M1076" s="83" t="s">
        <v>410</v>
      </c>
      <c r="N1076" s="83" t="s">
        <v>102</v>
      </c>
      <c r="P1076" s="83">
        <v>0</v>
      </c>
      <c r="U1076" s="83">
        <v>4</v>
      </c>
      <c r="V1076" s="83">
        <v>1</v>
      </c>
      <c r="W1076" s="83" t="s">
        <v>103</v>
      </c>
      <c r="X1076" s="83">
        <v>0</v>
      </c>
    </row>
    <row r="1077" spans="1:25" x14ac:dyDescent="0.2">
      <c r="A1077" s="83">
        <v>1</v>
      </c>
      <c r="B1077" s="84">
        <v>5701603309450</v>
      </c>
      <c r="C1077" s="83">
        <v>50</v>
      </c>
      <c r="D1077" s="84">
        <v>5980933309</v>
      </c>
      <c r="F1077" s="83" t="s">
        <v>103</v>
      </c>
      <c r="G1077" s="83">
        <v>0</v>
      </c>
      <c r="H1077" s="83">
        <v>100</v>
      </c>
      <c r="K1077" s="83">
        <v>1</v>
      </c>
      <c r="L1077" s="83" t="s">
        <v>101</v>
      </c>
      <c r="M1077" s="83" t="s">
        <v>410</v>
      </c>
      <c r="N1077" s="83" t="s">
        <v>102</v>
      </c>
      <c r="P1077" s="83">
        <v>0</v>
      </c>
      <c r="U1077" s="83">
        <v>4</v>
      </c>
      <c r="V1077" s="83">
        <v>1</v>
      </c>
      <c r="W1077" s="83" t="s">
        <v>103</v>
      </c>
      <c r="X1077" s="83">
        <v>0</v>
      </c>
    </row>
    <row r="1078" spans="1:25" x14ac:dyDescent="0.2">
      <c r="A1078" s="83">
        <v>1</v>
      </c>
      <c r="B1078" s="84">
        <v>5701603309450</v>
      </c>
      <c r="C1078" s="83">
        <v>60</v>
      </c>
      <c r="D1078" s="84">
        <v>1010286</v>
      </c>
      <c r="F1078" s="83" t="s">
        <v>103</v>
      </c>
      <c r="G1078" s="83">
        <v>0</v>
      </c>
      <c r="H1078" s="83">
        <v>100</v>
      </c>
      <c r="K1078" s="83">
        <v>8</v>
      </c>
      <c r="L1078" s="83" t="s">
        <v>101</v>
      </c>
      <c r="M1078" s="83" t="s">
        <v>410</v>
      </c>
      <c r="N1078" s="83" t="s">
        <v>102</v>
      </c>
      <c r="P1078" s="83">
        <v>0</v>
      </c>
      <c r="U1078" s="83">
        <v>4</v>
      </c>
      <c r="V1078" s="83">
        <v>1</v>
      </c>
      <c r="W1078" s="83" t="s">
        <v>103</v>
      </c>
      <c r="X1078" s="83">
        <v>0</v>
      </c>
    </row>
    <row r="1079" spans="1:25" x14ac:dyDescent="0.2">
      <c r="A1079" s="83">
        <v>1</v>
      </c>
      <c r="B1079" s="84">
        <v>5701603309450</v>
      </c>
      <c r="C1079" s="83">
        <v>70</v>
      </c>
      <c r="D1079" s="84">
        <v>1010287</v>
      </c>
      <c r="F1079" s="83" t="s">
        <v>103</v>
      </c>
      <c r="G1079" s="83">
        <v>0</v>
      </c>
      <c r="H1079" s="83">
        <v>100</v>
      </c>
      <c r="K1079" s="83">
        <v>4</v>
      </c>
      <c r="L1079" s="83" t="s">
        <v>101</v>
      </c>
      <c r="M1079" s="83" t="s">
        <v>410</v>
      </c>
      <c r="N1079" s="83" t="s">
        <v>102</v>
      </c>
      <c r="P1079" s="83">
        <v>0</v>
      </c>
      <c r="U1079" s="83">
        <v>4</v>
      </c>
      <c r="V1079" s="83">
        <v>1</v>
      </c>
      <c r="W1079" s="83" t="s">
        <v>103</v>
      </c>
      <c r="X1079" s="83">
        <v>0</v>
      </c>
    </row>
    <row r="1080" spans="1:25" x14ac:dyDescent="0.2">
      <c r="A1080" s="83">
        <v>1</v>
      </c>
      <c r="B1080" s="84">
        <v>5701603309450</v>
      </c>
      <c r="C1080" s="83">
        <v>80</v>
      </c>
      <c r="D1080" s="84">
        <v>1020145</v>
      </c>
      <c r="F1080" s="83" t="s">
        <v>103</v>
      </c>
      <c r="G1080" s="83">
        <v>0</v>
      </c>
      <c r="H1080" s="83">
        <v>100</v>
      </c>
      <c r="K1080" s="83" t="s">
        <v>408</v>
      </c>
      <c r="L1080" s="83" t="s">
        <v>101</v>
      </c>
      <c r="M1080" s="83" t="s">
        <v>410</v>
      </c>
      <c r="N1080" s="83" t="s">
        <v>102</v>
      </c>
      <c r="P1080" s="83">
        <v>0</v>
      </c>
      <c r="U1080" s="83">
        <v>4</v>
      </c>
      <c r="V1080" s="83">
        <v>1</v>
      </c>
      <c r="W1080" s="83" t="s">
        <v>103</v>
      </c>
      <c r="X1080" s="83">
        <v>0</v>
      </c>
    </row>
    <row r="1081" spans="1:25" x14ac:dyDescent="0.2">
      <c r="A1081" s="83">
        <v>1</v>
      </c>
      <c r="B1081" s="84">
        <v>5701603309450</v>
      </c>
      <c r="C1081" s="83">
        <v>90</v>
      </c>
      <c r="D1081" s="84">
        <v>777500450</v>
      </c>
      <c r="F1081" s="83" t="s">
        <v>103</v>
      </c>
      <c r="G1081" s="83">
        <v>0</v>
      </c>
      <c r="H1081" s="83">
        <v>100</v>
      </c>
      <c r="K1081" s="83">
        <v>1</v>
      </c>
      <c r="L1081" s="83" t="s">
        <v>101</v>
      </c>
      <c r="M1081" s="83" t="s">
        <v>410</v>
      </c>
      <c r="N1081" s="83" t="s">
        <v>102</v>
      </c>
      <c r="P1081" s="83">
        <v>0</v>
      </c>
      <c r="U1081" s="83">
        <v>4</v>
      </c>
      <c r="V1081" s="83">
        <v>1</v>
      </c>
      <c r="W1081" s="83" t="s">
        <v>103</v>
      </c>
      <c r="X1081" s="83">
        <v>0</v>
      </c>
    </row>
    <row r="1082" spans="1:25" x14ac:dyDescent="0.2">
      <c r="A1082" s="83">
        <v>1</v>
      </c>
      <c r="B1082" s="84">
        <v>5701603310450</v>
      </c>
      <c r="C1082" s="83">
        <v>10</v>
      </c>
      <c r="D1082" s="84">
        <v>5980463310</v>
      </c>
      <c r="F1082" s="83" t="s">
        <v>103</v>
      </c>
      <c r="G1082" s="83">
        <v>0</v>
      </c>
      <c r="H1082" s="83">
        <v>100</v>
      </c>
      <c r="K1082" s="83">
        <v>1</v>
      </c>
      <c r="L1082" s="83" t="s">
        <v>101</v>
      </c>
      <c r="M1082" s="83" t="s">
        <v>410</v>
      </c>
      <c r="N1082" s="83" t="s">
        <v>102</v>
      </c>
      <c r="P1082" s="83">
        <v>0</v>
      </c>
      <c r="U1082" s="83">
        <v>4</v>
      </c>
      <c r="V1082" s="83">
        <v>1</v>
      </c>
      <c r="W1082" s="83" t="s">
        <v>103</v>
      </c>
      <c r="X1082" s="83">
        <v>0</v>
      </c>
      <c r="Y1082" s="83" t="str">
        <f>LEFT(D1082,6)</f>
        <v>598046</v>
      </c>
    </row>
    <row r="1083" spans="1:25" x14ac:dyDescent="0.2">
      <c r="A1083" s="83">
        <v>1</v>
      </c>
      <c r="B1083" s="84">
        <v>5701603310450</v>
      </c>
      <c r="C1083" s="83">
        <v>20</v>
      </c>
      <c r="D1083" s="84">
        <v>5980543310</v>
      </c>
      <c r="F1083" s="83" t="s">
        <v>103</v>
      </c>
      <c r="G1083" s="83">
        <v>0</v>
      </c>
      <c r="H1083" s="83">
        <v>100</v>
      </c>
      <c r="K1083" s="83">
        <v>1</v>
      </c>
      <c r="L1083" s="83" t="s">
        <v>101</v>
      </c>
      <c r="M1083" s="83" t="s">
        <v>410</v>
      </c>
      <c r="N1083" s="83" t="s">
        <v>102</v>
      </c>
      <c r="P1083" s="83">
        <v>0</v>
      </c>
      <c r="U1083" s="83">
        <v>4</v>
      </c>
      <c r="V1083" s="83">
        <v>1</v>
      </c>
      <c r="W1083" s="83" t="s">
        <v>103</v>
      </c>
      <c r="X1083" s="83">
        <v>0</v>
      </c>
    </row>
    <row r="1084" spans="1:25" x14ac:dyDescent="0.2">
      <c r="A1084" s="83">
        <v>1</v>
      </c>
      <c r="B1084" s="84">
        <v>5701603310450</v>
      </c>
      <c r="C1084" s="83">
        <v>30</v>
      </c>
      <c r="D1084" s="84">
        <v>5980623310</v>
      </c>
      <c r="F1084" s="83" t="s">
        <v>103</v>
      </c>
      <c r="G1084" s="83">
        <v>0</v>
      </c>
      <c r="H1084" s="83">
        <v>100</v>
      </c>
      <c r="K1084" s="83">
        <v>1</v>
      </c>
      <c r="L1084" s="83" t="s">
        <v>101</v>
      </c>
      <c r="M1084" s="83" t="s">
        <v>410</v>
      </c>
      <c r="N1084" s="83" t="s">
        <v>102</v>
      </c>
      <c r="P1084" s="83">
        <v>0</v>
      </c>
      <c r="U1084" s="83">
        <v>4</v>
      </c>
      <c r="V1084" s="83">
        <v>1</v>
      </c>
      <c r="W1084" s="83" t="s">
        <v>103</v>
      </c>
      <c r="X1084" s="83">
        <v>0</v>
      </c>
    </row>
    <row r="1085" spans="1:25" x14ac:dyDescent="0.2">
      <c r="A1085" s="83">
        <v>1</v>
      </c>
      <c r="B1085" s="84">
        <v>5701603310450</v>
      </c>
      <c r="C1085" s="83">
        <v>40</v>
      </c>
      <c r="D1085" s="84">
        <v>5980823310</v>
      </c>
      <c r="F1085" s="83" t="s">
        <v>103</v>
      </c>
      <c r="G1085" s="83">
        <v>0</v>
      </c>
      <c r="H1085" s="83">
        <v>100</v>
      </c>
      <c r="K1085" s="83">
        <v>1</v>
      </c>
      <c r="L1085" s="83" t="s">
        <v>101</v>
      </c>
      <c r="M1085" s="83" t="s">
        <v>410</v>
      </c>
      <c r="N1085" s="83" t="s">
        <v>102</v>
      </c>
      <c r="P1085" s="83">
        <v>0</v>
      </c>
      <c r="U1085" s="83">
        <v>4</v>
      </c>
      <c r="V1085" s="83">
        <v>1</v>
      </c>
      <c r="W1085" s="83" t="s">
        <v>103</v>
      </c>
      <c r="X1085" s="83">
        <v>0</v>
      </c>
    </row>
    <row r="1086" spans="1:25" x14ac:dyDescent="0.2">
      <c r="A1086" s="83">
        <v>1</v>
      </c>
      <c r="B1086" s="84">
        <v>5701603310450</v>
      </c>
      <c r="C1086" s="83">
        <v>50</v>
      </c>
      <c r="D1086" s="84">
        <v>5980933310</v>
      </c>
      <c r="F1086" s="83" t="s">
        <v>103</v>
      </c>
      <c r="G1086" s="83">
        <v>0</v>
      </c>
      <c r="H1086" s="83">
        <v>100</v>
      </c>
      <c r="K1086" s="83">
        <v>1</v>
      </c>
      <c r="L1086" s="83" t="s">
        <v>101</v>
      </c>
      <c r="M1086" s="83" t="s">
        <v>410</v>
      </c>
      <c r="N1086" s="83" t="s">
        <v>102</v>
      </c>
      <c r="P1086" s="83">
        <v>0</v>
      </c>
      <c r="U1086" s="83">
        <v>4</v>
      </c>
      <c r="V1086" s="83">
        <v>1</v>
      </c>
      <c r="W1086" s="83" t="s">
        <v>103</v>
      </c>
      <c r="X1086" s="83">
        <v>0</v>
      </c>
    </row>
    <row r="1087" spans="1:25" x14ac:dyDescent="0.2">
      <c r="A1087" s="83">
        <v>1</v>
      </c>
      <c r="B1087" s="84">
        <v>5701603310450</v>
      </c>
      <c r="C1087" s="83">
        <v>60</v>
      </c>
      <c r="D1087" s="84">
        <v>1010286</v>
      </c>
      <c r="F1087" s="83" t="s">
        <v>103</v>
      </c>
      <c r="G1087" s="83">
        <v>0</v>
      </c>
      <c r="H1087" s="83">
        <v>100</v>
      </c>
      <c r="K1087" s="83">
        <v>8</v>
      </c>
      <c r="L1087" s="83" t="s">
        <v>101</v>
      </c>
      <c r="M1087" s="83" t="s">
        <v>410</v>
      </c>
      <c r="N1087" s="83" t="s">
        <v>102</v>
      </c>
      <c r="P1087" s="83">
        <v>0</v>
      </c>
      <c r="U1087" s="83">
        <v>4</v>
      </c>
      <c r="V1087" s="83">
        <v>1</v>
      </c>
      <c r="W1087" s="83" t="s">
        <v>103</v>
      </c>
      <c r="X1087" s="83">
        <v>0</v>
      </c>
    </row>
    <row r="1088" spans="1:25" x14ac:dyDescent="0.2">
      <c r="A1088" s="83">
        <v>1</v>
      </c>
      <c r="B1088" s="84">
        <v>5701603310450</v>
      </c>
      <c r="C1088" s="83">
        <v>70</v>
      </c>
      <c r="D1088" s="84">
        <v>1010287</v>
      </c>
      <c r="F1088" s="83" t="s">
        <v>103</v>
      </c>
      <c r="G1088" s="83">
        <v>0</v>
      </c>
      <c r="H1088" s="83">
        <v>100</v>
      </c>
      <c r="K1088" s="83">
        <v>4</v>
      </c>
      <c r="L1088" s="83" t="s">
        <v>101</v>
      </c>
      <c r="M1088" s="83" t="s">
        <v>410</v>
      </c>
      <c r="N1088" s="83" t="s">
        <v>102</v>
      </c>
      <c r="P1088" s="83">
        <v>0</v>
      </c>
      <c r="U1088" s="83">
        <v>4</v>
      </c>
      <c r="V1088" s="83">
        <v>1</v>
      </c>
      <c r="W1088" s="83" t="s">
        <v>103</v>
      </c>
      <c r="X1088" s="83">
        <v>0</v>
      </c>
    </row>
    <row r="1089" spans="1:25" x14ac:dyDescent="0.2">
      <c r="A1089" s="83">
        <v>1</v>
      </c>
      <c r="B1089" s="84">
        <v>5701603310450</v>
      </c>
      <c r="C1089" s="83">
        <v>80</v>
      </c>
      <c r="D1089" s="84">
        <v>1020145</v>
      </c>
      <c r="F1089" s="83" t="s">
        <v>103</v>
      </c>
      <c r="G1089" s="83">
        <v>0</v>
      </c>
      <c r="H1089" s="83">
        <v>100</v>
      </c>
      <c r="K1089" s="83" t="s">
        <v>408</v>
      </c>
      <c r="L1089" s="83" t="s">
        <v>101</v>
      </c>
      <c r="M1089" s="83" t="s">
        <v>410</v>
      </c>
      <c r="N1089" s="83" t="s">
        <v>102</v>
      </c>
      <c r="P1089" s="83">
        <v>0</v>
      </c>
      <c r="U1089" s="83">
        <v>4</v>
      </c>
      <c r="V1089" s="83">
        <v>1</v>
      </c>
      <c r="W1089" s="83" t="s">
        <v>103</v>
      </c>
      <c r="X1089" s="83">
        <v>0</v>
      </c>
    </row>
    <row r="1090" spans="1:25" x14ac:dyDescent="0.2">
      <c r="A1090" s="83">
        <v>1</v>
      </c>
      <c r="B1090" s="84">
        <v>5701603310450</v>
      </c>
      <c r="C1090" s="83">
        <v>90</v>
      </c>
      <c r="D1090" s="84">
        <v>777500450</v>
      </c>
      <c r="F1090" s="83" t="s">
        <v>103</v>
      </c>
      <c r="G1090" s="83">
        <v>0</v>
      </c>
      <c r="H1090" s="83">
        <v>100</v>
      </c>
      <c r="K1090" s="83">
        <v>1</v>
      </c>
      <c r="L1090" s="83" t="s">
        <v>101</v>
      </c>
      <c r="M1090" s="83" t="s">
        <v>410</v>
      </c>
      <c r="N1090" s="83" t="s">
        <v>102</v>
      </c>
      <c r="P1090" s="83">
        <v>0</v>
      </c>
      <c r="U1090" s="83">
        <v>4</v>
      </c>
      <c r="V1090" s="83">
        <v>1</v>
      </c>
      <c r="W1090" s="83" t="s">
        <v>103</v>
      </c>
      <c r="X1090" s="83">
        <v>0</v>
      </c>
    </row>
    <row r="1091" spans="1:25" x14ac:dyDescent="0.2">
      <c r="A1091" s="83">
        <v>1</v>
      </c>
      <c r="B1091" s="84">
        <v>5701603300304</v>
      </c>
      <c r="C1091" s="83">
        <v>10</v>
      </c>
      <c r="D1091" s="84">
        <v>5980463399</v>
      </c>
      <c r="F1091" s="83" t="s">
        <v>103</v>
      </c>
      <c r="G1091" s="83">
        <v>0</v>
      </c>
      <c r="H1091" s="83">
        <v>100</v>
      </c>
      <c r="K1091" s="83">
        <v>1</v>
      </c>
      <c r="L1091" s="83" t="s">
        <v>101</v>
      </c>
      <c r="M1091" s="83" t="s">
        <v>410</v>
      </c>
      <c r="N1091" s="83" t="s">
        <v>102</v>
      </c>
      <c r="P1091" s="83">
        <v>0</v>
      </c>
      <c r="U1091" s="83">
        <v>4</v>
      </c>
      <c r="V1091" s="83">
        <v>1</v>
      </c>
      <c r="W1091" s="83" t="s">
        <v>103</v>
      </c>
      <c r="X1091" s="83">
        <v>0</v>
      </c>
      <c r="Y1091" s="83" t="str">
        <f>LEFT(D1091,6)</f>
        <v>598046</v>
      </c>
    </row>
    <row r="1092" spans="1:25" x14ac:dyDescent="0.2">
      <c r="A1092" s="83">
        <v>1</v>
      </c>
      <c r="B1092" s="84">
        <v>5701603300304</v>
      </c>
      <c r="C1092" s="83">
        <v>20</v>
      </c>
      <c r="D1092" s="84">
        <v>5980543399</v>
      </c>
      <c r="F1092" s="83" t="s">
        <v>103</v>
      </c>
      <c r="G1092" s="83">
        <v>0</v>
      </c>
      <c r="H1092" s="83">
        <v>100</v>
      </c>
      <c r="K1092" s="83">
        <v>1</v>
      </c>
      <c r="L1092" s="83" t="s">
        <v>101</v>
      </c>
      <c r="M1092" s="83" t="s">
        <v>410</v>
      </c>
      <c r="N1092" s="83" t="s">
        <v>102</v>
      </c>
      <c r="P1092" s="83">
        <v>0</v>
      </c>
      <c r="U1092" s="83">
        <v>4</v>
      </c>
      <c r="V1092" s="83">
        <v>1</v>
      </c>
      <c r="W1092" s="83" t="s">
        <v>103</v>
      </c>
      <c r="X1092" s="83">
        <v>0</v>
      </c>
    </row>
    <row r="1093" spans="1:25" x14ac:dyDescent="0.2">
      <c r="A1093" s="83">
        <v>1</v>
      </c>
      <c r="B1093" s="84">
        <v>5701603300304</v>
      </c>
      <c r="C1093" s="83">
        <v>30</v>
      </c>
      <c r="D1093" s="84">
        <v>5980623399</v>
      </c>
      <c r="F1093" s="83" t="s">
        <v>103</v>
      </c>
      <c r="G1093" s="83">
        <v>0</v>
      </c>
      <c r="H1093" s="83">
        <v>100</v>
      </c>
      <c r="K1093" s="83">
        <v>1</v>
      </c>
      <c r="L1093" s="83" t="s">
        <v>101</v>
      </c>
      <c r="M1093" s="83" t="s">
        <v>410</v>
      </c>
      <c r="N1093" s="83" t="s">
        <v>102</v>
      </c>
      <c r="P1093" s="83">
        <v>0</v>
      </c>
      <c r="U1093" s="83">
        <v>4</v>
      </c>
      <c r="V1093" s="83">
        <v>1</v>
      </c>
      <c r="W1093" s="83" t="s">
        <v>103</v>
      </c>
      <c r="X1093" s="83">
        <v>0</v>
      </c>
    </row>
    <row r="1094" spans="1:25" x14ac:dyDescent="0.2">
      <c r="A1094" s="83">
        <v>1</v>
      </c>
      <c r="B1094" s="84">
        <v>5701603300304</v>
      </c>
      <c r="C1094" s="83">
        <v>40</v>
      </c>
      <c r="D1094" s="84">
        <v>5980823399</v>
      </c>
      <c r="F1094" s="83" t="s">
        <v>103</v>
      </c>
      <c r="G1094" s="83">
        <v>0</v>
      </c>
      <c r="H1094" s="83">
        <v>100</v>
      </c>
      <c r="K1094" s="83">
        <v>1</v>
      </c>
      <c r="L1094" s="83" t="s">
        <v>101</v>
      </c>
      <c r="M1094" s="83" t="s">
        <v>410</v>
      </c>
      <c r="N1094" s="83" t="s">
        <v>102</v>
      </c>
      <c r="P1094" s="83">
        <v>0</v>
      </c>
      <c r="U1094" s="83">
        <v>4</v>
      </c>
      <c r="V1094" s="83">
        <v>1</v>
      </c>
      <c r="W1094" s="83" t="s">
        <v>103</v>
      </c>
      <c r="X1094" s="83">
        <v>0</v>
      </c>
    </row>
    <row r="1095" spans="1:25" x14ac:dyDescent="0.2">
      <c r="A1095" s="83">
        <v>1</v>
      </c>
      <c r="B1095" s="84">
        <v>5701603300304</v>
      </c>
      <c r="C1095" s="83">
        <v>50</v>
      </c>
      <c r="D1095" s="85">
        <v>1010277</v>
      </c>
      <c r="F1095" s="83" t="s">
        <v>103</v>
      </c>
      <c r="G1095" s="83">
        <v>0</v>
      </c>
      <c r="H1095" s="83">
        <v>100</v>
      </c>
      <c r="K1095" s="83">
        <v>1</v>
      </c>
      <c r="L1095" s="83" t="s">
        <v>101</v>
      </c>
      <c r="M1095" s="83" t="s">
        <v>410</v>
      </c>
      <c r="N1095" s="83" t="s">
        <v>102</v>
      </c>
      <c r="P1095" s="83">
        <v>0</v>
      </c>
      <c r="U1095" s="83">
        <v>4</v>
      </c>
      <c r="V1095" s="83">
        <v>1</v>
      </c>
      <c r="W1095" s="83" t="s">
        <v>103</v>
      </c>
      <c r="X1095" s="83">
        <v>0</v>
      </c>
    </row>
    <row r="1096" spans="1:25" x14ac:dyDescent="0.2">
      <c r="A1096" s="83">
        <v>1</v>
      </c>
      <c r="B1096" s="84">
        <v>5701603300304</v>
      </c>
      <c r="C1096" s="83">
        <v>60</v>
      </c>
      <c r="D1096" s="84">
        <v>1010286</v>
      </c>
      <c r="F1096" s="83" t="s">
        <v>103</v>
      </c>
      <c r="G1096" s="83">
        <v>0</v>
      </c>
      <c r="H1096" s="83">
        <v>100</v>
      </c>
      <c r="K1096" s="83">
        <v>8</v>
      </c>
      <c r="L1096" s="83" t="s">
        <v>101</v>
      </c>
      <c r="M1096" s="83" t="s">
        <v>410</v>
      </c>
      <c r="N1096" s="83" t="s">
        <v>102</v>
      </c>
      <c r="P1096" s="83">
        <v>0</v>
      </c>
      <c r="U1096" s="83">
        <v>4</v>
      </c>
      <c r="V1096" s="83">
        <v>1</v>
      </c>
      <c r="W1096" s="83" t="s">
        <v>103</v>
      </c>
      <c r="X1096" s="83">
        <v>0</v>
      </c>
    </row>
    <row r="1097" spans="1:25" x14ac:dyDescent="0.2">
      <c r="A1097" s="83">
        <v>1</v>
      </c>
      <c r="B1097" s="84">
        <v>5701603300304</v>
      </c>
      <c r="C1097" s="83">
        <v>70</v>
      </c>
      <c r="D1097" s="84">
        <v>1010287</v>
      </c>
      <c r="F1097" s="83" t="s">
        <v>103</v>
      </c>
      <c r="G1097" s="83">
        <v>0</v>
      </c>
      <c r="H1097" s="83">
        <v>100</v>
      </c>
      <c r="K1097" s="83">
        <v>4</v>
      </c>
      <c r="L1097" s="83" t="s">
        <v>101</v>
      </c>
      <c r="M1097" s="83" t="s">
        <v>410</v>
      </c>
      <c r="N1097" s="83" t="s">
        <v>102</v>
      </c>
      <c r="P1097" s="83">
        <v>0</v>
      </c>
      <c r="U1097" s="83">
        <v>4</v>
      </c>
      <c r="V1097" s="83">
        <v>1</v>
      </c>
      <c r="W1097" s="83" t="s">
        <v>103</v>
      </c>
      <c r="X1097" s="83">
        <v>0</v>
      </c>
    </row>
    <row r="1098" spans="1:25" x14ac:dyDescent="0.2">
      <c r="A1098" s="83">
        <v>1</v>
      </c>
      <c r="B1098" s="84">
        <v>5701603300304</v>
      </c>
      <c r="C1098" s="83">
        <v>80</v>
      </c>
      <c r="D1098" s="84">
        <v>1020145</v>
      </c>
      <c r="F1098" s="83" t="s">
        <v>103</v>
      </c>
      <c r="G1098" s="83">
        <v>0</v>
      </c>
      <c r="H1098" s="83">
        <v>100</v>
      </c>
      <c r="K1098" s="83" t="s">
        <v>408</v>
      </c>
      <c r="L1098" s="83" t="s">
        <v>101</v>
      </c>
      <c r="M1098" s="83" t="s">
        <v>410</v>
      </c>
      <c r="N1098" s="83" t="s">
        <v>102</v>
      </c>
      <c r="P1098" s="83">
        <v>0</v>
      </c>
      <c r="U1098" s="83">
        <v>4</v>
      </c>
      <c r="V1098" s="83">
        <v>1</v>
      </c>
      <c r="W1098" s="83" t="s">
        <v>103</v>
      </c>
      <c r="X1098" s="83">
        <v>0</v>
      </c>
    </row>
    <row r="1099" spans="1:25" x14ac:dyDescent="0.2">
      <c r="A1099" s="83">
        <v>1</v>
      </c>
      <c r="B1099" s="84">
        <v>5701603300304</v>
      </c>
      <c r="C1099" s="83">
        <v>90</v>
      </c>
      <c r="D1099" s="84">
        <v>777500304</v>
      </c>
      <c r="F1099" s="83" t="s">
        <v>103</v>
      </c>
      <c r="G1099" s="83">
        <v>0</v>
      </c>
      <c r="H1099" s="83">
        <v>100</v>
      </c>
      <c r="K1099" s="83">
        <v>1</v>
      </c>
      <c r="L1099" s="83" t="s">
        <v>101</v>
      </c>
      <c r="M1099" s="83" t="s">
        <v>410</v>
      </c>
      <c r="N1099" s="83" t="s">
        <v>102</v>
      </c>
      <c r="P1099" s="83">
        <v>0</v>
      </c>
      <c r="U1099" s="83">
        <v>4</v>
      </c>
      <c r="V1099" s="83">
        <v>1</v>
      </c>
      <c r="W1099" s="83" t="s">
        <v>103</v>
      </c>
      <c r="X1099" s="83">
        <v>0</v>
      </c>
    </row>
    <row r="1100" spans="1:25" x14ac:dyDescent="0.2">
      <c r="A1100" s="83">
        <v>1</v>
      </c>
      <c r="B1100" s="84">
        <v>5701603301304</v>
      </c>
      <c r="C1100" s="83">
        <v>10</v>
      </c>
      <c r="D1100" s="84">
        <v>5980463301</v>
      </c>
      <c r="F1100" s="83" t="s">
        <v>103</v>
      </c>
      <c r="G1100" s="83">
        <v>0</v>
      </c>
      <c r="H1100" s="83">
        <v>100</v>
      </c>
      <c r="K1100" s="83">
        <v>1</v>
      </c>
      <c r="L1100" s="83" t="s">
        <v>101</v>
      </c>
      <c r="M1100" s="83" t="s">
        <v>410</v>
      </c>
      <c r="N1100" s="83" t="s">
        <v>102</v>
      </c>
      <c r="P1100" s="83">
        <v>0</v>
      </c>
      <c r="U1100" s="83">
        <v>4</v>
      </c>
      <c r="V1100" s="83">
        <v>1</v>
      </c>
      <c r="W1100" s="83" t="s">
        <v>103</v>
      </c>
      <c r="X1100" s="83">
        <v>0</v>
      </c>
      <c r="Y1100" s="83" t="str">
        <f>LEFT(D1100,6)</f>
        <v>598046</v>
      </c>
    </row>
    <row r="1101" spans="1:25" x14ac:dyDescent="0.2">
      <c r="A1101" s="83">
        <v>1</v>
      </c>
      <c r="B1101" s="84">
        <v>5701603301304</v>
      </c>
      <c r="C1101" s="83">
        <v>20</v>
      </c>
      <c r="D1101" s="84">
        <v>5980543301</v>
      </c>
      <c r="F1101" s="83" t="s">
        <v>103</v>
      </c>
      <c r="G1101" s="83">
        <v>0</v>
      </c>
      <c r="H1101" s="83">
        <v>100</v>
      </c>
      <c r="K1101" s="83">
        <v>1</v>
      </c>
      <c r="L1101" s="83" t="s">
        <v>101</v>
      </c>
      <c r="M1101" s="83" t="s">
        <v>410</v>
      </c>
      <c r="N1101" s="83" t="s">
        <v>102</v>
      </c>
      <c r="P1101" s="83">
        <v>0</v>
      </c>
      <c r="U1101" s="83">
        <v>4</v>
      </c>
      <c r="V1101" s="83">
        <v>1</v>
      </c>
      <c r="W1101" s="83" t="s">
        <v>103</v>
      </c>
      <c r="X1101" s="83">
        <v>0</v>
      </c>
    </row>
    <row r="1102" spans="1:25" x14ac:dyDescent="0.2">
      <c r="A1102" s="83">
        <v>1</v>
      </c>
      <c r="B1102" s="84">
        <v>5701603301304</v>
      </c>
      <c r="C1102" s="83">
        <v>30</v>
      </c>
      <c r="D1102" s="84">
        <v>5980623301</v>
      </c>
      <c r="F1102" s="83" t="s">
        <v>103</v>
      </c>
      <c r="G1102" s="83">
        <v>0</v>
      </c>
      <c r="H1102" s="83">
        <v>100</v>
      </c>
      <c r="K1102" s="83">
        <v>1</v>
      </c>
      <c r="L1102" s="83" t="s">
        <v>101</v>
      </c>
      <c r="M1102" s="83" t="s">
        <v>410</v>
      </c>
      <c r="N1102" s="83" t="s">
        <v>102</v>
      </c>
      <c r="P1102" s="83">
        <v>0</v>
      </c>
      <c r="U1102" s="83">
        <v>4</v>
      </c>
      <c r="V1102" s="83">
        <v>1</v>
      </c>
      <c r="W1102" s="83" t="s">
        <v>103</v>
      </c>
      <c r="X1102" s="83">
        <v>0</v>
      </c>
    </row>
    <row r="1103" spans="1:25" x14ac:dyDescent="0.2">
      <c r="A1103" s="83">
        <v>1</v>
      </c>
      <c r="B1103" s="84">
        <v>5701603301304</v>
      </c>
      <c r="C1103" s="83">
        <v>40</v>
      </c>
      <c r="D1103" s="84">
        <v>5980823301</v>
      </c>
      <c r="F1103" s="83" t="s">
        <v>103</v>
      </c>
      <c r="G1103" s="83">
        <v>0</v>
      </c>
      <c r="H1103" s="83">
        <v>100</v>
      </c>
      <c r="K1103" s="83">
        <v>1</v>
      </c>
      <c r="L1103" s="83" t="s">
        <v>101</v>
      </c>
      <c r="M1103" s="83" t="s">
        <v>410</v>
      </c>
      <c r="N1103" s="83" t="s">
        <v>102</v>
      </c>
      <c r="P1103" s="83">
        <v>0</v>
      </c>
      <c r="U1103" s="83">
        <v>4</v>
      </c>
      <c r="V1103" s="83">
        <v>1</v>
      </c>
      <c r="W1103" s="83" t="s">
        <v>103</v>
      </c>
      <c r="X1103" s="83">
        <v>0</v>
      </c>
    </row>
    <row r="1104" spans="1:25" x14ac:dyDescent="0.2">
      <c r="A1104" s="83">
        <v>1</v>
      </c>
      <c r="B1104" s="84">
        <v>5701603301304</v>
      </c>
      <c r="C1104" s="83">
        <v>50</v>
      </c>
      <c r="D1104" s="84">
        <v>5980933301</v>
      </c>
      <c r="F1104" s="83" t="s">
        <v>103</v>
      </c>
      <c r="G1104" s="83">
        <v>0</v>
      </c>
      <c r="H1104" s="83">
        <v>100</v>
      </c>
      <c r="K1104" s="83">
        <v>1</v>
      </c>
      <c r="L1104" s="83" t="s">
        <v>101</v>
      </c>
      <c r="M1104" s="83" t="s">
        <v>410</v>
      </c>
      <c r="N1104" s="83" t="s">
        <v>102</v>
      </c>
      <c r="P1104" s="83">
        <v>0</v>
      </c>
      <c r="U1104" s="83">
        <v>4</v>
      </c>
      <c r="V1104" s="83">
        <v>1</v>
      </c>
      <c r="W1104" s="83" t="s">
        <v>103</v>
      </c>
      <c r="X1104" s="83">
        <v>0</v>
      </c>
    </row>
    <row r="1105" spans="1:25" x14ac:dyDescent="0.2">
      <c r="A1105" s="83">
        <v>1</v>
      </c>
      <c r="B1105" s="84">
        <v>5701603301304</v>
      </c>
      <c r="C1105" s="83">
        <v>60</v>
      </c>
      <c r="D1105" s="84">
        <v>1010286</v>
      </c>
      <c r="F1105" s="83" t="s">
        <v>103</v>
      </c>
      <c r="G1105" s="83">
        <v>0</v>
      </c>
      <c r="H1105" s="83">
        <v>100</v>
      </c>
      <c r="K1105" s="83">
        <v>8</v>
      </c>
      <c r="L1105" s="83" t="s">
        <v>101</v>
      </c>
      <c r="M1105" s="83" t="s">
        <v>410</v>
      </c>
      <c r="N1105" s="83" t="s">
        <v>102</v>
      </c>
      <c r="P1105" s="83">
        <v>0</v>
      </c>
      <c r="U1105" s="83">
        <v>4</v>
      </c>
      <c r="V1105" s="83">
        <v>1</v>
      </c>
      <c r="W1105" s="83" t="s">
        <v>103</v>
      </c>
      <c r="X1105" s="83">
        <v>0</v>
      </c>
    </row>
    <row r="1106" spans="1:25" x14ac:dyDescent="0.2">
      <c r="A1106" s="83">
        <v>1</v>
      </c>
      <c r="B1106" s="84">
        <v>5701603301304</v>
      </c>
      <c r="C1106" s="83">
        <v>70</v>
      </c>
      <c r="D1106" s="84">
        <v>1010287</v>
      </c>
      <c r="F1106" s="83" t="s">
        <v>103</v>
      </c>
      <c r="G1106" s="83">
        <v>0</v>
      </c>
      <c r="H1106" s="83">
        <v>100</v>
      </c>
      <c r="K1106" s="83">
        <v>4</v>
      </c>
      <c r="L1106" s="83" t="s">
        <v>101</v>
      </c>
      <c r="M1106" s="83" t="s">
        <v>410</v>
      </c>
      <c r="N1106" s="83" t="s">
        <v>102</v>
      </c>
      <c r="P1106" s="83">
        <v>0</v>
      </c>
      <c r="U1106" s="83">
        <v>4</v>
      </c>
      <c r="V1106" s="83">
        <v>1</v>
      </c>
      <c r="W1106" s="83" t="s">
        <v>103</v>
      </c>
      <c r="X1106" s="83">
        <v>0</v>
      </c>
    </row>
    <row r="1107" spans="1:25" x14ac:dyDescent="0.2">
      <c r="A1107" s="83">
        <v>1</v>
      </c>
      <c r="B1107" s="84">
        <v>5701603301304</v>
      </c>
      <c r="C1107" s="83">
        <v>80</v>
      </c>
      <c r="D1107" s="84">
        <v>1020145</v>
      </c>
      <c r="F1107" s="83" t="s">
        <v>103</v>
      </c>
      <c r="G1107" s="83">
        <v>0</v>
      </c>
      <c r="H1107" s="83">
        <v>100</v>
      </c>
      <c r="K1107" s="83" t="s">
        <v>408</v>
      </c>
      <c r="L1107" s="83" t="s">
        <v>101</v>
      </c>
      <c r="M1107" s="83" t="s">
        <v>410</v>
      </c>
      <c r="N1107" s="83" t="s">
        <v>102</v>
      </c>
      <c r="P1107" s="83">
        <v>0</v>
      </c>
      <c r="U1107" s="83">
        <v>4</v>
      </c>
      <c r="V1107" s="83">
        <v>1</v>
      </c>
      <c r="W1107" s="83" t="s">
        <v>103</v>
      </c>
      <c r="X1107" s="83">
        <v>0</v>
      </c>
    </row>
    <row r="1108" spans="1:25" x14ac:dyDescent="0.2">
      <c r="A1108" s="83">
        <v>1</v>
      </c>
      <c r="B1108" s="84">
        <v>5701603301304</v>
      </c>
      <c r="C1108" s="83">
        <v>90</v>
      </c>
      <c r="D1108" s="84">
        <v>777500304</v>
      </c>
      <c r="F1108" s="83" t="s">
        <v>103</v>
      </c>
      <c r="G1108" s="83">
        <v>0</v>
      </c>
      <c r="H1108" s="83">
        <v>100</v>
      </c>
      <c r="K1108" s="83">
        <v>1</v>
      </c>
      <c r="L1108" s="83" t="s">
        <v>101</v>
      </c>
      <c r="M1108" s="83" t="s">
        <v>410</v>
      </c>
      <c r="N1108" s="83" t="s">
        <v>102</v>
      </c>
      <c r="P1108" s="83">
        <v>0</v>
      </c>
      <c r="U1108" s="83">
        <v>4</v>
      </c>
      <c r="V1108" s="83">
        <v>1</v>
      </c>
      <c r="W1108" s="83" t="s">
        <v>103</v>
      </c>
      <c r="X1108" s="83">
        <v>0</v>
      </c>
    </row>
    <row r="1109" spans="1:25" x14ac:dyDescent="0.2">
      <c r="A1109" s="83">
        <v>1</v>
      </c>
      <c r="B1109" s="84">
        <v>5701603302304</v>
      </c>
      <c r="C1109" s="83">
        <v>10</v>
      </c>
      <c r="D1109" s="84">
        <v>5980463302</v>
      </c>
      <c r="F1109" s="83" t="s">
        <v>103</v>
      </c>
      <c r="G1109" s="83">
        <v>0</v>
      </c>
      <c r="H1109" s="83">
        <v>100</v>
      </c>
      <c r="K1109" s="83">
        <v>1</v>
      </c>
      <c r="L1109" s="83" t="s">
        <v>101</v>
      </c>
      <c r="M1109" s="83" t="s">
        <v>410</v>
      </c>
      <c r="N1109" s="83" t="s">
        <v>102</v>
      </c>
      <c r="P1109" s="83">
        <v>0</v>
      </c>
      <c r="U1109" s="83">
        <v>4</v>
      </c>
      <c r="V1109" s="83">
        <v>1</v>
      </c>
      <c r="W1109" s="83" t="s">
        <v>103</v>
      </c>
      <c r="X1109" s="83">
        <v>0</v>
      </c>
      <c r="Y1109" s="83" t="str">
        <f>LEFT(D1109,6)</f>
        <v>598046</v>
      </c>
    </row>
    <row r="1110" spans="1:25" x14ac:dyDescent="0.2">
      <c r="A1110" s="83">
        <v>1</v>
      </c>
      <c r="B1110" s="84">
        <v>5701603302304</v>
      </c>
      <c r="C1110" s="83">
        <v>20</v>
      </c>
      <c r="D1110" s="85">
        <v>5980543302</v>
      </c>
      <c r="F1110" s="83" t="s">
        <v>103</v>
      </c>
      <c r="G1110" s="83">
        <v>0</v>
      </c>
      <c r="H1110" s="83">
        <v>100</v>
      </c>
      <c r="K1110" s="83">
        <v>1</v>
      </c>
      <c r="L1110" s="83" t="s">
        <v>101</v>
      </c>
      <c r="M1110" s="83" t="s">
        <v>410</v>
      </c>
      <c r="N1110" s="83" t="s">
        <v>102</v>
      </c>
      <c r="P1110" s="83">
        <v>0</v>
      </c>
      <c r="U1110" s="83">
        <v>4</v>
      </c>
      <c r="V1110" s="83">
        <v>1</v>
      </c>
      <c r="W1110" s="83" t="s">
        <v>103</v>
      </c>
      <c r="X1110" s="83">
        <v>0</v>
      </c>
    </row>
    <row r="1111" spans="1:25" x14ac:dyDescent="0.2">
      <c r="A1111" s="83">
        <v>1</v>
      </c>
      <c r="B1111" s="84">
        <v>5701603302304</v>
      </c>
      <c r="C1111" s="83">
        <v>30</v>
      </c>
      <c r="D1111" s="84">
        <v>5980623302</v>
      </c>
      <c r="F1111" s="83" t="s">
        <v>103</v>
      </c>
      <c r="G1111" s="83">
        <v>0</v>
      </c>
      <c r="H1111" s="83">
        <v>100</v>
      </c>
      <c r="K1111" s="83">
        <v>1</v>
      </c>
      <c r="L1111" s="83" t="s">
        <v>101</v>
      </c>
      <c r="M1111" s="83" t="s">
        <v>410</v>
      </c>
      <c r="N1111" s="83" t="s">
        <v>102</v>
      </c>
      <c r="P1111" s="83">
        <v>0</v>
      </c>
      <c r="U1111" s="83">
        <v>4</v>
      </c>
      <c r="V1111" s="83">
        <v>1</v>
      </c>
      <c r="W1111" s="83" t="s">
        <v>103</v>
      </c>
      <c r="X1111" s="83">
        <v>0</v>
      </c>
    </row>
    <row r="1112" spans="1:25" x14ac:dyDescent="0.2">
      <c r="A1112" s="83">
        <v>1</v>
      </c>
      <c r="B1112" s="84">
        <v>5701603302304</v>
      </c>
      <c r="C1112" s="83">
        <v>40</v>
      </c>
      <c r="D1112" s="84">
        <v>5980823302</v>
      </c>
      <c r="F1112" s="83" t="s">
        <v>103</v>
      </c>
      <c r="G1112" s="83">
        <v>0</v>
      </c>
      <c r="H1112" s="83">
        <v>100</v>
      </c>
      <c r="K1112" s="83">
        <v>1</v>
      </c>
      <c r="L1112" s="83" t="s">
        <v>101</v>
      </c>
      <c r="M1112" s="83" t="s">
        <v>410</v>
      </c>
      <c r="N1112" s="83" t="s">
        <v>102</v>
      </c>
      <c r="P1112" s="83">
        <v>0</v>
      </c>
      <c r="U1112" s="83">
        <v>4</v>
      </c>
      <c r="V1112" s="83">
        <v>1</v>
      </c>
      <c r="W1112" s="83" t="s">
        <v>103</v>
      </c>
      <c r="X1112" s="83">
        <v>0</v>
      </c>
    </row>
    <row r="1113" spans="1:25" x14ac:dyDescent="0.2">
      <c r="A1113" s="83">
        <v>1</v>
      </c>
      <c r="B1113" s="84">
        <v>5701603302304</v>
      </c>
      <c r="C1113" s="83">
        <v>50</v>
      </c>
      <c r="D1113" s="84">
        <v>5980933302</v>
      </c>
      <c r="F1113" s="83" t="s">
        <v>103</v>
      </c>
      <c r="G1113" s="83">
        <v>0</v>
      </c>
      <c r="H1113" s="83">
        <v>100</v>
      </c>
      <c r="K1113" s="83">
        <v>1</v>
      </c>
      <c r="L1113" s="83" t="s">
        <v>101</v>
      </c>
      <c r="M1113" s="83" t="s">
        <v>410</v>
      </c>
      <c r="N1113" s="83" t="s">
        <v>102</v>
      </c>
      <c r="P1113" s="83">
        <v>0</v>
      </c>
      <c r="U1113" s="83">
        <v>4</v>
      </c>
      <c r="V1113" s="83">
        <v>1</v>
      </c>
      <c r="W1113" s="83" t="s">
        <v>103</v>
      </c>
      <c r="X1113" s="83">
        <v>0</v>
      </c>
    </row>
    <row r="1114" spans="1:25" x14ac:dyDescent="0.2">
      <c r="A1114" s="83">
        <v>1</v>
      </c>
      <c r="B1114" s="84">
        <v>5701603302304</v>
      </c>
      <c r="C1114" s="83">
        <v>60</v>
      </c>
      <c r="D1114" s="84">
        <v>1010286</v>
      </c>
      <c r="F1114" s="83" t="s">
        <v>103</v>
      </c>
      <c r="G1114" s="83">
        <v>0</v>
      </c>
      <c r="H1114" s="83">
        <v>100</v>
      </c>
      <c r="K1114" s="83">
        <v>8</v>
      </c>
      <c r="L1114" s="83" t="s">
        <v>101</v>
      </c>
      <c r="M1114" s="83" t="s">
        <v>410</v>
      </c>
      <c r="N1114" s="83" t="s">
        <v>102</v>
      </c>
      <c r="P1114" s="83">
        <v>0</v>
      </c>
      <c r="U1114" s="83">
        <v>4</v>
      </c>
      <c r="V1114" s="83">
        <v>1</v>
      </c>
      <c r="W1114" s="83" t="s">
        <v>103</v>
      </c>
      <c r="X1114" s="83">
        <v>0</v>
      </c>
    </row>
    <row r="1115" spans="1:25" x14ac:dyDescent="0.2">
      <c r="A1115" s="83">
        <v>1</v>
      </c>
      <c r="B1115" s="84">
        <v>5701603302304</v>
      </c>
      <c r="C1115" s="83">
        <v>70</v>
      </c>
      <c r="D1115" s="84">
        <v>1010288</v>
      </c>
      <c r="F1115" s="83" t="s">
        <v>103</v>
      </c>
      <c r="G1115" s="83">
        <v>0</v>
      </c>
      <c r="H1115" s="83">
        <v>100</v>
      </c>
      <c r="K1115" s="83">
        <v>4</v>
      </c>
      <c r="L1115" s="83" t="s">
        <v>101</v>
      </c>
      <c r="M1115" s="83" t="s">
        <v>410</v>
      </c>
      <c r="N1115" s="83" t="s">
        <v>102</v>
      </c>
      <c r="P1115" s="83">
        <v>0</v>
      </c>
      <c r="U1115" s="83">
        <v>4</v>
      </c>
      <c r="V1115" s="83">
        <v>1</v>
      </c>
      <c r="W1115" s="83" t="s">
        <v>103</v>
      </c>
      <c r="X1115" s="83">
        <v>0</v>
      </c>
    </row>
    <row r="1116" spans="1:25" x14ac:dyDescent="0.2">
      <c r="A1116" s="83">
        <v>1</v>
      </c>
      <c r="B1116" s="84">
        <v>5701603302304</v>
      </c>
      <c r="C1116" s="83">
        <v>80</v>
      </c>
      <c r="D1116" s="84">
        <v>1020145</v>
      </c>
      <c r="F1116" s="83" t="s">
        <v>103</v>
      </c>
      <c r="G1116" s="83">
        <v>0</v>
      </c>
      <c r="H1116" s="83">
        <v>100</v>
      </c>
      <c r="K1116" s="83" t="s">
        <v>408</v>
      </c>
      <c r="L1116" s="83" t="s">
        <v>101</v>
      </c>
      <c r="M1116" s="83" t="s">
        <v>410</v>
      </c>
      <c r="N1116" s="83" t="s">
        <v>102</v>
      </c>
      <c r="P1116" s="83">
        <v>0</v>
      </c>
      <c r="U1116" s="83">
        <v>4</v>
      </c>
      <c r="V1116" s="83">
        <v>1</v>
      </c>
      <c r="W1116" s="83" t="s">
        <v>103</v>
      </c>
      <c r="X1116" s="83">
        <v>0</v>
      </c>
    </row>
    <row r="1117" spans="1:25" x14ac:dyDescent="0.2">
      <c r="A1117" s="83">
        <v>1</v>
      </c>
      <c r="B1117" s="84">
        <v>5701603302304</v>
      </c>
      <c r="C1117" s="83">
        <v>90</v>
      </c>
      <c r="D1117" s="84">
        <v>777500304</v>
      </c>
      <c r="F1117" s="83" t="s">
        <v>103</v>
      </c>
      <c r="G1117" s="83">
        <v>0</v>
      </c>
      <c r="H1117" s="83">
        <v>100</v>
      </c>
      <c r="K1117" s="83">
        <v>1</v>
      </c>
      <c r="L1117" s="83" t="s">
        <v>101</v>
      </c>
      <c r="M1117" s="83" t="s">
        <v>410</v>
      </c>
      <c r="N1117" s="83" t="s">
        <v>102</v>
      </c>
      <c r="P1117" s="83">
        <v>0</v>
      </c>
      <c r="U1117" s="83">
        <v>4</v>
      </c>
      <c r="V1117" s="83">
        <v>1</v>
      </c>
      <c r="W1117" s="83" t="s">
        <v>103</v>
      </c>
      <c r="X1117" s="83">
        <v>0</v>
      </c>
    </row>
    <row r="1118" spans="1:25" x14ac:dyDescent="0.2">
      <c r="A1118" s="83">
        <v>1</v>
      </c>
      <c r="B1118" s="84">
        <v>5701603303304</v>
      </c>
      <c r="C1118" s="83">
        <v>10</v>
      </c>
      <c r="D1118" s="84">
        <v>5980463303</v>
      </c>
      <c r="F1118" s="83" t="s">
        <v>103</v>
      </c>
      <c r="G1118" s="83">
        <v>0</v>
      </c>
      <c r="H1118" s="83">
        <v>100</v>
      </c>
      <c r="K1118" s="83">
        <v>1</v>
      </c>
      <c r="L1118" s="83" t="s">
        <v>101</v>
      </c>
      <c r="M1118" s="83" t="s">
        <v>410</v>
      </c>
      <c r="N1118" s="83" t="s">
        <v>102</v>
      </c>
      <c r="P1118" s="83">
        <v>0</v>
      </c>
      <c r="U1118" s="83">
        <v>4</v>
      </c>
      <c r="V1118" s="83">
        <v>1</v>
      </c>
      <c r="W1118" s="83" t="s">
        <v>103</v>
      </c>
      <c r="X1118" s="83">
        <v>0</v>
      </c>
      <c r="Y1118" s="83" t="str">
        <f>LEFT(D1118,6)</f>
        <v>598046</v>
      </c>
    </row>
    <row r="1119" spans="1:25" x14ac:dyDescent="0.2">
      <c r="A1119" s="83">
        <v>1</v>
      </c>
      <c r="B1119" s="84">
        <v>5701603303304</v>
      </c>
      <c r="C1119" s="83">
        <v>20</v>
      </c>
      <c r="D1119" s="84">
        <v>5980543303</v>
      </c>
      <c r="F1119" s="83" t="s">
        <v>103</v>
      </c>
      <c r="G1119" s="83">
        <v>0</v>
      </c>
      <c r="H1119" s="83">
        <v>100</v>
      </c>
      <c r="K1119" s="83">
        <v>1</v>
      </c>
      <c r="L1119" s="83" t="s">
        <v>101</v>
      </c>
      <c r="M1119" s="83" t="s">
        <v>410</v>
      </c>
      <c r="N1119" s="83" t="s">
        <v>102</v>
      </c>
      <c r="P1119" s="83">
        <v>0</v>
      </c>
      <c r="U1119" s="83">
        <v>4</v>
      </c>
      <c r="V1119" s="83">
        <v>1</v>
      </c>
      <c r="W1119" s="83" t="s">
        <v>103</v>
      </c>
      <c r="X1119" s="83">
        <v>0</v>
      </c>
    </row>
    <row r="1120" spans="1:25" x14ac:dyDescent="0.2">
      <c r="A1120" s="83">
        <v>1</v>
      </c>
      <c r="B1120" s="84">
        <v>5701603303304</v>
      </c>
      <c r="C1120" s="83">
        <v>30</v>
      </c>
      <c r="D1120" s="84">
        <v>5980623303</v>
      </c>
      <c r="F1120" s="83" t="s">
        <v>103</v>
      </c>
      <c r="G1120" s="83">
        <v>0</v>
      </c>
      <c r="H1120" s="83">
        <v>100</v>
      </c>
      <c r="K1120" s="83">
        <v>1</v>
      </c>
      <c r="L1120" s="83" t="s">
        <v>101</v>
      </c>
      <c r="M1120" s="83" t="s">
        <v>410</v>
      </c>
      <c r="N1120" s="83" t="s">
        <v>102</v>
      </c>
      <c r="P1120" s="83">
        <v>0</v>
      </c>
      <c r="U1120" s="83">
        <v>4</v>
      </c>
      <c r="V1120" s="83">
        <v>1</v>
      </c>
      <c r="W1120" s="83" t="s">
        <v>103</v>
      </c>
      <c r="X1120" s="83">
        <v>0</v>
      </c>
    </row>
    <row r="1121" spans="1:25" x14ac:dyDescent="0.2">
      <c r="A1121" s="83">
        <v>1</v>
      </c>
      <c r="B1121" s="84">
        <v>5701603303304</v>
      </c>
      <c r="C1121" s="83">
        <v>40</v>
      </c>
      <c r="D1121" s="84">
        <v>5980823303</v>
      </c>
      <c r="F1121" s="83" t="s">
        <v>103</v>
      </c>
      <c r="G1121" s="83">
        <v>0</v>
      </c>
      <c r="H1121" s="83">
        <v>100</v>
      </c>
      <c r="K1121" s="83">
        <v>1</v>
      </c>
      <c r="L1121" s="83" t="s">
        <v>101</v>
      </c>
      <c r="M1121" s="83" t="s">
        <v>410</v>
      </c>
      <c r="N1121" s="83" t="s">
        <v>102</v>
      </c>
      <c r="P1121" s="83">
        <v>0</v>
      </c>
      <c r="U1121" s="83">
        <v>4</v>
      </c>
      <c r="V1121" s="83">
        <v>1</v>
      </c>
      <c r="W1121" s="83" t="s">
        <v>103</v>
      </c>
      <c r="X1121" s="83">
        <v>0</v>
      </c>
    </row>
    <row r="1122" spans="1:25" x14ac:dyDescent="0.2">
      <c r="A1122" s="83">
        <v>1</v>
      </c>
      <c r="B1122" s="84">
        <v>5701603303304</v>
      </c>
      <c r="C1122" s="83">
        <v>50</v>
      </c>
      <c r="D1122" s="84">
        <v>5980933303</v>
      </c>
      <c r="F1122" s="83" t="s">
        <v>103</v>
      </c>
      <c r="G1122" s="83">
        <v>0</v>
      </c>
      <c r="H1122" s="83">
        <v>100</v>
      </c>
      <c r="K1122" s="83">
        <v>1</v>
      </c>
      <c r="L1122" s="83" t="s">
        <v>101</v>
      </c>
      <c r="M1122" s="83" t="s">
        <v>410</v>
      </c>
      <c r="N1122" s="83" t="s">
        <v>102</v>
      </c>
      <c r="P1122" s="83">
        <v>0</v>
      </c>
      <c r="U1122" s="83">
        <v>4</v>
      </c>
      <c r="V1122" s="83">
        <v>1</v>
      </c>
      <c r="W1122" s="83" t="s">
        <v>103</v>
      </c>
      <c r="X1122" s="83">
        <v>0</v>
      </c>
    </row>
    <row r="1123" spans="1:25" x14ac:dyDescent="0.2">
      <c r="A1123" s="83">
        <v>1</v>
      </c>
      <c r="B1123" s="84">
        <v>5701603303304</v>
      </c>
      <c r="C1123" s="83">
        <v>60</v>
      </c>
      <c r="D1123" s="84">
        <v>1010286</v>
      </c>
      <c r="F1123" s="83" t="s">
        <v>103</v>
      </c>
      <c r="G1123" s="83">
        <v>0</v>
      </c>
      <c r="H1123" s="83">
        <v>100</v>
      </c>
      <c r="K1123" s="83">
        <v>8</v>
      </c>
      <c r="L1123" s="83" t="s">
        <v>101</v>
      </c>
      <c r="M1123" s="83" t="s">
        <v>410</v>
      </c>
      <c r="N1123" s="83" t="s">
        <v>102</v>
      </c>
      <c r="P1123" s="83">
        <v>0</v>
      </c>
      <c r="U1123" s="83">
        <v>4</v>
      </c>
      <c r="V1123" s="83">
        <v>1</v>
      </c>
      <c r="W1123" s="83" t="s">
        <v>103</v>
      </c>
      <c r="X1123" s="83">
        <v>0</v>
      </c>
    </row>
    <row r="1124" spans="1:25" x14ac:dyDescent="0.2">
      <c r="A1124" s="83">
        <v>1</v>
      </c>
      <c r="B1124" s="84">
        <v>5701603303304</v>
      </c>
      <c r="C1124" s="83">
        <v>70</v>
      </c>
      <c r="D1124" s="84">
        <v>1010287</v>
      </c>
      <c r="F1124" s="83" t="s">
        <v>103</v>
      </c>
      <c r="G1124" s="83">
        <v>0</v>
      </c>
      <c r="H1124" s="83">
        <v>100</v>
      </c>
      <c r="K1124" s="83">
        <v>4</v>
      </c>
      <c r="L1124" s="83" t="s">
        <v>101</v>
      </c>
      <c r="M1124" s="83" t="s">
        <v>410</v>
      </c>
      <c r="N1124" s="83" t="s">
        <v>102</v>
      </c>
      <c r="P1124" s="83">
        <v>0</v>
      </c>
      <c r="U1124" s="83">
        <v>4</v>
      </c>
      <c r="V1124" s="83">
        <v>1</v>
      </c>
      <c r="W1124" s="83" t="s">
        <v>103</v>
      </c>
      <c r="X1124" s="83">
        <v>0</v>
      </c>
    </row>
    <row r="1125" spans="1:25" x14ac:dyDescent="0.2">
      <c r="A1125" s="83">
        <v>1</v>
      </c>
      <c r="B1125" s="84">
        <v>5701603303304</v>
      </c>
      <c r="C1125" s="83">
        <v>80</v>
      </c>
      <c r="D1125" s="84">
        <v>1020145</v>
      </c>
      <c r="F1125" s="83" t="s">
        <v>103</v>
      </c>
      <c r="G1125" s="83">
        <v>0</v>
      </c>
      <c r="H1125" s="83">
        <v>100</v>
      </c>
      <c r="K1125" s="83" t="s">
        <v>408</v>
      </c>
      <c r="L1125" s="83" t="s">
        <v>101</v>
      </c>
      <c r="M1125" s="83" t="s">
        <v>410</v>
      </c>
      <c r="N1125" s="83" t="s">
        <v>102</v>
      </c>
      <c r="P1125" s="83">
        <v>0</v>
      </c>
      <c r="U1125" s="83">
        <v>4</v>
      </c>
      <c r="V1125" s="83">
        <v>1</v>
      </c>
      <c r="W1125" s="83" t="s">
        <v>103</v>
      </c>
      <c r="X1125" s="83">
        <v>0</v>
      </c>
    </row>
    <row r="1126" spans="1:25" x14ac:dyDescent="0.2">
      <c r="A1126" s="83">
        <v>1</v>
      </c>
      <c r="B1126" s="84">
        <v>5701603303304</v>
      </c>
      <c r="C1126" s="83">
        <v>90</v>
      </c>
      <c r="D1126" s="84">
        <v>777500304</v>
      </c>
      <c r="F1126" s="83" t="s">
        <v>103</v>
      </c>
      <c r="G1126" s="83">
        <v>0</v>
      </c>
      <c r="H1126" s="83">
        <v>100</v>
      </c>
      <c r="K1126" s="83">
        <v>1</v>
      </c>
      <c r="L1126" s="83" t="s">
        <v>101</v>
      </c>
      <c r="M1126" s="83" t="s">
        <v>410</v>
      </c>
      <c r="N1126" s="83" t="s">
        <v>102</v>
      </c>
      <c r="P1126" s="83">
        <v>0</v>
      </c>
      <c r="U1126" s="83">
        <v>4</v>
      </c>
      <c r="V1126" s="83">
        <v>1</v>
      </c>
      <c r="W1126" s="83" t="s">
        <v>103</v>
      </c>
      <c r="X1126" s="83">
        <v>0</v>
      </c>
    </row>
    <row r="1127" spans="1:25" x14ac:dyDescent="0.2">
      <c r="A1127" s="83">
        <v>1</v>
      </c>
      <c r="B1127" s="84">
        <v>5701603304304</v>
      </c>
      <c r="C1127" s="83">
        <v>10</v>
      </c>
      <c r="D1127" s="84">
        <v>5980463304</v>
      </c>
      <c r="F1127" s="83" t="s">
        <v>103</v>
      </c>
      <c r="G1127" s="83">
        <v>0</v>
      </c>
      <c r="H1127" s="83">
        <v>100</v>
      </c>
      <c r="K1127" s="83">
        <v>1</v>
      </c>
      <c r="L1127" s="83" t="s">
        <v>101</v>
      </c>
      <c r="M1127" s="83" t="s">
        <v>410</v>
      </c>
      <c r="N1127" s="83" t="s">
        <v>102</v>
      </c>
      <c r="P1127" s="83">
        <v>0</v>
      </c>
      <c r="U1127" s="83">
        <v>4</v>
      </c>
      <c r="V1127" s="83">
        <v>1</v>
      </c>
      <c r="W1127" s="83" t="s">
        <v>103</v>
      </c>
      <c r="X1127" s="83">
        <v>0</v>
      </c>
      <c r="Y1127" s="83" t="str">
        <f>LEFT(D1127,6)</f>
        <v>598046</v>
      </c>
    </row>
    <row r="1128" spans="1:25" x14ac:dyDescent="0.2">
      <c r="A1128" s="83">
        <v>1</v>
      </c>
      <c r="B1128" s="84">
        <v>5701603304304</v>
      </c>
      <c r="C1128" s="83">
        <v>20</v>
      </c>
      <c r="D1128" s="84">
        <v>5980543304</v>
      </c>
      <c r="F1128" s="83" t="s">
        <v>103</v>
      </c>
      <c r="G1128" s="83">
        <v>0</v>
      </c>
      <c r="H1128" s="83">
        <v>100</v>
      </c>
      <c r="K1128" s="83">
        <v>1</v>
      </c>
      <c r="L1128" s="83" t="s">
        <v>101</v>
      </c>
      <c r="M1128" s="83" t="s">
        <v>410</v>
      </c>
      <c r="N1128" s="83" t="s">
        <v>102</v>
      </c>
      <c r="P1128" s="83">
        <v>0</v>
      </c>
      <c r="U1128" s="83">
        <v>4</v>
      </c>
      <c r="V1128" s="83">
        <v>1</v>
      </c>
      <c r="W1128" s="83" t="s">
        <v>103</v>
      </c>
      <c r="X1128" s="83">
        <v>0</v>
      </c>
    </row>
    <row r="1129" spans="1:25" x14ac:dyDescent="0.2">
      <c r="A1129" s="83">
        <v>1</v>
      </c>
      <c r="B1129" s="84">
        <v>5701603304304</v>
      </c>
      <c r="C1129" s="83">
        <v>30</v>
      </c>
      <c r="D1129" s="84">
        <v>5980623304</v>
      </c>
      <c r="F1129" s="83" t="s">
        <v>103</v>
      </c>
      <c r="G1129" s="83">
        <v>0</v>
      </c>
      <c r="H1129" s="83">
        <v>100</v>
      </c>
      <c r="K1129" s="83">
        <v>1</v>
      </c>
      <c r="L1129" s="83" t="s">
        <v>101</v>
      </c>
      <c r="M1129" s="83" t="s">
        <v>410</v>
      </c>
      <c r="N1129" s="83" t="s">
        <v>102</v>
      </c>
      <c r="P1129" s="83">
        <v>0</v>
      </c>
      <c r="U1129" s="83">
        <v>4</v>
      </c>
      <c r="V1129" s="83">
        <v>1</v>
      </c>
      <c r="W1129" s="83" t="s">
        <v>103</v>
      </c>
      <c r="X1129" s="83">
        <v>0</v>
      </c>
    </row>
    <row r="1130" spans="1:25" x14ac:dyDescent="0.2">
      <c r="A1130" s="83">
        <v>1</v>
      </c>
      <c r="B1130" s="84">
        <v>5701603304304</v>
      </c>
      <c r="C1130" s="83">
        <v>40</v>
      </c>
      <c r="D1130" s="84">
        <v>5980823304</v>
      </c>
      <c r="F1130" s="83" t="s">
        <v>103</v>
      </c>
      <c r="G1130" s="83">
        <v>0</v>
      </c>
      <c r="H1130" s="83">
        <v>100</v>
      </c>
      <c r="K1130" s="83">
        <v>1</v>
      </c>
      <c r="L1130" s="83" t="s">
        <v>101</v>
      </c>
      <c r="M1130" s="83" t="s">
        <v>410</v>
      </c>
      <c r="N1130" s="83" t="s">
        <v>102</v>
      </c>
      <c r="P1130" s="83">
        <v>0</v>
      </c>
      <c r="U1130" s="83">
        <v>4</v>
      </c>
      <c r="V1130" s="83">
        <v>1</v>
      </c>
      <c r="W1130" s="83" t="s">
        <v>103</v>
      </c>
      <c r="X1130" s="83">
        <v>0</v>
      </c>
    </row>
    <row r="1131" spans="1:25" x14ac:dyDescent="0.2">
      <c r="A1131" s="83">
        <v>1</v>
      </c>
      <c r="B1131" s="84">
        <v>5701603304304</v>
      </c>
      <c r="C1131" s="83">
        <v>50</v>
      </c>
      <c r="D1131" s="84">
        <v>5980933304</v>
      </c>
      <c r="F1131" s="83" t="s">
        <v>103</v>
      </c>
      <c r="G1131" s="83">
        <v>0</v>
      </c>
      <c r="H1131" s="83">
        <v>100</v>
      </c>
      <c r="K1131" s="83">
        <v>1</v>
      </c>
      <c r="L1131" s="83" t="s">
        <v>101</v>
      </c>
      <c r="M1131" s="83" t="s">
        <v>410</v>
      </c>
      <c r="N1131" s="83" t="s">
        <v>102</v>
      </c>
      <c r="P1131" s="83">
        <v>0</v>
      </c>
      <c r="U1131" s="83">
        <v>4</v>
      </c>
      <c r="V1131" s="83">
        <v>1</v>
      </c>
      <c r="W1131" s="83" t="s">
        <v>103</v>
      </c>
      <c r="X1131" s="83">
        <v>0</v>
      </c>
    </row>
    <row r="1132" spans="1:25" x14ac:dyDescent="0.2">
      <c r="A1132" s="83">
        <v>1</v>
      </c>
      <c r="B1132" s="84">
        <v>5701603304304</v>
      </c>
      <c r="C1132" s="83">
        <v>60</v>
      </c>
      <c r="D1132" s="84">
        <v>1010286</v>
      </c>
      <c r="F1132" s="83" t="s">
        <v>103</v>
      </c>
      <c r="G1132" s="83">
        <v>0</v>
      </c>
      <c r="H1132" s="83">
        <v>100</v>
      </c>
      <c r="K1132" s="83">
        <v>8</v>
      </c>
      <c r="L1132" s="83" t="s">
        <v>101</v>
      </c>
      <c r="M1132" s="83" t="s">
        <v>410</v>
      </c>
      <c r="N1132" s="83" t="s">
        <v>102</v>
      </c>
      <c r="P1132" s="83">
        <v>0</v>
      </c>
      <c r="U1132" s="83">
        <v>4</v>
      </c>
      <c r="V1132" s="83">
        <v>1</v>
      </c>
      <c r="W1132" s="83" t="s">
        <v>103</v>
      </c>
      <c r="X1132" s="83">
        <v>0</v>
      </c>
    </row>
    <row r="1133" spans="1:25" x14ac:dyDescent="0.2">
      <c r="A1133" s="83">
        <v>1</v>
      </c>
      <c r="B1133" s="84">
        <v>5701603304304</v>
      </c>
      <c r="C1133" s="83">
        <v>70</v>
      </c>
      <c r="D1133" s="84">
        <v>1010288</v>
      </c>
      <c r="F1133" s="83" t="s">
        <v>103</v>
      </c>
      <c r="G1133" s="83">
        <v>0</v>
      </c>
      <c r="H1133" s="83">
        <v>100</v>
      </c>
      <c r="K1133" s="83">
        <v>4</v>
      </c>
      <c r="L1133" s="83" t="s">
        <v>101</v>
      </c>
      <c r="M1133" s="83" t="s">
        <v>410</v>
      </c>
      <c r="N1133" s="83" t="s">
        <v>102</v>
      </c>
      <c r="P1133" s="83">
        <v>0</v>
      </c>
      <c r="U1133" s="83">
        <v>4</v>
      </c>
      <c r="V1133" s="83">
        <v>1</v>
      </c>
      <c r="W1133" s="83" t="s">
        <v>103</v>
      </c>
      <c r="X1133" s="83">
        <v>0</v>
      </c>
    </row>
    <row r="1134" spans="1:25" x14ac:dyDescent="0.2">
      <c r="A1134" s="83">
        <v>1</v>
      </c>
      <c r="B1134" s="84">
        <v>5701603304304</v>
      </c>
      <c r="C1134" s="83">
        <v>80</v>
      </c>
      <c r="D1134" s="84">
        <v>1020145</v>
      </c>
      <c r="F1134" s="83" t="s">
        <v>103</v>
      </c>
      <c r="G1134" s="83">
        <v>0</v>
      </c>
      <c r="H1134" s="83">
        <v>100</v>
      </c>
      <c r="K1134" s="83" t="s">
        <v>408</v>
      </c>
      <c r="L1134" s="83" t="s">
        <v>101</v>
      </c>
      <c r="M1134" s="83" t="s">
        <v>410</v>
      </c>
      <c r="N1134" s="83" t="s">
        <v>102</v>
      </c>
      <c r="P1134" s="83">
        <v>0</v>
      </c>
      <c r="U1134" s="83">
        <v>4</v>
      </c>
      <c r="V1134" s="83">
        <v>1</v>
      </c>
      <c r="W1134" s="83" t="s">
        <v>103</v>
      </c>
      <c r="X1134" s="83">
        <v>0</v>
      </c>
    </row>
    <row r="1135" spans="1:25" x14ac:dyDescent="0.2">
      <c r="A1135" s="83">
        <v>1</v>
      </c>
      <c r="B1135" s="84">
        <v>5701603304304</v>
      </c>
      <c r="C1135" s="83">
        <v>90</v>
      </c>
      <c r="D1135" s="84">
        <v>777500304</v>
      </c>
      <c r="F1135" s="83" t="s">
        <v>103</v>
      </c>
      <c r="G1135" s="83">
        <v>0</v>
      </c>
      <c r="H1135" s="83">
        <v>100</v>
      </c>
      <c r="K1135" s="83">
        <v>1</v>
      </c>
      <c r="L1135" s="83" t="s">
        <v>101</v>
      </c>
      <c r="M1135" s="83" t="s">
        <v>410</v>
      </c>
      <c r="N1135" s="83" t="s">
        <v>102</v>
      </c>
      <c r="P1135" s="83">
        <v>0</v>
      </c>
      <c r="U1135" s="83">
        <v>4</v>
      </c>
      <c r="V1135" s="83">
        <v>1</v>
      </c>
      <c r="W1135" s="83" t="s">
        <v>103</v>
      </c>
      <c r="X1135" s="83">
        <v>0</v>
      </c>
    </row>
    <row r="1136" spans="1:25" x14ac:dyDescent="0.2">
      <c r="A1136" s="83">
        <v>1</v>
      </c>
      <c r="B1136" s="84">
        <v>5701603305304</v>
      </c>
      <c r="C1136" s="83">
        <v>10</v>
      </c>
      <c r="D1136" s="84">
        <v>5980463305</v>
      </c>
      <c r="F1136" s="83" t="s">
        <v>103</v>
      </c>
      <c r="G1136" s="83">
        <v>0</v>
      </c>
      <c r="H1136" s="83">
        <v>100</v>
      </c>
      <c r="K1136" s="83">
        <v>1</v>
      </c>
      <c r="L1136" s="83" t="s">
        <v>101</v>
      </c>
      <c r="M1136" s="83" t="s">
        <v>410</v>
      </c>
      <c r="N1136" s="83" t="s">
        <v>102</v>
      </c>
      <c r="P1136" s="83">
        <v>0</v>
      </c>
      <c r="U1136" s="83">
        <v>4</v>
      </c>
      <c r="V1136" s="83">
        <v>1</v>
      </c>
      <c r="W1136" s="83" t="s">
        <v>103</v>
      </c>
      <c r="X1136" s="83">
        <v>0</v>
      </c>
      <c r="Y1136" s="83" t="str">
        <f>LEFT(D1136,6)</f>
        <v>598046</v>
      </c>
    </row>
    <row r="1137" spans="1:25" x14ac:dyDescent="0.2">
      <c r="A1137" s="83">
        <v>1</v>
      </c>
      <c r="B1137" s="84">
        <v>5701603305304</v>
      </c>
      <c r="C1137" s="83">
        <v>20</v>
      </c>
      <c r="D1137" s="84">
        <v>5980543305</v>
      </c>
      <c r="F1137" s="83" t="s">
        <v>103</v>
      </c>
      <c r="G1137" s="83">
        <v>0</v>
      </c>
      <c r="H1137" s="83">
        <v>100</v>
      </c>
      <c r="K1137" s="83">
        <v>1</v>
      </c>
      <c r="L1137" s="83" t="s">
        <v>101</v>
      </c>
      <c r="M1137" s="83" t="s">
        <v>410</v>
      </c>
      <c r="N1137" s="83" t="s">
        <v>102</v>
      </c>
      <c r="P1137" s="83">
        <v>0</v>
      </c>
      <c r="U1137" s="83">
        <v>4</v>
      </c>
      <c r="V1137" s="83">
        <v>1</v>
      </c>
      <c r="W1137" s="83" t="s">
        <v>103</v>
      </c>
      <c r="X1137" s="83">
        <v>0</v>
      </c>
    </row>
    <row r="1138" spans="1:25" x14ac:dyDescent="0.2">
      <c r="A1138" s="83">
        <v>1</v>
      </c>
      <c r="B1138" s="84">
        <v>5701603305304</v>
      </c>
      <c r="C1138" s="83">
        <v>30</v>
      </c>
      <c r="D1138" s="84">
        <v>5980623305</v>
      </c>
      <c r="F1138" s="83" t="s">
        <v>103</v>
      </c>
      <c r="G1138" s="83">
        <v>0</v>
      </c>
      <c r="H1138" s="83">
        <v>100</v>
      </c>
      <c r="K1138" s="83">
        <v>1</v>
      </c>
      <c r="L1138" s="83" t="s">
        <v>101</v>
      </c>
      <c r="M1138" s="83" t="s">
        <v>410</v>
      </c>
      <c r="N1138" s="83" t="s">
        <v>102</v>
      </c>
      <c r="P1138" s="83">
        <v>0</v>
      </c>
      <c r="U1138" s="83">
        <v>4</v>
      </c>
      <c r="V1138" s="83">
        <v>1</v>
      </c>
      <c r="W1138" s="83" t="s">
        <v>103</v>
      </c>
      <c r="X1138" s="83">
        <v>0</v>
      </c>
    </row>
    <row r="1139" spans="1:25" x14ac:dyDescent="0.2">
      <c r="A1139" s="83">
        <v>1</v>
      </c>
      <c r="B1139" s="84">
        <v>5701603305304</v>
      </c>
      <c r="C1139" s="83">
        <v>40</v>
      </c>
      <c r="D1139" s="84">
        <v>5980823305</v>
      </c>
      <c r="F1139" s="83" t="s">
        <v>103</v>
      </c>
      <c r="G1139" s="83">
        <v>0</v>
      </c>
      <c r="H1139" s="83">
        <v>100</v>
      </c>
      <c r="K1139" s="83">
        <v>1</v>
      </c>
      <c r="L1139" s="83" t="s">
        <v>101</v>
      </c>
      <c r="M1139" s="83" t="s">
        <v>410</v>
      </c>
      <c r="N1139" s="83" t="s">
        <v>102</v>
      </c>
      <c r="P1139" s="83">
        <v>0</v>
      </c>
      <c r="U1139" s="83">
        <v>4</v>
      </c>
      <c r="V1139" s="83">
        <v>1</v>
      </c>
      <c r="W1139" s="83" t="s">
        <v>103</v>
      </c>
      <c r="X1139" s="83">
        <v>0</v>
      </c>
    </row>
    <row r="1140" spans="1:25" x14ac:dyDescent="0.2">
      <c r="A1140" s="83">
        <v>1</v>
      </c>
      <c r="B1140" s="84">
        <v>5701603305304</v>
      </c>
      <c r="C1140" s="83">
        <v>50</v>
      </c>
      <c r="D1140" s="84">
        <v>5980933305</v>
      </c>
      <c r="F1140" s="83" t="s">
        <v>103</v>
      </c>
      <c r="G1140" s="83">
        <v>0</v>
      </c>
      <c r="H1140" s="83">
        <v>100</v>
      </c>
      <c r="K1140" s="83">
        <v>1</v>
      </c>
      <c r="L1140" s="83" t="s">
        <v>101</v>
      </c>
      <c r="M1140" s="83" t="s">
        <v>410</v>
      </c>
      <c r="N1140" s="83" t="s">
        <v>102</v>
      </c>
      <c r="P1140" s="83">
        <v>0</v>
      </c>
      <c r="U1140" s="83">
        <v>4</v>
      </c>
      <c r="V1140" s="83">
        <v>1</v>
      </c>
      <c r="W1140" s="83" t="s">
        <v>103</v>
      </c>
      <c r="X1140" s="83">
        <v>0</v>
      </c>
    </row>
    <row r="1141" spans="1:25" x14ac:dyDescent="0.2">
      <c r="A1141" s="83">
        <v>1</v>
      </c>
      <c r="B1141" s="84">
        <v>5701603305304</v>
      </c>
      <c r="C1141" s="83">
        <v>60</v>
      </c>
      <c r="D1141" s="84">
        <v>1010286</v>
      </c>
      <c r="F1141" s="83" t="s">
        <v>103</v>
      </c>
      <c r="G1141" s="83">
        <v>0</v>
      </c>
      <c r="H1141" s="83">
        <v>100</v>
      </c>
      <c r="K1141" s="83">
        <v>8</v>
      </c>
      <c r="L1141" s="83" t="s">
        <v>101</v>
      </c>
      <c r="M1141" s="83" t="s">
        <v>410</v>
      </c>
      <c r="N1141" s="83" t="s">
        <v>102</v>
      </c>
      <c r="P1141" s="83">
        <v>0</v>
      </c>
      <c r="U1141" s="83">
        <v>4</v>
      </c>
      <c r="V1141" s="83">
        <v>1</v>
      </c>
      <c r="W1141" s="83" t="s">
        <v>103</v>
      </c>
      <c r="X1141" s="83">
        <v>0</v>
      </c>
    </row>
    <row r="1142" spans="1:25" x14ac:dyDescent="0.2">
      <c r="A1142" s="83">
        <v>1</v>
      </c>
      <c r="B1142" s="84">
        <v>5701603305304</v>
      </c>
      <c r="C1142" s="83">
        <v>70</v>
      </c>
      <c r="D1142" s="84">
        <v>1010288</v>
      </c>
      <c r="F1142" s="83" t="s">
        <v>103</v>
      </c>
      <c r="G1142" s="83">
        <v>0</v>
      </c>
      <c r="H1142" s="83">
        <v>100</v>
      </c>
      <c r="K1142" s="83">
        <v>4</v>
      </c>
      <c r="L1142" s="83" t="s">
        <v>101</v>
      </c>
      <c r="M1142" s="83" t="s">
        <v>410</v>
      </c>
      <c r="N1142" s="83" t="s">
        <v>102</v>
      </c>
      <c r="P1142" s="83">
        <v>0</v>
      </c>
      <c r="U1142" s="83">
        <v>4</v>
      </c>
      <c r="V1142" s="83">
        <v>1</v>
      </c>
      <c r="W1142" s="83" t="s">
        <v>103</v>
      </c>
      <c r="X1142" s="83">
        <v>0</v>
      </c>
    </row>
    <row r="1143" spans="1:25" x14ac:dyDescent="0.2">
      <c r="A1143" s="83">
        <v>1</v>
      </c>
      <c r="B1143" s="84">
        <v>5701603305304</v>
      </c>
      <c r="C1143" s="83">
        <v>80</v>
      </c>
      <c r="D1143" s="84">
        <v>1020145</v>
      </c>
      <c r="F1143" s="83" t="s">
        <v>103</v>
      </c>
      <c r="G1143" s="83">
        <v>0</v>
      </c>
      <c r="H1143" s="83">
        <v>100</v>
      </c>
      <c r="K1143" s="83" t="s">
        <v>408</v>
      </c>
      <c r="L1143" s="83" t="s">
        <v>101</v>
      </c>
      <c r="M1143" s="83" t="s">
        <v>410</v>
      </c>
      <c r="N1143" s="83" t="s">
        <v>102</v>
      </c>
      <c r="P1143" s="83">
        <v>0</v>
      </c>
      <c r="U1143" s="83">
        <v>4</v>
      </c>
      <c r="V1143" s="83">
        <v>1</v>
      </c>
      <c r="W1143" s="83" t="s">
        <v>103</v>
      </c>
      <c r="X1143" s="83">
        <v>0</v>
      </c>
    </row>
    <row r="1144" spans="1:25" x14ac:dyDescent="0.2">
      <c r="A1144" s="83">
        <v>1</v>
      </c>
      <c r="B1144" s="84">
        <v>5701603305304</v>
      </c>
      <c r="C1144" s="83">
        <v>90</v>
      </c>
      <c r="D1144" s="84">
        <v>777500304</v>
      </c>
      <c r="F1144" s="83" t="s">
        <v>103</v>
      </c>
      <c r="G1144" s="83">
        <v>0</v>
      </c>
      <c r="H1144" s="83">
        <v>100</v>
      </c>
      <c r="K1144" s="83">
        <v>1</v>
      </c>
      <c r="L1144" s="83" t="s">
        <v>101</v>
      </c>
      <c r="M1144" s="83" t="s">
        <v>410</v>
      </c>
      <c r="N1144" s="83" t="s">
        <v>102</v>
      </c>
      <c r="P1144" s="83">
        <v>0</v>
      </c>
      <c r="U1144" s="83">
        <v>4</v>
      </c>
      <c r="V1144" s="83">
        <v>1</v>
      </c>
      <c r="W1144" s="83" t="s">
        <v>103</v>
      </c>
      <c r="X1144" s="83">
        <v>0</v>
      </c>
    </row>
    <row r="1145" spans="1:25" x14ac:dyDescent="0.2">
      <c r="A1145" s="83">
        <v>1</v>
      </c>
      <c r="B1145" s="84">
        <v>5701603306304</v>
      </c>
      <c r="C1145" s="83">
        <v>10</v>
      </c>
      <c r="D1145" s="84">
        <v>5980463306</v>
      </c>
      <c r="F1145" s="83" t="s">
        <v>103</v>
      </c>
      <c r="G1145" s="83">
        <v>0</v>
      </c>
      <c r="H1145" s="83">
        <v>100</v>
      </c>
      <c r="K1145" s="83">
        <v>1</v>
      </c>
      <c r="L1145" s="83" t="s">
        <v>101</v>
      </c>
      <c r="M1145" s="83" t="s">
        <v>410</v>
      </c>
      <c r="N1145" s="83" t="s">
        <v>102</v>
      </c>
      <c r="P1145" s="83">
        <v>0</v>
      </c>
      <c r="U1145" s="83">
        <v>4</v>
      </c>
      <c r="V1145" s="83">
        <v>1</v>
      </c>
      <c r="W1145" s="83" t="s">
        <v>103</v>
      </c>
      <c r="X1145" s="83">
        <v>0</v>
      </c>
      <c r="Y1145" s="83" t="str">
        <f>LEFT(D1145,6)</f>
        <v>598046</v>
      </c>
    </row>
    <row r="1146" spans="1:25" x14ac:dyDescent="0.2">
      <c r="A1146" s="83">
        <v>1</v>
      </c>
      <c r="B1146" s="84">
        <v>5701603306304</v>
      </c>
      <c r="C1146" s="83">
        <v>20</v>
      </c>
      <c r="D1146" s="84">
        <v>5980543306</v>
      </c>
      <c r="F1146" s="83" t="s">
        <v>103</v>
      </c>
      <c r="G1146" s="83">
        <v>0</v>
      </c>
      <c r="H1146" s="83">
        <v>100</v>
      </c>
      <c r="K1146" s="83">
        <v>1</v>
      </c>
      <c r="L1146" s="83" t="s">
        <v>101</v>
      </c>
      <c r="M1146" s="83" t="s">
        <v>410</v>
      </c>
      <c r="N1146" s="83" t="s">
        <v>102</v>
      </c>
      <c r="P1146" s="83">
        <v>0</v>
      </c>
      <c r="U1146" s="83">
        <v>4</v>
      </c>
      <c r="V1146" s="83">
        <v>1</v>
      </c>
      <c r="W1146" s="83" t="s">
        <v>103</v>
      </c>
      <c r="X1146" s="83">
        <v>0</v>
      </c>
    </row>
    <row r="1147" spans="1:25" x14ac:dyDescent="0.2">
      <c r="A1147" s="83">
        <v>1</v>
      </c>
      <c r="B1147" s="84">
        <v>5701603306304</v>
      </c>
      <c r="C1147" s="83">
        <v>30</v>
      </c>
      <c r="D1147" s="84">
        <v>5980623306</v>
      </c>
      <c r="F1147" s="83" t="s">
        <v>103</v>
      </c>
      <c r="G1147" s="83">
        <v>0</v>
      </c>
      <c r="H1147" s="83">
        <v>100</v>
      </c>
      <c r="K1147" s="83">
        <v>1</v>
      </c>
      <c r="L1147" s="83" t="s">
        <v>101</v>
      </c>
      <c r="M1147" s="83" t="s">
        <v>410</v>
      </c>
      <c r="N1147" s="83" t="s">
        <v>102</v>
      </c>
      <c r="P1147" s="83">
        <v>0</v>
      </c>
      <c r="U1147" s="83">
        <v>4</v>
      </c>
      <c r="V1147" s="83">
        <v>1</v>
      </c>
      <c r="W1147" s="83" t="s">
        <v>103</v>
      </c>
      <c r="X1147" s="83">
        <v>0</v>
      </c>
    </row>
    <row r="1148" spans="1:25" x14ac:dyDescent="0.2">
      <c r="A1148" s="83">
        <v>1</v>
      </c>
      <c r="B1148" s="84">
        <v>5701603306304</v>
      </c>
      <c r="C1148" s="83">
        <v>40</v>
      </c>
      <c r="D1148" s="84">
        <v>5980823306</v>
      </c>
      <c r="F1148" s="83" t="s">
        <v>103</v>
      </c>
      <c r="G1148" s="83">
        <v>0</v>
      </c>
      <c r="H1148" s="83">
        <v>100</v>
      </c>
      <c r="K1148" s="83">
        <v>1</v>
      </c>
      <c r="L1148" s="83" t="s">
        <v>101</v>
      </c>
      <c r="M1148" s="83" t="s">
        <v>410</v>
      </c>
      <c r="N1148" s="83" t="s">
        <v>102</v>
      </c>
      <c r="P1148" s="83">
        <v>0</v>
      </c>
      <c r="U1148" s="83">
        <v>4</v>
      </c>
      <c r="V1148" s="83">
        <v>1</v>
      </c>
      <c r="W1148" s="83" t="s">
        <v>103</v>
      </c>
      <c r="X1148" s="83">
        <v>0</v>
      </c>
    </row>
    <row r="1149" spans="1:25" x14ac:dyDescent="0.2">
      <c r="A1149" s="83">
        <v>1</v>
      </c>
      <c r="B1149" s="84">
        <v>5701603306304</v>
      </c>
      <c r="C1149" s="83">
        <v>50</v>
      </c>
      <c r="D1149" s="84">
        <v>5980933306</v>
      </c>
      <c r="F1149" s="83" t="s">
        <v>103</v>
      </c>
      <c r="G1149" s="83">
        <v>0</v>
      </c>
      <c r="H1149" s="83">
        <v>100</v>
      </c>
      <c r="K1149" s="83">
        <v>1</v>
      </c>
      <c r="L1149" s="83" t="s">
        <v>101</v>
      </c>
      <c r="M1149" s="83" t="s">
        <v>410</v>
      </c>
      <c r="N1149" s="83" t="s">
        <v>102</v>
      </c>
      <c r="P1149" s="83">
        <v>0</v>
      </c>
      <c r="U1149" s="83">
        <v>4</v>
      </c>
      <c r="V1149" s="83">
        <v>1</v>
      </c>
      <c r="W1149" s="83" t="s">
        <v>103</v>
      </c>
      <c r="X1149" s="83">
        <v>0</v>
      </c>
    </row>
    <row r="1150" spans="1:25" x14ac:dyDescent="0.2">
      <c r="A1150" s="83">
        <v>1</v>
      </c>
      <c r="B1150" s="84">
        <v>5701603306304</v>
      </c>
      <c r="C1150" s="83">
        <v>60</v>
      </c>
      <c r="D1150" s="84">
        <v>1010286</v>
      </c>
      <c r="F1150" s="83" t="s">
        <v>103</v>
      </c>
      <c r="G1150" s="83">
        <v>0</v>
      </c>
      <c r="H1150" s="83">
        <v>100</v>
      </c>
      <c r="K1150" s="83">
        <v>8</v>
      </c>
      <c r="L1150" s="83" t="s">
        <v>101</v>
      </c>
      <c r="M1150" s="83" t="s">
        <v>410</v>
      </c>
      <c r="N1150" s="83" t="s">
        <v>102</v>
      </c>
      <c r="P1150" s="83">
        <v>0</v>
      </c>
      <c r="U1150" s="83">
        <v>4</v>
      </c>
      <c r="V1150" s="83">
        <v>1</v>
      </c>
      <c r="W1150" s="83" t="s">
        <v>103</v>
      </c>
      <c r="X1150" s="83">
        <v>0</v>
      </c>
    </row>
    <row r="1151" spans="1:25" x14ac:dyDescent="0.2">
      <c r="A1151" s="83">
        <v>1</v>
      </c>
      <c r="B1151" s="84">
        <v>5701603306304</v>
      </c>
      <c r="C1151" s="83">
        <v>70</v>
      </c>
      <c r="D1151" s="84">
        <v>1010287</v>
      </c>
      <c r="F1151" s="83" t="s">
        <v>103</v>
      </c>
      <c r="G1151" s="83">
        <v>0</v>
      </c>
      <c r="H1151" s="83">
        <v>100</v>
      </c>
      <c r="K1151" s="83">
        <v>4</v>
      </c>
      <c r="L1151" s="83" t="s">
        <v>101</v>
      </c>
      <c r="M1151" s="83" t="s">
        <v>410</v>
      </c>
      <c r="N1151" s="83" t="s">
        <v>102</v>
      </c>
      <c r="P1151" s="83">
        <v>0</v>
      </c>
      <c r="U1151" s="83">
        <v>4</v>
      </c>
      <c r="V1151" s="83">
        <v>1</v>
      </c>
      <c r="W1151" s="83" t="s">
        <v>103</v>
      </c>
      <c r="X1151" s="83">
        <v>0</v>
      </c>
    </row>
    <row r="1152" spans="1:25" x14ac:dyDescent="0.2">
      <c r="A1152" s="83">
        <v>1</v>
      </c>
      <c r="B1152" s="84">
        <v>5701603306304</v>
      </c>
      <c r="C1152" s="83">
        <v>80</v>
      </c>
      <c r="D1152" s="84">
        <v>1020145</v>
      </c>
      <c r="F1152" s="83" t="s">
        <v>103</v>
      </c>
      <c r="G1152" s="83">
        <v>0</v>
      </c>
      <c r="H1152" s="83">
        <v>100</v>
      </c>
      <c r="K1152" s="83" t="s">
        <v>408</v>
      </c>
      <c r="L1152" s="83" t="s">
        <v>101</v>
      </c>
      <c r="M1152" s="83" t="s">
        <v>410</v>
      </c>
      <c r="N1152" s="83" t="s">
        <v>102</v>
      </c>
      <c r="P1152" s="83">
        <v>0</v>
      </c>
      <c r="U1152" s="83">
        <v>4</v>
      </c>
      <c r="V1152" s="83">
        <v>1</v>
      </c>
      <c r="W1152" s="83" t="s">
        <v>103</v>
      </c>
      <c r="X1152" s="83">
        <v>0</v>
      </c>
    </row>
    <row r="1153" spans="1:25" x14ac:dyDescent="0.2">
      <c r="A1153" s="83">
        <v>1</v>
      </c>
      <c r="B1153" s="84">
        <v>5701603306304</v>
      </c>
      <c r="C1153" s="83">
        <v>90</v>
      </c>
      <c r="D1153" s="84">
        <v>777500304</v>
      </c>
      <c r="F1153" s="83" t="s">
        <v>103</v>
      </c>
      <c r="G1153" s="83">
        <v>0</v>
      </c>
      <c r="H1153" s="83">
        <v>100</v>
      </c>
      <c r="K1153" s="83">
        <v>1</v>
      </c>
      <c r="L1153" s="83" t="s">
        <v>101</v>
      </c>
      <c r="M1153" s="83" t="s">
        <v>410</v>
      </c>
      <c r="N1153" s="83" t="s">
        <v>102</v>
      </c>
      <c r="P1153" s="83">
        <v>0</v>
      </c>
      <c r="U1153" s="83">
        <v>4</v>
      </c>
      <c r="V1153" s="83">
        <v>1</v>
      </c>
      <c r="W1153" s="83" t="s">
        <v>103</v>
      </c>
      <c r="X1153" s="83">
        <v>0</v>
      </c>
    </row>
    <row r="1154" spans="1:25" x14ac:dyDescent="0.2">
      <c r="A1154" s="83">
        <v>1</v>
      </c>
      <c r="B1154" s="84">
        <v>5701603307304</v>
      </c>
      <c r="C1154" s="83">
        <v>10</v>
      </c>
      <c r="D1154" s="84">
        <v>5980463307</v>
      </c>
      <c r="F1154" s="83" t="s">
        <v>103</v>
      </c>
      <c r="G1154" s="83">
        <v>0</v>
      </c>
      <c r="H1154" s="83">
        <v>100</v>
      </c>
      <c r="K1154" s="83">
        <v>1</v>
      </c>
      <c r="L1154" s="83" t="s">
        <v>101</v>
      </c>
      <c r="M1154" s="83" t="s">
        <v>410</v>
      </c>
      <c r="N1154" s="83" t="s">
        <v>102</v>
      </c>
      <c r="P1154" s="83">
        <v>0</v>
      </c>
      <c r="U1154" s="83">
        <v>4</v>
      </c>
      <c r="V1154" s="83">
        <v>1</v>
      </c>
      <c r="W1154" s="83" t="s">
        <v>103</v>
      </c>
      <c r="X1154" s="83">
        <v>0</v>
      </c>
      <c r="Y1154" s="83" t="str">
        <f>LEFT(D1154,6)</f>
        <v>598046</v>
      </c>
    </row>
    <row r="1155" spans="1:25" x14ac:dyDescent="0.2">
      <c r="A1155" s="83">
        <v>1</v>
      </c>
      <c r="B1155" s="84">
        <v>5701603307304</v>
      </c>
      <c r="C1155" s="83">
        <v>20</v>
      </c>
      <c r="D1155" s="84">
        <v>5980543307</v>
      </c>
      <c r="F1155" s="83" t="s">
        <v>103</v>
      </c>
      <c r="G1155" s="83">
        <v>0</v>
      </c>
      <c r="H1155" s="83">
        <v>100</v>
      </c>
      <c r="K1155" s="83">
        <v>1</v>
      </c>
      <c r="L1155" s="83" t="s">
        <v>101</v>
      </c>
      <c r="M1155" s="83" t="s">
        <v>410</v>
      </c>
      <c r="N1155" s="83" t="s">
        <v>102</v>
      </c>
      <c r="P1155" s="83">
        <v>0</v>
      </c>
      <c r="U1155" s="83">
        <v>4</v>
      </c>
      <c r="V1155" s="83">
        <v>1</v>
      </c>
      <c r="W1155" s="83" t="s">
        <v>103</v>
      </c>
      <c r="X1155" s="83">
        <v>0</v>
      </c>
    </row>
    <row r="1156" spans="1:25" x14ac:dyDescent="0.2">
      <c r="A1156" s="83">
        <v>1</v>
      </c>
      <c r="B1156" s="84">
        <v>5701603307304</v>
      </c>
      <c r="C1156" s="83">
        <v>30</v>
      </c>
      <c r="D1156" s="84">
        <v>5980623307</v>
      </c>
      <c r="F1156" s="83" t="s">
        <v>103</v>
      </c>
      <c r="G1156" s="83">
        <v>0</v>
      </c>
      <c r="H1156" s="83">
        <v>100</v>
      </c>
      <c r="K1156" s="83">
        <v>1</v>
      </c>
      <c r="L1156" s="83" t="s">
        <v>101</v>
      </c>
      <c r="M1156" s="83" t="s">
        <v>410</v>
      </c>
      <c r="N1156" s="83" t="s">
        <v>102</v>
      </c>
      <c r="P1156" s="83">
        <v>0</v>
      </c>
      <c r="U1156" s="83">
        <v>4</v>
      </c>
      <c r="V1156" s="83">
        <v>1</v>
      </c>
      <c r="W1156" s="83" t="s">
        <v>103</v>
      </c>
      <c r="X1156" s="83">
        <v>0</v>
      </c>
    </row>
    <row r="1157" spans="1:25" x14ac:dyDescent="0.2">
      <c r="A1157" s="83">
        <v>1</v>
      </c>
      <c r="B1157" s="84">
        <v>5701603307304</v>
      </c>
      <c r="C1157" s="83">
        <v>40</v>
      </c>
      <c r="D1157" s="84">
        <v>5980823307</v>
      </c>
      <c r="F1157" s="83" t="s">
        <v>103</v>
      </c>
      <c r="G1157" s="83">
        <v>0</v>
      </c>
      <c r="H1157" s="83">
        <v>100</v>
      </c>
      <c r="K1157" s="83">
        <v>1</v>
      </c>
      <c r="L1157" s="83" t="s">
        <v>101</v>
      </c>
      <c r="M1157" s="83" t="s">
        <v>410</v>
      </c>
      <c r="N1157" s="83" t="s">
        <v>102</v>
      </c>
      <c r="P1157" s="83">
        <v>0</v>
      </c>
      <c r="U1157" s="83">
        <v>4</v>
      </c>
      <c r="V1157" s="83">
        <v>1</v>
      </c>
      <c r="W1157" s="83" t="s">
        <v>103</v>
      </c>
      <c r="X1157" s="83">
        <v>0</v>
      </c>
    </row>
    <row r="1158" spans="1:25" x14ac:dyDescent="0.2">
      <c r="A1158" s="83">
        <v>1</v>
      </c>
      <c r="B1158" s="84">
        <v>5701603307304</v>
      </c>
      <c r="C1158" s="83">
        <v>50</v>
      </c>
      <c r="D1158" s="84">
        <v>5980933307</v>
      </c>
      <c r="F1158" s="83" t="s">
        <v>103</v>
      </c>
      <c r="G1158" s="83">
        <v>0</v>
      </c>
      <c r="H1158" s="83">
        <v>100</v>
      </c>
      <c r="K1158" s="83">
        <v>1</v>
      </c>
      <c r="L1158" s="83" t="s">
        <v>101</v>
      </c>
      <c r="M1158" s="83" t="s">
        <v>410</v>
      </c>
      <c r="N1158" s="83" t="s">
        <v>102</v>
      </c>
      <c r="P1158" s="83">
        <v>0</v>
      </c>
      <c r="U1158" s="83">
        <v>4</v>
      </c>
      <c r="V1158" s="83">
        <v>1</v>
      </c>
      <c r="W1158" s="83" t="s">
        <v>103</v>
      </c>
      <c r="X1158" s="83">
        <v>0</v>
      </c>
    </row>
    <row r="1159" spans="1:25" x14ac:dyDescent="0.2">
      <c r="A1159" s="83">
        <v>1</v>
      </c>
      <c r="B1159" s="84">
        <v>5701603307304</v>
      </c>
      <c r="C1159" s="83">
        <v>60</v>
      </c>
      <c r="D1159" s="84">
        <v>1010286</v>
      </c>
      <c r="F1159" s="83" t="s">
        <v>103</v>
      </c>
      <c r="G1159" s="83">
        <v>0</v>
      </c>
      <c r="H1159" s="83">
        <v>100</v>
      </c>
      <c r="K1159" s="83">
        <v>8</v>
      </c>
      <c r="L1159" s="83" t="s">
        <v>101</v>
      </c>
      <c r="M1159" s="83" t="s">
        <v>410</v>
      </c>
      <c r="N1159" s="83" t="s">
        <v>102</v>
      </c>
      <c r="P1159" s="83">
        <v>0</v>
      </c>
      <c r="U1159" s="83">
        <v>4</v>
      </c>
      <c r="V1159" s="83">
        <v>1</v>
      </c>
      <c r="W1159" s="83" t="s">
        <v>103</v>
      </c>
      <c r="X1159" s="83">
        <v>0</v>
      </c>
    </row>
    <row r="1160" spans="1:25" x14ac:dyDescent="0.2">
      <c r="A1160" s="83">
        <v>1</v>
      </c>
      <c r="B1160" s="84">
        <v>5701603307304</v>
      </c>
      <c r="C1160" s="83">
        <v>70</v>
      </c>
      <c r="D1160" s="84">
        <v>1010287</v>
      </c>
      <c r="F1160" s="83" t="s">
        <v>103</v>
      </c>
      <c r="G1160" s="83">
        <v>0</v>
      </c>
      <c r="H1160" s="83">
        <v>100</v>
      </c>
      <c r="K1160" s="83">
        <v>4</v>
      </c>
      <c r="L1160" s="83" t="s">
        <v>101</v>
      </c>
      <c r="M1160" s="83" t="s">
        <v>410</v>
      </c>
      <c r="N1160" s="83" t="s">
        <v>102</v>
      </c>
      <c r="P1160" s="83">
        <v>0</v>
      </c>
      <c r="U1160" s="83">
        <v>4</v>
      </c>
      <c r="V1160" s="83">
        <v>1</v>
      </c>
      <c r="W1160" s="83" t="s">
        <v>103</v>
      </c>
      <c r="X1160" s="83">
        <v>0</v>
      </c>
    </row>
    <row r="1161" spans="1:25" x14ac:dyDescent="0.2">
      <c r="A1161" s="83">
        <v>1</v>
      </c>
      <c r="B1161" s="84">
        <v>5701603307304</v>
      </c>
      <c r="C1161" s="83">
        <v>80</v>
      </c>
      <c r="D1161" s="84">
        <v>1020145</v>
      </c>
      <c r="F1161" s="83" t="s">
        <v>103</v>
      </c>
      <c r="G1161" s="83">
        <v>0</v>
      </c>
      <c r="H1161" s="83">
        <v>100</v>
      </c>
      <c r="K1161" s="83" t="s">
        <v>408</v>
      </c>
      <c r="L1161" s="83" t="s">
        <v>101</v>
      </c>
      <c r="M1161" s="83" t="s">
        <v>410</v>
      </c>
      <c r="N1161" s="83" t="s">
        <v>102</v>
      </c>
      <c r="P1161" s="83">
        <v>0</v>
      </c>
      <c r="U1161" s="83">
        <v>4</v>
      </c>
      <c r="V1161" s="83">
        <v>1</v>
      </c>
      <c r="W1161" s="83" t="s">
        <v>103</v>
      </c>
      <c r="X1161" s="83">
        <v>0</v>
      </c>
    </row>
    <row r="1162" spans="1:25" x14ac:dyDescent="0.2">
      <c r="A1162" s="83">
        <v>1</v>
      </c>
      <c r="B1162" s="84">
        <v>5701603307304</v>
      </c>
      <c r="C1162" s="83">
        <v>90</v>
      </c>
      <c r="D1162" s="84">
        <v>777500304</v>
      </c>
      <c r="F1162" s="83" t="s">
        <v>103</v>
      </c>
      <c r="G1162" s="83">
        <v>0</v>
      </c>
      <c r="H1162" s="83">
        <v>100</v>
      </c>
      <c r="K1162" s="83">
        <v>1</v>
      </c>
      <c r="L1162" s="83" t="s">
        <v>101</v>
      </c>
      <c r="M1162" s="83" t="s">
        <v>410</v>
      </c>
      <c r="N1162" s="83" t="s">
        <v>102</v>
      </c>
      <c r="P1162" s="83">
        <v>0</v>
      </c>
      <c r="U1162" s="83">
        <v>4</v>
      </c>
      <c r="V1162" s="83">
        <v>1</v>
      </c>
      <c r="W1162" s="83" t="s">
        <v>103</v>
      </c>
      <c r="X1162" s="83">
        <v>0</v>
      </c>
    </row>
    <row r="1163" spans="1:25" x14ac:dyDescent="0.2">
      <c r="A1163" s="83">
        <v>1</v>
      </c>
      <c r="B1163" s="84">
        <v>5701603308304</v>
      </c>
      <c r="C1163" s="83">
        <v>10</v>
      </c>
      <c r="D1163" s="84">
        <v>5980463308</v>
      </c>
      <c r="F1163" s="83" t="s">
        <v>103</v>
      </c>
      <c r="G1163" s="83">
        <v>0</v>
      </c>
      <c r="H1163" s="83">
        <v>100</v>
      </c>
      <c r="K1163" s="83">
        <v>1</v>
      </c>
      <c r="L1163" s="83" t="s">
        <v>101</v>
      </c>
      <c r="M1163" s="83" t="s">
        <v>410</v>
      </c>
      <c r="N1163" s="83" t="s">
        <v>102</v>
      </c>
      <c r="P1163" s="83">
        <v>0</v>
      </c>
      <c r="U1163" s="83">
        <v>4</v>
      </c>
      <c r="V1163" s="83">
        <v>1</v>
      </c>
      <c r="W1163" s="83" t="s">
        <v>103</v>
      </c>
      <c r="X1163" s="83">
        <v>0</v>
      </c>
      <c r="Y1163" s="83" t="str">
        <f>LEFT(D1163,6)</f>
        <v>598046</v>
      </c>
    </row>
    <row r="1164" spans="1:25" x14ac:dyDescent="0.2">
      <c r="A1164" s="83">
        <v>1</v>
      </c>
      <c r="B1164" s="84">
        <v>5701603308304</v>
      </c>
      <c r="C1164" s="83">
        <v>20</v>
      </c>
      <c r="D1164" s="84">
        <v>5980543308</v>
      </c>
      <c r="F1164" s="83" t="s">
        <v>103</v>
      </c>
      <c r="G1164" s="83">
        <v>0</v>
      </c>
      <c r="H1164" s="83">
        <v>100</v>
      </c>
      <c r="K1164" s="83">
        <v>1</v>
      </c>
      <c r="L1164" s="83" t="s">
        <v>101</v>
      </c>
      <c r="M1164" s="83" t="s">
        <v>410</v>
      </c>
      <c r="N1164" s="83" t="s">
        <v>102</v>
      </c>
      <c r="P1164" s="83">
        <v>0</v>
      </c>
      <c r="U1164" s="83">
        <v>4</v>
      </c>
      <c r="V1164" s="83">
        <v>1</v>
      </c>
      <c r="W1164" s="83" t="s">
        <v>103</v>
      </c>
      <c r="X1164" s="83">
        <v>0</v>
      </c>
    </row>
    <row r="1165" spans="1:25" x14ac:dyDescent="0.2">
      <c r="A1165" s="83">
        <v>1</v>
      </c>
      <c r="B1165" s="84">
        <v>5701603308304</v>
      </c>
      <c r="C1165" s="83">
        <v>30</v>
      </c>
      <c r="D1165" s="84">
        <v>5980623308</v>
      </c>
      <c r="F1165" s="83" t="s">
        <v>103</v>
      </c>
      <c r="G1165" s="83">
        <v>0</v>
      </c>
      <c r="H1165" s="83">
        <v>100</v>
      </c>
      <c r="K1165" s="83">
        <v>1</v>
      </c>
      <c r="L1165" s="83" t="s">
        <v>101</v>
      </c>
      <c r="M1165" s="83" t="s">
        <v>410</v>
      </c>
      <c r="N1165" s="83" t="s">
        <v>102</v>
      </c>
      <c r="P1165" s="83">
        <v>0</v>
      </c>
      <c r="U1165" s="83">
        <v>4</v>
      </c>
      <c r="V1165" s="83">
        <v>1</v>
      </c>
      <c r="W1165" s="83" t="s">
        <v>103</v>
      </c>
      <c r="X1165" s="83">
        <v>0</v>
      </c>
    </row>
    <row r="1166" spans="1:25" x14ac:dyDescent="0.2">
      <c r="A1166" s="83">
        <v>1</v>
      </c>
      <c r="B1166" s="84">
        <v>5701603308304</v>
      </c>
      <c r="C1166" s="83">
        <v>40</v>
      </c>
      <c r="D1166" s="84">
        <v>5980823308</v>
      </c>
      <c r="F1166" s="83" t="s">
        <v>103</v>
      </c>
      <c r="G1166" s="83">
        <v>0</v>
      </c>
      <c r="H1166" s="83">
        <v>100</v>
      </c>
      <c r="K1166" s="83">
        <v>1</v>
      </c>
      <c r="L1166" s="83" t="s">
        <v>101</v>
      </c>
      <c r="M1166" s="83" t="s">
        <v>410</v>
      </c>
      <c r="N1166" s="83" t="s">
        <v>102</v>
      </c>
      <c r="P1166" s="83">
        <v>0</v>
      </c>
      <c r="U1166" s="83">
        <v>4</v>
      </c>
      <c r="V1166" s="83">
        <v>1</v>
      </c>
      <c r="W1166" s="83" t="s">
        <v>103</v>
      </c>
      <c r="X1166" s="83">
        <v>0</v>
      </c>
    </row>
    <row r="1167" spans="1:25" x14ac:dyDescent="0.2">
      <c r="A1167" s="83">
        <v>1</v>
      </c>
      <c r="B1167" s="84">
        <v>5701603308304</v>
      </c>
      <c r="C1167" s="83">
        <v>50</v>
      </c>
      <c r="D1167" s="84">
        <v>5980933308</v>
      </c>
      <c r="F1167" s="83" t="s">
        <v>103</v>
      </c>
      <c r="G1167" s="83">
        <v>0</v>
      </c>
      <c r="H1167" s="83">
        <v>100</v>
      </c>
      <c r="K1167" s="83">
        <v>1</v>
      </c>
      <c r="L1167" s="83" t="s">
        <v>101</v>
      </c>
      <c r="M1167" s="83" t="s">
        <v>410</v>
      </c>
      <c r="N1167" s="83" t="s">
        <v>102</v>
      </c>
      <c r="P1167" s="83">
        <v>0</v>
      </c>
      <c r="U1167" s="83">
        <v>4</v>
      </c>
      <c r="V1167" s="83">
        <v>1</v>
      </c>
      <c r="W1167" s="83" t="s">
        <v>103</v>
      </c>
      <c r="X1167" s="83">
        <v>0</v>
      </c>
    </row>
    <row r="1168" spans="1:25" x14ac:dyDescent="0.2">
      <c r="A1168" s="83">
        <v>1</v>
      </c>
      <c r="B1168" s="84">
        <v>5701603308304</v>
      </c>
      <c r="C1168" s="83">
        <v>60</v>
      </c>
      <c r="D1168" s="84">
        <v>1010286</v>
      </c>
      <c r="F1168" s="83" t="s">
        <v>103</v>
      </c>
      <c r="G1168" s="83">
        <v>0</v>
      </c>
      <c r="H1168" s="83">
        <v>100</v>
      </c>
      <c r="K1168" s="83">
        <v>8</v>
      </c>
      <c r="L1168" s="83" t="s">
        <v>101</v>
      </c>
      <c r="M1168" s="83" t="s">
        <v>410</v>
      </c>
      <c r="N1168" s="83" t="s">
        <v>102</v>
      </c>
      <c r="P1168" s="83">
        <v>0</v>
      </c>
      <c r="U1168" s="83">
        <v>4</v>
      </c>
      <c r="V1168" s="83">
        <v>1</v>
      </c>
      <c r="W1168" s="83" t="s">
        <v>103</v>
      </c>
      <c r="X1168" s="83">
        <v>0</v>
      </c>
    </row>
    <row r="1169" spans="1:25" x14ac:dyDescent="0.2">
      <c r="A1169" s="83">
        <v>1</v>
      </c>
      <c r="B1169" s="84">
        <v>5701603308304</v>
      </c>
      <c r="C1169" s="83">
        <v>70</v>
      </c>
      <c r="D1169" s="84">
        <v>1010288</v>
      </c>
      <c r="F1169" s="83" t="s">
        <v>103</v>
      </c>
      <c r="G1169" s="83">
        <v>0</v>
      </c>
      <c r="H1169" s="83">
        <v>100</v>
      </c>
      <c r="K1169" s="83">
        <v>4</v>
      </c>
      <c r="L1169" s="83" t="s">
        <v>101</v>
      </c>
      <c r="M1169" s="83" t="s">
        <v>410</v>
      </c>
      <c r="N1169" s="83" t="s">
        <v>102</v>
      </c>
      <c r="P1169" s="83">
        <v>0</v>
      </c>
      <c r="U1169" s="83">
        <v>4</v>
      </c>
      <c r="V1169" s="83">
        <v>1</v>
      </c>
      <c r="W1169" s="83" t="s">
        <v>103</v>
      </c>
      <c r="X1169" s="83">
        <v>0</v>
      </c>
    </row>
    <row r="1170" spans="1:25" x14ac:dyDescent="0.2">
      <c r="A1170" s="83">
        <v>1</v>
      </c>
      <c r="B1170" s="84">
        <v>5701603308304</v>
      </c>
      <c r="C1170" s="83">
        <v>80</v>
      </c>
      <c r="D1170" s="84">
        <v>1020145</v>
      </c>
      <c r="F1170" s="83" t="s">
        <v>103</v>
      </c>
      <c r="G1170" s="83">
        <v>0</v>
      </c>
      <c r="H1170" s="83">
        <v>100</v>
      </c>
      <c r="K1170" s="83" t="s">
        <v>408</v>
      </c>
      <c r="L1170" s="83" t="s">
        <v>101</v>
      </c>
      <c r="M1170" s="83" t="s">
        <v>410</v>
      </c>
      <c r="N1170" s="83" t="s">
        <v>102</v>
      </c>
      <c r="P1170" s="83">
        <v>0</v>
      </c>
      <c r="U1170" s="83">
        <v>4</v>
      </c>
      <c r="V1170" s="83">
        <v>1</v>
      </c>
      <c r="W1170" s="83" t="s">
        <v>103</v>
      </c>
      <c r="X1170" s="83">
        <v>0</v>
      </c>
    </row>
    <row r="1171" spans="1:25" x14ac:dyDescent="0.2">
      <c r="A1171" s="83">
        <v>1</v>
      </c>
      <c r="B1171" s="84">
        <v>5701603308304</v>
      </c>
      <c r="C1171" s="83">
        <v>90</v>
      </c>
      <c r="D1171" s="84">
        <v>777500304</v>
      </c>
      <c r="F1171" s="83" t="s">
        <v>103</v>
      </c>
      <c r="G1171" s="83">
        <v>0</v>
      </c>
      <c r="H1171" s="83">
        <v>100</v>
      </c>
      <c r="K1171" s="83">
        <v>1</v>
      </c>
      <c r="L1171" s="83" t="s">
        <v>101</v>
      </c>
      <c r="M1171" s="83" t="s">
        <v>410</v>
      </c>
      <c r="N1171" s="83" t="s">
        <v>102</v>
      </c>
      <c r="P1171" s="83">
        <v>0</v>
      </c>
      <c r="U1171" s="83">
        <v>4</v>
      </c>
      <c r="V1171" s="83">
        <v>1</v>
      </c>
      <c r="W1171" s="83" t="s">
        <v>103</v>
      </c>
      <c r="X1171" s="83">
        <v>0</v>
      </c>
    </row>
    <row r="1172" spans="1:25" x14ac:dyDescent="0.2">
      <c r="A1172" s="83">
        <v>1</v>
      </c>
      <c r="B1172" s="84">
        <v>5701603309304</v>
      </c>
      <c r="C1172" s="83">
        <v>10</v>
      </c>
      <c r="D1172" s="84">
        <v>5980463309</v>
      </c>
      <c r="F1172" s="83" t="s">
        <v>103</v>
      </c>
      <c r="G1172" s="83">
        <v>0</v>
      </c>
      <c r="H1172" s="83">
        <v>100</v>
      </c>
      <c r="K1172" s="83">
        <v>1</v>
      </c>
      <c r="L1172" s="83" t="s">
        <v>101</v>
      </c>
      <c r="M1172" s="83" t="s">
        <v>410</v>
      </c>
      <c r="N1172" s="83" t="s">
        <v>102</v>
      </c>
      <c r="P1172" s="83">
        <v>0</v>
      </c>
      <c r="U1172" s="83">
        <v>4</v>
      </c>
      <c r="V1172" s="83">
        <v>1</v>
      </c>
      <c r="W1172" s="83" t="s">
        <v>103</v>
      </c>
      <c r="X1172" s="83">
        <v>0</v>
      </c>
      <c r="Y1172" s="83" t="str">
        <f>LEFT(D1172,6)</f>
        <v>598046</v>
      </c>
    </row>
    <row r="1173" spans="1:25" x14ac:dyDescent="0.2">
      <c r="A1173" s="83">
        <v>1</v>
      </c>
      <c r="B1173" s="84">
        <v>5701603309304</v>
      </c>
      <c r="C1173" s="83">
        <v>20</v>
      </c>
      <c r="D1173" s="84">
        <v>5980543309</v>
      </c>
      <c r="F1173" s="83" t="s">
        <v>103</v>
      </c>
      <c r="G1173" s="83">
        <v>0</v>
      </c>
      <c r="H1173" s="83">
        <v>100</v>
      </c>
      <c r="K1173" s="83">
        <v>1</v>
      </c>
      <c r="L1173" s="83" t="s">
        <v>101</v>
      </c>
      <c r="M1173" s="83" t="s">
        <v>410</v>
      </c>
      <c r="N1173" s="83" t="s">
        <v>102</v>
      </c>
      <c r="P1173" s="83">
        <v>0</v>
      </c>
      <c r="U1173" s="83">
        <v>4</v>
      </c>
      <c r="V1173" s="83">
        <v>1</v>
      </c>
      <c r="W1173" s="83" t="s">
        <v>103</v>
      </c>
      <c r="X1173" s="83">
        <v>0</v>
      </c>
    </row>
    <row r="1174" spans="1:25" x14ac:dyDescent="0.2">
      <c r="A1174" s="83">
        <v>1</v>
      </c>
      <c r="B1174" s="84">
        <v>5701603309304</v>
      </c>
      <c r="C1174" s="83">
        <v>30</v>
      </c>
      <c r="D1174" s="84">
        <v>5980623309</v>
      </c>
      <c r="F1174" s="83" t="s">
        <v>103</v>
      </c>
      <c r="G1174" s="83">
        <v>0</v>
      </c>
      <c r="H1174" s="83">
        <v>100</v>
      </c>
      <c r="K1174" s="83">
        <v>1</v>
      </c>
      <c r="L1174" s="83" t="s">
        <v>101</v>
      </c>
      <c r="M1174" s="83" t="s">
        <v>410</v>
      </c>
      <c r="N1174" s="83" t="s">
        <v>102</v>
      </c>
      <c r="P1174" s="83">
        <v>0</v>
      </c>
      <c r="U1174" s="83">
        <v>4</v>
      </c>
      <c r="V1174" s="83">
        <v>1</v>
      </c>
      <c r="W1174" s="83" t="s">
        <v>103</v>
      </c>
      <c r="X1174" s="83">
        <v>0</v>
      </c>
    </row>
    <row r="1175" spans="1:25" x14ac:dyDescent="0.2">
      <c r="A1175" s="83">
        <v>1</v>
      </c>
      <c r="B1175" s="84">
        <v>5701603309304</v>
      </c>
      <c r="C1175" s="83">
        <v>40</v>
      </c>
      <c r="D1175" s="84">
        <v>5980823309</v>
      </c>
      <c r="F1175" s="83" t="s">
        <v>103</v>
      </c>
      <c r="G1175" s="83">
        <v>0</v>
      </c>
      <c r="H1175" s="83">
        <v>100</v>
      </c>
      <c r="K1175" s="83">
        <v>1</v>
      </c>
      <c r="L1175" s="83" t="s">
        <v>101</v>
      </c>
      <c r="M1175" s="83" t="s">
        <v>410</v>
      </c>
      <c r="N1175" s="83" t="s">
        <v>102</v>
      </c>
      <c r="P1175" s="83">
        <v>0</v>
      </c>
      <c r="U1175" s="83">
        <v>4</v>
      </c>
      <c r="V1175" s="83">
        <v>1</v>
      </c>
      <c r="W1175" s="83" t="s">
        <v>103</v>
      </c>
      <c r="X1175" s="83">
        <v>0</v>
      </c>
    </row>
    <row r="1176" spans="1:25" x14ac:dyDescent="0.2">
      <c r="A1176" s="83">
        <v>1</v>
      </c>
      <c r="B1176" s="84">
        <v>5701603309304</v>
      </c>
      <c r="C1176" s="83">
        <v>50</v>
      </c>
      <c r="D1176" s="84">
        <v>5980933309</v>
      </c>
      <c r="F1176" s="83" t="s">
        <v>103</v>
      </c>
      <c r="G1176" s="83">
        <v>0</v>
      </c>
      <c r="H1176" s="83">
        <v>100</v>
      </c>
      <c r="K1176" s="83">
        <v>1</v>
      </c>
      <c r="L1176" s="83" t="s">
        <v>101</v>
      </c>
      <c r="M1176" s="83" t="s">
        <v>410</v>
      </c>
      <c r="N1176" s="83" t="s">
        <v>102</v>
      </c>
      <c r="P1176" s="83">
        <v>0</v>
      </c>
      <c r="U1176" s="83">
        <v>4</v>
      </c>
      <c r="V1176" s="83">
        <v>1</v>
      </c>
      <c r="W1176" s="83" t="s">
        <v>103</v>
      </c>
      <c r="X1176" s="83">
        <v>0</v>
      </c>
    </row>
    <row r="1177" spans="1:25" x14ac:dyDescent="0.2">
      <c r="A1177" s="83">
        <v>1</v>
      </c>
      <c r="B1177" s="84">
        <v>5701603309304</v>
      </c>
      <c r="C1177" s="83">
        <v>60</v>
      </c>
      <c r="D1177" s="84">
        <v>1010286</v>
      </c>
      <c r="F1177" s="83" t="s">
        <v>103</v>
      </c>
      <c r="G1177" s="83">
        <v>0</v>
      </c>
      <c r="H1177" s="83">
        <v>100</v>
      </c>
      <c r="K1177" s="83">
        <v>8</v>
      </c>
      <c r="L1177" s="83" t="s">
        <v>101</v>
      </c>
      <c r="M1177" s="83" t="s">
        <v>410</v>
      </c>
      <c r="N1177" s="83" t="s">
        <v>102</v>
      </c>
      <c r="P1177" s="83">
        <v>0</v>
      </c>
      <c r="U1177" s="83">
        <v>4</v>
      </c>
      <c r="V1177" s="83">
        <v>1</v>
      </c>
      <c r="W1177" s="83" t="s">
        <v>103</v>
      </c>
      <c r="X1177" s="83">
        <v>0</v>
      </c>
    </row>
    <row r="1178" spans="1:25" x14ac:dyDescent="0.2">
      <c r="A1178" s="83">
        <v>1</v>
      </c>
      <c r="B1178" s="84">
        <v>5701603309304</v>
      </c>
      <c r="C1178" s="83">
        <v>70</v>
      </c>
      <c r="D1178" s="84">
        <v>1010287</v>
      </c>
      <c r="F1178" s="83" t="s">
        <v>103</v>
      </c>
      <c r="G1178" s="83">
        <v>0</v>
      </c>
      <c r="H1178" s="83">
        <v>100</v>
      </c>
      <c r="K1178" s="83">
        <v>4</v>
      </c>
      <c r="L1178" s="83" t="s">
        <v>101</v>
      </c>
      <c r="M1178" s="83" t="s">
        <v>410</v>
      </c>
      <c r="N1178" s="83" t="s">
        <v>102</v>
      </c>
      <c r="P1178" s="83">
        <v>0</v>
      </c>
      <c r="U1178" s="83">
        <v>4</v>
      </c>
      <c r="V1178" s="83">
        <v>1</v>
      </c>
      <c r="W1178" s="83" t="s">
        <v>103</v>
      </c>
      <c r="X1178" s="83">
        <v>0</v>
      </c>
    </row>
    <row r="1179" spans="1:25" x14ac:dyDescent="0.2">
      <c r="A1179" s="83">
        <v>1</v>
      </c>
      <c r="B1179" s="84">
        <v>5701603309304</v>
      </c>
      <c r="C1179" s="83">
        <v>80</v>
      </c>
      <c r="D1179" s="85">
        <v>1020145</v>
      </c>
      <c r="F1179" s="83" t="s">
        <v>103</v>
      </c>
      <c r="G1179" s="83">
        <v>0</v>
      </c>
      <c r="H1179" s="83">
        <v>100</v>
      </c>
      <c r="K1179" s="83" t="s">
        <v>408</v>
      </c>
      <c r="L1179" s="83" t="s">
        <v>101</v>
      </c>
      <c r="M1179" s="83" t="s">
        <v>410</v>
      </c>
      <c r="N1179" s="83" t="s">
        <v>102</v>
      </c>
      <c r="P1179" s="83">
        <v>0</v>
      </c>
      <c r="U1179" s="83">
        <v>4</v>
      </c>
      <c r="V1179" s="83">
        <v>1</v>
      </c>
      <c r="W1179" s="83" t="s">
        <v>103</v>
      </c>
      <c r="X1179" s="83">
        <v>0</v>
      </c>
    </row>
    <row r="1180" spans="1:25" x14ac:dyDescent="0.2">
      <c r="A1180" s="83">
        <v>1</v>
      </c>
      <c r="B1180" s="84">
        <v>5701603309304</v>
      </c>
      <c r="C1180" s="83">
        <v>90</v>
      </c>
      <c r="D1180" s="84">
        <v>777500304</v>
      </c>
      <c r="F1180" s="83" t="s">
        <v>103</v>
      </c>
      <c r="G1180" s="83">
        <v>0</v>
      </c>
      <c r="H1180" s="83">
        <v>100</v>
      </c>
      <c r="K1180" s="83">
        <v>1</v>
      </c>
      <c r="L1180" s="83" t="s">
        <v>101</v>
      </c>
      <c r="M1180" s="83" t="s">
        <v>410</v>
      </c>
      <c r="N1180" s="83" t="s">
        <v>102</v>
      </c>
      <c r="P1180" s="83">
        <v>0</v>
      </c>
      <c r="U1180" s="83">
        <v>4</v>
      </c>
      <c r="V1180" s="83">
        <v>1</v>
      </c>
      <c r="W1180" s="83" t="s">
        <v>103</v>
      </c>
      <c r="X1180" s="83">
        <v>0</v>
      </c>
    </row>
    <row r="1181" spans="1:25" x14ac:dyDescent="0.2">
      <c r="A1181" s="83">
        <v>1</v>
      </c>
      <c r="B1181" s="84">
        <v>5701603310304</v>
      </c>
      <c r="C1181" s="83">
        <v>10</v>
      </c>
      <c r="D1181" s="84">
        <v>5980463310</v>
      </c>
      <c r="F1181" s="83" t="s">
        <v>103</v>
      </c>
      <c r="G1181" s="83">
        <v>0</v>
      </c>
      <c r="H1181" s="83">
        <v>100</v>
      </c>
      <c r="K1181" s="83">
        <v>1</v>
      </c>
      <c r="L1181" s="83" t="s">
        <v>101</v>
      </c>
      <c r="M1181" s="83" t="s">
        <v>410</v>
      </c>
      <c r="N1181" s="83" t="s">
        <v>102</v>
      </c>
      <c r="P1181" s="83">
        <v>0</v>
      </c>
      <c r="U1181" s="83">
        <v>4</v>
      </c>
      <c r="V1181" s="83">
        <v>1</v>
      </c>
      <c r="W1181" s="83" t="s">
        <v>103</v>
      </c>
      <c r="X1181" s="83">
        <v>0</v>
      </c>
      <c r="Y1181" s="83" t="str">
        <f>LEFT(D1181,6)</f>
        <v>598046</v>
      </c>
    </row>
    <row r="1182" spans="1:25" x14ac:dyDescent="0.2">
      <c r="A1182" s="83">
        <v>1</v>
      </c>
      <c r="B1182" s="84">
        <v>5701603310304</v>
      </c>
      <c r="C1182" s="83">
        <v>20</v>
      </c>
      <c r="D1182" s="84">
        <v>5980543310</v>
      </c>
      <c r="F1182" s="83" t="s">
        <v>103</v>
      </c>
      <c r="G1182" s="83">
        <v>0</v>
      </c>
      <c r="H1182" s="83">
        <v>100</v>
      </c>
      <c r="K1182" s="83">
        <v>1</v>
      </c>
      <c r="L1182" s="83" t="s">
        <v>101</v>
      </c>
      <c r="M1182" s="83" t="s">
        <v>410</v>
      </c>
      <c r="N1182" s="83" t="s">
        <v>102</v>
      </c>
      <c r="P1182" s="83">
        <v>0</v>
      </c>
      <c r="U1182" s="83">
        <v>4</v>
      </c>
      <c r="V1182" s="83">
        <v>1</v>
      </c>
      <c r="W1182" s="83" t="s">
        <v>103</v>
      </c>
      <c r="X1182" s="83">
        <v>0</v>
      </c>
    </row>
    <row r="1183" spans="1:25" x14ac:dyDescent="0.2">
      <c r="A1183" s="83">
        <v>1</v>
      </c>
      <c r="B1183" s="84">
        <v>5701603310304</v>
      </c>
      <c r="C1183" s="83">
        <v>30</v>
      </c>
      <c r="D1183" s="84">
        <v>5980623310</v>
      </c>
      <c r="F1183" s="83" t="s">
        <v>103</v>
      </c>
      <c r="G1183" s="83">
        <v>0</v>
      </c>
      <c r="H1183" s="83">
        <v>100</v>
      </c>
      <c r="K1183" s="83">
        <v>1</v>
      </c>
      <c r="L1183" s="83" t="s">
        <v>101</v>
      </c>
      <c r="M1183" s="83" t="s">
        <v>410</v>
      </c>
      <c r="N1183" s="83" t="s">
        <v>102</v>
      </c>
      <c r="P1183" s="83">
        <v>0</v>
      </c>
      <c r="U1183" s="83">
        <v>4</v>
      </c>
      <c r="V1183" s="83">
        <v>1</v>
      </c>
      <c r="W1183" s="83" t="s">
        <v>103</v>
      </c>
      <c r="X1183" s="83">
        <v>0</v>
      </c>
    </row>
    <row r="1184" spans="1:25" x14ac:dyDescent="0.2">
      <c r="A1184" s="83">
        <v>1</v>
      </c>
      <c r="B1184" s="84">
        <v>5701603310304</v>
      </c>
      <c r="C1184" s="83">
        <v>40</v>
      </c>
      <c r="D1184" s="84">
        <v>5980823310</v>
      </c>
      <c r="F1184" s="83" t="s">
        <v>103</v>
      </c>
      <c r="G1184" s="83">
        <v>0</v>
      </c>
      <c r="H1184" s="83">
        <v>100</v>
      </c>
      <c r="K1184" s="83">
        <v>1</v>
      </c>
      <c r="L1184" s="83" t="s">
        <v>101</v>
      </c>
      <c r="M1184" s="83" t="s">
        <v>410</v>
      </c>
      <c r="N1184" s="83" t="s">
        <v>102</v>
      </c>
      <c r="P1184" s="83">
        <v>0</v>
      </c>
      <c r="U1184" s="83">
        <v>4</v>
      </c>
      <c r="V1184" s="83">
        <v>1</v>
      </c>
      <c r="W1184" s="83" t="s">
        <v>103</v>
      </c>
      <c r="X1184" s="83">
        <v>0</v>
      </c>
    </row>
    <row r="1185" spans="1:25" x14ac:dyDescent="0.2">
      <c r="A1185" s="83">
        <v>1</v>
      </c>
      <c r="B1185" s="84">
        <v>5701603310304</v>
      </c>
      <c r="C1185" s="83">
        <v>50</v>
      </c>
      <c r="D1185" s="84">
        <v>5980933310</v>
      </c>
      <c r="F1185" s="83" t="s">
        <v>103</v>
      </c>
      <c r="G1185" s="83">
        <v>0</v>
      </c>
      <c r="H1185" s="83">
        <v>100</v>
      </c>
      <c r="K1185" s="83">
        <v>1</v>
      </c>
      <c r="L1185" s="83" t="s">
        <v>101</v>
      </c>
      <c r="M1185" s="83" t="s">
        <v>410</v>
      </c>
      <c r="N1185" s="83" t="s">
        <v>102</v>
      </c>
      <c r="P1185" s="83">
        <v>0</v>
      </c>
      <c r="U1185" s="83">
        <v>4</v>
      </c>
      <c r="V1185" s="83">
        <v>1</v>
      </c>
      <c r="W1185" s="83" t="s">
        <v>103</v>
      </c>
      <c r="X1185" s="83">
        <v>0</v>
      </c>
    </row>
    <row r="1186" spans="1:25" x14ac:dyDescent="0.2">
      <c r="A1186" s="83">
        <v>1</v>
      </c>
      <c r="B1186" s="84">
        <v>5701603310304</v>
      </c>
      <c r="C1186" s="83">
        <v>60</v>
      </c>
      <c r="D1186" s="84">
        <v>1010286</v>
      </c>
      <c r="F1186" s="83" t="s">
        <v>103</v>
      </c>
      <c r="G1186" s="83">
        <v>0</v>
      </c>
      <c r="H1186" s="83">
        <v>100</v>
      </c>
      <c r="K1186" s="83">
        <v>8</v>
      </c>
      <c r="L1186" s="83" t="s">
        <v>101</v>
      </c>
      <c r="M1186" s="83" t="s">
        <v>410</v>
      </c>
      <c r="N1186" s="83" t="s">
        <v>102</v>
      </c>
      <c r="P1186" s="83">
        <v>0</v>
      </c>
      <c r="U1186" s="83">
        <v>4</v>
      </c>
      <c r="V1186" s="83">
        <v>1</v>
      </c>
      <c r="W1186" s="83" t="s">
        <v>103</v>
      </c>
      <c r="X1186" s="83">
        <v>0</v>
      </c>
    </row>
    <row r="1187" spans="1:25" x14ac:dyDescent="0.2">
      <c r="A1187" s="83">
        <v>1</v>
      </c>
      <c r="B1187" s="84">
        <v>5701603310304</v>
      </c>
      <c r="C1187" s="83">
        <v>70</v>
      </c>
      <c r="D1187" s="84">
        <v>1010287</v>
      </c>
      <c r="F1187" s="83" t="s">
        <v>103</v>
      </c>
      <c r="G1187" s="83">
        <v>0</v>
      </c>
      <c r="H1187" s="83">
        <v>100</v>
      </c>
      <c r="K1187" s="83">
        <v>4</v>
      </c>
      <c r="L1187" s="83" t="s">
        <v>101</v>
      </c>
      <c r="M1187" s="83" t="s">
        <v>410</v>
      </c>
      <c r="N1187" s="83" t="s">
        <v>102</v>
      </c>
      <c r="P1187" s="83">
        <v>0</v>
      </c>
      <c r="U1187" s="83">
        <v>4</v>
      </c>
      <c r="V1187" s="83">
        <v>1</v>
      </c>
      <c r="W1187" s="83" t="s">
        <v>103</v>
      </c>
      <c r="X1187" s="83">
        <v>0</v>
      </c>
    </row>
    <row r="1188" spans="1:25" x14ac:dyDescent="0.2">
      <c r="A1188" s="83">
        <v>1</v>
      </c>
      <c r="B1188" s="84">
        <v>5701603310304</v>
      </c>
      <c r="C1188" s="83">
        <v>80</v>
      </c>
      <c r="D1188" s="84">
        <v>1020145</v>
      </c>
      <c r="F1188" s="83" t="s">
        <v>103</v>
      </c>
      <c r="G1188" s="83">
        <v>0</v>
      </c>
      <c r="H1188" s="83">
        <v>100</v>
      </c>
      <c r="K1188" s="83" t="s">
        <v>408</v>
      </c>
      <c r="L1188" s="83" t="s">
        <v>101</v>
      </c>
      <c r="M1188" s="83" t="s">
        <v>410</v>
      </c>
      <c r="N1188" s="83" t="s">
        <v>102</v>
      </c>
      <c r="P1188" s="83">
        <v>0</v>
      </c>
      <c r="U1188" s="83">
        <v>4</v>
      </c>
      <c r="V1188" s="83">
        <v>1</v>
      </c>
      <c r="W1188" s="83" t="s">
        <v>103</v>
      </c>
      <c r="X1188" s="83">
        <v>0</v>
      </c>
    </row>
    <row r="1189" spans="1:25" x14ac:dyDescent="0.2">
      <c r="A1189" s="83">
        <v>1</v>
      </c>
      <c r="B1189" s="84">
        <v>5701603310304</v>
      </c>
      <c r="C1189" s="83">
        <v>90</v>
      </c>
      <c r="D1189" s="84">
        <v>777500304</v>
      </c>
      <c r="F1189" s="83" t="s">
        <v>103</v>
      </c>
      <c r="G1189" s="83">
        <v>0</v>
      </c>
      <c r="H1189" s="83">
        <v>100</v>
      </c>
      <c r="K1189" s="83">
        <v>1</v>
      </c>
      <c r="L1189" s="83" t="s">
        <v>101</v>
      </c>
      <c r="M1189" s="83" t="s">
        <v>410</v>
      </c>
      <c r="N1189" s="83" t="s">
        <v>102</v>
      </c>
      <c r="P1189" s="83">
        <v>0</v>
      </c>
      <c r="U1189" s="83">
        <v>4</v>
      </c>
      <c r="V1189" s="83">
        <v>1</v>
      </c>
      <c r="W1189" s="83" t="s">
        <v>103</v>
      </c>
      <c r="X1189" s="83">
        <v>0</v>
      </c>
    </row>
    <row r="1190" spans="1:25" x14ac:dyDescent="0.2">
      <c r="A1190" s="83">
        <v>1</v>
      </c>
      <c r="B1190" s="84">
        <v>5701603300421</v>
      </c>
      <c r="C1190" s="83">
        <v>10</v>
      </c>
      <c r="D1190" s="84">
        <v>5980463399</v>
      </c>
      <c r="F1190" s="83" t="s">
        <v>103</v>
      </c>
      <c r="G1190" s="83">
        <v>0</v>
      </c>
      <c r="H1190" s="83">
        <v>100</v>
      </c>
      <c r="K1190" s="83">
        <v>1</v>
      </c>
      <c r="L1190" s="83" t="s">
        <v>101</v>
      </c>
      <c r="M1190" s="83" t="s">
        <v>410</v>
      </c>
      <c r="N1190" s="83" t="s">
        <v>102</v>
      </c>
      <c r="P1190" s="83">
        <v>0</v>
      </c>
      <c r="U1190" s="83">
        <v>4</v>
      </c>
      <c r="V1190" s="83">
        <v>1</v>
      </c>
      <c r="W1190" s="83" t="s">
        <v>103</v>
      </c>
      <c r="X1190" s="83">
        <v>0</v>
      </c>
      <c r="Y1190" s="83" t="str">
        <f>LEFT(D1190,6)</f>
        <v>598046</v>
      </c>
    </row>
    <row r="1191" spans="1:25" x14ac:dyDescent="0.2">
      <c r="A1191" s="83">
        <v>1</v>
      </c>
      <c r="B1191" s="84">
        <v>5701603300421</v>
      </c>
      <c r="C1191" s="83">
        <v>20</v>
      </c>
      <c r="D1191" s="84">
        <v>5980543399</v>
      </c>
      <c r="F1191" s="83" t="s">
        <v>103</v>
      </c>
      <c r="G1191" s="83">
        <v>0</v>
      </c>
      <c r="H1191" s="83">
        <v>100</v>
      </c>
      <c r="K1191" s="83">
        <v>1</v>
      </c>
      <c r="L1191" s="83" t="s">
        <v>101</v>
      </c>
      <c r="M1191" s="83" t="s">
        <v>410</v>
      </c>
      <c r="N1191" s="83" t="s">
        <v>102</v>
      </c>
      <c r="P1191" s="83">
        <v>0</v>
      </c>
      <c r="U1191" s="83">
        <v>4</v>
      </c>
      <c r="V1191" s="83">
        <v>1</v>
      </c>
      <c r="W1191" s="83" t="s">
        <v>103</v>
      </c>
      <c r="X1191" s="83">
        <v>0</v>
      </c>
    </row>
    <row r="1192" spans="1:25" x14ac:dyDescent="0.2">
      <c r="A1192" s="83">
        <v>1</v>
      </c>
      <c r="B1192" s="84">
        <v>5701603300421</v>
      </c>
      <c r="C1192" s="83">
        <v>30</v>
      </c>
      <c r="D1192" s="84">
        <v>5980623399</v>
      </c>
      <c r="F1192" s="83" t="s">
        <v>103</v>
      </c>
      <c r="G1192" s="83">
        <v>0</v>
      </c>
      <c r="H1192" s="83">
        <v>100</v>
      </c>
      <c r="K1192" s="83">
        <v>1</v>
      </c>
      <c r="L1192" s="83" t="s">
        <v>101</v>
      </c>
      <c r="M1192" s="83" t="s">
        <v>410</v>
      </c>
      <c r="N1192" s="83" t="s">
        <v>102</v>
      </c>
      <c r="P1192" s="83">
        <v>0</v>
      </c>
      <c r="U1192" s="83">
        <v>4</v>
      </c>
      <c r="V1192" s="83">
        <v>1</v>
      </c>
      <c r="W1192" s="83" t="s">
        <v>103</v>
      </c>
      <c r="X1192" s="83">
        <v>0</v>
      </c>
    </row>
    <row r="1193" spans="1:25" x14ac:dyDescent="0.2">
      <c r="A1193" s="83">
        <v>1</v>
      </c>
      <c r="B1193" s="84">
        <v>5701603300421</v>
      </c>
      <c r="C1193" s="83">
        <v>40</v>
      </c>
      <c r="D1193" s="84">
        <v>5980823399</v>
      </c>
      <c r="F1193" s="83" t="s">
        <v>103</v>
      </c>
      <c r="G1193" s="83">
        <v>0</v>
      </c>
      <c r="H1193" s="83">
        <v>100</v>
      </c>
      <c r="K1193" s="83">
        <v>1</v>
      </c>
      <c r="L1193" s="83" t="s">
        <v>101</v>
      </c>
      <c r="M1193" s="83" t="s">
        <v>410</v>
      </c>
      <c r="N1193" s="83" t="s">
        <v>102</v>
      </c>
      <c r="P1193" s="83">
        <v>0</v>
      </c>
      <c r="U1193" s="83">
        <v>4</v>
      </c>
      <c r="V1193" s="83">
        <v>1</v>
      </c>
      <c r="W1193" s="83" t="s">
        <v>103</v>
      </c>
      <c r="X1193" s="83">
        <v>0</v>
      </c>
    </row>
    <row r="1194" spans="1:25" x14ac:dyDescent="0.2">
      <c r="A1194" s="83">
        <v>1</v>
      </c>
      <c r="B1194" s="84">
        <v>5701603300421</v>
      </c>
      <c r="C1194" s="83">
        <v>50</v>
      </c>
      <c r="D1194" s="85">
        <v>1010277</v>
      </c>
      <c r="F1194" s="83" t="s">
        <v>103</v>
      </c>
      <c r="G1194" s="83">
        <v>0</v>
      </c>
      <c r="H1194" s="83">
        <v>100</v>
      </c>
      <c r="K1194" s="83">
        <v>1</v>
      </c>
      <c r="L1194" s="83" t="s">
        <v>101</v>
      </c>
      <c r="M1194" s="83" t="s">
        <v>410</v>
      </c>
      <c r="N1194" s="83" t="s">
        <v>102</v>
      </c>
      <c r="P1194" s="83">
        <v>0</v>
      </c>
      <c r="U1194" s="83">
        <v>4</v>
      </c>
      <c r="V1194" s="83">
        <v>1</v>
      </c>
      <c r="W1194" s="83" t="s">
        <v>103</v>
      </c>
      <c r="X1194" s="83">
        <v>0</v>
      </c>
    </row>
    <row r="1195" spans="1:25" x14ac:dyDescent="0.2">
      <c r="A1195" s="83">
        <v>1</v>
      </c>
      <c r="B1195" s="84">
        <v>5701603300421</v>
      </c>
      <c r="C1195" s="83">
        <v>60</v>
      </c>
      <c r="D1195" s="84">
        <v>1010286</v>
      </c>
      <c r="F1195" s="83" t="s">
        <v>103</v>
      </c>
      <c r="G1195" s="83">
        <v>0</v>
      </c>
      <c r="H1195" s="83">
        <v>100</v>
      </c>
      <c r="K1195" s="83">
        <v>8</v>
      </c>
      <c r="L1195" s="83" t="s">
        <v>101</v>
      </c>
      <c r="M1195" s="83" t="s">
        <v>410</v>
      </c>
      <c r="N1195" s="83" t="s">
        <v>102</v>
      </c>
      <c r="P1195" s="83">
        <v>0</v>
      </c>
      <c r="U1195" s="83">
        <v>4</v>
      </c>
      <c r="V1195" s="83">
        <v>1</v>
      </c>
      <c r="W1195" s="83" t="s">
        <v>103</v>
      </c>
      <c r="X1195" s="83">
        <v>0</v>
      </c>
    </row>
    <row r="1196" spans="1:25" x14ac:dyDescent="0.2">
      <c r="A1196" s="83">
        <v>1</v>
      </c>
      <c r="B1196" s="84">
        <v>5701603300421</v>
      </c>
      <c r="C1196" s="83">
        <v>70</v>
      </c>
      <c r="D1196" s="84">
        <v>1010287</v>
      </c>
      <c r="F1196" s="83" t="s">
        <v>103</v>
      </c>
      <c r="G1196" s="83">
        <v>0</v>
      </c>
      <c r="H1196" s="83">
        <v>100</v>
      </c>
      <c r="K1196" s="83">
        <v>4</v>
      </c>
      <c r="L1196" s="83" t="s">
        <v>101</v>
      </c>
      <c r="M1196" s="83" t="s">
        <v>410</v>
      </c>
      <c r="N1196" s="83" t="s">
        <v>102</v>
      </c>
      <c r="P1196" s="83">
        <v>0</v>
      </c>
      <c r="U1196" s="83">
        <v>4</v>
      </c>
      <c r="V1196" s="83">
        <v>1</v>
      </c>
      <c r="W1196" s="83" t="s">
        <v>103</v>
      </c>
      <c r="X1196" s="83">
        <v>0</v>
      </c>
    </row>
    <row r="1197" spans="1:25" x14ac:dyDescent="0.2">
      <c r="A1197" s="83">
        <v>1</v>
      </c>
      <c r="B1197" s="84">
        <v>5701603300421</v>
      </c>
      <c r="C1197" s="83">
        <v>80</v>
      </c>
      <c r="D1197" s="84">
        <v>1020145</v>
      </c>
      <c r="F1197" s="83" t="s">
        <v>103</v>
      </c>
      <c r="G1197" s="83">
        <v>0</v>
      </c>
      <c r="H1197" s="83">
        <v>100</v>
      </c>
      <c r="K1197" s="83" t="s">
        <v>408</v>
      </c>
      <c r="L1197" s="83" t="s">
        <v>101</v>
      </c>
      <c r="M1197" s="83" t="s">
        <v>410</v>
      </c>
      <c r="N1197" s="83" t="s">
        <v>102</v>
      </c>
      <c r="P1197" s="83">
        <v>0</v>
      </c>
      <c r="U1197" s="83">
        <v>4</v>
      </c>
      <c r="V1197" s="83">
        <v>1</v>
      </c>
      <c r="W1197" s="83" t="s">
        <v>103</v>
      </c>
      <c r="X1197" s="83">
        <v>0</v>
      </c>
    </row>
    <row r="1198" spans="1:25" x14ac:dyDescent="0.2">
      <c r="A1198" s="83">
        <v>1</v>
      </c>
      <c r="B1198" s="84">
        <v>5701603300421</v>
      </c>
      <c r="C1198" s="83">
        <v>90</v>
      </c>
      <c r="D1198" s="84">
        <v>777500421</v>
      </c>
      <c r="F1198" s="83" t="s">
        <v>103</v>
      </c>
      <c r="G1198" s="83">
        <v>0</v>
      </c>
      <c r="H1198" s="83">
        <v>100</v>
      </c>
      <c r="K1198" s="83">
        <v>1</v>
      </c>
      <c r="L1198" s="83" t="s">
        <v>101</v>
      </c>
      <c r="M1198" s="83" t="s">
        <v>410</v>
      </c>
      <c r="N1198" s="83" t="s">
        <v>102</v>
      </c>
      <c r="P1198" s="83">
        <v>0</v>
      </c>
      <c r="U1198" s="83">
        <v>4</v>
      </c>
      <c r="V1198" s="83">
        <v>1</v>
      </c>
      <c r="W1198" s="83" t="s">
        <v>103</v>
      </c>
      <c r="X1198" s="83">
        <v>0</v>
      </c>
    </row>
    <row r="1199" spans="1:25" x14ac:dyDescent="0.2">
      <c r="A1199" s="83">
        <v>1</v>
      </c>
      <c r="B1199" s="84">
        <v>5701603301421</v>
      </c>
      <c r="C1199" s="83">
        <v>10</v>
      </c>
      <c r="D1199" s="84">
        <v>5980463301</v>
      </c>
      <c r="F1199" s="83" t="s">
        <v>103</v>
      </c>
      <c r="G1199" s="83">
        <v>0</v>
      </c>
      <c r="H1199" s="83">
        <v>100</v>
      </c>
      <c r="K1199" s="83">
        <v>1</v>
      </c>
      <c r="L1199" s="83" t="s">
        <v>101</v>
      </c>
      <c r="M1199" s="83" t="s">
        <v>410</v>
      </c>
      <c r="N1199" s="83" t="s">
        <v>102</v>
      </c>
      <c r="P1199" s="83">
        <v>0</v>
      </c>
      <c r="U1199" s="83">
        <v>4</v>
      </c>
      <c r="V1199" s="83">
        <v>1</v>
      </c>
      <c r="W1199" s="83" t="s">
        <v>103</v>
      </c>
      <c r="X1199" s="83">
        <v>0</v>
      </c>
      <c r="Y1199" s="83" t="str">
        <f>LEFT(D1199,6)</f>
        <v>598046</v>
      </c>
    </row>
    <row r="1200" spans="1:25" x14ac:dyDescent="0.2">
      <c r="A1200" s="83">
        <v>1</v>
      </c>
      <c r="B1200" s="84">
        <v>5701603301421</v>
      </c>
      <c r="C1200" s="83">
        <v>20</v>
      </c>
      <c r="D1200" s="84">
        <v>5980543301</v>
      </c>
      <c r="F1200" s="83" t="s">
        <v>103</v>
      </c>
      <c r="G1200" s="83">
        <v>0</v>
      </c>
      <c r="H1200" s="83">
        <v>100</v>
      </c>
      <c r="K1200" s="83">
        <v>1</v>
      </c>
      <c r="L1200" s="83" t="s">
        <v>101</v>
      </c>
      <c r="M1200" s="83" t="s">
        <v>410</v>
      </c>
      <c r="N1200" s="83" t="s">
        <v>102</v>
      </c>
      <c r="P1200" s="83">
        <v>0</v>
      </c>
      <c r="U1200" s="83">
        <v>4</v>
      </c>
      <c r="V1200" s="83">
        <v>1</v>
      </c>
      <c r="W1200" s="83" t="s">
        <v>103</v>
      </c>
      <c r="X1200" s="83">
        <v>0</v>
      </c>
    </row>
    <row r="1201" spans="1:25" x14ac:dyDescent="0.2">
      <c r="A1201" s="83">
        <v>1</v>
      </c>
      <c r="B1201" s="84">
        <v>5701603301421</v>
      </c>
      <c r="C1201" s="83">
        <v>30</v>
      </c>
      <c r="D1201" s="84">
        <v>5980623301</v>
      </c>
      <c r="F1201" s="83" t="s">
        <v>103</v>
      </c>
      <c r="G1201" s="83">
        <v>0</v>
      </c>
      <c r="H1201" s="83">
        <v>100</v>
      </c>
      <c r="K1201" s="83">
        <v>1</v>
      </c>
      <c r="L1201" s="83" t="s">
        <v>101</v>
      </c>
      <c r="M1201" s="83" t="s">
        <v>410</v>
      </c>
      <c r="N1201" s="83" t="s">
        <v>102</v>
      </c>
      <c r="P1201" s="83">
        <v>0</v>
      </c>
      <c r="U1201" s="83">
        <v>4</v>
      </c>
      <c r="V1201" s="83">
        <v>1</v>
      </c>
      <c r="W1201" s="83" t="s">
        <v>103</v>
      </c>
      <c r="X1201" s="83">
        <v>0</v>
      </c>
    </row>
    <row r="1202" spans="1:25" x14ac:dyDescent="0.2">
      <c r="A1202" s="83">
        <v>1</v>
      </c>
      <c r="B1202" s="84">
        <v>5701603301421</v>
      </c>
      <c r="C1202" s="83">
        <v>40</v>
      </c>
      <c r="D1202" s="84">
        <v>5980823301</v>
      </c>
      <c r="F1202" s="83" t="s">
        <v>103</v>
      </c>
      <c r="G1202" s="83">
        <v>0</v>
      </c>
      <c r="H1202" s="83">
        <v>100</v>
      </c>
      <c r="K1202" s="83">
        <v>1</v>
      </c>
      <c r="L1202" s="83" t="s">
        <v>101</v>
      </c>
      <c r="M1202" s="83" t="s">
        <v>410</v>
      </c>
      <c r="N1202" s="83" t="s">
        <v>102</v>
      </c>
      <c r="P1202" s="83">
        <v>0</v>
      </c>
      <c r="U1202" s="83">
        <v>4</v>
      </c>
      <c r="V1202" s="83">
        <v>1</v>
      </c>
      <c r="W1202" s="83" t="s">
        <v>103</v>
      </c>
      <c r="X1202" s="83">
        <v>0</v>
      </c>
    </row>
    <row r="1203" spans="1:25" x14ac:dyDescent="0.2">
      <c r="A1203" s="83">
        <v>1</v>
      </c>
      <c r="B1203" s="84">
        <v>5701603301421</v>
      </c>
      <c r="C1203" s="83">
        <v>50</v>
      </c>
      <c r="D1203" s="84">
        <v>5980933301</v>
      </c>
      <c r="F1203" s="83" t="s">
        <v>103</v>
      </c>
      <c r="G1203" s="83">
        <v>0</v>
      </c>
      <c r="H1203" s="83">
        <v>100</v>
      </c>
      <c r="K1203" s="83">
        <v>1</v>
      </c>
      <c r="L1203" s="83" t="s">
        <v>101</v>
      </c>
      <c r="M1203" s="83" t="s">
        <v>410</v>
      </c>
      <c r="N1203" s="83" t="s">
        <v>102</v>
      </c>
      <c r="P1203" s="83">
        <v>0</v>
      </c>
      <c r="U1203" s="83">
        <v>4</v>
      </c>
      <c r="V1203" s="83">
        <v>1</v>
      </c>
      <c r="W1203" s="83" t="s">
        <v>103</v>
      </c>
      <c r="X1203" s="83">
        <v>0</v>
      </c>
    </row>
    <row r="1204" spans="1:25" x14ac:dyDescent="0.2">
      <c r="A1204" s="83">
        <v>1</v>
      </c>
      <c r="B1204" s="84">
        <v>5701603301421</v>
      </c>
      <c r="C1204" s="83">
        <v>60</v>
      </c>
      <c r="D1204" s="84">
        <v>1010286</v>
      </c>
      <c r="F1204" s="83" t="s">
        <v>103</v>
      </c>
      <c r="G1204" s="83">
        <v>0</v>
      </c>
      <c r="H1204" s="83">
        <v>100</v>
      </c>
      <c r="K1204" s="83">
        <v>8</v>
      </c>
      <c r="L1204" s="83" t="s">
        <v>101</v>
      </c>
      <c r="M1204" s="83" t="s">
        <v>410</v>
      </c>
      <c r="N1204" s="83" t="s">
        <v>102</v>
      </c>
      <c r="P1204" s="83">
        <v>0</v>
      </c>
      <c r="U1204" s="83">
        <v>4</v>
      </c>
      <c r="V1204" s="83">
        <v>1</v>
      </c>
      <c r="W1204" s="83" t="s">
        <v>103</v>
      </c>
      <c r="X1204" s="83">
        <v>0</v>
      </c>
    </row>
    <row r="1205" spans="1:25" x14ac:dyDescent="0.2">
      <c r="A1205" s="83">
        <v>1</v>
      </c>
      <c r="B1205" s="84">
        <v>5701603301421</v>
      </c>
      <c r="C1205" s="83">
        <v>70</v>
      </c>
      <c r="D1205" s="84">
        <v>1010287</v>
      </c>
      <c r="F1205" s="83" t="s">
        <v>103</v>
      </c>
      <c r="G1205" s="83">
        <v>0</v>
      </c>
      <c r="H1205" s="83">
        <v>100</v>
      </c>
      <c r="K1205" s="83">
        <v>4</v>
      </c>
      <c r="L1205" s="83" t="s">
        <v>101</v>
      </c>
      <c r="M1205" s="83" t="s">
        <v>410</v>
      </c>
      <c r="N1205" s="83" t="s">
        <v>102</v>
      </c>
      <c r="P1205" s="83">
        <v>0</v>
      </c>
      <c r="U1205" s="83">
        <v>4</v>
      </c>
      <c r="V1205" s="83">
        <v>1</v>
      </c>
      <c r="W1205" s="83" t="s">
        <v>103</v>
      </c>
      <c r="X1205" s="83">
        <v>0</v>
      </c>
    </row>
    <row r="1206" spans="1:25" x14ac:dyDescent="0.2">
      <c r="A1206" s="83">
        <v>1</v>
      </c>
      <c r="B1206" s="84">
        <v>5701603301421</v>
      </c>
      <c r="C1206" s="83">
        <v>80</v>
      </c>
      <c r="D1206" s="84">
        <v>1020145</v>
      </c>
      <c r="F1206" s="83" t="s">
        <v>103</v>
      </c>
      <c r="G1206" s="83">
        <v>0</v>
      </c>
      <c r="H1206" s="83">
        <v>100</v>
      </c>
      <c r="K1206" s="83" t="s">
        <v>408</v>
      </c>
      <c r="L1206" s="83" t="s">
        <v>101</v>
      </c>
      <c r="M1206" s="83" t="s">
        <v>410</v>
      </c>
      <c r="N1206" s="83" t="s">
        <v>102</v>
      </c>
      <c r="P1206" s="83">
        <v>0</v>
      </c>
      <c r="U1206" s="83">
        <v>4</v>
      </c>
      <c r="V1206" s="83">
        <v>1</v>
      </c>
      <c r="W1206" s="83" t="s">
        <v>103</v>
      </c>
      <c r="X1206" s="83">
        <v>0</v>
      </c>
    </row>
    <row r="1207" spans="1:25" x14ac:dyDescent="0.2">
      <c r="A1207" s="83">
        <v>1</v>
      </c>
      <c r="B1207" s="84">
        <v>5701603301421</v>
      </c>
      <c r="C1207" s="83">
        <v>90</v>
      </c>
      <c r="D1207" s="84">
        <v>777500421</v>
      </c>
      <c r="F1207" s="83" t="s">
        <v>103</v>
      </c>
      <c r="G1207" s="83">
        <v>0</v>
      </c>
      <c r="H1207" s="83">
        <v>100</v>
      </c>
      <c r="K1207" s="83">
        <v>1</v>
      </c>
      <c r="L1207" s="83" t="s">
        <v>101</v>
      </c>
      <c r="M1207" s="83" t="s">
        <v>410</v>
      </c>
      <c r="N1207" s="83" t="s">
        <v>102</v>
      </c>
      <c r="P1207" s="83">
        <v>0</v>
      </c>
      <c r="U1207" s="83">
        <v>4</v>
      </c>
      <c r="V1207" s="83">
        <v>1</v>
      </c>
      <c r="W1207" s="83" t="s">
        <v>103</v>
      </c>
      <c r="X1207" s="83">
        <v>0</v>
      </c>
    </row>
    <row r="1208" spans="1:25" x14ac:dyDescent="0.2">
      <c r="A1208" s="83">
        <v>1</v>
      </c>
      <c r="B1208" s="84">
        <v>5701603302421</v>
      </c>
      <c r="C1208" s="83">
        <v>10</v>
      </c>
      <c r="D1208" s="84">
        <v>5980463302</v>
      </c>
      <c r="F1208" s="83" t="s">
        <v>103</v>
      </c>
      <c r="G1208" s="83">
        <v>0</v>
      </c>
      <c r="H1208" s="83">
        <v>100</v>
      </c>
      <c r="K1208" s="83">
        <v>1</v>
      </c>
      <c r="L1208" s="83" t="s">
        <v>101</v>
      </c>
      <c r="M1208" s="83" t="s">
        <v>410</v>
      </c>
      <c r="N1208" s="83" t="s">
        <v>102</v>
      </c>
      <c r="P1208" s="83">
        <v>0</v>
      </c>
      <c r="U1208" s="83">
        <v>4</v>
      </c>
      <c r="V1208" s="83">
        <v>1</v>
      </c>
      <c r="W1208" s="83" t="s">
        <v>103</v>
      </c>
      <c r="X1208" s="83">
        <v>0</v>
      </c>
      <c r="Y1208" s="83" t="str">
        <f>LEFT(D1208,6)</f>
        <v>598046</v>
      </c>
    </row>
    <row r="1209" spans="1:25" x14ac:dyDescent="0.2">
      <c r="A1209" s="83">
        <v>1</v>
      </c>
      <c r="B1209" s="84">
        <v>5701603302421</v>
      </c>
      <c r="C1209" s="83">
        <v>20</v>
      </c>
      <c r="D1209" s="84">
        <v>5980543302</v>
      </c>
      <c r="F1209" s="83" t="s">
        <v>103</v>
      </c>
      <c r="G1209" s="83">
        <v>0</v>
      </c>
      <c r="H1209" s="83">
        <v>100</v>
      </c>
      <c r="K1209" s="83">
        <v>1</v>
      </c>
      <c r="L1209" s="83" t="s">
        <v>101</v>
      </c>
      <c r="M1209" s="83" t="s">
        <v>410</v>
      </c>
      <c r="N1209" s="83" t="s">
        <v>102</v>
      </c>
      <c r="P1209" s="83">
        <v>0</v>
      </c>
      <c r="U1209" s="83">
        <v>4</v>
      </c>
      <c r="V1209" s="83">
        <v>1</v>
      </c>
      <c r="W1209" s="83" t="s">
        <v>103</v>
      </c>
      <c r="X1209" s="83">
        <v>0</v>
      </c>
    </row>
    <row r="1210" spans="1:25" x14ac:dyDescent="0.2">
      <c r="A1210" s="83">
        <v>1</v>
      </c>
      <c r="B1210" s="84">
        <v>5701603302421</v>
      </c>
      <c r="C1210" s="83">
        <v>30</v>
      </c>
      <c r="D1210" s="84">
        <v>5980623302</v>
      </c>
      <c r="F1210" s="83" t="s">
        <v>103</v>
      </c>
      <c r="G1210" s="83">
        <v>0</v>
      </c>
      <c r="H1210" s="83">
        <v>100</v>
      </c>
      <c r="K1210" s="83">
        <v>1</v>
      </c>
      <c r="L1210" s="83" t="s">
        <v>101</v>
      </c>
      <c r="M1210" s="83" t="s">
        <v>410</v>
      </c>
      <c r="N1210" s="83" t="s">
        <v>102</v>
      </c>
      <c r="P1210" s="83">
        <v>0</v>
      </c>
      <c r="U1210" s="83">
        <v>4</v>
      </c>
      <c r="V1210" s="83">
        <v>1</v>
      </c>
      <c r="W1210" s="83" t="s">
        <v>103</v>
      </c>
      <c r="X1210" s="83">
        <v>0</v>
      </c>
    </row>
    <row r="1211" spans="1:25" x14ac:dyDescent="0.2">
      <c r="A1211" s="83">
        <v>1</v>
      </c>
      <c r="B1211" s="84">
        <v>5701603302421</v>
      </c>
      <c r="C1211" s="83">
        <v>40</v>
      </c>
      <c r="D1211" s="84">
        <v>5980823302</v>
      </c>
      <c r="F1211" s="83" t="s">
        <v>103</v>
      </c>
      <c r="G1211" s="83">
        <v>0</v>
      </c>
      <c r="H1211" s="83">
        <v>100</v>
      </c>
      <c r="K1211" s="83">
        <v>1</v>
      </c>
      <c r="L1211" s="83" t="s">
        <v>101</v>
      </c>
      <c r="M1211" s="83" t="s">
        <v>410</v>
      </c>
      <c r="N1211" s="83" t="s">
        <v>102</v>
      </c>
      <c r="P1211" s="83">
        <v>0</v>
      </c>
      <c r="U1211" s="83">
        <v>4</v>
      </c>
      <c r="V1211" s="83">
        <v>1</v>
      </c>
      <c r="W1211" s="83" t="s">
        <v>103</v>
      </c>
      <c r="X1211" s="83">
        <v>0</v>
      </c>
    </row>
    <row r="1212" spans="1:25" x14ac:dyDescent="0.2">
      <c r="A1212" s="83">
        <v>1</v>
      </c>
      <c r="B1212" s="84">
        <v>5701603302421</v>
      </c>
      <c r="C1212" s="83">
        <v>50</v>
      </c>
      <c r="D1212" s="84">
        <v>5980933302</v>
      </c>
      <c r="F1212" s="83" t="s">
        <v>103</v>
      </c>
      <c r="G1212" s="83">
        <v>0</v>
      </c>
      <c r="H1212" s="83">
        <v>100</v>
      </c>
      <c r="K1212" s="83">
        <v>1</v>
      </c>
      <c r="L1212" s="83" t="s">
        <v>101</v>
      </c>
      <c r="M1212" s="83" t="s">
        <v>410</v>
      </c>
      <c r="N1212" s="83" t="s">
        <v>102</v>
      </c>
      <c r="P1212" s="83">
        <v>0</v>
      </c>
      <c r="U1212" s="83">
        <v>4</v>
      </c>
      <c r="V1212" s="83">
        <v>1</v>
      </c>
      <c r="W1212" s="83" t="s">
        <v>103</v>
      </c>
      <c r="X1212" s="83">
        <v>0</v>
      </c>
    </row>
    <row r="1213" spans="1:25" x14ac:dyDescent="0.2">
      <c r="A1213" s="83">
        <v>1</v>
      </c>
      <c r="B1213" s="84">
        <v>5701603302421</v>
      </c>
      <c r="C1213" s="83">
        <v>60</v>
      </c>
      <c r="D1213" s="84">
        <v>1010286</v>
      </c>
      <c r="F1213" s="83" t="s">
        <v>103</v>
      </c>
      <c r="G1213" s="83">
        <v>0</v>
      </c>
      <c r="H1213" s="83">
        <v>100</v>
      </c>
      <c r="K1213" s="83">
        <v>8</v>
      </c>
      <c r="L1213" s="83" t="s">
        <v>101</v>
      </c>
      <c r="M1213" s="83" t="s">
        <v>410</v>
      </c>
      <c r="N1213" s="83" t="s">
        <v>102</v>
      </c>
      <c r="P1213" s="83">
        <v>0</v>
      </c>
      <c r="U1213" s="83">
        <v>4</v>
      </c>
      <c r="V1213" s="83">
        <v>1</v>
      </c>
      <c r="W1213" s="83" t="s">
        <v>103</v>
      </c>
      <c r="X1213" s="83">
        <v>0</v>
      </c>
    </row>
    <row r="1214" spans="1:25" x14ac:dyDescent="0.2">
      <c r="A1214" s="83">
        <v>1</v>
      </c>
      <c r="B1214" s="84">
        <v>5701603302421</v>
      </c>
      <c r="C1214" s="83">
        <v>70</v>
      </c>
      <c r="D1214" s="84">
        <v>1010288</v>
      </c>
      <c r="F1214" s="83" t="s">
        <v>103</v>
      </c>
      <c r="G1214" s="83">
        <v>0</v>
      </c>
      <c r="H1214" s="83">
        <v>100</v>
      </c>
      <c r="K1214" s="83">
        <v>4</v>
      </c>
      <c r="L1214" s="83" t="s">
        <v>101</v>
      </c>
      <c r="M1214" s="83" t="s">
        <v>410</v>
      </c>
      <c r="N1214" s="83" t="s">
        <v>102</v>
      </c>
      <c r="P1214" s="83">
        <v>0</v>
      </c>
      <c r="U1214" s="83">
        <v>4</v>
      </c>
      <c r="V1214" s="83">
        <v>1</v>
      </c>
      <c r="W1214" s="83" t="s">
        <v>103</v>
      </c>
      <c r="X1214" s="83">
        <v>0</v>
      </c>
    </row>
    <row r="1215" spans="1:25" x14ac:dyDescent="0.2">
      <c r="A1215" s="83">
        <v>1</v>
      </c>
      <c r="B1215" s="84">
        <v>5701603302421</v>
      </c>
      <c r="C1215" s="83">
        <v>80</v>
      </c>
      <c r="D1215" s="84">
        <v>1020145</v>
      </c>
      <c r="F1215" s="83" t="s">
        <v>103</v>
      </c>
      <c r="G1215" s="83">
        <v>0</v>
      </c>
      <c r="H1215" s="83">
        <v>100</v>
      </c>
      <c r="K1215" s="83" t="s">
        <v>408</v>
      </c>
      <c r="L1215" s="83" t="s">
        <v>101</v>
      </c>
      <c r="M1215" s="83" t="s">
        <v>410</v>
      </c>
      <c r="N1215" s="83" t="s">
        <v>102</v>
      </c>
      <c r="P1215" s="83">
        <v>0</v>
      </c>
      <c r="U1215" s="83">
        <v>4</v>
      </c>
      <c r="V1215" s="83">
        <v>1</v>
      </c>
      <c r="W1215" s="83" t="s">
        <v>103</v>
      </c>
      <c r="X1215" s="83">
        <v>0</v>
      </c>
    </row>
    <row r="1216" spans="1:25" x14ac:dyDescent="0.2">
      <c r="A1216" s="83">
        <v>1</v>
      </c>
      <c r="B1216" s="84">
        <v>5701603302421</v>
      </c>
      <c r="C1216" s="83">
        <v>90</v>
      </c>
      <c r="D1216" s="84">
        <v>777500421</v>
      </c>
      <c r="F1216" s="83" t="s">
        <v>103</v>
      </c>
      <c r="G1216" s="83">
        <v>0</v>
      </c>
      <c r="H1216" s="83">
        <v>100</v>
      </c>
      <c r="K1216" s="83">
        <v>1</v>
      </c>
      <c r="L1216" s="83" t="s">
        <v>101</v>
      </c>
      <c r="M1216" s="83" t="s">
        <v>410</v>
      </c>
      <c r="N1216" s="83" t="s">
        <v>102</v>
      </c>
      <c r="P1216" s="83">
        <v>0</v>
      </c>
      <c r="U1216" s="83">
        <v>4</v>
      </c>
      <c r="V1216" s="83">
        <v>1</v>
      </c>
      <c r="W1216" s="83" t="s">
        <v>103</v>
      </c>
      <c r="X1216" s="83">
        <v>0</v>
      </c>
    </row>
    <row r="1217" spans="1:25" x14ac:dyDescent="0.2">
      <c r="A1217" s="83">
        <v>1</v>
      </c>
      <c r="B1217" s="84">
        <v>5701603303421</v>
      </c>
      <c r="C1217" s="83">
        <v>10</v>
      </c>
      <c r="D1217" s="84">
        <v>5980463303</v>
      </c>
      <c r="F1217" s="83" t="s">
        <v>103</v>
      </c>
      <c r="G1217" s="83">
        <v>0</v>
      </c>
      <c r="H1217" s="83">
        <v>100</v>
      </c>
      <c r="K1217" s="83">
        <v>1</v>
      </c>
      <c r="L1217" s="83" t="s">
        <v>101</v>
      </c>
      <c r="M1217" s="83" t="s">
        <v>410</v>
      </c>
      <c r="N1217" s="83" t="s">
        <v>102</v>
      </c>
      <c r="P1217" s="83">
        <v>0</v>
      </c>
      <c r="U1217" s="83">
        <v>4</v>
      </c>
      <c r="V1217" s="83">
        <v>1</v>
      </c>
      <c r="W1217" s="83" t="s">
        <v>103</v>
      </c>
      <c r="X1217" s="83">
        <v>0</v>
      </c>
      <c r="Y1217" s="83" t="str">
        <f>LEFT(D1217,6)</f>
        <v>598046</v>
      </c>
    </row>
    <row r="1218" spans="1:25" x14ac:dyDescent="0.2">
      <c r="A1218" s="83">
        <v>1</v>
      </c>
      <c r="B1218" s="84">
        <v>5701603303421</v>
      </c>
      <c r="C1218" s="83">
        <v>20</v>
      </c>
      <c r="D1218" s="84">
        <v>5980543303</v>
      </c>
      <c r="F1218" s="83" t="s">
        <v>103</v>
      </c>
      <c r="G1218" s="83">
        <v>0</v>
      </c>
      <c r="H1218" s="83">
        <v>100</v>
      </c>
      <c r="K1218" s="83">
        <v>1</v>
      </c>
      <c r="L1218" s="83" t="s">
        <v>101</v>
      </c>
      <c r="M1218" s="83" t="s">
        <v>410</v>
      </c>
      <c r="N1218" s="83" t="s">
        <v>102</v>
      </c>
      <c r="P1218" s="83">
        <v>0</v>
      </c>
      <c r="U1218" s="83">
        <v>4</v>
      </c>
      <c r="V1218" s="83">
        <v>1</v>
      </c>
      <c r="W1218" s="83" t="s">
        <v>103</v>
      </c>
      <c r="X1218" s="83">
        <v>0</v>
      </c>
    </row>
    <row r="1219" spans="1:25" x14ac:dyDescent="0.2">
      <c r="A1219" s="83">
        <v>1</v>
      </c>
      <c r="B1219" s="84">
        <v>5701603303421</v>
      </c>
      <c r="C1219" s="83">
        <v>30</v>
      </c>
      <c r="D1219" s="84">
        <v>5980623303</v>
      </c>
      <c r="F1219" s="83" t="s">
        <v>103</v>
      </c>
      <c r="G1219" s="83">
        <v>0</v>
      </c>
      <c r="H1219" s="83">
        <v>100</v>
      </c>
      <c r="K1219" s="83">
        <v>1</v>
      </c>
      <c r="L1219" s="83" t="s">
        <v>101</v>
      </c>
      <c r="M1219" s="83" t="s">
        <v>410</v>
      </c>
      <c r="N1219" s="83" t="s">
        <v>102</v>
      </c>
      <c r="P1219" s="83">
        <v>0</v>
      </c>
      <c r="U1219" s="83">
        <v>4</v>
      </c>
      <c r="V1219" s="83">
        <v>1</v>
      </c>
      <c r="W1219" s="83" t="s">
        <v>103</v>
      </c>
      <c r="X1219" s="83">
        <v>0</v>
      </c>
    </row>
    <row r="1220" spans="1:25" x14ac:dyDescent="0.2">
      <c r="A1220" s="83">
        <v>1</v>
      </c>
      <c r="B1220" s="84">
        <v>5701603303421</v>
      </c>
      <c r="C1220" s="83">
        <v>40</v>
      </c>
      <c r="D1220" s="84">
        <v>5980823303</v>
      </c>
      <c r="F1220" s="83" t="s">
        <v>103</v>
      </c>
      <c r="G1220" s="83">
        <v>0</v>
      </c>
      <c r="H1220" s="83">
        <v>100</v>
      </c>
      <c r="K1220" s="83">
        <v>1</v>
      </c>
      <c r="L1220" s="83" t="s">
        <v>101</v>
      </c>
      <c r="M1220" s="83" t="s">
        <v>410</v>
      </c>
      <c r="N1220" s="83" t="s">
        <v>102</v>
      </c>
      <c r="P1220" s="83">
        <v>0</v>
      </c>
      <c r="U1220" s="83">
        <v>4</v>
      </c>
      <c r="V1220" s="83">
        <v>1</v>
      </c>
      <c r="W1220" s="83" t="s">
        <v>103</v>
      </c>
      <c r="X1220" s="83">
        <v>0</v>
      </c>
    </row>
    <row r="1221" spans="1:25" x14ac:dyDescent="0.2">
      <c r="A1221" s="83">
        <v>1</v>
      </c>
      <c r="B1221" s="84">
        <v>5701603303421</v>
      </c>
      <c r="C1221" s="83">
        <v>50</v>
      </c>
      <c r="D1221" s="84">
        <v>5980933303</v>
      </c>
      <c r="F1221" s="83" t="s">
        <v>103</v>
      </c>
      <c r="G1221" s="83">
        <v>0</v>
      </c>
      <c r="H1221" s="83">
        <v>100</v>
      </c>
      <c r="K1221" s="83">
        <v>1</v>
      </c>
      <c r="L1221" s="83" t="s">
        <v>101</v>
      </c>
      <c r="M1221" s="83" t="s">
        <v>410</v>
      </c>
      <c r="N1221" s="83" t="s">
        <v>102</v>
      </c>
      <c r="P1221" s="83">
        <v>0</v>
      </c>
      <c r="U1221" s="83">
        <v>4</v>
      </c>
      <c r="V1221" s="83">
        <v>1</v>
      </c>
      <c r="W1221" s="83" t="s">
        <v>103</v>
      </c>
      <c r="X1221" s="83">
        <v>0</v>
      </c>
    </row>
    <row r="1222" spans="1:25" x14ac:dyDescent="0.2">
      <c r="A1222" s="83">
        <v>1</v>
      </c>
      <c r="B1222" s="84">
        <v>5701603303421</v>
      </c>
      <c r="C1222" s="83">
        <v>60</v>
      </c>
      <c r="D1222" s="84">
        <v>1010286</v>
      </c>
      <c r="F1222" s="83" t="s">
        <v>103</v>
      </c>
      <c r="G1222" s="83">
        <v>0</v>
      </c>
      <c r="H1222" s="83">
        <v>100</v>
      </c>
      <c r="K1222" s="83">
        <v>8</v>
      </c>
      <c r="L1222" s="83" t="s">
        <v>101</v>
      </c>
      <c r="M1222" s="83" t="s">
        <v>410</v>
      </c>
      <c r="N1222" s="83" t="s">
        <v>102</v>
      </c>
      <c r="P1222" s="83">
        <v>0</v>
      </c>
      <c r="U1222" s="83">
        <v>4</v>
      </c>
      <c r="V1222" s="83">
        <v>1</v>
      </c>
      <c r="W1222" s="83" t="s">
        <v>103</v>
      </c>
      <c r="X1222" s="83">
        <v>0</v>
      </c>
    </row>
    <row r="1223" spans="1:25" x14ac:dyDescent="0.2">
      <c r="A1223" s="83">
        <v>1</v>
      </c>
      <c r="B1223" s="84">
        <v>5701603303421</v>
      </c>
      <c r="C1223" s="83">
        <v>70</v>
      </c>
      <c r="D1223" s="84">
        <v>1010287</v>
      </c>
      <c r="F1223" s="83" t="s">
        <v>103</v>
      </c>
      <c r="G1223" s="83">
        <v>0</v>
      </c>
      <c r="H1223" s="83">
        <v>100</v>
      </c>
      <c r="K1223" s="83">
        <v>4</v>
      </c>
      <c r="L1223" s="83" t="s">
        <v>101</v>
      </c>
      <c r="M1223" s="83" t="s">
        <v>410</v>
      </c>
      <c r="N1223" s="83" t="s">
        <v>102</v>
      </c>
      <c r="P1223" s="83">
        <v>0</v>
      </c>
      <c r="U1223" s="83">
        <v>4</v>
      </c>
      <c r="V1223" s="83">
        <v>1</v>
      </c>
      <c r="W1223" s="83" t="s">
        <v>103</v>
      </c>
      <c r="X1223" s="83">
        <v>0</v>
      </c>
    </row>
    <row r="1224" spans="1:25" x14ac:dyDescent="0.2">
      <c r="A1224" s="83">
        <v>1</v>
      </c>
      <c r="B1224" s="84">
        <v>5701603303421</v>
      </c>
      <c r="C1224" s="83">
        <v>80</v>
      </c>
      <c r="D1224" s="84">
        <v>1020145</v>
      </c>
      <c r="F1224" s="83" t="s">
        <v>103</v>
      </c>
      <c r="G1224" s="83">
        <v>0</v>
      </c>
      <c r="H1224" s="83">
        <v>100</v>
      </c>
      <c r="K1224" s="83" t="s">
        <v>408</v>
      </c>
      <c r="L1224" s="83" t="s">
        <v>101</v>
      </c>
      <c r="M1224" s="83" t="s">
        <v>410</v>
      </c>
      <c r="N1224" s="83" t="s">
        <v>102</v>
      </c>
      <c r="P1224" s="83">
        <v>0</v>
      </c>
      <c r="U1224" s="83">
        <v>4</v>
      </c>
      <c r="V1224" s="83">
        <v>1</v>
      </c>
      <c r="W1224" s="83" t="s">
        <v>103</v>
      </c>
      <c r="X1224" s="83">
        <v>0</v>
      </c>
    </row>
    <row r="1225" spans="1:25" x14ac:dyDescent="0.2">
      <c r="A1225" s="83">
        <v>1</v>
      </c>
      <c r="B1225" s="84">
        <v>5701603303421</v>
      </c>
      <c r="C1225" s="83">
        <v>90</v>
      </c>
      <c r="D1225" s="84">
        <v>777500421</v>
      </c>
      <c r="F1225" s="83" t="s">
        <v>103</v>
      </c>
      <c r="G1225" s="83">
        <v>0</v>
      </c>
      <c r="H1225" s="83">
        <v>100</v>
      </c>
      <c r="K1225" s="83">
        <v>1</v>
      </c>
      <c r="L1225" s="83" t="s">
        <v>101</v>
      </c>
      <c r="M1225" s="83" t="s">
        <v>410</v>
      </c>
      <c r="N1225" s="83" t="s">
        <v>102</v>
      </c>
      <c r="P1225" s="83">
        <v>0</v>
      </c>
      <c r="U1225" s="83">
        <v>4</v>
      </c>
      <c r="V1225" s="83">
        <v>1</v>
      </c>
      <c r="W1225" s="83" t="s">
        <v>103</v>
      </c>
      <c r="X1225" s="83">
        <v>0</v>
      </c>
    </row>
    <row r="1226" spans="1:25" x14ac:dyDescent="0.2">
      <c r="A1226" s="83">
        <v>1</v>
      </c>
      <c r="B1226" s="84">
        <v>5701603304421</v>
      </c>
      <c r="C1226" s="83">
        <v>10</v>
      </c>
      <c r="D1226" s="84">
        <v>5980463304</v>
      </c>
      <c r="F1226" s="83" t="s">
        <v>103</v>
      </c>
      <c r="G1226" s="83">
        <v>0</v>
      </c>
      <c r="H1226" s="83">
        <v>100</v>
      </c>
      <c r="K1226" s="83">
        <v>1</v>
      </c>
      <c r="L1226" s="83" t="s">
        <v>101</v>
      </c>
      <c r="M1226" s="83" t="s">
        <v>410</v>
      </c>
      <c r="N1226" s="83" t="s">
        <v>102</v>
      </c>
      <c r="P1226" s="83">
        <v>0</v>
      </c>
      <c r="U1226" s="83">
        <v>4</v>
      </c>
      <c r="V1226" s="83">
        <v>1</v>
      </c>
      <c r="W1226" s="83" t="s">
        <v>103</v>
      </c>
      <c r="X1226" s="83">
        <v>0</v>
      </c>
      <c r="Y1226" s="83" t="str">
        <f>LEFT(D1226,6)</f>
        <v>598046</v>
      </c>
    </row>
    <row r="1227" spans="1:25" x14ac:dyDescent="0.2">
      <c r="A1227" s="83">
        <v>1</v>
      </c>
      <c r="B1227" s="84">
        <v>5701603304421</v>
      </c>
      <c r="C1227" s="83">
        <v>20</v>
      </c>
      <c r="D1227" s="84">
        <v>5980543304</v>
      </c>
      <c r="F1227" s="83" t="s">
        <v>103</v>
      </c>
      <c r="G1227" s="83">
        <v>0</v>
      </c>
      <c r="H1227" s="83">
        <v>100</v>
      </c>
      <c r="K1227" s="83">
        <v>1</v>
      </c>
      <c r="L1227" s="83" t="s">
        <v>101</v>
      </c>
      <c r="M1227" s="83" t="s">
        <v>410</v>
      </c>
      <c r="N1227" s="83" t="s">
        <v>102</v>
      </c>
      <c r="P1227" s="83">
        <v>0</v>
      </c>
      <c r="U1227" s="83">
        <v>4</v>
      </c>
      <c r="V1227" s="83">
        <v>1</v>
      </c>
      <c r="W1227" s="83" t="s">
        <v>103</v>
      </c>
      <c r="X1227" s="83">
        <v>0</v>
      </c>
    </row>
    <row r="1228" spans="1:25" x14ac:dyDescent="0.2">
      <c r="A1228" s="83">
        <v>1</v>
      </c>
      <c r="B1228" s="84">
        <v>5701603304421</v>
      </c>
      <c r="C1228" s="83">
        <v>30</v>
      </c>
      <c r="D1228" s="84">
        <v>5980623304</v>
      </c>
      <c r="F1228" s="83" t="s">
        <v>103</v>
      </c>
      <c r="G1228" s="83">
        <v>0</v>
      </c>
      <c r="H1228" s="83">
        <v>100</v>
      </c>
      <c r="K1228" s="83">
        <v>1</v>
      </c>
      <c r="L1228" s="83" t="s">
        <v>101</v>
      </c>
      <c r="M1228" s="83" t="s">
        <v>410</v>
      </c>
      <c r="N1228" s="83" t="s">
        <v>102</v>
      </c>
      <c r="P1228" s="83">
        <v>0</v>
      </c>
      <c r="U1228" s="83">
        <v>4</v>
      </c>
      <c r="V1228" s="83">
        <v>1</v>
      </c>
      <c r="W1228" s="83" t="s">
        <v>103</v>
      </c>
      <c r="X1228" s="83">
        <v>0</v>
      </c>
    </row>
    <row r="1229" spans="1:25" x14ac:dyDescent="0.2">
      <c r="A1229" s="83">
        <v>1</v>
      </c>
      <c r="B1229" s="84">
        <v>5701603304421</v>
      </c>
      <c r="C1229" s="83">
        <v>40</v>
      </c>
      <c r="D1229" s="84">
        <v>5980823304</v>
      </c>
      <c r="F1229" s="83" t="s">
        <v>103</v>
      </c>
      <c r="G1229" s="83">
        <v>0</v>
      </c>
      <c r="H1229" s="83">
        <v>100</v>
      </c>
      <c r="K1229" s="83">
        <v>1</v>
      </c>
      <c r="L1229" s="83" t="s">
        <v>101</v>
      </c>
      <c r="M1229" s="83" t="s">
        <v>410</v>
      </c>
      <c r="N1229" s="83" t="s">
        <v>102</v>
      </c>
      <c r="P1229" s="83">
        <v>0</v>
      </c>
      <c r="U1229" s="83">
        <v>4</v>
      </c>
      <c r="V1229" s="83">
        <v>1</v>
      </c>
      <c r="W1229" s="83" t="s">
        <v>103</v>
      </c>
      <c r="X1229" s="83">
        <v>0</v>
      </c>
    </row>
    <row r="1230" spans="1:25" x14ac:dyDescent="0.2">
      <c r="A1230" s="83">
        <v>1</v>
      </c>
      <c r="B1230" s="84">
        <v>5701603304421</v>
      </c>
      <c r="C1230" s="83">
        <v>50</v>
      </c>
      <c r="D1230" s="84">
        <v>5980933304</v>
      </c>
      <c r="F1230" s="83" t="s">
        <v>103</v>
      </c>
      <c r="G1230" s="83">
        <v>0</v>
      </c>
      <c r="H1230" s="83">
        <v>100</v>
      </c>
      <c r="K1230" s="83">
        <v>1</v>
      </c>
      <c r="L1230" s="83" t="s">
        <v>101</v>
      </c>
      <c r="M1230" s="83" t="s">
        <v>410</v>
      </c>
      <c r="N1230" s="83" t="s">
        <v>102</v>
      </c>
      <c r="P1230" s="83">
        <v>0</v>
      </c>
      <c r="U1230" s="83">
        <v>4</v>
      </c>
      <c r="V1230" s="83">
        <v>1</v>
      </c>
      <c r="W1230" s="83" t="s">
        <v>103</v>
      </c>
      <c r="X1230" s="83">
        <v>0</v>
      </c>
    </row>
    <row r="1231" spans="1:25" x14ac:dyDescent="0.2">
      <c r="A1231" s="83">
        <v>1</v>
      </c>
      <c r="B1231" s="84">
        <v>5701603304421</v>
      </c>
      <c r="C1231" s="83">
        <v>60</v>
      </c>
      <c r="D1231" s="84">
        <v>1010286</v>
      </c>
      <c r="F1231" s="83" t="s">
        <v>103</v>
      </c>
      <c r="G1231" s="83">
        <v>0</v>
      </c>
      <c r="H1231" s="83">
        <v>100</v>
      </c>
      <c r="K1231" s="83">
        <v>8</v>
      </c>
      <c r="L1231" s="83" t="s">
        <v>101</v>
      </c>
      <c r="M1231" s="83" t="s">
        <v>410</v>
      </c>
      <c r="N1231" s="83" t="s">
        <v>102</v>
      </c>
      <c r="P1231" s="83">
        <v>0</v>
      </c>
      <c r="U1231" s="83">
        <v>4</v>
      </c>
      <c r="V1231" s="83">
        <v>1</v>
      </c>
      <c r="W1231" s="83" t="s">
        <v>103</v>
      </c>
      <c r="X1231" s="83">
        <v>0</v>
      </c>
    </row>
    <row r="1232" spans="1:25" x14ac:dyDescent="0.2">
      <c r="A1232" s="83">
        <v>1</v>
      </c>
      <c r="B1232" s="84">
        <v>5701603304421</v>
      </c>
      <c r="C1232" s="83">
        <v>70</v>
      </c>
      <c r="D1232" s="84">
        <v>1010288</v>
      </c>
      <c r="F1232" s="83" t="s">
        <v>103</v>
      </c>
      <c r="G1232" s="83">
        <v>0</v>
      </c>
      <c r="H1232" s="83">
        <v>100</v>
      </c>
      <c r="K1232" s="83">
        <v>4</v>
      </c>
      <c r="L1232" s="83" t="s">
        <v>101</v>
      </c>
      <c r="M1232" s="83" t="s">
        <v>410</v>
      </c>
      <c r="N1232" s="83" t="s">
        <v>102</v>
      </c>
      <c r="P1232" s="83">
        <v>0</v>
      </c>
      <c r="U1232" s="83">
        <v>4</v>
      </c>
      <c r="V1232" s="83">
        <v>1</v>
      </c>
      <c r="W1232" s="83" t="s">
        <v>103</v>
      </c>
      <c r="X1232" s="83">
        <v>0</v>
      </c>
    </row>
    <row r="1233" spans="1:25" x14ac:dyDescent="0.2">
      <c r="A1233" s="83">
        <v>1</v>
      </c>
      <c r="B1233" s="84">
        <v>5701603304421</v>
      </c>
      <c r="C1233" s="83">
        <v>80</v>
      </c>
      <c r="D1233" s="84">
        <v>1020145</v>
      </c>
      <c r="F1233" s="83" t="s">
        <v>103</v>
      </c>
      <c r="G1233" s="83">
        <v>0</v>
      </c>
      <c r="H1233" s="83">
        <v>100</v>
      </c>
      <c r="K1233" s="83" t="s">
        <v>408</v>
      </c>
      <c r="L1233" s="83" t="s">
        <v>101</v>
      </c>
      <c r="M1233" s="83" t="s">
        <v>410</v>
      </c>
      <c r="N1233" s="83" t="s">
        <v>102</v>
      </c>
      <c r="P1233" s="83">
        <v>0</v>
      </c>
      <c r="U1233" s="83">
        <v>4</v>
      </c>
      <c r="V1233" s="83">
        <v>1</v>
      </c>
      <c r="W1233" s="83" t="s">
        <v>103</v>
      </c>
      <c r="X1233" s="83">
        <v>0</v>
      </c>
    </row>
    <row r="1234" spans="1:25" x14ac:dyDescent="0.2">
      <c r="A1234" s="83">
        <v>1</v>
      </c>
      <c r="B1234" s="84">
        <v>5701603304421</v>
      </c>
      <c r="C1234" s="83">
        <v>90</v>
      </c>
      <c r="D1234" s="84">
        <v>777500421</v>
      </c>
      <c r="F1234" s="83" t="s">
        <v>103</v>
      </c>
      <c r="G1234" s="83">
        <v>0</v>
      </c>
      <c r="H1234" s="83">
        <v>100</v>
      </c>
      <c r="K1234" s="83">
        <v>1</v>
      </c>
      <c r="L1234" s="83" t="s">
        <v>101</v>
      </c>
      <c r="M1234" s="83" t="s">
        <v>410</v>
      </c>
      <c r="N1234" s="83" t="s">
        <v>102</v>
      </c>
      <c r="P1234" s="83">
        <v>0</v>
      </c>
      <c r="U1234" s="83">
        <v>4</v>
      </c>
      <c r="V1234" s="83">
        <v>1</v>
      </c>
      <c r="W1234" s="83" t="s">
        <v>103</v>
      </c>
      <c r="X1234" s="83">
        <v>0</v>
      </c>
    </row>
    <row r="1235" spans="1:25" x14ac:dyDescent="0.2">
      <c r="A1235" s="83">
        <v>1</v>
      </c>
      <c r="B1235" s="84">
        <v>5701603305421</v>
      </c>
      <c r="C1235" s="83">
        <v>10</v>
      </c>
      <c r="D1235" s="84">
        <v>5980463305</v>
      </c>
      <c r="F1235" s="83" t="s">
        <v>103</v>
      </c>
      <c r="G1235" s="83">
        <v>0</v>
      </c>
      <c r="H1235" s="83">
        <v>100</v>
      </c>
      <c r="K1235" s="83">
        <v>1</v>
      </c>
      <c r="L1235" s="83" t="s">
        <v>101</v>
      </c>
      <c r="M1235" s="83" t="s">
        <v>410</v>
      </c>
      <c r="N1235" s="83" t="s">
        <v>102</v>
      </c>
      <c r="P1235" s="83">
        <v>0</v>
      </c>
      <c r="U1235" s="83">
        <v>4</v>
      </c>
      <c r="V1235" s="83">
        <v>1</v>
      </c>
      <c r="W1235" s="83" t="s">
        <v>103</v>
      </c>
      <c r="X1235" s="83">
        <v>0</v>
      </c>
      <c r="Y1235" s="83" t="str">
        <f>LEFT(D1235,6)</f>
        <v>598046</v>
      </c>
    </row>
    <row r="1236" spans="1:25" x14ac:dyDescent="0.2">
      <c r="A1236" s="83">
        <v>1</v>
      </c>
      <c r="B1236" s="84">
        <v>5701603305421</v>
      </c>
      <c r="C1236" s="83">
        <v>20</v>
      </c>
      <c r="D1236" s="84">
        <v>5980543305</v>
      </c>
      <c r="F1236" s="83" t="s">
        <v>103</v>
      </c>
      <c r="G1236" s="83">
        <v>0</v>
      </c>
      <c r="H1236" s="83">
        <v>100</v>
      </c>
      <c r="K1236" s="83">
        <v>1</v>
      </c>
      <c r="L1236" s="83" t="s">
        <v>101</v>
      </c>
      <c r="M1236" s="83" t="s">
        <v>410</v>
      </c>
      <c r="N1236" s="83" t="s">
        <v>102</v>
      </c>
      <c r="P1236" s="83">
        <v>0</v>
      </c>
      <c r="U1236" s="83">
        <v>4</v>
      </c>
      <c r="V1236" s="83">
        <v>1</v>
      </c>
      <c r="W1236" s="83" t="s">
        <v>103</v>
      </c>
      <c r="X1236" s="83">
        <v>0</v>
      </c>
    </row>
    <row r="1237" spans="1:25" x14ac:dyDescent="0.2">
      <c r="A1237" s="83">
        <v>1</v>
      </c>
      <c r="B1237" s="84">
        <v>5701603305421</v>
      </c>
      <c r="C1237" s="83">
        <v>30</v>
      </c>
      <c r="D1237" s="84">
        <v>5980623305</v>
      </c>
      <c r="F1237" s="83" t="s">
        <v>103</v>
      </c>
      <c r="G1237" s="83">
        <v>0</v>
      </c>
      <c r="H1237" s="83">
        <v>100</v>
      </c>
      <c r="K1237" s="83">
        <v>1</v>
      </c>
      <c r="L1237" s="83" t="s">
        <v>101</v>
      </c>
      <c r="M1237" s="83" t="s">
        <v>410</v>
      </c>
      <c r="N1237" s="83" t="s">
        <v>102</v>
      </c>
      <c r="P1237" s="83">
        <v>0</v>
      </c>
      <c r="U1237" s="83">
        <v>4</v>
      </c>
      <c r="V1237" s="83">
        <v>1</v>
      </c>
      <c r="W1237" s="83" t="s">
        <v>103</v>
      </c>
      <c r="X1237" s="83">
        <v>0</v>
      </c>
    </row>
    <row r="1238" spans="1:25" x14ac:dyDescent="0.2">
      <c r="A1238" s="83">
        <v>1</v>
      </c>
      <c r="B1238" s="84">
        <v>5701603305421</v>
      </c>
      <c r="C1238" s="83">
        <v>40</v>
      </c>
      <c r="D1238" s="84">
        <v>5980823305</v>
      </c>
      <c r="F1238" s="83" t="s">
        <v>103</v>
      </c>
      <c r="G1238" s="83">
        <v>0</v>
      </c>
      <c r="H1238" s="83">
        <v>100</v>
      </c>
      <c r="K1238" s="83">
        <v>1</v>
      </c>
      <c r="L1238" s="83" t="s">
        <v>101</v>
      </c>
      <c r="M1238" s="83" t="s">
        <v>410</v>
      </c>
      <c r="N1238" s="83" t="s">
        <v>102</v>
      </c>
      <c r="P1238" s="83">
        <v>0</v>
      </c>
      <c r="U1238" s="83">
        <v>4</v>
      </c>
      <c r="V1238" s="83">
        <v>1</v>
      </c>
      <c r="W1238" s="83" t="s">
        <v>103</v>
      </c>
      <c r="X1238" s="83">
        <v>0</v>
      </c>
    </row>
    <row r="1239" spans="1:25" x14ac:dyDescent="0.2">
      <c r="A1239" s="83">
        <v>1</v>
      </c>
      <c r="B1239" s="84">
        <v>5701603305421</v>
      </c>
      <c r="C1239" s="83">
        <v>50</v>
      </c>
      <c r="D1239" s="84">
        <v>5980933305</v>
      </c>
      <c r="F1239" s="83" t="s">
        <v>103</v>
      </c>
      <c r="G1239" s="83">
        <v>0</v>
      </c>
      <c r="H1239" s="83">
        <v>100</v>
      </c>
      <c r="K1239" s="83">
        <v>1</v>
      </c>
      <c r="L1239" s="83" t="s">
        <v>101</v>
      </c>
      <c r="M1239" s="83" t="s">
        <v>410</v>
      </c>
      <c r="N1239" s="83" t="s">
        <v>102</v>
      </c>
      <c r="P1239" s="83">
        <v>0</v>
      </c>
      <c r="U1239" s="83">
        <v>4</v>
      </c>
      <c r="V1239" s="83">
        <v>1</v>
      </c>
      <c r="W1239" s="83" t="s">
        <v>103</v>
      </c>
      <c r="X1239" s="83">
        <v>0</v>
      </c>
    </row>
    <row r="1240" spans="1:25" x14ac:dyDescent="0.2">
      <c r="A1240" s="83">
        <v>1</v>
      </c>
      <c r="B1240" s="84">
        <v>5701603305421</v>
      </c>
      <c r="C1240" s="83">
        <v>60</v>
      </c>
      <c r="D1240" s="84">
        <v>1010286</v>
      </c>
      <c r="F1240" s="83" t="s">
        <v>103</v>
      </c>
      <c r="G1240" s="83">
        <v>0</v>
      </c>
      <c r="H1240" s="83">
        <v>100</v>
      </c>
      <c r="K1240" s="83">
        <v>8</v>
      </c>
      <c r="L1240" s="83" t="s">
        <v>101</v>
      </c>
      <c r="M1240" s="83" t="s">
        <v>410</v>
      </c>
      <c r="N1240" s="83" t="s">
        <v>102</v>
      </c>
      <c r="P1240" s="83">
        <v>0</v>
      </c>
      <c r="U1240" s="83">
        <v>4</v>
      </c>
      <c r="V1240" s="83">
        <v>1</v>
      </c>
      <c r="W1240" s="83" t="s">
        <v>103</v>
      </c>
      <c r="X1240" s="83">
        <v>0</v>
      </c>
    </row>
    <row r="1241" spans="1:25" x14ac:dyDescent="0.2">
      <c r="A1241" s="83">
        <v>1</v>
      </c>
      <c r="B1241" s="84">
        <v>5701603305421</v>
      </c>
      <c r="C1241" s="83">
        <v>70</v>
      </c>
      <c r="D1241" s="84">
        <v>1010288</v>
      </c>
      <c r="F1241" s="83" t="s">
        <v>103</v>
      </c>
      <c r="G1241" s="83">
        <v>0</v>
      </c>
      <c r="H1241" s="83">
        <v>100</v>
      </c>
      <c r="K1241" s="83">
        <v>4</v>
      </c>
      <c r="L1241" s="83" t="s">
        <v>101</v>
      </c>
      <c r="M1241" s="83" t="s">
        <v>410</v>
      </c>
      <c r="N1241" s="83" t="s">
        <v>102</v>
      </c>
      <c r="P1241" s="83">
        <v>0</v>
      </c>
      <c r="U1241" s="83">
        <v>4</v>
      </c>
      <c r="V1241" s="83">
        <v>1</v>
      </c>
      <c r="W1241" s="83" t="s">
        <v>103</v>
      </c>
      <c r="X1241" s="83">
        <v>0</v>
      </c>
    </row>
    <row r="1242" spans="1:25" x14ac:dyDescent="0.2">
      <c r="A1242" s="83">
        <v>1</v>
      </c>
      <c r="B1242" s="84">
        <v>5701603305421</v>
      </c>
      <c r="C1242" s="83">
        <v>80</v>
      </c>
      <c r="D1242" s="84">
        <v>1020145</v>
      </c>
      <c r="F1242" s="83" t="s">
        <v>103</v>
      </c>
      <c r="G1242" s="83">
        <v>0</v>
      </c>
      <c r="H1242" s="83">
        <v>100</v>
      </c>
      <c r="K1242" s="83" t="s">
        <v>408</v>
      </c>
      <c r="L1242" s="83" t="s">
        <v>101</v>
      </c>
      <c r="M1242" s="83" t="s">
        <v>410</v>
      </c>
      <c r="N1242" s="83" t="s">
        <v>102</v>
      </c>
      <c r="P1242" s="83">
        <v>0</v>
      </c>
      <c r="U1242" s="83">
        <v>4</v>
      </c>
      <c r="V1242" s="83">
        <v>1</v>
      </c>
      <c r="W1242" s="83" t="s">
        <v>103</v>
      </c>
      <c r="X1242" s="83">
        <v>0</v>
      </c>
    </row>
    <row r="1243" spans="1:25" x14ac:dyDescent="0.2">
      <c r="A1243" s="83">
        <v>1</v>
      </c>
      <c r="B1243" s="84">
        <v>5701603305421</v>
      </c>
      <c r="C1243" s="83">
        <v>90</v>
      </c>
      <c r="D1243" s="84">
        <v>777500421</v>
      </c>
      <c r="F1243" s="83" t="s">
        <v>103</v>
      </c>
      <c r="G1243" s="83">
        <v>0</v>
      </c>
      <c r="H1243" s="83">
        <v>100</v>
      </c>
      <c r="K1243" s="83">
        <v>1</v>
      </c>
      <c r="L1243" s="83" t="s">
        <v>101</v>
      </c>
      <c r="M1243" s="83" t="s">
        <v>410</v>
      </c>
      <c r="N1243" s="83" t="s">
        <v>102</v>
      </c>
      <c r="P1243" s="83">
        <v>0</v>
      </c>
      <c r="U1243" s="83">
        <v>4</v>
      </c>
      <c r="V1243" s="83">
        <v>1</v>
      </c>
      <c r="W1243" s="83" t="s">
        <v>103</v>
      </c>
      <c r="X1243" s="83">
        <v>0</v>
      </c>
    </row>
    <row r="1244" spans="1:25" x14ac:dyDescent="0.2">
      <c r="A1244" s="83">
        <v>1</v>
      </c>
      <c r="B1244" s="84">
        <v>5701603306421</v>
      </c>
      <c r="C1244" s="83">
        <v>10</v>
      </c>
      <c r="D1244" s="84">
        <v>5980463306</v>
      </c>
      <c r="F1244" s="83" t="s">
        <v>103</v>
      </c>
      <c r="G1244" s="83">
        <v>0</v>
      </c>
      <c r="H1244" s="83">
        <v>100</v>
      </c>
      <c r="K1244" s="83">
        <v>1</v>
      </c>
      <c r="L1244" s="83" t="s">
        <v>101</v>
      </c>
      <c r="M1244" s="83" t="s">
        <v>410</v>
      </c>
      <c r="N1244" s="83" t="s">
        <v>102</v>
      </c>
      <c r="P1244" s="83">
        <v>0</v>
      </c>
      <c r="U1244" s="83">
        <v>4</v>
      </c>
      <c r="V1244" s="83">
        <v>1</v>
      </c>
      <c r="W1244" s="83" t="s">
        <v>103</v>
      </c>
      <c r="X1244" s="83">
        <v>0</v>
      </c>
      <c r="Y1244" s="83" t="str">
        <f>LEFT(D1244,6)</f>
        <v>598046</v>
      </c>
    </row>
    <row r="1245" spans="1:25" x14ac:dyDescent="0.2">
      <c r="A1245" s="83">
        <v>1</v>
      </c>
      <c r="B1245" s="84">
        <v>5701603306421</v>
      </c>
      <c r="C1245" s="83">
        <v>20</v>
      </c>
      <c r="D1245" s="84">
        <v>5980543306</v>
      </c>
      <c r="F1245" s="83" t="s">
        <v>103</v>
      </c>
      <c r="G1245" s="83">
        <v>0</v>
      </c>
      <c r="H1245" s="83">
        <v>100</v>
      </c>
      <c r="K1245" s="83">
        <v>1</v>
      </c>
      <c r="L1245" s="83" t="s">
        <v>101</v>
      </c>
      <c r="M1245" s="83" t="s">
        <v>410</v>
      </c>
      <c r="N1245" s="83" t="s">
        <v>102</v>
      </c>
      <c r="P1245" s="83">
        <v>0</v>
      </c>
      <c r="U1245" s="83">
        <v>4</v>
      </c>
      <c r="V1245" s="83">
        <v>1</v>
      </c>
      <c r="W1245" s="83" t="s">
        <v>103</v>
      </c>
      <c r="X1245" s="83">
        <v>0</v>
      </c>
    </row>
    <row r="1246" spans="1:25" x14ac:dyDescent="0.2">
      <c r="A1246" s="83">
        <v>1</v>
      </c>
      <c r="B1246" s="84">
        <v>5701603306421</v>
      </c>
      <c r="C1246" s="83">
        <v>30</v>
      </c>
      <c r="D1246" s="84">
        <v>5980623306</v>
      </c>
      <c r="F1246" s="83" t="s">
        <v>103</v>
      </c>
      <c r="G1246" s="83">
        <v>0</v>
      </c>
      <c r="H1246" s="83">
        <v>100</v>
      </c>
      <c r="K1246" s="83">
        <v>1</v>
      </c>
      <c r="L1246" s="83" t="s">
        <v>101</v>
      </c>
      <c r="M1246" s="83" t="s">
        <v>410</v>
      </c>
      <c r="N1246" s="83" t="s">
        <v>102</v>
      </c>
      <c r="P1246" s="83">
        <v>0</v>
      </c>
      <c r="U1246" s="83">
        <v>4</v>
      </c>
      <c r="V1246" s="83">
        <v>1</v>
      </c>
      <c r="W1246" s="83" t="s">
        <v>103</v>
      </c>
      <c r="X1246" s="83">
        <v>0</v>
      </c>
    </row>
    <row r="1247" spans="1:25" x14ac:dyDescent="0.2">
      <c r="A1247" s="83">
        <v>1</v>
      </c>
      <c r="B1247" s="84">
        <v>5701603306421</v>
      </c>
      <c r="C1247" s="83">
        <v>40</v>
      </c>
      <c r="D1247" s="84">
        <v>5980823306</v>
      </c>
      <c r="F1247" s="83" t="s">
        <v>103</v>
      </c>
      <c r="G1247" s="83">
        <v>0</v>
      </c>
      <c r="H1247" s="83">
        <v>100</v>
      </c>
      <c r="K1247" s="83">
        <v>1</v>
      </c>
      <c r="L1247" s="83" t="s">
        <v>101</v>
      </c>
      <c r="M1247" s="83" t="s">
        <v>410</v>
      </c>
      <c r="N1247" s="83" t="s">
        <v>102</v>
      </c>
      <c r="P1247" s="83">
        <v>0</v>
      </c>
      <c r="U1247" s="83">
        <v>4</v>
      </c>
      <c r="V1247" s="83">
        <v>1</v>
      </c>
      <c r="W1247" s="83" t="s">
        <v>103</v>
      </c>
      <c r="X1247" s="83">
        <v>0</v>
      </c>
    </row>
    <row r="1248" spans="1:25" x14ac:dyDescent="0.2">
      <c r="A1248" s="83">
        <v>1</v>
      </c>
      <c r="B1248" s="84">
        <v>5701603306421</v>
      </c>
      <c r="C1248" s="83">
        <v>50</v>
      </c>
      <c r="D1248" s="85">
        <v>5980933306</v>
      </c>
      <c r="F1248" s="83" t="s">
        <v>103</v>
      </c>
      <c r="G1248" s="83">
        <v>0</v>
      </c>
      <c r="H1248" s="83">
        <v>100</v>
      </c>
      <c r="K1248" s="83">
        <v>1</v>
      </c>
      <c r="L1248" s="83" t="s">
        <v>101</v>
      </c>
      <c r="M1248" s="83" t="s">
        <v>410</v>
      </c>
      <c r="N1248" s="83" t="s">
        <v>102</v>
      </c>
      <c r="P1248" s="83">
        <v>0</v>
      </c>
      <c r="U1248" s="83">
        <v>4</v>
      </c>
      <c r="V1248" s="83">
        <v>1</v>
      </c>
      <c r="W1248" s="83" t="s">
        <v>103</v>
      </c>
      <c r="X1248" s="83">
        <v>0</v>
      </c>
    </row>
    <row r="1249" spans="1:25" x14ac:dyDescent="0.2">
      <c r="A1249" s="83">
        <v>1</v>
      </c>
      <c r="B1249" s="84">
        <v>5701603306421</v>
      </c>
      <c r="C1249" s="83">
        <v>60</v>
      </c>
      <c r="D1249" s="84">
        <v>1010286</v>
      </c>
      <c r="F1249" s="83" t="s">
        <v>103</v>
      </c>
      <c r="G1249" s="83">
        <v>0</v>
      </c>
      <c r="H1249" s="83">
        <v>100</v>
      </c>
      <c r="K1249" s="83">
        <v>8</v>
      </c>
      <c r="L1249" s="83" t="s">
        <v>101</v>
      </c>
      <c r="M1249" s="83" t="s">
        <v>410</v>
      </c>
      <c r="N1249" s="83" t="s">
        <v>102</v>
      </c>
      <c r="P1249" s="83">
        <v>0</v>
      </c>
      <c r="U1249" s="83">
        <v>4</v>
      </c>
      <c r="V1249" s="83">
        <v>1</v>
      </c>
      <c r="W1249" s="83" t="s">
        <v>103</v>
      </c>
      <c r="X1249" s="83">
        <v>0</v>
      </c>
    </row>
    <row r="1250" spans="1:25" x14ac:dyDescent="0.2">
      <c r="A1250" s="83">
        <v>1</v>
      </c>
      <c r="B1250" s="84">
        <v>5701603306421</v>
      </c>
      <c r="C1250" s="83">
        <v>70</v>
      </c>
      <c r="D1250" s="84">
        <v>1010287</v>
      </c>
      <c r="F1250" s="83" t="s">
        <v>103</v>
      </c>
      <c r="G1250" s="83">
        <v>0</v>
      </c>
      <c r="H1250" s="83">
        <v>100</v>
      </c>
      <c r="K1250" s="83">
        <v>4</v>
      </c>
      <c r="L1250" s="83" t="s">
        <v>101</v>
      </c>
      <c r="M1250" s="83" t="s">
        <v>410</v>
      </c>
      <c r="N1250" s="83" t="s">
        <v>102</v>
      </c>
      <c r="P1250" s="83">
        <v>0</v>
      </c>
      <c r="U1250" s="83">
        <v>4</v>
      </c>
      <c r="V1250" s="83">
        <v>1</v>
      </c>
      <c r="W1250" s="83" t="s">
        <v>103</v>
      </c>
      <c r="X1250" s="83">
        <v>0</v>
      </c>
    </row>
    <row r="1251" spans="1:25" x14ac:dyDescent="0.2">
      <c r="A1251" s="83">
        <v>1</v>
      </c>
      <c r="B1251" s="84">
        <v>5701603306421</v>
      </c>
      <c r="C1251" s="83">
        <v>80</v>
      </c>
      <c r="D1251" s="84">
        <v>1020145</v>
      </c>
      <c r="F1251" s="83" t="s">
        <v>103</v>
      </c>
      <c r="G1251" s="83">
        <v>0</v>
      </c>
      <c r="H1251" s="83">
        <v>100</v>
      </c>
      <c r="K1251" s="83" t="s">
        <v>408</v>
      </c>
      <c r="L1251" s="83" t="s">
        <v>101</v>
      </c>
      <c r="M1251" s="83" t="s">
        <v>410</v>
      </c>
      <c r="N1251" s="83" t="s">
        <v>102</v>
      </c>
      <c r="P1251" s="83">
        <v>0</v>
      </c>
      <c r="U1251" s="83">
        <v>4</v>
      </c>
      <c r="V1251" s="83">
        <v>1</v>
      </c>
      <c r="W1251" s="83" t="s">
        <v>103</v>
      </c>
      <c r="X1251" s="83">
        <v>0</v>
      </c>
    </row>
    <row r="1252" spans="1:25" x14ac:dyDescent="0.2">
      <c r="A1252" s="83">
        <v>1</v>
      </c>
      <c r="B1252" s="84">
        <v>5701603306421</v>
      </c>
      <c r="C1252" s="83">
        <v>90</v>
      </c>
      <c r="D1252" s="84">
        <v>777500421</v>
      </c>
      <c r="F1252" s="83" t="s">
        <v>103</v>
      </c>
      <c r="G1252" s="83">
        <v>0</v>
      </c>
      <c r="H1252" s="83">
        <v>100</v>
      </c>
      <c r="K1252" s="83">
        <v>1</v>
      </c>
      <c r="L1252" s="83" t="s">
        <v>101</v>
      </c>
      <c r="M1252" s="83" t="s">
        <v>410</v>
      </c>
      <c r="N1252" s="83" t="s">
        <v>102</v>
      </c>
      <c r="P1252" s="83">
        <v>0</v>
      </c>
      <c r="U1252" s="83">
        <v>4</v>
      </c>
      <c r="V1252" s="83">
        <v>1</v>
      </c>
      <c r="W1252" s="83" t="s">
        <v>103</v>
      </c>
      <c r="X1252" s="83">
        <v>0</v>
      </c>
    </row>
    <row r="1253" spans="1:25" x14ac:dyDescent="0.2">
      <c r="A1253" s="83">
        <v>1</v>
      </c>
      <c r="B1253" s="84">
        <v>5701603307421</v>
      </c>
      <c r="C1253" s="83">
        <v>10</v>
      </c>
      <c r="D1253" s="84">
        <v>5980463307</v>
      </c>
      <c r="F1253" s="83" t="s">
        <v>103</v>
      </c>
      <c r="G1253" s="83">
        <v>0</v>
      </c>
      <c r="H1253" s="83">
        <v>100</v>
      </c>
      <c r="K1253" s="83">
        <v>1</v>
      </c>
      <c r="L1253" s="83" t="s">
        <v>101</v>
      </c>
      <c r="M1253" s="83" t="s">
        <v>410</v>
      </c>
      <c r="N1253" s="83" t="s">
        <v>102</v>
      </c>
      <c r="P1253" s="83">
        <v>0</v>
      </c>
      <c r="U1253" s="83">
        <v>4</v>
      </c>
      <c r="V1253" s="83">
        <v>1</v>
      </c>
      <c r="W1253" s="83" t="s">
        <v>103</v>
      </c>
      <c r="X1253" s="83">
        <v>0</v>
      </c>
      <c r="Y1253" s="83" t="str">
        <f>LEFT(D1253,6)</f>
        <v>598046</v>
      </c>
    </row>
    <row r="1254" spans="1:25" x14ac:dyDescent="0.2">
      <c r="A1254" s="83">
        <v>1</v>
      </c>
      <c r="B1254" s="84">
        <v>5701603307421</v>
      </c>
      <c r="C1254" s="83">
        <v>20</v>
      </c>
      <c r="D1254" s="84">
        <v>5980543307</v>
      </c>
      <c r="F1254" s="83" t="s">
        <v>103</v>
      </c>
      <c r="G1254" s="83">
        <v>0</v>
      </c>
      <c r="H1254" s="83">
        <v>100</v>
      </c>
      <c r="K1254" s="83">
        <v>1</v>
      </c>
      <c r="L1254" s="83" t="s">
        <v>101</v>
      </c>
      <c r="M1254" s="83" t="s">
        <v>410</v>
      </c>
      <c r="N1254" s="83" t="s">
        <v>102</v>
      </c>
      <c r="P1254" s="83">
        <v>0</v>
      </c>
      <c r="U1254" s="83">
        <v>4</v>
      </c>
      <c r="V1254" s="83">
        <v>1</v>
      </c>
      <c r="W1254" s="83" t="s">
        <v>103</v>
      </c>
      <c r="X1254" s="83">
        <v>0</v>
      </c>
    </row>
    <row r="1255" spans="1:25" x14ac:dyDescent="0.2">
      <c r="A1255" s="83">
        <v>1</v>
      </c>
      <c r="B1255" s="84">
        <v>5701603307421</v>
      </c>
      <c r="C1255" s="83">
        <v>30</v>
      </c>
      <c r="D1255" s="84">
        <v>5980623307</v>
      </c>
      <c r="F1255" s="83" t="s">
        <v>103</v>
      </c>
      <c r="G1255" s="83">
        <v>0</v>
      </c>
      <c r="H1255" s="83">
        <v>100</v>
      </c>
      <c r="K1255" s="83">
        <v>1</v>
      </c>
      <c r="L1255" s="83" t="s">
        <v>101</v>
      </c>
      <c r="M1255" s="83" t="s">
        <v>410</v>
      </c>
      <c r="N1255" s="83" t="s">
        <v>102</v>
      </c>
      <c r="P1255" s="83">
        <v>0</v>
      </c>
      <c r="U1255" s="83">
        <v>4</v>
      </c>
      <c r="V1255" s="83">
        <v>1</v>
      </c>
      <c r="W1255" s="83" t="s">
        <v>103</v>
      </c>
      <c r="X1255" s="83">
        <v>0</v>
      </c>
    </row>
    <row r="1256" spans="1:25" x14ac:dyDescent="0.2">
      <c r="A1256" s="83">
        <v>1</v>
      </c>
      <c r="B1256" s="84">
        <v>5701603307421</v>
      </c>
      <c r="C1256" s="83">
        <v>40</v>
      </c>
      <c r="D1256" s="84">
        <v>5980823307</v>
      </c>
      <c r="F1256" s="83" t="s">
        <v>103</v>
      </c>
      <c r="G1256" s="83">
        <v>0</v>
      </c>
      <c r="H1256" s="83">
        <v>100</v>
      </c>
      <c r="K1256" s="83">
        <v>1</v>
      </c>
      <c r="L1256" s="83" t="s">
        <v>101</v>
      </c>
      <c r="M1256" s="83" t="s">
        <v>410</v>
      </c>
      <c r="N1256" s="83" t="s">
        <v>102</v>
      </c>
      <c r="P1256" s="83">
        <v>0</v>
      </c>
      <c r="U1256" s="83">
        <v>4</v>
      </c>
      <c r="V1256" s="83">
        <v>1</v>
      </c>
      <c r="W1256" s="83" t="s">
        <v>103</v>
      </c>
      <c r="X1256" s="83">
        <v>0</v>
      </c>
    </row>
    <row r="1257" spans="1:25" x14ac:dyDescent="0.2">
      <c r="A1257" s="83">
        <v>1</v>
      </c>
      <c r="B1257" s="84">
        <v>5701603307421</v>
      </c>
      <c r="C1257" s="83">
        <v>50</v>
      </c>
      <c r="D1257" s="84">
        <v>5980933307</v>
      </c>
      <c r="F1257" s="83" t="s">
        <v>103</v>
      </c>
      <c r="G1257" s="83">
        <v>0</v>
      </c>
      <c r="H1257" s="83">
        <v>100</v>
      </c>
      <c r="K1257" s="83">
        <v>1</v>
      </c>
      <c r="L1257" s="83" t="s">
        <v>101</v>
      </c>
      <c r="M1257" s="83" t="s">
        <v>410</v>
      </c>
      <c r="N1257" s="83" t="s">
        <v>102</v>
      </c>
      <c r="P1257" s="83">
        <v>0</v>
      </c>
      <c r="U1257" s="83">
        <v>4</v>
      </c>
      <c r="V1257" s="83">
        <v>1</v>
      </c>
      <c r="W1257" s="83" t="s">
        <v>103</v>
      </c>
      <c r="X1257" s="83">
        <v>0</v>
      </c>
    </row>
    <row r="1258" spans="1:25" x14ac:dyDescent="0.2">
      <c r="A1258" s="83">
        <v>1</v>
      </c>
      <c r="B1258" s="84">
        <v>5701603307421</v>
      </c>
      <c r="C1258" s="83">
        <v>60</v>
      </c>
      <c r="D1258" s="84">
        <v>1010286</v>
      </c>
      <c r="F1258" s="83" t="s">
        <v>103</v>
      </c>
      <c r="G1258" s="83">
        <v>0</v>
      </c>
      <c r="H1258" s="83">
        <v>100</v>
      </c>
      <c r="K1258" s="83">
        <v>8</v>
      </c>
      <c r="L1258" s="83" t="s">
        <v>101</v>
      </c>
      <c r="M1258" s="83" t="s">
        <v>410</v>
      </c>
      <c r="N1258" s="83" t="s">
        <v>102</v>
      </c>
      <c r="P1258" s="83">
        <v>0</v>
      </c>
      <c r="U1258" s="83">
        <v>4</v>
      </c>
      <c r="V1258" s="83">
        <v>1</v>
      </c>
      <c r="W1258" s="83" t="s">
        <v>103</v>
      </c>
      <c r="X1258" s="83">
        <v>0</v>
      </c>
    </row>
    <row r="1259" spans="1:25" x14ac:dyDescent="0.2">
      <c r="A1259" s="83">
        <v>1</v>
      </c>
      <c r="B1259" s="84">
        <v>5701603307421</v>
      </c>
      <c r="C1259" s="83">
        <v>70</v>
      </c>
      <c r="D1259" s="84">
        <v>1010287</v>
      </c>
      <c r="F1259" s="83" t="s">
        <v>103</v>
      </c>
      <c r="G1259" s="83">
        <v>0</v>
      </c>
      <c r="H1259" s="83">
        <v>100</v>
      </c>
      <c r="K1259" s="83">
        <v>4</v>
      </c>
      <c r="L1259" s="83" t="s">
        <v>101</v>
      </c>
      <c r="M1259" s="83" t="s">
        <v>410</v>
      </c>
      <c r="N1259" s="83" t="s">
        <v>102</v>
      </c>
      <c r="P1259" s="83">
        <v>0</v>
      </c>
      <c r="U1259" s="83">
        <v>4</v>
      </c>
      <c r="V1259" s="83">
        <v>1</v>
      </c>
      <c r="W1259" s="83" t="s">
        <v>103</v>
      </c>
      <c r="X1259" s="83">
        <v>0</v>
      </c>
    </row>
    <row r="1260" spans="1:25" x14ac:dyDescent="0.2">
      <c r="A1260" s="83">
        <v>1</v>
      </c>
      <c r="B1260" s="84">
        <v>5701603307421</v>
      </c>
      <c r="C1260" s="83">
        <v>80</v>
      </c>
      <c r="D1260" s="84">
        <v>1020145</v>
      </c>
      <c r="F1260" s="83" t="s">
        <v>103</v>
      </c>
      <c r="G1260" s="83">
        <v>0</v>
      </c>
      <c r="H1260" s="83">
        <v>100</v>
      </c>
      <c r="K1260" s="83" t="s">
        <v>408</v>
      </c>
      <c r="L1260" s="83" t="s">
        <v>101</v>
      </c>
      <c r="M1260" s="83" t="s">
        <v>410</v>
      </c>
      <c r="N1260" s="83" t="s">
        <v>102</v>
      </c>
      <c r="P1260" s="83">
        <v>0</v>
      </c>
      <c r="U1260" s="83">
        <v>4</v>
      </c>
      <c r="V1260" s="83">
        <v>1</v>
      </c>
      <c r="W1260" s="83" t="s">
        <v>103</v>
      </c>
      <c r="X1260" s="83">
        <v>0</v>
      </c>
    </row>
    <row r="1261" spans="1:25" x14ac:dyDescent="0.2">
      <c r="A1261" s="83">
        <v>1</v>
      </c>
      <c r="B1261" s="84">
        <v>5701603307421</v>
      </c>
      <c r="C1261" s="83">
        <v>90</v>
      </c>
      <c r="D1261" s="84">
        <v>777500421</v>
      </c>
      <c r="F1261" s="83" t="s">
        <v>103</v>
      </c>
      <c r="G1261" s="83">
        <v>0</v>
      </c>
      <c r="H1261" s="83">
        <v>100</v>
      </c>
      <c r="K1261" s="83">
        <v>1</v>
      </c>
      <c r="L1261" s="83" t="s">
        <v>101</v>
      </c>
      <c r="M1261" s="83" t="s">
        <v>410</v>
      </c>
      <c r="N1261" s="83" t="s">
        <v>102</v>
      </c>
      <c r="P1261" s="83">
        <v>0</v>
      </c>
      <c r="U1261" s="83">
        <v>4</v>
      </c>
      <c r="V1261" s="83">
        <v>1</v>
      </c>
      <c r="W1261" s="83" t="s">
        <v>103</v>
      </c>
      <c r="X1261" s="83">
        <v>0</v>
      </c>
    </row>
    <row r="1262" spans="1:25" x14ac:dyDescent="0.2">
      <c r="A1262" s="83">
        <v>1</v>
      </c>
      <c r="B1262" s="84">
        <v>5701603308421</v>
      </c>
      <c r="C1262" s="83">
        <v>10</v>
      </c>
      <c r="D1262" s="84">
        <v>5980463308</v>
      </c>
      <c r="F1262" s="83" t="s">
        <v>103</v>
      </c>
      <c r="G1262" s="83">
        <v>0</v>
      </c>
      <c r="H1262" s="83">
        <v>100</v>
      </c>
      <c r="K1262" s="83">
        <v>1</v>
      </c>
      <c r="L1262" s="83" t="s">
        <v>101</v>
      </c>
      <c r="M1262" s="83" t="s">
        <v>410</v>
      </c>
      <c r="N1262" s="83" t="s">
        <v>102</v>
      </c>
      <c r="P1262" s="83">
        <v>0</v>
      </c>
      <c r="U1262" s="83">
        <v>4</v>
      </c>
      <c r="V1262" s="83">
        <v>1</v>
      </c>
      <c r="W1262" s="83" t="s">
        <v>103</v>
      </c>
      <c r="X1262" s="83">
        <v>0</v>
      </c>
      <c r="Y1262" s="83" t="str">
        <f>LEFT(D1262,6)</f>
        <v>598046</v>
      </c>
    </row>
    <row r="1263" spans="1:25" x14ac:dyDescent="0.2">
      <c r="A1263" s="83">
        <v>1</v>
      </c>
      <c r="B1263" s="84">
        <v>5701603308421</v>
      </c>
      <c r="C1263" s="83">
        <v>20</v>
      </c>
      <c r="D1263" s="84">
        <v>5980543308</v>
      </c>
      <c r="F1263" s="83" t="s">
        <v>103</v>
      </c>
      <c r="G1263" s="83">
        <v>0</v>
      </c>
      <c r="H1263" s="83">
        <v>100</v>
      </c>
      <c r="K1263" s="83">
        <v>1</v>
      </c>
      <c r="L1263" s="83" t="s">
        <v>101</v>
      </c>
      <c r="M1263" s="83" t="s">
        <v>410</v>
      </c>
      <c r="N1263" s="83" t="s">
        <v>102</v>
      </c>
      <c r="P1263" s="83">
        <v>0</v>
      </c>
      <c r="U1263" s="83">
        <v>4</v>
      </c>
      <c r="V1263" s="83">
        <v>1</v>
      </c>
      <c r="W1263" s="83" t="s">
        <v>103</v>
      </c>
      <c r="X1263" s="83">
        <v>0</v>
      </c>
    </row>
    <row r="1264" spans="1:25" x14ac:dyDescent="0.2">
      <c r="A1264" s="83">
        <v>1</v>
      </c>
      <c r="B1264" s="84">
        <v>5701603308421</v>
      </c>
      <c r="C1264" s="83">
        <v>30</v>
      </c>
      <c r="D1264" s="84">
        <v>5980623308</v>
      </c>
      <c r="F1264" s="83" t="s">
        <v>103</v>
      </c>
      <c r="G1264" s="83">
        <v>0</v>
      </c>
      <c r="H1264" s="83">
        <v>100</v>
      </c>
      <c r="K1264" s="83">
        <v>1</v>
      </c>
      <c r="L1264" s="83" t="s">
        <v>101</v>
      </c>
      <c r="M1264" s="83" t="s">
        <v>410</v>
      </c>
      <c r="N1264" s="83" t="s">
        <v>102</v>
      </c>
      <c r="P1264" s="83">
        <v>0</v>
      </c>
      <c r="U1264" s="83">
        <v>4</v>
      </c>
      <c r="V1264" s="83">
        <v>1</v>
      </c>
      <c r="W1264" s="83" t="s">
        <v>103</v>
      </c>
      <c r="X1264" s="83">
        <v>0</v>
      </c>
    </row>
    <row r="1265" spans="1:25" x14ac:dyDescent="0.2">
      <c r="A1265" s="83">
        <v>1</v>
      </c>
      <c r="B1265" s="84">
        <v>5701603308421</v>
      </c>
      <c r="C1265" s="83">
        <v>40</v>
      </c>
      <c r="D1265" s="84">
        <v>5980823308</v>
      </c>
      <c r="F1265" s="83" t="s">
        <v>103</v>
      </c>
      <c r="G1265" s="83">
        <v>0</v>
      </c>
      <c r="H1265" s="83">
        <v>100</v>
      </c>
      <c r="K1265" s="83">
        <v>1</v>
      </c>
      <c r="L1265" s="83" t="s">
        <v>101</v>
      </c>
      <c r="M1265" s="83" t="s">
        <v>410</v>
      </c>
      <c r="N1265" s="83" t="s">
        <v>102</v>
      </c>
      <c r="P1265" s="83">
        <v>0</v>
      </c>
      <c r="U1265" s="83">
        <v>4</v>
      </c>
      <c r="V1265" s="83">
        <v>1</v>
      </c>
      <c r="W1265" s="83" t="s">
        <v>103</v>
      </c>
      <c r="X1265" s="83">
        <v>0</v>
      </c>
    </row>
    <row r="1266" spans="1:25" x14ac:dyDescent="0.2">
      <c r="A1266" s="83">
        <v>1</v>
      </c>
      <c r="B1266" s="84">
        <v>5701603308421</v>
      </c>
      <c r="C1266" s="83">
        <v>50</v>
      </c>
      <c r="D1266" s="84">
        <v>5980933308</v>
      </c>
      <c r="F1266" s="83" t="s">
        <v>103</v>
      </c>
      <c r="G1266" s="83">
        <v>0</v>
      </c>
      <c r="H1266" s="83">
        <v>100</v>
      </c>
      <c r="K1266" s="83">
        <v>1</v>
      </c>
      <c r="L1266" s="83" t="s">
        <v>101</v>
      </c>
      <c r="M1266" s="83" t="s">
        <v>410</v>
      </c>
      <c r="N1266" s="83" t="s">
        <v>102</v>
      </c>
      <c r="P1266" s="83">
        <v>0</v>
      </c>
      <c r="U1266" s="83">
        <v>4</v>
      </c>
      <c r="V1266" s="83">
        <v>1</v>
      </c>
      <c r="W1266" s="83" t="s">
        <v>103</v>
      </c>
      <c r="X1266" s="83">
        <v>0</v>
      </c>
    </row>
    <row r="1267" spans="1:25" x14ac:dyDescent="0.2">
      <c r="A1267" s="83">
        <v>1</v>
      </c>
      <c r="B1267" s="84">
        <v>5701603308421</v>
      </c>
      <c r="C1267" s="83">
        <v>60</v>
      </c>
      <c r="D1267" s="84">
        <v>1010286</v>
      </c>
      <c r="F1267" s="83" t="s">
        <v>103</v>
      </c>
      <c r="G1267" s="83">
        <v>0</v>
      </c>
      <c r="H1267" s="83">
        <v>100</v>
      </c>
      <c r="K1267" s="83">
        <v>8</v>
      </c>
      <c r="L1267" s="83" t="s">
        <v>101</v>
      </c>
      <c r="M1267" s="83" t="s">
        <v>410</v>
      </c>
      <c r="N1267" s="83" t="s">
        <v>102</v>
      </c>
      <c r="P1267" s="83">
        <v>0</v>
      </c>
      <c r="U1267" s="83">
        <v>4</v>
      </c>
      <c r="V1267" s="83">
        <v>1</v>
      </c>
      <c r="W1267" s="83" t="s">
        <v>103</v>
      </c>
      <c r="X1267" s="83">
        <v>0</v>
      </c>
    </row>
    <row r="1268" spans="1:25" x14ac:dyDescent="0.2">
      <c r="A1268" s="83">
        <v>1</v>
      </c>
      <c r="B1268" s="84">
        <v>5701603308421</v>
      </c>
      <c r="C1268" s="83">
        <v>70</v>
      </c>
      <c r="D1268" s="84">
        <v>1010288</v>
      </c>
      <c r="F1268" s="83" t="s">
        <v>103</v>
      </c>
      <c r="G1268" s="83">
        <v>0</v>
      </c>
      <c r="H1268" s="83">
        <v>100</v>
      </c>
      <c r="K1268" s="83">
        <v>4</v>
      </c>
      <c r="L1268" s="83" t="s">
        <v>101</v>
      </c>
      <c r="M1268" s="83" t="s">
        <v>410</v>
      </c>
      <c r="N1268" s="83" t="s">
        <v>102</v>
      </c>
      <c r="P1268" s="83">
        <v>0</v>
      </c>
      <c r="U1268" s="83">
        <v>4</v>
      </c>
      <c r="V1268" s="83">
        <v>1</v>
      </c>
      <c r="W1268" s="83" t="s">
        <v>103</v>
      </c>
      <c r="X1268" s="83">
        <v>0</v>
      </c>
    </row>
    <row r="1269" spans="1:25" x14ac:dyDescent="0.2">
      <c r="A1269" s="83">
        <v>1</v>
      </c>
      <c r="B1269" s="84">
        <v>5701603308421</v>
      </c>
      <c r="C1269" s="83">
        <v>80</v>
      </c>
      <c r="D1269" s="84">
        <v>1020145</v>
      </c>
      <c r="F1269" s="83" t="s">
        <v>103</v>
      </c>
      <c r="G1269" s="83">
        <v>0</v>
      </c>
      <c r="H1269" s="83">
        <v>100</v>
      </c>
      <c r="K1269" s="83" t="s">
        <v>408</v>
      </c>
      <c r="L1269" s="83" t="s">
        <v>101</v>
      </c>
      <c r="M1269" s="83" t="s">
        <v>410</v>
      </c>
      <c r="N1269" s="83" t="s">
        <v>102</v>
      </c>
      <c r="P1269" s="83">
        <v>0</v>
      </c>
      <c r="U1269" s="83">
        <v>4</v>
      </c>
      <c r="V1269" s="83">
        <v>1</v>
      </c>
      <c r="W1269" s="83" t="s">
        <v>103</v>
      </c>
      <c r="X1269" s="83">
        <v>0</v>
      </c>
    </row>
    <row r="1270" spans="1:25" x14ac:dyDescent="0.2">
      <c r="A1270" s="83">
        <v>1</v>
      </c>
      <c r="B1270" s="84">
        <v>5701603308421</v>
      </c>
      <c r="C1270" s="83">
        <v>90</v>
      </c>
      <c r="D1270" s="84">
        <v>777500421</v>
      </c>
      <c r="F1270" s="83" t="s">
        <v>103</v>
      </c>
      <c r="G1270" s="83">
        <v>0</v>
      </c>
      <c r="H1270" s="83">
        <v>100</v>
      </c>
      <c r="K1270" s="83">
        <v>1</v>
      </c>
      <c r="L1270" s="83" t="s">
        <v>101</v>
      </c>
      <c r="M1270" s="83" t="s">
        <v>410</v>
      </c>
      <c r="N1270" s="83" t="s">
        <v>102</v>
      </c>
      <c r="P1270" s="83">
        <v>0</v>
      </c>
      <c r="U1270" s="83">
        <v>4</v>
      </c>
      <c r="V1270" s="83">
        <v>1</v>
      </c>
      <c r="W1270" s="83" t="s">
        <v>103</v>
      </c>
      <c r="X1270" s="83">
        <v>0</v>
      </c>
    </row>
    <row r="1271" spans="1:25" x14ac:dyDescent="0.2">
      <c r="A1271" s="83">
        <v>1</v>
      </c>
      <c r="B1271" s="84">
        <v>5701603309421</v>
      </c>
      <c r="C1271" s="83">
        <v>10</v>
      </c>
      <c r="D1271" s="84">
        <v>5980463309</v>
      </c>
      <c r="F1271" s="83" t="s">
        <v>103</v>
      </c>
      <c r="G1271" s="83">
        <v>0</v>
      </c>
      <c r="H1271" s="83">
        <v>100</v>
      </c>
      <c r="K1271" s="83">
        <v>1</v>
      </c>
      <c r="L1271" s="83" t="s">
        <v>101</v>
      </c>
      <c r="M1271" s="83" t="s">
        <v>410</v>
      </c>
      <c r="N1271" s="83" t="s">
        <v>102</v>
      </c>
      <c r="P1271" s="83">
        <v>0</v>
      </c>
      <c r="U1271" s="83">
        <v>4</v>
      </c>
      <c r="V1271" s="83">
        <v>1</v>
      </c>
      <c r="W1271" s="83" t="s">
        <v>103</v>
      </c>
      <c r="X1271" s="83">
        <v>0</v>
      </c>
      <c r="Y1271" s="83" t="str">
        <f>LEFT(D1271,6)</f>
        <v>598046</v>
      </c>
    </row>
    <row r="1272" spans="1:25" x14ac:dyDescent="0.2">
      <c r="A1272" s="83">
        <v>1</v>
      </c>
      <c r="B1272" s="84">
        <v>5701603309421</v>
      </c>
      <c r="C1272" s="83">
        <v>20</v>
      </c>
      <c r="D1272" s="84">
        <v>5980543309</v>
      </c>
      <c r="F1272" s="83" t="s">
        <v>103</v>
      </c>
      <c r="G1272" s="83">
        <v>0</v>
      </c>
      <c r="H1272" s="83">
        <v>100</v>
      </c>
      <c r="K1272" s="83">
        <v>1</v>
      </c>
      <c r="L1272" s="83" t="s">
        <v>101</v>
      </c>
      <c r="M1272" s="83" t="s">
        <v>410</v>
      </c>
      <c r="N1272" s="83" t="s">
        <v>102</v>
      </c>
      <c r="P1272" s="83">
        <v>0</v>
      </c>
      <c r="U1272" s="83">
        <v>4</v>
      </c>
      <c r="V1272" s="83">
        <v>1</v>
      </c>
      <c r="W1272" s="83" t="s">
        <v>103</v>
      </c>
      <c r="X1272" s="83">
        <v>0</v>
      </c>
    </row>
    <row r="1273" spans="1:25" x14ac:dyDescent="0.2">
      <c r="A1273" s="83">
        <v>1</v>
      </c>
      <c r="B1273" s="84">
        <v>5701603309421</v>
      </c>
      <c r="C1273" s="83">
        <v>30</v>
      </c>
      <c r="D1273" s="84">
        <v>5980623309</v>
      </c>
      <c r="F1273" s="83" t="s">
        <v>103</v>
      </c>
      <c r="G1273" s="83">
        <v>0</v>
      </c>
      <c r="H1273" s="83">
        <v>100</v>
      </c>
      <c r="K1273" s="83">
        <v>1</v>
      </c>
      <c r="L1273" s="83" t="s">
        <v>101</v>
      </c>
      <c r="M1273" s="83" t="s">
        <v>410</v>
      </c>
      <c r="N1273" s="83" t="s">
        <v>102</v>
      </c>
      <c r="P1273" s="83">
        <v>0</v>
      </c>
      <c r="U1273" s="83">
        <v>4</v>
      </c>
      <c r="V1273" s="83">
        <v>1</v>
      </c>
      <c r="W1273" s="83" t="s">
        <v>103</v>
      </c>
      <c r="X1273" s="83">
        <v>0</v>
      </c>
    </row>
    <row r="1274" spans="1:25" x14ac:dyDescent="0.2">
      <c r="A1274" s="83">
        <v>1</v>
      </c>
      <c r="B1274" s="84">
        <v>5701603309421</v>
      </c>
      <c r="C1274" s="83">
        <v>40</v>
      </c>
      <c r="D1274" s="84">
        <v>5980823309</v>
      </c>
      <c r="F1274" s="83" t="s">
        <v>103</v>
      </c>
      <c r="G1274" s="83">
        <v>0</v>
      </c>
      <c r="H1274" s="83">
        <v>100</v>
      </c>
      <c r="K1274" s="83">
        <v>1</v>
      </c>
      <c r="L1274" s="83" t="s">
        <v>101</v>
      </c>
      <c r="M1274" s="83" t="s">
        <v>410</v>
      </c>
      <c r="N1274" s="83" t="s">
        <v>102</v>
      </c>
      <c r="P1274" s="83">
        <v>0</v>
      </c>
      <c r="U1274" s="83">
        <v>4</v>
      </c>
      <c r="V1274" s="83">
        <v>1</v>
      </c>
      <c r="W1274" s="83" t="s">
        <v>103</v>
      </c>
      <c r="X1274" s="83">
        <v>0</v>
      </c>
    </row>
    <row r="1275" spans="1:25" x14ac:dyDescent="0.2">
      <c r="A1275" s="83">
        <v>1</v>
      </c>
      <c r="B1275" s="84">
        <v>5701603309421</v>
      </c>
      <c r="C1275" s="83">
        <v>50</v>
      </c>
      <c r="D1275" s="84">
        <v>5980933309</v>
      </c>
      <c r="F1275" s="83" t="s">
        <v>103</v>
      </c>
      <c r="G1275" s="83">
        <v>0</v>
      </c>
      <c r="H1275" s="83">
        <v>100</v>
      </c>
      <c r="K1275" s="83">
        <v>1</v>
      </c>
      <c r="L1275" s="83" t="s">
        <v>101</v>
      </c>
      <c r="M1275" s="83" t="s">
        <v>410</v>
      </c>
      <c r="N1275" s="83" t="s">
        <v>102</v>
      </c>
      <c r="P1275" s="83">
        <v>0</v>
      </c>
      <c r="U1275" s="83">
        <v>4</v>
      </c>
      <c r="V1275" s="83">
        <v>1</v>
      </c>
      <c r="W1275" s="83" t="s">
        <v>103</v>
      </c>
      <c r="X1275" s="83">
        <v>0</v>
      </c>
    </row>
    <row r="1276" spans="1:25" x14ac:dyDescent="0.2">
      <c r="A1276" s="83">
        <v>1</v>
      </c>
      <c r="B1276" s="84">
        <v>5701603309421</v>
      </c>
      <c r="C1276" s="83">
        <v>60</v>
      </c>
      <c r="D1276" s="84">
        <v>1010286</v>
      </c>
      <c r="F1276" s="83" t="s">
        <v>103</v>
      </c>
      <c r="G1276" s="83">
        <v>0</v>
      </c>
      <c r="H1276" s="83">
        <v>100</v>
      </c>
      <c r="K1276" s="83">
        <v>8</v>
      </c>
      <c r="L1276" s="83" t="s">
        <v>101</v>
      </c>
      <c r="M1276" s="83" t="s">
        <v>410</v>
      </c>
      <c r="N1276" s="83" t="s">
        <v>102</v>
      </c>
      <c r="P1276" s="83">
        <v>0</v>
      </c>
      <c r="U1276" s="83">
        <v>4</v>
      </c>
      <c r="V1276" s="83">
        <v>1</v>
      </c>
      <c r="W1276" s="83" t="s">
        <v>103</v>
      </c>
      <c r="X1276" s="83">
        <v>0</v>
      </c>
    </row>
    <row r="1277" spans="1:25" x14ac:dyDescent="0.2">
      <c r="A1277" s="83">
        <v>1</v>
      </c>
      <c r="B1277" s="84">
        <v>5701603309421</v>
      </c>
      <c r="C1277" s="83">
        <v>70</v>
      </c>
      <c r="D1277" s="84">
        <v>1010287</v>
      </c>
      <c r="F1277" s="83" t="s">
        <v>103</v>
      </c>
      <c r="G1277" s="83">
        <v>0</v>
      </c>
      <c r="H1277" s="83">
        <v>100</v>
      </c>
      <c r="K1277" s="83">
        <v>4</v>
      </c>
      <c r="L1277" s="83" t="s">
        <v>101</v>
      </c>
      <c r="M1277" s="83" t="s">
        <v>410</v>
      </c>
      <c r="N1277" s="83" t="s">
        <v>102</v>
      </c>
      <c r="P1277" s="83">
        <v>0</v>
      </c>
      <c r="U1277" s="83">
        <v>4</v>
      </c>
      <c r="V1277" s="83">
        <v>1</v>
      </c>
      <c r="W1277" s="83" t="s">
        <v>103</v>
      </c>
      <c r="X1277" s="83">
        <v>0</v>
      </c>
    </row>
    <row r="1278" spans="1:25" x14ac:dyDescent="0.2">
      <c r="A1278" s="83">
        <v>1</v>
      </c>
      <c r="B1278" s="84">
        <v>5701603309421</v>
      </c>
      <c r="C1278" s="83">
        <v>80</v>
      </c>
      <c r="D1278" s="84">
        <v>1020145</v>
      </c>
      <c r="F1278" s="83" t="s">
        <v>103</v>
      </c>
      <c r="G1278" s="83">
        <v>0</v>
      </c>
      <c r="H1278" s="83">
        <v>100</v>
      </c>
      <c r="K1278" s="83" t="s">
        <v>408</v>
      </c>
      <c r="L1278" s="83" t="s">
        <v>101</v>
      </c>
      <c r="M1278" s="83" t="s">
        <v>410</v>
      </c>
      <c r="N1278" s="83" t="s">
        <v>102</v>
      </c>
      <c r="P1278" s="83">
        <v>0</v>
      </c>
      <c r="U1278" s="83">
        <v>4</v>
      </c>
      <c r="V1278" s="83">
        <v>1</v>
      </c>
      <c r="W1278" s="83" t="s">
        <v>103</v>
      </c>
      <c r="X1278" s="83">
        <v>0</v>
      </c>
    </row>
    <row r="1279" spans="1:25" x14ac:dyDescent="0.2">
      <c r="A1279" s="83">
        <v>1</v>
      </c>
      <c r="B1279" s="84">
        <v>5701603309421</v>
      </c>
      <c r="C1279" s="83">
        <v>90</v>
      </c>
      <c r="D1279" s="84">
        <v>777500421</v>
      </c>
      <c r="F1279" s="83" t="s">
        <v>103</v>
      </c>
      <c r="G1279" s="83">
        <v>0</v>
      </c>
      <c r="H1279" s="83">
        <v>100</v>
      </c>
      <c r="K1279" s="83">
        <v>1</v>
      </c>
      <c r="L1279" s="83" t="s">
        <v>101</v>
      </c>
      <c r="M1279" s="83" t="s">
        <v>410</v>
      </c>
      <c r="N1279" s="83" t="s">
        <v>102</v>
      </c>
      <c r="P1279" s="83">
        <v>0</v>
      </c>
      <c r="U1279" s="83">
        <v>4</v>
      </c>
      <c r="V1279" s="83">
        <v>1</v>
      </c>
      <c r="W1279" s="83" t="s">
        <v>103</v>
      </c>
      <c r="X1279" s="83">
        <v>0</v>
      </c>
    </row>
    <row r="1280" spans="1:25" x14ac:dyDescent="0.2">
      <c r="A1280" s="83">
        <v>1</v>
      </c>
      <c r="B1280" s="84">
        <v>5701603310421</v>
      </c>
      <c r="C1280" s="83">
        <v>10</v>
      </c>
      <c r="D1280" s="84">
        <v>5980463310</v>
      </c>
      <c r="F1280" s="83" t="s">
        <v>103</v>
      </c>
      <c r="G1280" s="83">
        <v>0</v>
      </c>
      <c r="H1280" s="83">
        <v>100</v>
      </c>
      <c r="K1280" s="83">
        <v>1</v>
      </c>
      <c r="L1280" s="83" t="s">
        <v>101</v>
      </c>
      <c r="M1280" s="83" t="s">
        <v>410</v>
      </c>
      <c r="N1280" s="83" t="s">
        <v>102</v>
      </c>
      <c r="P1280" s="83">
        <v>0</v>
      </c>
      <c r="U1280" s="83">
        <v>4</v>
      </c>
      <c r="V1280" s="83">
        <v>1</v>
      </c>
      <c r="W1280" s="83" t="s">
        <v>103</v>
      </c>
      <c r="X1280" s="83">
        <v>0</v>
      </c>
      <c r="Y1280" s="83" t="str">
        <f>LEFT(D1280,6)</f>
        <v>598046</v>
      </c>
    </row>
    <row r="1281" spans="1:25" x14ac:dyDescent="0.2">
      <c r="A1281" s="83">
        <v>1</v>
      </c>
      <c r="B1281" s="84">
        <v>5701603310421</v>
      </c>
      <c r="C1281" s="83">
        <v>20</v>
      </c>
      <c r="D1281" s="84">
        <v>5980543310</v>
      </c>
      <c r="F1281" s="83" t="s">
        <v>103</v>
      </c>
      <c r="G1281" s="83">
        <v>0</v>
      </c>
      <c r="H1281" s="83">
        <v>100</v>
      </c>
      <c r="K1281" s="83">
        <v>1</v>
      </c>
      <c r="L1281" s="83" t="s">
        <v>101</v>
      </c>
      <c r="M1281" s="83" t="s">
        <v>410</v>
      </c>
      <c r="N1281" s="83" t="s">
        <v>102</v>
      </c>
      <c r="P1281" s="83">
        <v>0</v>
      </c>
      <c r="U1281" s="83">
        <v>4</v>
      </c>
      <c r="V1281" s="83">
        <v>1</v>
      </c>
      <c r="W1281" s="83" t="s">
        <v>103</v>
      </c>
      <c r="X1281" s="83">
        <v>0</v>
      </c>
    </row>
    <row r="1282" spans="1:25" x14ac:dyDescent="0.2">
      <c r="A1282" s="83">
        <v>1</v>
      </c>
      <c r="B1282" s="84">
        <v>5701603310421</v>
      </c>
      <c r="C1282" s="83">
        <v>30</v>
      </c>
      <c r="D1282" s="84">
        <v>5980623310</v>
      </c>
      <c r="F1282" s="83" t="s">
        <v>103</v>
      </c>
      <c r="G1282" s="83">
        <v>0</v>
      </c>
      <c r="H1282" s="83">
        <v>100</v>
      </c>
      <c r="K1282" s="83">
        <v>1</v>
      </c>
      <c r="L1282" s="83" t="s">
        <v>101</v>
      </c>
      <c r="M1282" s="83" t="s">
        <v>410</v>
      </c>
      <c r="N1282" s="83" t="s">
        <v>102</v>
      </c>
      <c r="P1282" s="83">
        <v>0</v>
      </c>
      <c r="U1282" s="83">
        <v>4</v>
      </c>
      <c r="V1282" s="83">
        <v>1</v>
      </c>
      <c r="W1282" s="83" t="s">
        <v>103</v>
      </c>
      <c r="X1282" s="83">
        <v>0</v>
      </c>
    </row>
    <row r="1283" spans="1:25" x14ac:dyDescent="0.2">
      <c r="A1283" s="83">
        <v>1</v>
      </c>
      <c r="B1283" s="84">
        <v>5701603310421</v>
      </c>
      <c r="C1283" s="83">
        <v>40</v>
      </c>
      <c r="D1283" s="84">
        <v>5980823310</v>
      </c>
      <c r="F1283" s="83" t="s">
        <v>103</v>
      </c>
      <c r="G1283" s="83">
        <v>0</v>
      </c>
      <c r="H1283" s="83">
        <v>100</v>
      </c>
      <c r="K1283" s="83">
        <v>1</v>
      </c>
      <c r="L1283" s="83" t="s">
        <v>101</v>
      </c>
      <c r="M1283" s="83" t="s">
        <v>410</v>
      </c>
      <c r="N1283" s="83" t="s">
        <v>102</v>
      </c>
      <c r="P1283" s="83">
        <v>0</v>
      </c>
      <c r="U1283" s="83">
        <v>4</v>
      </c>
      <c r="V1283" s="83">
        <v>1</v>
      </c>
      <c r="W1283" s="83" t="s">
        <v>103</v>
      </c>
      <c r="X1283" s="83">
        <v>0</v>
      </c>
    </row>
    <row r="1284" spans="1:25" x14ac:dyDescent="0.2">
      <c r="A1284" s="83">
        <v>1</v>
      </c>
      <c r="B1284" s="84">
        <v>5701603310421</v>
      </c>
      <c r="C1284" s="83">
        <v>50</v>
      </c>
      <c r="D1284" s="84">
        <v>5980933310</v>
      </c>
      <c r="F1284" s="83" t="s">
        <v>103</v>
      </c>
      <c r="G1284" s="83">
        <v>0</v>
      </c>
      <c r="H1284" s="83">
        <v>100</v>
      </c>
      <c r="K1284" s="83">
        <v>1</v>
      </c>
      <c r="L1284" s="83" t="s">
        <v>101</v>
      </c>
      <c r="M1284" s="83" t="s">
        <v>410</v>
      </c>
      <c r="N1284" s="83" t="s">
        <v>102</v>
      </c>
      <c r="P1284" s="83">
        <v>0</v>
      </c>
      <c r="U1284" s="83">
        <v>4</v>
      </c>
      <c r="V1284" s="83">
        <v>1</v>
      </c>
      <c r="W1284" s="83" t="s">
        <v>103</v>
      </c>
      <c r="X1284" s="83">
        <v>0</v>
      </c>
    </row>
    <row r="1285" spans="1:25" x14ac:dyDescent="0.2">
      <c r="A1285" s="83">
        <v>1</v>
      </c>
      <c r="B1285" s="84">
        <v>5701603310421</v>
      </c>
      <c r="C1285" s="83">
        <v>60</v>
      </c>
      <c r="D1285" s="84">
        <v>1010286</v>
      </c>
      <c r="F1285" s="83" t="s">
        <v>103</v>
      </c>
      <c r="G1285" s="83">
        <v>0</v>
      </c>
      <c r="H1285" s="83">
        <v>100</v>
      </c>
      <c r="K1285" s="83">
        <v>8</v>
      </c>
      <c r="L1285" s="83" t="s">
        <v>101</v>
      </c>
      <c r="M1285" s="83" t="s">
        <v>410</v>
      </c>
      <c r="N1285" s="83" t="s">
        <v>102</v>
      </c>
      <c r="P1285" s="83">
        <v>0</v>
      </c>
      <c r="U1285" s="83">
        <v>4</v>
      </c>
      <c r="V1285" s="83">
        <v>1</v>
      </c>
      <c r="W1285" s="83" t="s">
        <v>103</v>
      </c>
      <c r="X1285" s="83">
        <v>0</v>
      </c>
    </row>
    <row r="1286" spans="1:25" x14ac:dyDescent="0.2">
      <c r="A1286" s="83">
        <v>1</v>
      </c>
      <c r="B1286" s="84">
        <v>5701603310421</v>
      </c>
      <c r="C1286" s="83">
        <v>70</v>
      </c>
      <c r="D1286" s="84">
        <v>1010287</v>
      </c>
      <c r="F1286" s="83" t="s">
        <v>103</v>
      </c>
      <c r="G1286" s="83">
        <v>0</v>
      </c>
      <c r="H1286" s="83">
        <v>100</v>
      </c>
      <c r="K1286" s="83">
        <v>4</v>
      </c>
      <c r="L1286" s="83" t="s">
        <v>101</v>
      </c>
      <c r="M1286" s="83" t="s">
        <v>410</v>
      </c>
      <c r="N1286" s="83" t="s">
        <v>102</v>
      </c>
      <c r="P1286" s="83">
        <v>0</v>
      </c>
      <c r="U1286" s="83">
        <v>4</v>
      </c>
      <c r="V1286" s="83">
        <v>1</v>
      </c>
      <c r="W1286" s="83" t="s">
        <v>103</v>
      </c>
      <c r="X1286" s="83">
        <v>0</v>
      </c>
    </row>
    <row r="1287" spans="1:25" x14ac:dyDescent="0.2">
      <c r="A1287" s="83">
        <v>1</v>
      </c>
      <c r="B1287" s="84">
        <v>5701603310421</v>
      </c>
      <c r="C1287" s="83">
        <v>80</v>
      </c>
      <c r="D1287" s="84">
        <v>1020145</v>
      </c>
      <c r="F1287" s="83" t="s">
        <v>103</v>
      </c>
      <c r="G1287" s="83">
        <v>0</v>
      </c>
      <c r="H1287" s="83">
        <v>100</v>
      </c>
      <c r="K1287" s="83" t="s">
        <v>408</v>
      </c>
      <c r="L1287" s="83" t="s">
        <v>101</v>
      </c>
      <c r="M1287" s="83" t="s">
        <v>410</v>
      </c>
      <c r="N1287" s="83" t="s">
        <v>102</v>
      </c>
      <c r="P1287" s="83">
        <v>0</v>
      </c>
      <c r="U1287" s="83">
        <v>4</v>
      </c>
      <c r="V1287" s="83">
        <v>1</v>
      </c>
      <c r="W1287" s="83" t="s">
        <v>103</v>
      </c>
      <c r="X1287" s="83">
        <v>0</v>
      </c>
    </row>
    <row r="1288" spans="1:25" x14ac:dyDescent="0.2">
      <c r="A1288" s="83">
        <v>1</v>
      </c>
      <c r="B1288" s="84">
        <v>5701603310421</v>
      </c>
      <c r="C1288" s="83">
        <v>90</v>
      </c>
      <c r="D1288" s="84">
        <v>777500421</v>
      </c>
      <c r="F1288" s="83" t="s">
        <v>103</v>
      </c>
      <c r="G1288" s="83">
        <v>0</v>
      </c>
      <c r="H1288" s="83">
        <v>100</v>
      </c>
      <c r="K1288" s="83">
        <v>1</v>
      </c>
      <c r="L1288" s="83" t="s">
        <v>101</v>
      </c>
      <c r="M1288" s="83" t="s">
        <v>410</v>
      </c>
      <c r="N1288" s="83" t="s">
        <v>102</v>
      </c>
      <c r="P1288" s="83">
        <v>0</v>
      </c>
      <c r="U1288" s="83">
        <v>4</v>
      </c>
      <c r="V1288" s="83">
        <v>1</v>
      </c>
      <c r="W1288" s="83" t="s">
        <v>103</v>
      </c>
      <c r="X1288" s="83">
        <v>0</v>
      </c>
    </row>
    <row r="1289" spans="1:25" x14ac:dyDescent="0.2">
      <c r="A1289" s="83">
        <v>1</v>
      </c>
      <c r="B1289" s="84">
        <v>5701603300422</v>
      </c>
      <c r="C1289" s="83">
        <v>10</v>
      </c>
      <c r="D1289" s="84">
        <v>5980463399</v>
      </c>
      <c r="F1289" s="83" t="s">
        <v>103</v>
      </c>
      <c r="G1289" s="83">
        <v>0</v>
      </c>
      <c r="H1289" s="83">
        <v>100</v>
      </c>
      <c r="K1289" s="83">
        <v>1</v>
      </c>
      <c r="L1289" s="83" t="s">
        <v>101</v>
      </c>
      <c r="M1289" s="83" t="s">
        <v>410</v>
      </c>
      <c r="N1289" s="83" t="s">
        <v>102</v>
      </c>
      <c r="P1289" s="83">
        <v>0</v>
      </c>
      <c r="U1289" s="83">
        <v>4</v>
      </c>
      <c r="V1289" s="83">
        <v>1</v>
      </c>
      <c r="W1289" s="83" t="s">
        <v>103</v>
      </c>
      <c r="X1289" s="83">
        <v>0</v>
      </c>
      <c r="Y1289" s="83" t="str">
        <f>LEFT(D1289,6)</f>
        <v>598046</v>
      </c>
    </row>
    <row r="1290" spans="1:25" x14ac:dyDescent="0.2">
      <c r="A1290" s="83">
        <v>1</v>
      </c>
      <c r="B1290" s="84">
        <v>5701603300422</v>
      </c>
      <c r="C1290" s="83">
        <v>20</v>
      </c>
      <c r="D1290" s="84">
        <v>5980543399</v>
      </c>
      <c r="F1290" s="83" t="s">
        <v>103</v>
      </c>
      <c r="G1290" s="83">
        <v>0</v>
      </c>
      <c r="H1290" s="83">
        <v>100</v>
      </c>
      <c r="K1290" s="83">
        <v>1</v>
      </c>
      <c r="L1290" s="83" t="s">
        <v>101</v>
      </c>
      <c r="M1290" s="83" t="s">
        <v>410</v>
      </c>
      <c r="N1290" s="83" t="s">
        <v>102</v>
      </c>
      <c r="P1290" s="83">
        <v>0</v>
      </c>
      <c r="U1290" s="83">
        <v>4</v>
      </c>
      <c r="V1290" s="83">
        <v>1</v>
      </c>
      <c r="W1290" s="83" t="s">
        <v>103</v>
      </c>
      <c r="X1290" s="83">
        <v>0</v>
      </c>
    </row>
    <row r="1291" spans="1:25" x14ac:dyDescent="0.2">
      <c r="A1291" s="83">
        <v>1</v>
      </c>
      <c r="B1291" s="84">
        <v>5701603300422</v>
      </c>
      <c r="C1291" s="83">
        <v>30</v>
      </c>
      <c r="D1291" s="84">
        <v>5980623399</v>
      </c>
      <c r="F1291" s="83" t="s">
        <v>103</v>
      </c>
      <c r="G1291" s="83">
        <v>0</v>
      </c>
      <c r="H1291" s="83">
        <v>100</v>
      </c>
      <c r="K1291" s="83">
        <v>1</v>
      </c>
      <c r="L1291" s="83" t="s">
        <v>101</v>
      </c>
      <c r="M1291" s="83" t="s">
        <v>410</v>
      </c>
      <c r="N1291" s="83" t="s">
        <v>102</v>
      </c>
      <c r="P1291" s="83">
        <v>0</v>
      </c>
      <c r="U1291" s="83">
        <v>4</v>
      </c>
      <c r="V1291" s="83">
        <v>1</v>
      </c>
      <c r="W1291" s="83" t="s">
        <v>103</v>
      </c>
      <c r="X1291" s="83">
        <v>0</v>
      </c>
    </row>
    <row r="1292" spans="1:25" x14ac:dyDescent="0.2">
      <c r="A1292" s="83">
        <v>1</v>
      </c>
      <c r="B1292" s="84">
        <v>5701603300422</v>
      </c>
      <c r="C1292" s="83">
        <v>40</v>
      </c>
      <c r="D1292" s="84">
        <v>5980823399</v>
      </c>
      <c r="F1292" s="83" t="s">
        <v>103</v>
      </c>
      <c r="G1292" s="83">
        <v>0</v>
      </c>
      <c r="H1292" s="83">
        <v>100</v>
      </c>
      <c r="K1292" s="83">
        <v>1</v>
      </c>
      <c r="L1292" s="83" t="s">
        <v>101</v>
      </c>
      <c r="M1292" s="83" t="s">
        <v>410</v>
      </c>
      <c r="N1292" s="83" t="s">
        <v>102</v>
      </c>
      <c r="P1292" s="83">
        <v>0</v>
      </c>
      <c r="U1292" s="83">
        <v>4</v>
      </c>
      <c r="V1292" s="83">
        <v>1</v>
      </c>
      <c r="W1292" s="83" t="s">
        <v>103</v>
      </c>
      <c r="X1292" s="83">
        <v>0</v>
      </c>
    </row>
    <row r="1293" spans="1:25" x14ac:dyDescent="0.2">
      <c r="A1293" s="83">
        <v>1</v>
      </c>
      <c r="B1293" s="84">
        <v>5701603300422</v>
      </c>
      <c r="C1293" s="83">
        <v>50</v>
      </c>
      <c r="D1293" s="85">
        <v>1010277</v>
      </c>
      <c r="F1293" s="83" t="s">
        <v>103</v>
      </c>
      <c r="G1293" s="83">
        <v>0</v>
      </c>
      <c r="H1293" s="83">
        <v>100</v>
      </c>
      <c r="K1293" s="83">
        <v>1</v>
      </c>
      <c r="L1293" s="83" t="s">
        <v>101</v>
      </c>
      <c r="M1293" s="83" t="s">
        <v>410</v>
      </c>
      <c r="N1293" s="83" t="s">
        <v>102</v>
      </c>
      <c r="P1293" s="83">
        <v>0</v>
      </c>
      <c r="U1293" s="83">
        <v>4</v>
      </c>
      <c r="V1293" s="83">
        <v>1</v>
      </c>
      <c r="W1293" s="83" t="s">
        <v>103</v>
      </c>
      <c r="X1293" s="83">
        <v>0</v>
      </c>
    </row>
    <row r="1294" spans="1:25" x14ac:dyDescent="0.2">
      <c r="A1294" s="83">
        <v>1</v>
      </c>
      <c r="B1294" s="84">
        <v>5701603300422</v>
      </c>
      <c r="C1294" s="83">
        <v>60</v>
      </c>
      <c r="D1294" s="84">
        <v>1010286</v>
      </c>
      <c r="F1294" s="83" t="s">
        <v>103</v>
      </c>
      <c r="G1294" s="83">
        <v>0</v>
      </c>
      <c r="H1294" s="83">
        <v>100</v>
      </c>
      <c r="K1294" s="83">
        <v>8</v>
      </c>
      <c r="L1294" s="83" t="s">
        <v>101</v>
      </c>
      <c r="M1294" s="83" t="s">
        <v>410</v>
      </c>
      <c r="N1294" s="83" t="s">
        <v>102</v>
      </c>
      <c r="P1294" s="83">
        <v>0</v>
      </c>
      <c r="U1294" s="83">
        <v>4</v>
      </c>
      <c r="V1294" s="83">
        <v>1</v>
      </c>
      <c r="W1294" s="83" t="s">
        <v>103</v>
      </c>
      <c r="X1294" s="83">
        <v>0</v>
      </c>
    </row>
    <row r="1295" spans="1:25" x14ac:dyDescent="0.2">
      <c r="A1295" s="83">
        <v>1</v>
      </c>
      <c r="B1295" s="84">
        <v>5701603300422</v>
      </c>
      <c r="C1295" s="83">
        <v>70</v>
      </c>
      <c r="D1295" s="84">
        <v>1010287</v>
      </c>
      <c r="F1295" s="83" t="s">
        <v>103</v>
      </c>
      <c r="G1295" s="83">
        <v>0</v>
      </c>
      <c r="H1295" s="83">
        <v>100</v>
      </c>
      <c r="K1295" s="83">
        <v>4</v>
      </c>
      <c r="L1295" s="83" t="s">
        <v>101</v>
      </c>
      <c r="M1295" s="83" t="s">
        <v>410</v>
      </c>
      <c r="N1295" s="83" t="s">
        <v>102</v>
      </c>
      <c r="P1295" s="83">
        <v>0</v>
      </c>
      <c r="U1295" s="83">
        <v>4</v>
      </c>
      <c r="V1295" s="83">
        <v>1</v>
      </c>
      <c r="W1295" s="83" t="s">
        <v>103</v>
      </c>
      <c r="X1295" s="83">
        <v>0</v>
      </c>
    </row>
    <row r="1296" spans="1:25" x14ac:dyDescent="0.2">
      <c r="A1296" s="83">
        <v>1</v>
      </c>
      <c r="B1296" s="84">
        <v>5701603300422</v>
      </c>
      <c r="C1296" s="83">
        <v>80</v>
      </c>
      <c r="D1296" s="84">
        <v>1020145</v>
      </c>
      <c r="F1296" s="83" t="s">
        <v>103</v>
      </c>
      <c r="G1296" s="83">
        <v>0</v>
      </c>
      <c r="H1296" s="83">
        <v>100</v>
      </c>
      <c r="K1296" s="83" t="s">
        <v>408</v>
      </c>
      <c r="L1296" s="83" t="s">
        <v>101</v>
      </c>
      <c r="M1296" s="83" t="s">
        <v>410</v>
      </c>
      <c r="N1296" s="83" t="s">
        <v>102</v>
      </c>
      <c r="P1296" s="83">
        <v>0</v>
      </c>
      <c r="U1296" s="83">
        <v>4</v>
      </c>
      <c r="V1296" s="83">
        <v>1</v>
      </c>
      <c r="W1296" s="83" t="s">
        <v>103</v>
      </c>
      <c r="X1296" s="83">
        <v>0</v>
      </c>
    </row>
    <row r="1297" spans="1:25" x14ac:dyDescent="0.2">
      <c r="A1297" s="83">
        <v>1</v>
      </c>
      <c r="B1297" s="84">
        <v>5701603300422</v>
      </c>
      <c r="C1297" s="83">
        <v>90</v>
      </c>
      <c r="D1297" s="84">
        <v>777500422</v>
      </c>
      <c r="F1297" s="83" t="s">
        <v>103</v>
      </c>
      <c r="G1297" s="83">
        <v>0</v>
      </c>
      <c r="H1297" s="83">
        <v>100</v>
      </c>
      <c r="K1297" s="83">
        <v>1</v>
      </c>
      <c r="L1297" s="83" t="s">
        <v>101</v>
      </c>
      <c r="M1297" s="83" t="s">
        <v>410</v>
      </c>
      <c r="N1297" s="83" t="s">
        <v>102</v>
      </c>
      <c r="P1297" s="83">
        <v>0</v>
      </c>
      <c r="U1297" s="83">
        <v>4</v>
      </c>
      <c r="V1297" s="83">
        <v>1</v>
      </c>
      <c r="W1297" s="83" t="s">
        <v>103</v>
      </c>
      <c r="X1297" s="83">
        <v>0</v>
      </c>
    </row>
    <row r="1298" spans="1:25" x14ac:dyDescent="0.2">
      <c r="A1298" s="83">
        <v>1</v>
      </c>
      <c r="B1298" s="84">
        <v>5701603301422</v>
      </c>
      <c r="C1298" s="83">
        <v>10</v>
      </c>
      <c r="D1298" s="84">
        <v>5980463301</v>
      </c>
      <c r="F1298" s="83" t="s">
        <v>103</v>
      </c>
      <c r="G1298" s="83">
        <v>0</v>
      </c>
      <c r="H1298" s="83">
        <v>100</v>
      </c>
      <c r="K1298" s="83">
        <v>1</v>
      </c>
      <c r="L1298" s="83" t="s">
        <v>101</v>
      </c>
      <c r="M1298" s="83" t="s">
        <v>410</v>
      </c>
      <c r="N1298" s="83" t="s">
        <v>102</v>
      </c>
      <c r="P1298" s="83">
        <v>0</v>
      </c>
      <c r="U1298" s="83">
        <v>4</v>
      </c>
      <c r="V1298" s="83">
        <v>1</v>
      </c>
      <c r="W1298" s="83" t="s">
        <v>103</v>
      </c>
      <c r="X1298" s="83">
        <v>0</v>
      </c>
      <c r="Y1298" s="83" t="str">
        <f>LEFT(D1298,6)</f>
        <v>598046</v>
      </c>
    </row>
    <row r="1299" spans="1:25" x14ac:dyDescent="0.2">
      <c r="A1299" s="83">
        <v>1</v>
      </c>
      <c r="B1299" s="84">
        <v>5701603301422</v>
      </c>
      <c r="C1299" s="83">
        <v>20</v>
      </c>
      <c r="D1299" s="84">
        <v>5980543301</v>
      </c>
      <c r="F1299" s="83" t="s">
        <v>103</v>
      </c>
      <c r="G1299" s="83">
        <v>0</v>
      </c>
      <c r="H1299" s="83">
        <v>100</v>
      </c>
      <c r="K1299" s="83">
        <v>1</v>
      </c>
      <c r="L1299" s="83" t="s">
        <v>101</v>
      </c>
      <c r="M1299" s="83" t="s">
        <v>410</v>
      </c>
      <c r="N1299" s="83" t="s">
        <v>102</v>
      </c>
      <c r="P1299" s="83">
        <v>0</v>
      </c>
      <c r="U1299" s="83">
        <v>4</v>
      </c>
      <c r="V1299" s="83">
        <v>1</v>
      </c>
      <c r="W1299" s="83" t="s">
        <v>103</v>
      </c>
      <c r="X1299" s="83">
        <v>0</v>
      </c>
    </row>
    <row r="1300" spans="1:25" x14ac:dyDescent="0.2">
      <c r="A1300" s="83">
        <v>1</v>
      </c>
      <c r="B1300" s="84">
        <v>5701603301422</v>
      </c>
      <c r="C1300" s="83">
        <v>30</v>
      </c>
      <c r="D1300" s="84">
        <v>5980623301</v>
      </c>
      <c r="F1300" s="83" t="s">
        <v>103</v>
      </c>
      <c r="G1300" s="83">
        <v>0</v>
      </c>
      <c r="H1300" s="83">
        <v>100</v>
      </c>
      <c r="K1300" s="83">
        <v>1</v>
      </c>
      <c r="L1300" s="83" t="s">
        <v>101</v>
      </c>
      <c r="M1300" s="83" t="s">
        <v>410</v>
      </c>
      <c r="N1300" s="83" t="s">
        <v>102</v>
      </c>
      <c r="P1300" s="83">
        <v>0</v>
      </c>
      <c r="U1300" s="83">
        <v>4</v>
      </c>
      <c r="V1300" s="83">
        <v>1</v>
      </c>
      <c r="W1300" s="83" t="s">
        <v>103</v>
      </c>
      <c r="X1300" s="83">
        <v>0</v>
      </c>
    </row>
    <row r="1301" spans="1:25" x14ac:dyDescent="0.2">
      <c r="A1301" s="83">
        <v>1</v>
      </c>
      <c r="B1301" s="84">
        <v>5701603301422</v>
      </c>
      <c r="C1301" s="83">
        <v>40</v>
      </c>
      <c r="D1301" s="84">
        <v>5980823301</v>
      </c>
      <c r="F1301" s="83" t="s">
        <v>103</v>
      </c>
      <c r="G1301" s="83">
        <v>0</v>
      </c>
      <c r="H1301" s="83">
        <v>100</v>
      </c>
      <c r="K1301" s="83">
        <v>1</v>
      </c>
      <c r="L1301" s="83" t="s">
        <v>101</v>
      </c>
      <c r="M1301" s="83" t="s">
        <v>410</v>
      </c>
      <c r="N1301" s="83" t="s">
        <v>102</v>
      </c>
      <c r="P1301" s="83">
        <v>0</v>
      </c>
      <c r="U1301" s="83">
        <v>4</v>
      </c>
      <c r="V1301" s="83">
        <v>1</v>
      </c>
      <c r="W1301" s="83" t="s">
        <v>103</v>
      </c>
      <c r="X1301" s="83">
        <v>0</v>
      </c>
    </row>
    <row r="1302" spans="1:25" x14ac:dyDescent="0.2">
      <c r="A1302" s="83">
        <v>1</v>
      </c>
      <c r="B1302" s="84">
        <v>5701603301422</v>
      </c>
      <c r="C1302" s="83">
        <v>50</v>
      </c>
      <c r="D1302" s="84">
        <v>5980933301</v>
      </c>
      <c r="F1302" s="83" t="s">
        <v>103</v>
      </c>
      <c r="G1302" s="83">
        <v>0</v>
      </c>
      <c r="H1302" s="83">
        <v>100</v>
      </c>
      <c r="K1302" s="83">
        <v>1</v>
      </c>
      <c r="L1302" s="83" t="s">
        <v>101</v>
      </c>
      <c r="M1302" s="83" t="s">
        <v>410</v>
      </c>
      <c r="N1302" s="83" t="s">
        <v>102</v>
      </c>
      <c r="P1302" s="83">
        <v>0</v>
      </c>
      <c r="U1302" s="83">
        <v>4</v>
      </c>
      <c r="V1302" s="83">
        <v>1</v>
      </c>
      <c r="W1302" s="83" t="s">
        <v>103</v>
      </c>
      <c r="X1302" s="83">
        <v>0</v>
      </c>
    </row>
    <row r="1303" spans="1:25" x14ac:dyDescent="0.2">
      <c r="A1303" s="83">
        <v>1</v>
      </c>
      <c r="B1303" s="84">
        <v>5701603301422</v>
      </c>
      <c r="C1303" s="83">
        <v>60</v>
      </c>
      <c r="D1303" s="84">
        <v>1010286</v>
      </c>
      <c r="F1303" s="83" t="s">
        <v>103</v>
      </c>
      <c r="G1303" s="83">
        <v>0</v>
      </c>
      <c r="H1303" s="83">
        <v>100</v>
      </c>
      <c r="K1303" s="83">
        <v>8</v>
      </c>
      <c r="L1303" s="83" t="s">
        <v>101</v>
      </c>
      <c r="M1303" s="83" t="s">
        <v>410</v>
      </c>
      <c r="N1303" s="83" t="s">
        <v>102</v>
      </c>
      <c r="P1303" s="83">
        <v>0</v>
      </c>
      <c r="U1303" s="83">
        <v>4</v>
      </c>
      <c r="V1303" s="83">
        <v>1</v>
      </c>
      <c r="W1303" s="83" t="s">
        <v>103</v>
      </c>
      <c r="X1303" s="83">
        <v>0</v>
      </c>
    </row>
    <row r="1304" spans="1:25" x14ac:dyDescent="0.2">
      <c r="A1304" s="83">
        <v>1</v>
      </c>
      <c r="B1304" s="84">
        <v>5701603301422</v>
      </c>
      <c r="C1304" s="83">
        <v>70</v>
      </c>
      <c r="D1304" s="84">
        <v>1010287</v>
      </c>
      <c r="F1304" s="83" t="s">
        <v>103</v>
      </c>
      <c r="G1304" s="83">
        <v>0</v>
      </c>
      <c r="H1304" s="83">
        <v>100</v>
      </c>
      <c r="K1304" s="83">
        <v>4</v>
      </c>
      <c r="L1304" s="83" t="s">
        <v>101</v>
      </c>
      <c r="M1304" s="83" t="s">
        <v>410</v>
      </c>
      <c r="N1304" s="83" t="s">
        <v>102</v>
      </c>
      <c r="P1304" s="83">
        <v>0</v>
      </c>
      <c r="U1304" s="83">
        <v>4</v>
      </c>
      <c r="V1304" s="83">
        <v>1</v>
      </c>
      <c r="W1304" s="83" t="s">
        <v>103</v>
      </c>
      <c r="X1304" s="83">
        <v>0</v>
      </c>
    </row>
    <row r="1305" spans="1:25" x14ac:dyDescent="0.2">
      <c r="A1305" s="83">
        <v>1</v>
      </c>
      <c r="B1305" s="84">
        <v>5701603301422</v>
      </c>
      <c r="C1305" s="83">
        <v>80</v>
      </c>
      <c r="D1305" s="84">
        <v>1020145</v>
      </c>
      <c r="F1305" s="83" t="s">
        <v>103</v>
      </c>
      <c r="G1305" s="83">
        <v>0</v>
      </c>
      <c r="H1305" s="83">
        <v>100</v>
      </c>
      <c r="K1305" s="83" t="s">
        <v>408</v>
      </c>
      <c r="L1305" s="83" t="s">
        <v>101</v>
      </c>
      <c r="M1305" s="83" t="s">
        <v>410</v>
      </c>
      <c r="N1305" s="83" t="s">
        <v>102</v>
      </c>
      <c r="P1305" s="83">
        <v>0</v>
      </c>
      <c r="U1305" s="83">
        <v>4</v>
      </c>
      <c r="V1305" s="83">
        <v>1</v>
      </c>
      <c r="W1305" s="83" t="s">
        <v>103</v>
      </c>
      <c r="X1305" s="83">
        <v>0</v>
      </c>
    </row>
    <row r="1306" spans="1:25" x14ac:dyDescent="0.2">
      <c r="A1306" s="83">
        <v>1</v>
      </c>
      <c r="B1306" s="84">
        <v>5701603301422</v>
      </c>
      <c r="C1306" s="83">
        <v>90</v>
      </c>
      <c r="D1306" s="84">
        <v>777500422</v>
      </c>
      <c r="F1306" s="83" t="s">
        <v>103</v>
      </c>
      <c r="G1306" s="83">
        <v>0</v>
      </c>
      <c r="H1306" s="83">
        <v>100</v>
      </c>
      <c r="K1306" s="83">
        <v>1</v>
      </c>
      <c r="L1306" s="83" t="s">
        <v>101</v>
      </c>
      <c r="M1306" s="83" t="s">
        <v>410</v>
      </c>
      <c r="N1306" s="83" t="s">
        <v>102</v>
      </c>
      <c r="P1306" s="83">
        <v>0</v>
      </c>
      <c r="U1306" s="83">
        <v>4</v>
      </c>
      <c r="V1306" s="83">
        <v>1</v>
      </c>
      <c r="W1306" s="83" t="s">
        <v>103</v>
      </c>
      <c r="X1306" s="83">
        <v>0</v>
      </c>
    </row>
    <row r="1307" spans="1:25" x14ac:dyDescent="0.2">
      <c r="A1307" s="83">
        <v>1</v>
      </c>
      <c r="B1307" s="84">
        <v>5701603302422</v>
      </c>
      <c r="C1307" s="83">
        <v>10</v>
      </c>
      <c r="D1307" s="84">
        <v>5980463302</v>
      </c>
      <c r="F1307" s="83" t="s">
        <v>103</v>
      </c>
      <c r="G1307" s="83">
        <v>0</v>
      </c>
      <c r="H1307" s="83">
        <v>100</v>
      </c>
      <c r="K1307" s="83">
        <v>1</v>
      </c>
      <c r="L1307" s="83" t="s">
        <v>101</v>
      </c>
      <c r="M1307" s="83" t="s">
        <v>410</v>
      </c>
      <c r="N1307" s="83" t="s">
        <v>102</v>
      </c>
      <c r="P1307" s="83">
        <v>0</v>
      </c>
      <c r="U1307" s="83">
        <v>4</v>
      </c>
      <c r="V1307" s="83">
        <v>1</v>
      </c>
      <c r="W1307" s="83" t="s">
        <v>103</v>
      </c>
      <c r="X1307" s="83">
        <v>0</v>
      </c>
      <c r="Y1307" s="83" t="str">
        <f>LEFT(D1307,6)</f>
        <v>598046</v>
      </c>
    </row>
    <row r="1308" spans="1:25" x14ac:dyDescent="0.2">
      <c r="A1308" s="83">
        <v>1</v>
      </c>
      <c r="B1308" s="84">
        <v>5701603302422</v>
      </c>
      <c r="C1308" s="83">
        <v>20</v>
      </c>
      <c r="D1308" s="84">
        <v>5980543302</v>
      </c>
      <c r="F1308" s="83" t="s">
        <v>103</v>
      </c>
      <c r="G1308" s="83">
        <v>0</v>
      </c>
      <c r="H1308" s="83">
        <v>100</v>
      </c>
      <c r="K1308" s="83">
        <v>1</v>
      </c>
      <c r="L1308" s="83" t="s">
        <v>101</v>
      </c>
      <c r="M1308" s="83" t="s">
        <v>410</v>
      </c>
      <c r="N1308" s="83" t="s">
        <v>102</v>
      </c>
      <c r="P1308" s="83">
        <v>0</v>
      </c>
      <c r="U1308" s="83">
        <v>4</v>
      </c>
      <c r="V1308" s="83">
        <v>1</v>
      </c>
      <c r="W1308" s="83" t="s">
        <v>103</v>
      </c>
      <c r="X1308" s="83">
        <v>0</v>
      </c>
    </row>
    <row r="1309" spans="1:25" x14ac:dyDescent="0.2">
      <c r="A1309" s="83">
        <v>1</v>
      </c>
      <c r="B1309" s="84">
        <v>5701603302422</v>
      </c>
      <c r="C1309" s="83">
        <v>30</v>
      </c>
      <c r="D1309" s="84">
        <v>5980623302</v>
      </c>
      <c r="F1309" s="83" t="s">
        <v>103</v>
      </c>
      <c r="G1309" s="83">
        <v>0</v>
      </c>
      <c r="H1309" s="83">
        <v>100</v>
      </c>
      <c r="K1309" s="83">
        <v>1</v>
      </c>
      <c r="L1309" s="83" t="s">
        <v>101</v>
      </c>
      <c r="M1309" s="83" t="s">
        <v>410</v>
      </c>
      <c r="N1309" s="83" t="s">
        <v>102</v>
      </c>
      <c r="P1309" s="83">
        <v>0</v>
      </c>
      <c r="U1309" s="83">
        <v>4</v>
      </c>
      <c r="V1309" s="83">
        <v>1</v>
      </c>
      <c r="W1309" s="83" t="s">
        <v>103</v>
      </c>
      <c r="X1309" s="83">
        <v>0</v>
      </c>
    </row>
    <row r="1310" spans="1:25" x14ac:dyDescent="0.2">
      <c r="A1310" s="83">
        <v>1</v>
      </c>
      <c r="B1310" s="84">
        <v>5701603302422</v>
      </c>
      <c r="C1310" s="83">
        <v>40</v>
      </c>
      <c r="D1310" s="84">
        <v>5980823302</v>
      </c>
      <c r="F1310" s="83" t="s">
        <v>103</v>
      </c>
      <c r="G1310" s="83">
        <v>0</v>
      </c>
      <c r="H1310" s="83">
        <v>100</v>
      </c>
      <c r="K1310" s="83">
        <v>1</v>
      </c>
      <c r="L1310" s="83" t="s">
        <v>101</v>
      </c>
      <c r="M1310" s="83" t="s">
        <v>410</v>
      </c>
      <c r="N1310" s="83" t="s">
        <v>102</v>
      </c>
      <c r="P1310" s="83">
        <v>0</v>
      </c>
      <c r="U1310" s="83">
        <v>4</v>
      </c>
      <c r="V1310" s="83">
        <v>1</v>
      </c>
      <c r="W1310" s="83" t="s">
        <v>103</v>
      </c>
      <c r="X1310" s="83">
        <v>0</v>
      </c>
    </row>
    <row r="1311" spans="1:25" x14ac:dyDescent="0.2">
      <c r="A1311" s="83">
        <v>1</v>
      </c>
      <c r="B1311" s="84">
        <v>5701603302422</v>
      </c>
      <c r="C1311" s="83">
        <v>50</v>
      </c>
      <c r="D1311" s="84">
        <v>5980933302</v>
      </c>
      <c r="F1311" s="83" t="s">
        <v>103</v>
      </c>
      <c r="G1311" s="83">
        <v>0</v>
      </c>
      <c r="H1311" s="83">
        <v>100</v>
      </c>
      <c r="K1311" s="83">
        <v>1</v>
      </c>
      <c r="L1311" s="83" t="s">
        <v>101</v>
      </c>
      <c r="M1311" s="83" t="s">
        <v>410</v>
      </c>
      <c r="N1311" s="83" t="s">
        <v>102</v>
      </c>
      <c r="P1311" s="83">
        <v>0</v>
      </c>
      <c r="U1311" s="83">
        <v>4</v>
      </c>
      <c r="V1311" s="83">
        <v>1</v>
      </c>
      <c r="W1311" s="83" t="s">
        <v>103</v>
      </c>
      <c r="X1311" s="83">
        <v>0</v>
      </c>
    </row>
    <row r="1312" spans="1:25" x14ac:dyDescent="0.2">
      <c r="A1312" s="83">
        <v>1</v>
      </c>
      <c r="B1312" s="84">
        <v>5701603302422</v>
      </c>
      <c r="C1312" s="83">
        <v>60</v>
      </c>
      <c r="D1312" s="84">
        <v>1010286</v>
      </c>
      <c r="F1312" s="83" t="s">
        <v>103</v>
      </c>
      <c r="G1312" s="83">
        <v>0</v>
      </c>
      <c r="H1312" s="83">
        <v>100</v>
      </c>
      <c r="K1312" s="83">
        <v>8</v>
      </c>
      <c r="L1312" s="83" t="s">
        <v>101</v>
      </c>
      <c r="M1312" s="83" t="s">
        <v>410</v>
      </c>
      <c r="N1312" s="83" t="s">
        <v>102</v>
      </c>
      <c r="P1312" s="83">
        <v>0</v>
      </c>
      <c r="U1312" s="83">
        <v>4</v>
      </c>
      <c r="V1312" s="83">
        <v>1</v>
      </c>
      <c r="W1312" s="83" t="s">
        <v>103</v>
      </c>
      <c r="X1312" s="83">
        <v>0</v>
      </c>
    </row>
    <row r="1313" spans="1:25" x14ac:dyDescent="0.2">
      <c r="A1313" s="83">
        <v>1</v>
      </c>
      <c r="B1313" s="84">
        <v>5701603302422</v>
      </c>
      <c r="C1313" s="83">
        <v>70</v>
      </c>
      <c r="D1313" s="84">
        <v>1010288</v>
      </c>
      <c r="F1313" s="83" t="s">
        <v>103</v>
      </c>
      <c r="G1313" s="83">
        <v>0</v>
      </c>
      <c r="H1313" s="83">
        <v>100</v>
      </c>
      <c r="K1313" s="83">
        <v>4</v>
      </c>
      <c r="L1313" s="83" t="s">
        <v>101</v>
      </c>
      <c r="M1313" s="83" t="s">
        <v>410</v>
      </c>
      <c r="N1313" s="83" t="s">
        <v>102</v>
      </c>
      <c r="P1313" s="83">
        <v>0</v>
      </c>
      <c r="U1313" s="83">
        <v>4</v>
      </c>
      <c r="V1313" s="83">
        <v>1</v>
      </c>
      <c r="W1313" s="83" t="s">
        <v>103</v>
      </c>
      <c r="X1313" s="83">
        <v>0</v>
      </c>
    </row>
    <row r="1314" spans="1:25" x14ac:dyDescent="0.2">
      <c r="A1314" s="83">
        <v>1</v>
      </c>
      <c r="B1314" s="84">
        <v>5701603302422</v>
      </c>
      <c r="C1314" s="83">
        <v>80</v>
      </c>
      <c r="D1314" s="84">
        <v>1020145</v>
      </c>
      <c r="F1314" s="83" t="s">
        <v>103</v>
      </c>
      <c r="G1314" s="83">
        <v>0</v>
      </c>
      <c r="H1314" s="83">
        <v>100</v>
      </c>
      <c r="K1314" s="83" t="s">
        <v>408</v>
      </c>
      <c r="L1314" s="83" t="s">
        <v>101</v>
      </c>
      <c r="M1314" s="83" t="s">
        <v>410</v>
      </c>
      <c r="N1314" s="83" t="s">
        <v>102</v>
      </c>
      <c r="P1314" s="83">
        <v>0</v>
      </c>
      <c r="U1314" s="83">
        <v>4</v>
      </c>
      <c r="V1314" s="83">
        <v>1</v>
      </c>
      <c r="W1314" s="83" t="s">
        <v>103</v>
      </c>
      <c r="X1314" s="83">
        <v>0</v>
      </c>
    </row>
    <row r="1315" spans="1:25" x14ac:dyDescent="0.2">
      <c r="A1315" s="83">
        <v>1</v>
      </c>
      <c r="B1315" s="84">
        <v>5701603302422</v>
      </c>
      <c r="C1315" s="83">
        <v>90</v>
      </c>
      <c r="D1315" s="84">
        <v>777500422</v>
      </c>
      <c r="F1315" s="83" t="s">
        <v>103</v>
      </c>
      <c r="G1315" s="83">
        <v>0</v>
      </c>
      <c r="H1315" s="83">
        <v>100</v>
      </c>
      <c r="K1315" s="83">
        <v>1</v>
      </c>
      <c r="L1315" s="83" t="s">
        <v>101</v>
      </c>
      <c r="M1315" s="83" t="s">
        <v>410</v>
      </c>
      <c r="N1315" s="83" t="s">
        <v>102</v>
      </c>
      <c r="P1315" s="83">
        <v>0</v>
      </c>
      <c r="U1315" s="83">
        <v>4</v>
      </c>
      <c r="V1315" s="83">
        <v>1</v>
      </c>
      <c r="W1315" s="83" t="s">
        <v>103</v>
      </c>
      <c r="X1315" s="83">
        <v>0</v>
      </c>
    </row>
    <row r="1316" spans="1:25" x14ac:dyDescent="0.2">
      <c r="A1316" s="83">
        <v>1</v>
      </c>
      <c r="B1316" s="84">
        <v>5701603303422</v>
      </c>
      <c r="C1316" s="83">
        <v>10</v>
      </c>
      <c r="D1316" s="84">
        <v>5980463303</v>
      </c>
      <c r="F1316" s="83" t="s">
        <v>103</v>
      </c>
      <c r="G1316" s="83">
        <v>0</v>
      </c>
      <c r="H1316" s="83">
        <v>100</v>
      </c>
      <c r="K1316" s="83">
        <v>1</v>
      </c>
      <c r="L1316" s="83" t="s">
        <v>101</v>
      </c>
      <c r="M1316" s="83" t="s">
        <v>410</v>
      </c>
      <c r="N1316" s="83" t="s">
        <v>102</v>
      </c>
      <c r="P1316" s="83">
        <v>0</v>
      </c>
      <c r="U1316" s="83">
        <v>4</v>
      </c>
      <c r="V1316" s="83">
        <v>1</v>
      </c>
      <c r="W1316" s="83" t="s">
        <v>103</v>
      </c>
      <c r="X1316" s="83">
        <v>0</v>
      </c>
      <c r="Y1316" s="83" t="str">
        <f>LEFT(D1316,6)</f>
        <v>598046</v>
      </c>
    </row>
    <row r="1317" spans="1:25" x14ac:dyDescent="0.2">
      <c r="A1317" s="83">
        <v>1</v>
      </c>
      <c r="B1317" s="84">
        <v>5701603303422</v>
      </c>
      <c r="C1317" s="83">
        <v>20</v>
      </c>
      <c r="D1317" s="85">
        <v>5980543303</v>
      </c>
      <c r="F1317" s="83" t="s">
        <v>103</v>
      </c>
      <c r="G1317" s="83">
        <v>0</v>
      </c>
      <c r="H1317" s="83">
        <v>100</v>
      </c>
      <c r="K1317" s="83">
        <v>1</v>
      </c>
      <c r="L1317" s="83" t="s">
        <v>101</v>
      </c>
      <c r="M1317" s="83" t="s">
        <v>410</v>
      </c>
      <c r="N1317" s="83" t="s">
        <v>102</v>
      </c>
      <c r="P1317" s="83">
        <v>0</v>
      </c>
      <c r="U1317" s="83">
        <v>4</v>
      </c>
      <c r="V1317" s="83">
        <v>1</v>
      </c>
      <c r="W1317" s="83" t="s">
        <v>103</v>
      </c>
      <c r="X1317" s="83">
        <v>0</v>
      </c>
    </row>
    <row r="1318" spans="1:25" x14ac:dyDescent="0.2">
      <c r="A1318" s="83">
        <v>1</v>
      </c>
      <c r="B1318" s="84">
        <v>5701603303422</v>
      </c>
      <c r="C1318" s="83">
        <v>30</v>
      </c>
      <c r="D1318" s="84">
        <v>5980623303</v>
      </c>
      <c r="F1318" s="83" t="s">
        <v>103</v>
      </c>
      <c r="G1318" s="83">
        <v>0</v>
      </c>
      <c r="H1318" s="83">
        <v>100</v>
      </c>
      <c r="K1318" s="83">
        <v>1</v>
      </c>
      <c r="L1318" s="83" t="s">
        <v>101</v>
      </c>
      <c r="M1318" s="83" t="s">
        <v>410</v>
      </c>
      <c r="N1318" s="83" t="s">
        <v>102</v>
      </c>
      <c r="P1318" s="83">
        <v>0</v>
      </c>
      <c r="U1318" s="83">
        <v>4</v>
      </c>
      <c r="V1318" s="83">
        <v>1</v>
      </c>
      <c r="W1318" s="83" t="s">
        <v>103</v>
      </c>
      <c r="X1318" s="83">
        <v>0</v>
      </c>
    </row>
    <row r="1319" spans="1:25" x14ac:dyDescent="0.2">
      <c r="A1319" s="83">
        <v>1</v>
      </c>
      <c r="B1319" s="84">
        <v>5701603303422</v>
      </c>
      <c r="C1319" s="83">
        <v>40</v>
      </c>
      <c r="D1319" s="84">
        <v>5980823303</v>
      </c>
      <c r="F1319" s="83" t="s">
        <v>103</v>
      </c>
      <c r="G1319" s="83">
        <v>0</v>
      </c>
      <c r="H1319" s="83">
        <v>100</v>
      </c>
      <c r="K1319" s="83">
        <v>1</v>
      </c>
      <c r="L1319" s="83" t="s">
        <v>101</v>
      </c>
      <c r="M1319" s="83" t="s">
        <v>410</v>
      </c>
      <c r="N1319" s="83" t="s">
        <v>102</v>
      </c>
      <c r="P1319" s="83">
        <v>0</v>
      </c>
      <c r="U1319" s="83">
        <v>4</v>
      </c>
      <c r="V1319" s="83">
        <v>1</v>
      </c>
      <c r="W1319" s="83" t="s">
        <v>103</v>
      </c>
      <c r="X1319" s="83">
        <v>0</v>
      </c>
    </row>
    <row r="1320" spans="1:25" x14ac:dyDescent="0.2">
      <c r="A1320" s="83">
        <v>1</v>
      </c>
      <c r="B1320" s="84">
        <v>5701603303422</v>
      </c>
      <c r="C1320" s="83">
        <v>50</v>
      </c>
      <c r="D1320" s="84">
        <v>5980933303</v>
      </c>
      <c r="F1320" s="83" t="s">
        <v>103</v>
      </c>
      <c r="G1320" s="83">
        <v>0</v>
      </c>
      <c r="H1320" s="83">
        <v>100</v>
      </c>
      <c r="K1320" s="83">
        <v>1</v>
      </c>
      <c r="L1320" s="83" t="s">
        <v>101</v>
      </c>
      <c r="M1320" s="83" t="s">
        <v>410</v>
      </c>
      <c r="N1320" s="83" t="s">
        <v>102</v>
      </c>
      <c r="P1320" s="83">
        <v>0</v>
      </c>
      <c r="U1320" s="83">
        <v>4</v>
      </c>
      <c r="V1320" s="83">
        <v>1</v>
      </c>
      <c r="W1320" s="83" t="s">
        <v>103</v>
      </c>
      <c r="X1320" s="83">
        <v>0</v>
      </c>
    </row>
    <row r="1321" spans="1:25" x14ac:dyDescent="0.2">
      <c r="A1321" s="83">
        <v>1</v>
      </c>
      <c r="B1321" s="84">
        <v>5701603303422</v>
      </c>
      <c r="C1321" s="83">
        <v>60</v>
      </c>
      <c r="D1321" s="84">
        <v>1010286</v>
      </c>
      <c r="F1321" s="83" t="s">
        <v>103</v>
      </c>
      <c r="G1321" s="83">
        <v>0</v>
      </c>
      <c r="H1321" s="83">
        <v>100</v>
      </c>
      <c r="K1321" s="83">
        <v>8</v>
      </c>
      <c r="L1321" s="83" t="s">
        <v>101</v>
      </c>
      <c r="M1321" s="83" t="s">
        <v>410</v>
      </c>
      <c r="N1321" s="83" t="s">
        <v>102</v>
      </c>
      <c r="P1321" s="83">
        <v>0</v>
      </c>
      <c r="U1321" s="83">
        <v>4</v>
      </c>
      <c r="V1321" s="83">
        <v>1</v>
      </c>
      <c r="W1321" s="83" t="s">
        <v>103</v>
      </c>
      <c r="X1321" s="83">
        <v>0</v>
      </c>
    </row>
    <row r="1322" spans="1:25" x14ac:dyDescent="0.2">
      <c r="A1322" s="83">
        <v>1</v>
      </c>
      <c r="B1322" s="84">
        <v>5701603303422</v>
      </c>
      <c r="C1322" s="83">
        <v>70</v>
      </c>
      <c r="D1322" s="84">
        <v>1010287</v>
      </c>
      <c r="F1322" s="83" t="s">
        <v>103</v>
      </c>
      <c r="G1322" s="83">
        <v>0</v>
      </c>
      <c r="H1322" s="83">
        <v>100</v>
      </c>
      <c r="K1322" s="83">
        <v>4</v>
      </c>
      <c r="L1322" s="83" t="s">
        <v>101</v>
      </c>
      <c r="M1322" s="83" t="s">
        <v>410</v>
      </c>
      <c r="N1322" s="83" t="s">
        <v>102</v>
      </c>
      <c r="P1322" s="83">
        <v>0</v>
      </c>
      <c r="U1322" s="83">
        <v>4</v>
      </c>
      <c r="V1322" s="83">
        <v>1</v>
      </c>
      <c r="W1322" s="83" t="s">
        <v>103</v>
      </c>
      <c r="X1322" s="83">
        <v>0</v>
      </c>
    </row>
    <row r="1323" spans="1:25" x14ac:dyDescent="0.2">
      <c r="A1323" s="83">
        <v>1</v>
      </c>
      <c r="B1323" s="84">
        <v>5701603303422</v>
      </c>
      <c r="C1323" s="83">
        <v>80</v>
      </c>
      <c r="D1323" s="84">
        <v>1020145</v>
      </c>
      <c r="F1323" s="83" t="s">
        <v>103</v>
      </c>
      <c r="G1323" s="83">
        <v>0</v>
      </c>
      <c r="H1323" s="83">
        <v>100</v>
      </c>
      <c r="K1323" s="83" t="s">
        <v>408</v>
      </c>
      <c r="L1323" s="83" t="s">
        <v>101</v>
      </c>
      <c r="M1323" s="83" t="s">
        <v>410</v>
      </c>
      <c r="N1323" s="83" t="s">
        <v>102</v>
      </c>
      <c r="P1323" s="83">
        <v>0</v>
      </c>
      <c r="U1323" s="83">
        <v>4</v>
      </c>
      <c r="V1323" s="83">
        <v>1</v>
      </c>
      <c r="W1323" s="83" t="s">
        <v>103</v>
      </c>
      <c r="X1323" s="83">
        <v>0</v>
      </c>
    </row>
    <row r="1324" spans="1:25" x14ac:dyDescent="0.2">
      <c r="A1324" s="83">
        <v>1</v>
      </c>
      <c r="B1324" s="84">
        <v>5701603303422</v>
      </c>
      <c r="C1324" s="83">
        <v>90</v>
      </c>
      <c r="D1324" s="84">
        <v>777500422</v>
      </c>
      <c r="F1324" s="83" t="s">
        <v>103</v>
      </c>
      <c r="G1324" s="83">
        <v>0</v>
      </c>
      <c r="H1324" s="83">
        <v>100</v>
      </c>
      <c r="K1324" s="83">
        <v>1</v>
      </c>
      <c r="L1324" s="83" t="s">
        <v>101</v>
      </c>
      <c r="M1324" s="83" t="s">
        <v>410</v>
      </c>
      <c r="N1324" s="83" t="s">
        <v>102</v>
      </c>
      <c r="P1324" s="83">
        <v>0</v>
      </c>
      <c r="U1324" s="83">
        <v>4</v>
      </c>
      <c r="V1324" s="83">
        <v>1</v>
      </c>
      <c r="W1324" s="83" t="s">
        <v>103</v>
      </c>
      <c r="X1324" s="83">
        <v>0</v>
      </c>
    </row>
    <row r="1325" spans="1:25" x14ac:dyDescent="0.2">
      <c r="A1325" s="83">
        <v>1</v>
      </c>
      <c r="B1325" s="84">
        <v>5701603304422</v>
      </c>
      <c r="C1325" s="83">
        <v>10</v>
      </c>
      <c r="D1325" s="84">
        <v>5980463304</v>
      </c>
      <c r="F1325" s="83" t="s">
        <v>103</v>
      </c>
      <c r="G1325" s="83">
        <v>0</v>
      </c>
      <c r="H1325" s="83">
        <v>100</v>
      </c>
      <c r="K1325" s="83">
        <v>1</v>
      </c>
      <c r="L1325" s="83" t="s">
        <v>101</v>
      </c>
      <c r="M1325" s="83" t="s">
        <v>410</v>
      </c>
      <c r="N1325" s="83" t="s">
        <v>102</v>
      </c>
      <c r="P1325" s="83">
        <v>0</v>
      </c>
      <c r="U1325" s="83">
        <v>4</v>
      </c>
      <c r="V1325" s="83">
        <v>1</v>
      </c>
      <c r="W1325" s="83" t="s">
        <v>103</v>
      </c>
      <c r="X1325" s="83">
        <v>0</v>
      </c>
      <c r="Y1325" s="83" t="str">
        <f>LEFT(D1325,6)</f>
        <v>598046</v>
      </c>
    </row>
    <row r="1326" spans="1:25" x14ac:dyDescent="0.2">
      <c r="A1326" s="83">
        <v>1</v>
      </c>
      <c r="B1326" s="84">
        <v>5701603304422</v>
      </c>
      <c r="C1326" s="83">
        <v>20</v>
      </c>
      <c r="D1326" s="84">
        <v>5980543304</v>
      </c>
      <c r="F1326" s="83" t="s">
        <v>103</v>
      </c>
      <c r="G1326" s="83">
        <v>0</v>
      </c>
      <c r="H1326" s="83">
        <v>100</v>
      </c>
      <c r="K1326" s="83">
        <v>1</v>
      </c>
      <c r="L1326" s="83" t="s">
        <v>101</v>
      </c>
      <c r="M1326" s="83" t="s">
        <v>410</v>
      </c>
      <c r="N1326" s="83" t="s">
        <v>102</v>
      </c>
      <c r="P1326" s="83">
        <v>0</v>
      </c>
      <c r="U1326" s="83">
        <v>4</v>
      </c>
      <c r="V1326" s="83">
        <v>1</v>
      </c>
      <c r="W1326" s="83" t="s">
        <v>103</v>
      </c>
      <c r="X1326" s="83">
        <v>0</v>
      </c>
    </row>
    <row r="1327" spans="1:25" x14ac:dyDescent="0.2">
      <c r="A1327" s="83">
        <v>1</v>
      </c>
      <c r="B1327" s="84">
        <v>5701603304422</v>
      </c>
      <c r="C1327" s="83">
        <v>30</v>
      </c>
      <c r="D1327" s="84">
        <v>5980623304</v>
      </c>
      <c r="F1327" s="83" t="s">
        <v>103</v>
      </c>
      <c r="G1327" s="83">
        <v>0</v>
      </c>
      <c r="H1327" s="83">
        <v>100</v>
      </c>
      <c r="K1327" s="83">
        <v>1</v>
      </c>
      <c r="L1327" s="83" t="s">
        <v>101</v>
      </c>
      <c r="M1327" s="83" t="s">
        <v>410</v>
      </c>
      <c r="N1327" s="83" t="s">
        <v>102</v>
      </c>
      <c r="P1327" s="83">
        <v>0</v>
      </c>
      <c r="U1327" s="83">
        <v>4</v>
      </c>
      <c r="V1327" s="83">
        <v>1</v>
      </c>
      <c r="W1327" s="83" t="s">
        <v>103</v>
      </c>
      <c r="X1327" s="83">
        <v>0</v>
      </c>
    </row>
    <row r="1328" spans="1:25" x14ac:dyDescent="0.2">
      <c r="A1328" s="83">
        <v>1</v>
      </c>
      <c r="B1328" s="84">
        <v>5701603304422</v>
      </c>
      <c r="C1328" s="83">
        <v>40</v>
      </c>
      <c r="D1328" s="84">
        <v>5980823304</v>
      </c>
      <c r="F1328" s="83" t="s">
        <v>103</v>
      </c>
      <c r="G1328" s="83">
        <v>0</v>
      </c>
      <c r="H1328" s="83">
        <v>100</v>
      </c>
      <c r="K1328" s="83">
        <v>1</v>
      </c>
      <c r="L1328" s="83" t="s">
        <v>101</v>
      </c>
      <c r="M1328" s="83" t="s">
        <v>410</v>
      </c>
      <c r="N1328" s="83" t="s">
        <v>102</v>
      </c>
      <c r="P1328" s="83">
        <v>0</v>
      </c>
      <c r="U1328" s="83">
        <v>4</v>
      </c>
      <c r="V1328" s="83">
        <v>1</v>
      </c>
      <c r="W1328" s="83" t="s">
        <v>103</v>
      </c>
      <c r="X1328" s="83">
        <v>0</v>
      </c>
    </row>
    <row r="1329" spans="1:25" x14ac:dyDescent="0.2">
      <c r="A1329" s="83">
        <v>1</v>
      </c>
      <c r="B1329" s="84">
        <v>5701603304422</v>
      </c>
      <c r="C1329" s="83">
        <v>50</v>
      </c>
      <c r="D1329" s="84">
        <v>5980933304</v>
      </c>
      <c r="F1329" s="83" t="s">
        <v>103</v>
      </c>
      <c r="G1329" s="83">
        <v>0</v>
      </c>
      <c r="H1329" s="83">
        <v>100</v>
      </c>
      <c r="K1329" s="83">
        <v>1</v>
      </c>
      <c r="L1329" s="83" t="s">
        <v>101</v>
      </c>
      <c r="M1329" s="83" t="s">
        <v>410</v>
      </c>
      <c r="N1329" s="83" t="s">
        <v>102</v>
      </c>
      <c r="P1329" s="83">
        <v>0</v>
      </c>
      <c r="U1329" s="83">
        <v>4</v>
      </c>
      <c r="V1329" s="83">
        <v>1</v>
      </c>
      <c r="W1329" s="83" t="s">
        <v>103</v>
      </c>
      <c r="X1329" s="83">
        <v>0</v>
      </c>
    </row>
    <row r="1330" spans="1:25" x14ac:dyDescent="0.2">
      <c r="A1330" s="83">
        <v>1</v>
      </c>
      <c r="B1330" s="84">
        <v>5701603304422</v>
      </c>
      <c r="C1330" s="83">
        <v>60</v>
      </c>
      <c r="D1330" s="84">
        <v>1010286</v>
      </c>
      <c r="F1330" s="83" t="s">
        <v>103</v>
      </c>
      <c r="G1330" s="83">
        <v>0</v>
      </c>
      <c r="H1330" s="83">
        <v>100</v>
      </c>
      <c r="K1330" s="83">
        <v>8</v>
      </c>
      <c r="L1330" s="83" t="s">
        <v>101</v>
      </c>
      <c r="M1330" s="83" t="s">
        <v>410</v>
      </c>
      <c r="N1330" s="83" t="s">
        <v>102</v>
      </c>
      <c r="P1330" s="83">
        <v>0</v>
      </c>
      <c r="U1330" s="83">
        <v>4</v>
      </c>
      <c r="V1330" s="83">
        <v>1</v>
      </c>
      <c r="W1330" s="83" t="s">
        <v>103</v>
      </c>
      <c r="X1330" s="83">
        <v>0</v>
      </c>
    </row>
    <row r="1331" spans="1:25" x14ac:dyDescent="0.2">
      <c r="A1331" s="83">
        <v>1</v>
      </c>
      <c r="B1331" s="84">
        <v>5701603304422</v>
      </c>
      <c r="C1331" s="83">
        <v>70</v>
      </c>
      <c r="D1331" s="84">
        <v>1010288</v>
      </c>
      <c r="F1331" s="83" t="s">
        <v>103</v>
      </c>
      <c r="G1331" s="83">
        <v>0</v>
      </c>
      <c r="H1331" s="83">
        <v>100</v>
      </c>
      <c r="K1331" s="83">
        <v>4</v>
      </c>
      <c r="L1331" s="83" t="s">
        <v>101</v>
      </c>
      <c r="M1331" s="83" t="s">
        <v>410</v>
      </c>
      <c r="N1331" s="83" t="s">
        <v>102</v>
      </c>
      <c r="P1331" s="83">
        <v>0</v>
      </c>
      <c r="U1331" s="83">
        <v>4</v>
      </c>
      <c r="V1331" s="83">
        <v>1</v>
      </c>
      <c r="W1331" s="83" t="s">
        <v>103</v>
      </c>
      <c r="X1331" s="83">
        <v>0</v>
      </c>
    </row>
    <row r="1332" spans="1:25" x14ac:dyDescent="0.2">
      <c r="A1332" s="83">
        <v>1</v>
      </c>
      <c r="B1332" s="84">
        <v>5701603304422</v>
      </c>
      <c r="C1332" s="83">
        <v>80</v>
      </c>
      <c r="D1332" s="84">
        <v>1020145</v>
      </c>
      <c r="F1332" s="83" t="s">
        <v>103</v>
      </c>
      <c r="G1332" s="83">
        <v>0</v>
      </c>
      <c r="H1332" s="83">
        <v>100</v>
      </c>
      <c r="K1332" s="83" t="s">
        <v>408</v>
      </c>
      <c r="L1332" s="83" t="s">
        <v>101</v>
      </c>
      <c r="M1332" s="83" t="s">
        <v>410</v>
      </c>
      <c r="N1332" s="83" t="s">
        <v>102</v>
      </c>
      <c r="P1332" s="83">
        <v>0</v>
      </c>
      <c r="U1332" s="83">
        <v>4</v>
      </c>
      <c r="V1332" s="83">
        <v>1</v>
      </c>
      <c r="W1332" s="83" t="s">
        <v>103</v>
      </c>
      <c r="X1332" s="83">
        <v>0</v>
      </c>
    </row>
    <row r="1333" spans="1:25" x14ac:dyDescent="0.2">
      <c r="A1333" s="83">
        <v>1</v>
      </c>
      <c r="B1333" s="84">
        <v>5701603304422</v>
      </c>
      <c r="C1333" s="83">
        <v>90</v>
      </c>
      <c r="D1333" s="84">
        <v>777500422</v>
      </c>
      <c r="F1333" s="83" t="s">
        <v>103</v>
      </c>
      <c r="G1333" s="83">
        <v>0</v>
      </c>
      <c r="H1333" s="83">
        <v>100</v>
      </c>
      <c r="K1333" s="83">
        <v>1</v>
      </c>
      <c r="L1333" s="83" t="s">
        <v>101</v>
      </c>
      <c r="M1333" s="83" t="s">
        <v>410</v>
      </c>
      <c r="N1333" s="83" t="s">
        <v>102</v>
      </c>
      <c r="P1333" s="83">
        <v>0</v>
      </c>
      <c r="U1333" s="83">
        <v>4</v>
      </c>
      <c r="V1333" s="83">
        <v>1</v>
      </c>
      <c r="W1333" s="83" t="s">
        <v>103</v>
      </c>
      <c r="X1333" s="83">
        <v>0</v>
      </c>
    </row>
    <row r="1334" spans="1:25" x14ac:dyDescent="0.2">
      <c r="A1334" s="83">
        <v>1</v>
      </c>
      <c r="B1334" s="84">
        <v>5701603305422</v>
      </c>
      <c r="C1334" s="83">
        <v>10</v>
      </c>
      <c r="D1334" s="84">
        <v>5980463305</v>
      </c>
      <c r="F1334" s="83" t="s">
        <v>103</v>
      </c>
      <c r="G1334" s="83">
        <v>0</v>
      </c>
      <c r="H1334" s="83">
        <v>100</v>
      </c>
      <c r="K1334" s="83">
        <v>1</v>
      </c>
      <c r="L1334" s="83" t="s">
        <v>101</v>
      </c>
      <c r="M1334" s="83" t="s">
        <v>410</v>
      </c>
      <c r="N1334" s="83" t="s">
        <v>102</v>
      </c>
      <c r="P1334" s="83">
        <v>0</v>
      </c>
      <c r="U1334" s="83">
        <v>4</v>
      </c>
      <c r="V1334" s="83">
        <v>1</v>
      </c>
      <c r="W1334" s="83" t="s">
        <v>103</v>
      </c>
      <c r="X1334" s="83">
        <v>0</v>
      </c>
      <c r="Y1334" s="83" t="str">
        <f>LEFT(D1334,6)</f>
        <v>598046</v>
      </c>
    </row>
    <row r="1335" spans="1:25" x14ac:dyDescent="0.2">
      <c r="A1335" s="83">
        <v>1</v>
      </c>
      <c r="B1335" s="84">
        <v>5701603305422</v>
      </c>
      <c r="C1335" s="83">
        <v>20</v>
      </c>
      <c r="D1335" s="84">
        <v>5980543305</v>
      </c>
      <c r="F1335" s="83" t="s">
        <v>103</v>
      </c>
      <c r="G1335" s="83">
        <v>0</v>
      </c>
      <c r="H1335" s="83">
        <v>100</v>
      </c>
      <c r="K1335" s="83">
        <v>1</v>
      </c>
      <c r="L1335" s="83" t="s">
        <v>101</v>
      </c>
      <c r="M1335" s="83" t="s">
        <v>410</v>
      </c>
      <c r="N1335" s="83" t="s">
        <v>102</v>
      </c>
      <c r="P1335" s="83">
        <v>0</v>
      </c>
      <c r="U1335" s="83">
        <v>4</v>
      </c>
      <c r="V1335" s="83">
        <v>1</v>
      </c>
      <c r="W1335" s="83" t="s">
        <v>103</v>
      </c>
      <c r="X1335" s="83">
        <v>0</v>
      </c>
    </row>
    <row r="1336" spans="1:25" x14ac:dyDescent="0.2">
      <c r="A1336" s="83">
        <v>1</v>
      </c>
      <c r="B1336" s="84">
        <v>5701603305422</v>
      </c>
      <c r="C1336" s="83">
        <v>30</v>
      </c>
      <c r="D1336" s="84">
        <v>5980623305</v>
      </c>
      <c r="F1336" s="83" t="s">
        <v>103</v>
      </c>
      <c r="G1336" s="83">
        <v>0</v>
      </c>
      <c r="H1336" s="83">
        <v>100</v>
      </c>
      <c r="K1336" s="83">
        <v>1</v>
      </c>
      <c r="L1336" s="83" t="s">
        <v>101</v>
      </c>
      <c r="M1336" s="83" t="s">
        <v>410</v>
      </c>
      <c r="N1336" s="83" t="s">
        <v>102</v>
      </c>
      <c r="P1336" s="83">
        <v>0</v>
      </c>
      <c r="U1336" s="83">
        <v>4</v>
      </c>
      <c r="V1336" s="83">
        <v>1</v>
      </c>
      <c r="W1336" s="83" t="s">
        <v>103</v>
      </c>
      <c r="X1336" s="83">
        <v>0</v>
      </c>
    </row>
    <row r="1337" spans="1:25" x14ac:dyDescent="0.2">
      <c r="A1337" s="83">
        <v>1</v>
      </c>
      <c r="B1337" s="84">
        <v>5701603305422</v>
      </c>
      <c r="C1337" s="83">
        <v>40</v>
      </c>
      <c r="D1337" s="84">
        <v>5980823305</v>
      </c>
      <c r="F1337" s="83" t="s">
        <v>103</v>
      </c>
      <c r="G1337" s="83">
        <v>0</v>
      </c>
      <c r="H1337" s="83">
        <v>100</v>
      </c>
      <c r="K1337" s="83">
        <v>1</v>
      </c>
      <c r="L1337" s="83" t="s">
        <v>101</v>
      </c>
      <c r="M1337" s="83" t="s">
        <v>410</v>
      </c>
      <c r="N1337" s="83" t="s">
        <v>102</v>
      </c>
      <c r="P1337" s="83">
        <v>0</v>
      </c>
      <c r="U1337" s="83">
        <v>4</v>
      </c>
      <c r="V1337" s="83">
        <v>1</v>
      </c>
      <c r="W1337" s="83" t="s">
        <v>103</v>
      </c>
      <c r="X1337" s="83">
        <v>0</v>
      </c>
    </row>
    <row r="1338" spans="1:25" x14ac:dyDescent="0.2">
      <c r="A1338" s="83">
        <v>1</v>
      </c>
      <c r="B1338" s="84">
        <v>5701603305422</v>
      </c>
      <c r="C1338" s="83">
        <v>50</v>
      </c>
      <c r="D1338" s="84">
        <v>5980933305</v>
      </c>
      <c r="F1338" s="83" t="s">
        <v>103</v>
      </c>
      <c r="G1338" s="83">
        <v>0</v>
      </c>
      <c r="H1338" s="83">
        <v>100</v>
      </c>
      <c r="K1338" s="83">
        <v>1</v>
      </c>
      <c r="L1338" s="83" t="s">
        <v>101</v>
      </c>
      <c r="M1338" s="83" t="s">
        <v>410</v>
      </c>
      <c r="N1338" s="83" t="s">
        <v>102</v>
      </c>
      <c r="P1338" s="83">
        <v>0</v>
      </c>
      <c r="U1338" s="83">
        <v>4</v>
      </c>
      <c r="V1338" s="83">
        <v>1</v>
      </c>
      <c r="W1338" s="83" t="s">
        <v>103</v>
      </c>
      <c r="X1338" s="83">
        <v>0</v>
      </c>
    </row>
    <row r="1339" spans="1:25" x14ac:dyDescent="0.2">
      <c r="A1339" s="83">
        <v>1</v>
      </c>
      <c r="B1339" s="84">
        <v>5701603305422</v>
      </c>
      <c r="C1339" s="83">
        <v>60</v>
      </c>
      <c r="D1339" s="84">
        <v>1010286</v>
      </c>
      <c r="F1339" s="83" t="s">
        <v>103</v>
      </c>
      <c r="G1339" s="83">
        <v>0</v>
      </c>
      <c r="H1339" s="83">
        <v>100</v>
      </c>
      <c r="K1339" s="83">
        <v>8</v>
      </c>
      <c r="L1339" s="83" t="s">
        <v>101</v>
      </c>
      <c r="M1339" s="83" t="s">
        <v>410</v>
      </c>
      <c r="N1339" s="83" t="s">
        <v>102</v>
      </c>
      <c r="P1339" s="83">
        <v>0</v>
      </c>
      <c r="U1339" s="83">
        <v>4</v>
      </c>
      <c r="V1339" s="83">
        <v>1</v>
      </c>
      <c r="W1339" s="83" t="s">
        <v>103</v>
      </c>
      <c r="X1339" s="83">
        <v>0</v>
      </c>
    </row>
    <row r="1340" spans="1:25" x14ac:dyDescent="0.2">
      <c r="A1340" s="83">
        <v>1</v>
      </c>
      <c r="B1340" s="84">
        <v>5701603305422</v>
      </c>
      <c r="C1340" s="83">
        <v>70</v>
      </c>
      <c r="D1340" s="84">
        <v>1010288</v>
      </c>
      <c r="F1340" s="83" t="s">
        <v>103</v>
      </c>
      <c r="G1340" s="83">
        <v>0</v>
      </c>
      <c r="H1340" s="83">
        <v>100</v>
      </c>
      <c r="K1340" s="83">
        <v>4</v>
      </c>
      <c r="L1340" s="83" t="s">
        <v>101</v>
      </c>
      <c r="M1340" s="83" t="s">
        <v>410</v>
      </c>
      <c r="N1340" s="83" t="s">
        <v>102</v>
      </c>
      <c r="P1340" s="83">
        <v>0</v>
      </c>
      <c r="U1340" s="83">
        <v>4</v>
      </c>
      <c r="V1340" s="83">
        <v>1</v>
      </c>
      <c r="W1340" s="83" t="s">
        <v>103</v>
      </c>
      <c r="X1340" s="83">
        <v>0</v>
      </c>
    </row>
    <row r="1341" spans="1:25" x14ac:dyDescent="0.2">
      <c r="A1341" s="83">
        <v>1</v>
      </c>
      <c r="B1341" s="84">
        <v>5701603305422</v>
      </c>
      <c r="C1341" s="83">
        <v>80</v>
      </c>
      <c r="D1341" s="84">
        <v>1020145</v>
      </c>
      <c r="F1341" s="83" t="s">
        <v>103</v>
      </c>
      <c r="G1341" s="83">
        <v>0</v>
      </c>
      <c r="H1341" s="83">
        <v>100</v>
      </c>
      <c r="K1341" s="83" t="s">
        <v>408</v>
      </c>
      <c r="L1341" s="83" t="s">
        <v>101</v>
      </c>
      <c r="M1341" s="83" t="s">
        <v>410</v>
      </c>
      <c r="N1341" s="83" t="s">
        <v>102</v>
      </c>
      <c r="P1341" s="83">
        <v>0</v>
      </c>
      <c r="U1341" s="83">
        <v>4</v>
      </c>
      <c r="V1341" s="83">
        <v>1</v>
      </c>
      <c r="W1341" s="83" t="s">
        <v>103</v>
      </c>
      <c r="X1341" s="83">
        <v>0</v>
      </c>
    </row>
    <row r="1342" spans="1:25" x14ac:dyDescent="0.2">
      <c r="A1342" s="83">
        <v>1</v>
      </c>
      <c r="B1342" s="84">
        <v>5701603305422</v>
      </c>
      <c r="C1342" s="83">
        <v>90</v>
      </c>
      <c r="D1342" s="84">
        <v>777500422</v>
      </c>
      <c r="F1342" s="83" t="s">
        <v>103</v>
      </c>
      <c r="G1342" s="83">
        <v>0</v>
      </c>
      <c r="H1342" s="83">
        <v>100</v>
      </c>
      <c r="K1342" s="83">
        <v>1</v>
      </c>
      <c r="L1342" s="83" t="s">
        <v>101</v>
      </c>
      <c r="M1342" s="83" t="s">
        <v>410</v>
      </c>
      <c r="N1342" s="83" t="s">
        <v>102</v>
      </c>
      <c r="P1342" s="83">
        <v>0</v>
      </c>
      <c r="U1342" s="83">
        <v>4</v>
      </c>
      <c r="V1342" s="83">
        <v>1</v>
      </c>
      <c r="W1342" s="83" t="s">
        <v>103</v>
      </c>
      <c r="X1342" s="83">
        <v>0</v>
      </c>
    </row>
    <row r="1343" spans="1:25" x14ac:dyDescent="0.2">
      <c r="A1343" s="83">
        <v>1</v>
      </c>
      <c r="B1343" s="84">
        <v>5701603306422</v>
      </c>
      <c r="C1343" s="83">
        <v>10</v>
      </c>
      <c r="D1343" s="84">
        <v>5980463306</v>
      </c>
      <c r="F1343" s="83" t="s">
        <v>103</v>
      </c>
      <c r="G1343" s="83">
        <v>0</v>
      </c>
      <c r="H1343" s="83">
        <v>100</v>
      </c>
      <c r="K1343" s="83">
        <v>1</v>
      </c>
      <c r="L1343" s="83" t="s">
        <v>101</v>
      </c>
      <c r="M1343" s="83" t="s">
        <v>410</v>
      </c>
      <c r="N1343" s="83" t="s">
        <v>102</v>
      </c>
      <c r="P1343" s="83">
        <v>0</v>
      </c>
      <c r="U1343" s="83">
        <v>4</v>
      </c>
      <c r="V1343" s="83">
        <v>1</v>
      </c>
      <c r="W1343" s="83" t="s">
        <v>103</v>
      </c>
      <c r="X1343" s="83">
        <v>0</v>
      </c>
      <c r="Y1343" s="83" t="str">
        <f>LEFT(D1343,6)</f>
        <v>598046</v>
      </c>
    </row>
    <row r="1344" spans="1:25" x14ac:dyDescent="0.2">
      <c r="A1344" s="83">
        <v>1</v>
      </c>
      <c r="B1344" s="84">
        <v>5701603306422</v>
      </c>
      <c r="C1344" s="83">
        <v>20</v>
      </c>
      <c r="D1344" s="84">
        <v>5980543306</v>
      </c>
      <c r="F1344" s="83" t="s">
        <v>103</v>
      </c>
      <c r="G1344" s="83">
        <v>0</v>
      </c>
      <c r="H1344" s="83">
        <v>100</v>
      </c>
      <c r="K1344" s="83">
        <v>1</v>
      </c>
      <c r="L1344" s="83" t="s">
        <v>101</v>
      </c>
      <c r="M1344" s="83" t="s">
        <v>410</v>
      </c>
      <c r="N1344" s="83" t="s">
        <v>102</v>
      </c>
      <c r="P1344" s="83">
        <v>0</v>
      </c>
      <c r="U1344" s="83">
        <v>4</v>
      </c>
      <c r="V1344" s="83">
        <v>1</v>
      </c>
      <c r="W1344" s="83" t="s">
        <v>103</v>
      </c>
      <c r="X1344" s="83">
        <v>0</v>
      </c>
    </row>
    <row r="1345" spans="1:25" x14ac:dyDescent="0.2">
      <c r="A1345" s="83">
        <v>1</v>
      </c>
      <c r="B1345" s="84">
        <v>5701603306422</v>
      </c>
      <c r="C1345" s="83">
        <v>30</v>
      </c>
      <c r="D1345" s="84">
        <v>5980623306</v>
      </c>
      <c r="F1345" s="83" t="s">
        <v>103</v>
      </c>
      <c r="G1345" s="83">
        <v>0</v>
      </c>
      <c r="H1345" s="83">
        <v>100</v>
      </c>
      <c r="K1345" s="83">
        <v>1</v>
      </c>
      <c r="L1345" s="83" t="s">
        <v>101</v>
      </c>
      <c r="M1345" s="83" t="s">
        <v>410</v>
      </c>
      <c r="N1345" s="83" t="s">
        <v>102</v>
      </c>
      <c r="P1345" s="83">
        <v>0</v>
      </c>
      <c r="U1345" s="83">
        <v>4</v>
      </c>
      <c r="V1345" s="83">
        <v>1</v>
      </c>
      <c r="W1345" s="83" t="s">
        <v>103</v>
      </c>
      <c r="X1345" s="83">
        <v>0</v>
      </c>
    </row>
    <row r="1346" spans="1:25" x14ac:dyDescent="0.2">
      <c r="A1346" s="83">
        <v>1</v>
      </c>
      <c r="B1346" s="84">
        <v>5701603306422</v>
      </c>
      <c r="C1346" s="83">
        <v>40</v>
      </c>
      <c r="D1346" s="84">
        <v>5980823306</v>
      </c>
      <c r="F1346" s="83" t="s">
        <v>103</v>
      </c>
      <c r="G1346" s="83">
        <v>0</v>
      </c>
      <c r="H1346" s="83">
        <v>100</v>
      </c>
      <c r="K1346" s="83">
        <v>1</v>
      </c>
      <c r="L1346" s="83" t="s">
        <v>101</v>
      </c>
      <c r="M1346" s="83" t="s">
        <v>410</v>
      </c>
      <c r="N1346" s="83" t="s">
        <v>102</v>
      </c>
      <c r="P1346" s="83">
        <v>0</v>
      </c>
      <c r="U1346" s="83">
        <v>4</v>
      </c>
      <c r="V1346" s="83">
        <v>1</v>
      </c>
      <c r="W1346" s="83" t="s">
        <v>103</v>
      </c>
      <c r="X1346" s="83">
        <v>0</v>
      </c>
    </row>
    <row r="1347" spans="1:25" x14ac:dyDescent="0.2">
      <c r="A1347" s="83">
        <v>1</v>
      </c>
      <c r="B1347" s="84">
        <v>5701603306422</v>
      </c>
      <c r="C1347" s="83">
        <v>50</v>
      </c>
      <c r="D1347" s="84">
        <v>5980933306</v>
      </c>
      <c r="F1347" s="83" t="s">
        <v>103</v>
      </c>
      <c r="G1347" s="83">
        <v>0</v>
      </c>
      <c r="H1347" s="83">
        <v>100</v>
      </c>
      <c r="K1347" s="83">
        <v>1</v>
      </c>
      <c r="L1347" s="83" t="s">
        <v>101</v>
      </c>
      <c r="M1347" s="83" t="s">
        <v>410</v>
      </c>
      <c r="N1347" s="83" t="s">
        <v>102</v>
      </c>
      <c r="P1347" s="83">
        <v>0</v>
      </c>
      <c r="U1347" s="83">
        <v>4</v>
      </c>
      <c r="V1347" s="83">
        <v>1</v>
      </c>
      <c r="W1347" s="83" t="s">
        <v>103</v>
      </c>
      <c r="X1347" s="83">
        <v>0</v>
      </c>
    </row>
    <row r="1348" spans="1:25" x14ac:dyDescent="0.2">
      <c r="A1348" s="83">
        <v>1</v>
      </c>
      <c r="B1348" s="84">
        <v>5701603306422</v>
      </c>
      <c r="C1348" s="83">
        <v>60</v>
      </c>
      <c r="D1348" s="84">
        <v>1010286</v>
      </c>
      <c r="F1348" s="83" t="s">
        <v>103</v>
      </c>
      <c r="G1348" s="83">
        <v>0</v>
      </c>
      <c r="H1348" s="83">
        <v>100</v>
      </c>
      <c r="K1348" s="83">
        <v>8</v>
      </c>
      <c r="L1348" s="83" t="s">
        <v>101</v>
      </c>
      <c r="M1348" s="83" t="s">
        <v>410</v>
      </c>
      <c r="N1348" s="83" t="s">
        <v>102</v>
      </c>
      <c r="P1348" s="83">
        <v>0</v>
      </c>
      <c r="U1348" s="83">
        <v>4</v>
      </c>
      <c r="V1348" s="83">
        <v>1</v>
      </c>
      <c r="W1348" s="83" t="s">
        <v>103</v>
      </c>
      <c r="X1348" s="83">
        <v>0</v>
      </c>
    </row>
    <row r="1349" spans="1:25" x14ac:dyDescent="0.2">
      <c r="A1349" s="83">
        <v>1</v>
      </c>
      <c r="B1349" s="84">
        <v>5701603306422</v>
      </c>
      <c r="C1349" s="83">
        <v>70</v>
      </c>
      <c r="D1349" s="84">
        <v>1010287</v>
      </c>
      <c r="F1349" s="83" t="s">
        <v>103</v>
      </c>
      <c r="G1349" s="83">
        <v>0</v>
      </c>
      <c r="H1349" s="83">
        <v>100</v>
      </c>
      <c r="K1349" s="83">
        <v>4</v>
      </c>
      <c r="L1349" s="83" t="s">
        <v>101</v>
      </c>
      <c r="M1349" s="83" t="s">
        <v>410</v>
      </c>
      <c r="N1349" s="83" t="s">
        <v>102</v>
      </c>
      <c r="P1349" s="83">
        <v>0</v>
      </c>
      <c r="U1349" s="83">
        <v>4</v>
      </c>
      <c r="V1349" s="83">
        <v>1</v>
      </c>
      <c r="W1349" s="83" t="s">
        <v>103</v>
      </c>
      <c r="X1349" s="83">
        <v>0</v>
      </c>
    </row>
    <row r="1350" spans="1:25" x14ac:dyDescent="0.2">
      <c r="A1350" s="83">
        <v>1</v>
      </c>
      <c r="B1350" s="84">
        <v>5701603306422</v>
      </c>
      <c r="C1350" s="83">
        <v>80</v>
      </c>
      <c r="D1350" s="84">
        <v>1020145</v>
      </c>
      <c r="F1350" s="83" t="s">
        <v>103</v>
      </c>
      <c r="G1350" s="83">
        <v>0</v>
      </c>
      <c r="H1350" s="83">
        <v>100</v>
      </c>
      <c r="K1350" s="83" t="s">
        <v>408</v>
      </c>
      <c r="L1350" s="83" t="s">
        <v>101</v>
      </c>
      <c r="M1350" s="83" t="s">
        <v>410</v>
      </c>
      <c r="N1350" s="83" t="s">
        <v>102</v>
      </c>
      <c r="P1350" s="83">
        <v>0</v>
      </c>
      <c r="U1350" s="83">
        <v>4</v>
      </c>
      <c r="V1350" s="83">
        <v>1</v>
      </c>
      <c r="W1350" s="83" t="s">
        <v>103</v>
      </c>
      <c r="X1350" s="83">
        <v>0</v>
      </c>
    </row>
    <row r="1351" spans="1:25" x14ac:dyDescent="0.2">
      <c r="A1351" s="83">
        <v>1</v>
      </c>
      <c r="B1351" s="84">
        <v>5701603306422</v>
      </c>
      <c r="C1351" s="83">
        <v>90</v>
      </c>
      <c r="D1351" s="84">
        <v>777500422</v>
      </c>
      <c r="F1351" s="83" t="s">
        <v>103</v>
      </c>
      <c r="G1351" s="83">
        <v>0</v>
      </c>
      <c r="H1351" s="83">
        <v>100</v>
      </c>
      <c r="K1351" s="83">
        <v>1</v>
      </c>
      <c r="L1351" s="83" t="s">
        <v>101</v>
      </c>
      <c r="M1351" s="83" t="s">
        <v>410</v>
      </c>
      <c r="N1351" s="83" t="s">
        <v>102</v>
      </c>
      <c r="P1351" s="83">
        <v>0</v>
      </c>
      <c r="U1351" s="83">
        <v>4</v>
      </c>
      <c r="V1351" s="83">
        <v>1</v>
      </c>
      <c r="W1351" s="83" t="s">
        <v>103</v>
      </c>
      <c r="X1351" s="83">
        <v>0</v>
      </c>
    </row>
    <row r="1352" spans="1:25" x14ac:dyDescent="0.2">
      <c r="A1352" s="83">
        <v>1</v>
      </c>
      <c r="B1352" s="84">
        <v>5701603307422</v>
      </c>
      <c r="C1352" s="83">
        <v>10</v>
      </c>
      <c r="D1352" s="84">
        <v>5980463307</v>
      </c>
      <c r="F1352" s="83" t="s">
        <v>103</v>
      </c>
      <c r="G1352" s="83">
        <v>0</v>
      </c>
      <c r="H1352" s="83">
        <v>100</v>
      </c>
      <c r="K1352" s="83">
        <v>1</v>
      </c>
      <c r="L1352" s="83" t="s">
        <v>101</v>
      </c>
      <c r="M1352" s="83" t="s">
        <v>410</v>
      </c>
      <c r="N1352" s="83" t="s">
        <v>102</v>
      </c>
      <c r="P1352" s="83">
        <v>0</v>
      </c>
      <c r="U1352" s="83">
        <v>4</v>
      </c>
      <c r="V1352" s="83">
        <v>1</v>
      </c>
      <c r="W1352" s="83" t="s">
        <v>103</v>
      </c>
      <c r="X1352" s="83">
        <v>0</v>
      </c>
      <c r="Y1352" s="83" t="str">
        <f>LEFT(D1352,6)</f>
        <v>598046</v>
      </c>
    </row>
    <row r="1353" spans="1:25" x14ac:dyDescent="0.2">
      <c r="A1353" s="83">
        <v>1</v>
      </c>
      <c r="B1353" s="84">
        <v>5701603307422</v>
      </c>
      <c r="C1353" s="83">
        <v>20</v>
      </c>
      <c r="D1353" s="84">
        <v>5980543307</v>
      </c>
      <c r="F1353" s="83" t="s">
        <v>103</v>
      </c>
      <c r="G1353" s="83">
        <v>0</v>
      </c>
      <c r="H1353" s="83">
        <v>100</v>
      </c>
      <c r="K1353" s="83">
        <v>1</v>
      </c>
      <c r="L1353" s="83" t="s">
        <v>101</v>
      </c>
      <c r="M1353" s="83" t="s">
        <v>410</v>
      </c>
      <c r="N1353" s="83" t="s">
        <v>102</v>
      </c>
      <c r="P1353" s="83">
        <v>0</v>
      </c>
      <c r="U1353" s="83">
        <v>4</v>
      </c>
      <c r="V1353" s="83">
        <v>1</v>
      </c>
      <c r="W1353" s="83" t="s">
        <v>103</v>
      </c>
      <c r="X1353" s="83">
        <v>0</v>
      </c>
    </row>
    <row r="1354" spans="1:25" x14ac:dyDescent="0.2">
      <c r="A1354" s="83">
        <v>1</v>
      </c>
      <c r="B1354" s="84">
        <v>5701603307422</v>
      </c>
      <c r="C1354" s="83">
        <v>30</v>
      </c>
      <c r="D1354" s="84">
        <v>5980623307</v>
      </c>
      <c r="F1354" s="83" t="s">
        <v>103</v>
      </c>
      <c r="G1354" s="83">
        <v>0</v>
      </c>
      <c r="H1354" s="83">
        <v>100</v>
      </c>
      <c r="K1354" s="83">
        <v>1</v>
      </c>
      <c r="L1354" s="83" t="s">
        <v>101</v>
      </c>
      <c r="M1354" s="83" t="s">
        <v>410</v>
      </c>
      <c r="N1354" s="83" t="s">
        <v>102</v>
      </c>
      <c r="P1354" s="83">
        <v>0</v>
      </c>
      <c r="U1354" s="83">
        <v>4</v>
      </c>
      <c r="V1354" s="83">
        <v>1</v>
      </c>
      <c r="W1354" s="83" t="s">
        <v>103</v>
      </c>
      <c r="X1354" s="83">
        <v>0</v>
      </c>
    </row>
    <row r="1355" spans="1:25" x14ac:dyDescent="0.2">
      <c r="A1355" s="83">
        <v>1</v>
      </c>
      <c r="B1355" s="84">
        <v>5701603307422</v>
      </c>
      <c r="C1355" s="83">
        <v>40</v>
      </c>
      <c r="D1355" s="84">
        <v>5980823307</v>
      </c>
      <c r="F1355" s="83" t="s">
        <v>103</v>
      </c>
      <c r="G1355" s="83">
        <v>0</v>
      </c>
      <c r="H1355" s="83">
        <v>100</v>
      </c>
      <c r="K1355" s="83">
        <v>1</v>
      </c>
      <c r="L1355" s="83" t="s">
        <v>101</v>
      </c>
      <c r="M1355" s="83" t="s">
        <v>410</v>
      </c>
      <c r="N1355" s="83" t="s">
        <v>102</v>
      </c>
      <c r="P1355" s="83">
        <v>0</v>
      </c>
      <c r="U1355" s="83">
        <v>4</v>
      </c>
      <c r="V1355" s="83">
        <v>1</v>
      </c>
      <c r="W1355" s="83" t="s">
        <v>103</v>
      </c>
      <c r="X1355" s="83">
        <v>0</v>
      </c>
    </row>
    <row r="1356" spans="1:25" x14ac:dyDescent="0.2">
      <c r="A1356" s="83">
        <v>1</v>
      </c>
      <c r="B1356" s="84">
        <v>5701603307422</v>
      </c>
      <c r="C1356" s="83">
        <v>50</v>
      </c>
      <c r="D1356" s="84">
        <v>5980933307</v>
      </c>
      <c r="F1356" s="83" t="s">
        <v>103</v>
      </c>
      <c r="G1356" s="83">
        <v>0</v>
      </c>
      <c r="H1356" s="83">
        <v>100</v>
      </c>
      <c r="K1356" s="83">
        <v>1</v>
      </c>
      <c r="L1356" s="83" t="s">
        <v>101</v>
      </c>
      <c r="M1356" s="83" t="s">
        <v>410</v>
      </c>
      <c r="N1356" s="83" t="s">
        <v>102</v>
      </c>
      <c r="P1356" s="83">
        <v>0</v>
      </c>
      <c r="U1356" s="83">
        <v>4</v>
      </c>
      <c r="V1356" s="83">
        <v>1</v>
      </c>
      <c r="W1356" s="83" t="s">
        <v>103</v>
      </c>
      <c r="X1356" s="83">
        <v>0</v>
      </c>
    </row>
    <row r="1357" spans="1:25" x14ac:dyDescent="0.2">
      <c r="A1357" s="83">
        <v>1</v>
      </c>
      <c r="B1357" s="84">
        <v>5701603307422</v>
      </c>
      <c r="C1357" s="83">
        <v>60</v>
      </c>
      <c r="D1357" s="84">
        <v>1010286</v>
      </c>
      <c r="F1357" s="83" t="s">
        <v>103</v>
      </c>
      <c r="G1357" s="83">
        <v>0</v>
      </c>
      <c r="H1357" s="83">
        <v>100</v>
      </c>
      <c r="K1357" s="83">
        <v>8</v>
      </c>
      <c r="L1357" s="83" t="s">
        <v>101</v>
      </c>
      <c r="M1357" s="83" t="s">
        <v>410</v>
      </c>
      <c r="N1357" s="83" t="s">
        <v>102</v>
      </c>
      <c r="P1357" s="83">
        <v>0</v>
      </c>
      <c r="U1357" s="83">
        <v>4</v>
      </c>
      <c r="V1357" s="83">
        <v>1</v>
      </c>
      <c r="W1357" s="83" t="s">
        <v>103</v>
      </c>
      <c r="X1357" s="83">
        <v>0</v>
      </c>
    </row>
    <row r="1358" spans="1:25" x14ac:dyDescent="0.2">
      <c r="A1358" s="83">
        <v>1</v>
      </c>
      <c r="B1358" s="84">
        <v>5701603307422</v>
      </c>
      <c r="C1358" s="83">
        <v>70</v>
      </c>
      <c r="D1358" s="84">
        <v>1010287</v>
      </c>
      <c r="F1358" s="83" t="s">
        <v>103</v>
      </c>
      <c r="G1358" s="83">
        <v>0</v>
      </c>
      <c r="H1358" s="83">
        <v>100</v>
      </c>
      <c r="K1358" s="83">
        <v>4</v>
      </c>
      <c r="L1358" s="83" t="s">
        <v>101</v>
      </c>
      <c r="M1358" s="83" t="s">
        <v>410</v>
      </c>
      <c r="N1358" s="83" t="s">
        <v>102</v>
      </c>
      <c r="P1358" s="83">
        <v>0</v>
      </c>
      <c r="U1358" s="83">
        <v>4</v>
      </c>
      <c r="V1358" s="83">
        <v>1</v>
      </c>
      <c r="W1358" s="83" t="s">
        <v>103</v>
      </c>
      <c r="X1358" s="83">
        <v>0</v>
      </c>
    </row>
    <row r="1359" spans="1:25" x14ac:dyDescent="0.2">
      <c r="A1359" s="83">
        <v>1</v>
      </c>
      <c r="B1359" s="84">
        <v>5701603307422</v>
      </c>
      <c r="C1359" s="83">
        <v>80</v>
      </c>
      <c r="D1359" s="84">
        <v>1020145</v>
      </c>
      <c r="F1359" s="83" t="s">
        <v>103</v>
      </c>
      <c r="G1359" s="83">
        <v>0</v>
      </c>
      <c r="H1359" s="83">
        <v>100</v>
      </c>
      <c r="K1359" s="83" t="s">
        <v>408</v>
      </c>
      <c r="L1359" s="83" t="s">
        <v>101</v>
      </c>
      <c r="M1359" s="83" t="s">
        <v>410</v>
      </c>
      <c r="N1359" s="83" t="s">
        <v>102</v>
      </c>
      <c r="P1359" s="83">
        <v>0</v>
      </c>
      <c r="U1359" s="83">
        <v>4</v>
      </c>
      <c r="V1359" s="83">
        <v>1</v>
      </c>
      <c r="W1359" s="83" t="s">
        <v>103</v>
      </c>
      <c r="X1359" s="83">
        <v>0</v>
      </c>
    </row>
    <row r="1360" spans="1:25" x14ac:dyDescent="0.2">
      <c r="A1360" s="83">
        <v>1</v>
      </c>
      <c r="B1360" s="84">
        <v>5701603307422</v>
      </c>
      <c r="C1360" s="83">
        <v>90</v>
      </c>
      <c r="D1360" s="84">
        <v>777500422</v>
      </c>
      <c r="F1360" s="83" t="s">
        <v>103</v>
      </c>
      <c r="G1360" s="83">
        <v>0</v>
      </c>
      <c r="H1360" s="83">
        <v>100</v>
      </c>
      <c r="K1360" s="83">
        <v>1</v>
      </c>
      <c r="L1360" s="83" t="s">
        <v>101</v>
      </c>
      <c r="M1360" s="83" t="s">
        <v>410</v>
      </c>
      <c r="N1360" s="83" t="s">
        <v>102</v>
      </c>
      <c r="P1360" s="83">
        <v>0</v>
      </c>
      <c r="U1360" s="83">
        <v>4</v>
      </c>
      <c r="V1360" s="83">
        <v>1</v>
      </c>
      <c r="W1360" s="83" t="s">
        <v>103</v>
      </c>
      <c r="X1360" s="83">
        <v>0</v>
      </c>
    </row>
    <row r="1361" spans="1:25" x14ac:dyDescent="0.2">
      <c r="A1361" s="83">
        <v>1</v>
      </c>
      <c r="B1361" s="84">
        <v>5701603308422</v>
      </c>
      <c r="C1361" s="83">
        <v>10</v>
      </c>
      <c r="D1361" s="84">
        <v>5980463308</v>
      </c>
      <c r="F1361" s="83" t="s">
        <v>103</v>
      </c>
      <c r="G1361" s="83">
        <v>0</v>
      </c>
      <c r="H1361" s="83">
        <v>100</v>
      </c>
      <c r="K1361" s="83">
        <v>1</v>
      </c>
      <c r="L1361" s="83" t="s">
        <v>101</v>
      </c>
      <c r="M1361" s="83" t="s">
        <v>410</v>
      </c>
      <c r="N1361" s="83" t="s">
        <v>102</v>
      </c>
      <c r="P1361" s="83">
        <v>0</v>
      </c>
      <c r="U1361" s="83">
        <v>4</v>
      </c>
      <c r="V1361" s="83">
        <v>1</v>
      </c>
      <c r="W1361" s="83" t="s">
        <v>103</v>
      </c>
      <c r="X1361" s="83">
        <v>0</v>
      </c>
      <c r="Y1361" s="83" t="str">
        <f>LEFT(D1361,6)</f>
        <v>598046</v>
      </c>
    </row>
    <row r="1362" spans="1:25" x14ac:dyDescent="0.2">
      <c r="A1362" s="83">
        <v>1</v>
      </c>
      <c r="B1362" s="84">
        <v>5701603308422</v>
      </c>
      <c r="C1362" s="83">
        <v>20</v>
      </c>
      <c r="D1362" s="84">
        <v>5980543308</v>
      </c>
      <c r="F1362" s="83" t="s">
        <v>103</v>
      </c>
      <c r="G1362" s="83">
        <v>0</v>
      </c>
      <c r="H1362" s="83">
        <v>100</v>
      </c>
      <c r="K1362" s="83">
        <v>1</v>
      </c>
      <c r="L1362" s="83" t="s">
        <v>101</v>
      </c>
      <c r="M1362" s="83" t="s">
        <v>410</v>
      </c>
      <c r="N1362" s="83" t="s">
        <v>102</v>
      </c>
      <c r="P1362" s="83">
        <v>0</v>
      </c>
      <c r="U1362" s="83">
        <v>4</v>
      </c>
      <c r="V1362" s="83">
        <v>1</v>
      </c>
      <c r="W1362" s="83" t="s">
        <v>103</v>
      </c>
      <c r="X1362" s="83">
        <v>0</v>
      </c>
    </row>
    <row r="1363" spans="1:25" x14ac:dyDescent="0.2">
      <c r="A1363" s="83">
        <v>1</v>
      </c>
      <c r="B1363" s="84">
        <v>5701603308422</v>
      </c>
      <c r="C1363" s="83">
        <v>30</v>
      </c>
      <c r="D1363" s="84">
        <v>5980623308</v>
      </c>
      <c r="F1363" s="83" t="s">
        <v>103</v>
      </c>
      <c r="G1363" s="83">
        <v>0</v>
      </c>
      <c r="H1363" s="83">
        <v>100</v>
      </c>
      <c r="K1363" s="83">
        <v>1</v>
      </c>
      <c r="L1363" s="83" t="s">
        <v>101</v>
      </c>
      <c r="M1363" s="83" t="s">
        <v>410</v>
      </c>
      <c r="N1363" s="83" t="s">
        <v>102</v>
      </c>
      <c r="P1363" s="83">
        <v>0</v>
      </c>
      <c r="U1363" s="83">
        <v>4</v>
      </c>
      <c r="V1363" s="83">
        <v>1</v>
      </c>
      <c r="W1363" s="83" t="s">
        <v>103</v>
      </c>
      <c r="X1363" s="83">
        <v>0</v>
      </c>
    </row>
    <row r="1364" spans="1:25" x14ac:dyDescent="0.2">
      <c r="A1364" s="83">
        <v>1</v>
      </c>
      <c r="B1364" s="84">
        <v>5701603308422</v>
      </c>
      <c r="C1364" s="83">
        <v>40</v>
      </c>
      <c r="D1364" s="84">
        <v>5980823308</v>
      </c>
      <c r="F1364" s="83" t="s">
        <v>103</v>
      </c>
      <c r="G1364" s="83">
        <v>0</v>
      </c>
      <c r="H1364" s="83">
        <v>100</v>
      </c>
      <c r="K1364" s="83">
        <v>1</v>
      </c>
      <c r="L1364" s="83" t="s">
        <v>101</v>
      </c>
      <c r="M1364" s="83" t="s">
        <v>410</v>
      </c>
      <c r="N1364" s="83" t="s">
        <v>102</v>
      </c>
      <c r="P1364" s="83">
        <v>0</v>
      </c>
      <c r="U1364" s="83">
        <v>4</v>
      </c>
      <c r="V1364" s="83">
        <v>1</v>
      </c>
      <c r="W1364" s="83" t="s">
        <v>103</v>
      </c>
      <c r="X1364" s="83">
        <v>0</v>
      </c>
    </row>
    <row r="1365" spans="1:25" x14ac:dyDescent="0.2">
      <c r="A1365" s="83">
        <v>1</v>
      </c>
      <c r="B1365" s="84">
        <v>5701603308422</v>
      </c>
      <c r="C1365" s="83">
        <v>50</v>
      </c>
      <c r="D1365" s="84">
        <v>5980933308</v>
      </c>
      <c r="F1365" s="83" t="s">
        <v>103</v>
      </c>
      <c r="G1365" s="83">
        <v>0</v>
      </c>
      <c r="H1365" s="83">
        <v>100</v>
      </c>
      <c r="K1365" s="83">
        <v>1</v>
      </c>
      <c r="L1365" s="83" t="s">
        <v>101</v>
      </c>
      <c r="M1365" s="83" t="s">
        <v>410</v>
      </c>
      <c r="N1365" s="83" t="s">
        <v>102</v>
      </c>
      <c r="P1365" s="83">
        <v>0</v>
      </c>
      <c r="U1365" s="83">
        <v>4</v>
      </c>
      <c r="V1365" s="83">
        <v>1</v>
      </c>
      <c r="W1365" s="83" t="s">
        <v>103</v>
      </c>
      <c r="X1365" s="83">
        <v>0</v>
      </c>
    </row>
    <row r="1366" spans="1:25" x14ac:dyDescent="0.2">
      <c r="A1366" s="83">
        <v>1</v>
      </c>
      <c r="B1366" s="84">
        <v>5701603308422</v>
      </c>
      <c r="C1366" s="83">
        <v>60</v>
      </c>
      <c r="D1366" s="84">
        <v>1010286</v>
      </c>
      <c r="F1366" s="83" t="s">
        <v>103</v>
      </c>
      <c r="G1366" s="83">
        <v>0</v>
      </c>
      <c r="H1366" s="83">
        <v>100</v>
      </c>
      <c r="K1366" s="83">
        <v>8</v>
      </c>
      <c r="L1366" s="83" t="s">
        <v>101</v>
      </c>
      <c r="M1366" s="83" t="s">
        <v>410</v>
      </c>
      <c r="N1366" s="83" t="s">
        <v>102</v>
      </c>
      <c r="P1366" s="83">
        <v>0</v>
      </c>
      <c r="U1366" s="83">
        <v>4</v>
      </c>
      <c r="V1366" s="83">
        <v>1</v>
      </c>
      <c r="W1366" s="83" t="s">
        <v>103</v>
      </c>
      <c r="X1366" s="83">
        <v>0</v>
      </c>
    </row>
    <row r="1367" spans="1:25" x14ac:dyDescent="0.2">
      <c r="A1367" s="83">
        <v>1</v>
      </c>
      <c r="B1367" s="84">
        <v>5701603308422</v>
      </c>
      <c r="C1367" s="83">
        <v>70</v>
      </c>
      <c r="D1367" s="84">
        <v>1010288</v>
      </c>
      <c r="F1367" s="83" t="s">
        <v>103</v>
      </c>
      <c r="G1367" s="83">
        <v>0</v>
      </c>
      <c r="H1367" s="83">
        <v>100</v>
      </c>
      <c r="K1367" s="83">
        <v>4</v>
      </c>
      <c r="L1367" s="83" t="s">
        <v>101</v>
      </c>
      <c r="M1367" s="83" t="s">
        <v>410</v>
      </c>
      <c r="N1367" s="83" t="s">
        <v>102</v>
      </c>
      <c r="P1367" s="83">
        <v>0</v>
      </c>
      <c r="U1367" s="83">
        <v>4</v>
      </c>
      <c r="V1367" s="83">
        <v>1</v>
      </c>
      <c r="W1367" s="83" t="s">
        <v>103</v>
      </c>
      <c r="X1367" s="83">
        <v>0</v>
      </c>
    </row>
    <row r="1368" spans="1:25" x14ac:dyDescent="0.2">
      <c r="A1368" s="83">
        <v>1</v>
      </c>
      <c r="B1368" s="84">
        <v>5701603308422</v>
      </c>
      <c r="C1368" s="83">
        <v>80</v>
      </c>
      <c r="D1368" s="84">
        <v>1020145</v>
      </c>
      <c r="F1368" s="83" t="s">
        <v>103</v>
      </c>
      <c r="G1368" s="83">
        <v>0</v>
      </c>
      <c r="H1368" s="83">
        <v>100</v>
      </c>
      <c r="K1368" s="83" t="s">
        <v>408</v>
      </c>
      <c r="L1368" s="83" t="s">
        <v>101</v>
      </c>
      <c r="M1368" s="83" t="s">
        <v>410</v>
      </c>
      <c r="N1368" s="83" t="s">
        <v>102</v>
      </c>
      <c r="P1368" s="83">
        <v>0</v>
      </c>
      <c r="U1368" s="83">
        <v>4</v>
      </c>
      <c r="V1368" s="83">
        <v>1</v>
      </c>
      <c r="W1368" s="83" t="s">
        <v>103</v>
      </c>
      <c r="X1368" s="83">
        <v>0</v>
      </c>
    </row>
    <row r="1369" spans="1:25" x14ac:dyDescent="0.2">
      <c r="A1369" s="83">
        <v>1</v>
      </c>
      <c r="B1369" s="84">
        <v>5701603308422</v>
      </c>
      <c r="C1369" s="83">
        <v>90</v>
      </c>
      <c r="D1369" s="84">
        <v>777500422</v>
      </c>
      <c r="F1369" s="83" t="s">
        <v>103</v>
      </c>
      <c r="G1369" s="83">
        <v>0</v>
      </c>
      <c r="H1369" s="83">
        <v>100</v>
      </c>
      <c r="K1369" s="83">
        <v>1</v>
      </c>
      <c r="L1369" s="83" t="s">
        <v>101</v>
      </c>
      <c r="M1369" s="83" t="s">
        <v>410</v>
      </c>
      <c r="N1369" s="83" t="s">
        <v>102</v>
      </c>
      <c r="P1369" s="83">
        <v>0</v>
      </c>
      <c r="U1369" s="83">
        <v>4</v>
      </c>
      <c r="V1369" s="83">
        <v>1</v>
      </c>
      <c r="W1369" s="83" t="s">
        <v>103</v>
      </c>
      <c r="X1369" s="83">
        <v>0</v>
      </c>
    </row>
    <row r="1370" spans="1:25" x14ac:dyDescent="0.2">
      <c r="A1370" s="83">
        <v>1</v>
      </c>
      <c r="B1370" s="84">
        <v>5701603309422</v>
      </c>
      <c r="C1370" s="83">
        <v>10</v>
      </c>
      <c r="D1370" s="84">
        <v>5980463309</v>
      </c>
      <c r="F1370" s="83" t="s">
        <v>103</v>
      </c>
      <c r="G1370" s="83">
        <v>0</v>
      </c>
      <c r="H1370" s="83">
        <v>100</v>
      </c>
      <c r="K1370" s="83">
        <v>1</v>
      </c>
      <c r="L1370" s="83" t="s">
        <v>101</v>
      </c>
      <c r="M1370" s="83" t="s">
        <v>410</v>
      </c>
      <c r="N1370" s="83" t="s">
        <v>102</v>
      </c>
      <c r="P1370" s="83">
        <v>0</v>
      </c>
      <c r="U1370" s="83">
        <v>4</v>
      </c>
      <c r="V1370" s="83">
        <v>1</v>
      </c>
      <c r="W1370" s="83" t="s">
        <v>103</v>
      </c>
      <c r="X1370" s="83">
        <v>0</v>
      </c>
      <c r="Y1370" s="83" t="str">
        <f>LEFT(D1370,6)</f>
        <v>598046</v>
      </c>
    </row>
    <row r="1371" spans="1:25" x14ac:dyDescent="0.2">
      <c r="A1371" s="83">
        <v>1</v>
      </c>
      <c r="B1371" s="84">
        <v>5701603309422</v>
      </c>
      <c r="C1371" s="83">
        <v>20</v>
      </c>
      <c r="D1371" s="84">
        <v>5980543309</v>
      </c>
      <c r="F1371" s="83" t="s">
        <v>103</v>
      </c>
      <c r="G1371" s="83">
        <v>0</v>
      </c>
      <c r="H1371" s="83">
        <v>100</v>
      </c>
      <c r="K1371" s="83">
        <v>1</v>
      </c>
      <c r="L1371" s="83" t="s">
        <v>101</v>
      </c>
      <c r="M1371" s="83" t="s">
        <v>410</v>
      </c>
      <c r="N1371" s="83" t="s">
        <v>102</v>
      </c>
      <c r="P1371" s="83">
        <v>0</v>
      </c>
      <c r="U1371" s="83">
        <v>4</v>
      </c>
      <c r="V1371" s="83">
        <v>1</v>
      </c>
      <c r="W1371" s="83" t="s">
        <v>103</v>
      </c>
      <c r="X1371" s="83">
        <v>0</v>
      </c>
    </row>
    <row r="1372" spans="1:25" x14ac:dyDescent="0.2">
      <c r="A1372" s="83">
        <v>1</v>
      </c>
      <c r="B1372" s="84">
        <v>5701603309422</v>
      </c>
      <c r="C1372" s="83">
        <v>30</v>
      </c>
      <c r="D1372" s="84">
        <v>5980623309</v>
      </c>
      <c r="F1372" s="83" t="s">
        <v>103</v>
      </c>
      <c r="G1372" s="83">
        <v>0</v>
      </c>
      <c r="H1372" s="83">
        <v>100</v>
      </c>
      <c r="K1372" s="83">
        <v>1</v>
      </c>
      <c r="L1372" s="83" t="s">
        <v>101</v>
      </c>
      <c r="M1372" s="83" t="s">
        <v>410</v>
      </c>
      <c r="N1372" s="83" t="s">
        <v>102</v>
      </c>
      <c r="P1372" s="83">
        <v>0</v>
      </c>
      <c r="U1372" s="83">
        <v>4</v>
      </c>
      <c r="V1372" s="83">
        <v>1</v>
      </c>
      <c r="W1372" s="83" t="s">
        <v>103</v>
      </c>
      <c r="X1372" s="83">
        <v>0</v>
      </c>
    </row>
    <row r="1373" spans="1:25" x14ac:dyDescent="0.2">
      <c r="A1373" s="83">
        <v>1</v>
      </c>
      <c r="B1373" s="84">
        <v>5701603309422</v>
      </c>
      <c r="C1373" s="83">
        <v>40</v>
      </c>
      <c r="D1373" s="84">
        <v>5980823309</v>
      </c>
      <c r="F1373" s="83" t="s">
        <v>103</v>
      </c>
      <c r="G1373" s="83">
        <v>0</v>
      </c>
      <c r="H1373" s="83">
        <v>100</v>
      </c>
      <c r="K1373" s="83">
        <v>1</v>
      </c>
      <c r="L1373" s="83" t="s">
        <v>101</v>
      </c>
      <c r="M1373" s="83" t="s">
        <v>410</v>
      </c>
      <c r="N1373" s="83" t="s">
        <v>102</v>
      </c>
      <c r="P1373" s="83">
        <v>0</v>
      </c>
      <c r="U1373" s="83">
        <v>4</v>
      </c>
      <c r="V1373" s="83">
        <v>1</v>
      </c>
      <c r="W1373" s="83" t="s">
        <v>103</v>
      </c>
      <c r="X1373" s="83">
        <v>0</v>
      </c>
    </row>
    <row r="1374" spans="1:25" x14ac:dyDescent="0.2">
      <c r="A1374" s="83">
        <v>1</v>
      </c>
      <c r="B1374" s="84">
        <v>5701603309422</v>
      </c>
      <c r="C1374" s="83">
        <v>50</v>
      </c>
      <c r="D1374" s="84">
        <v>5980933309</v>
      </c>
      <c r="F1374" s="83" t="s">
        <v>103</v>
      </c>
      <c r="G1374" s="83">
        <v>0</v>
      </c>
      <c r="H1374" s="83">
        <v>100</v>
      </c>
      <c r="K1374" s="83">
        <v>1</v>
      </c>
      <c r="L1374" s="83" t="s">
        <v>101</v>
      </c>
      <c r="M1374" s="83" t="s">
        <v>410</v>
      </c>
      <c r="N1374" s="83" t="s">
        <v>102</v>
      </c>
      <c r="P1374" s="83">
        <v>0</v>
      </c>
      <c r="U1374" s="83">
        <v>4</v>
      </c>
      <c r="V1374" s="83">
        <v>1</v>
      </c>
      <c r="W1374" s="83" t="s">
        <v>103</v>
      </c>
      <c r="X1374" s="83">
        <v>0</v>
      </c>
    </row>
    <row r="1375" spans="1:25" x14ac:dyDescent="0.2">
      <c r="A1375" s="83">
        <v>1</v>
      </c>
      <c r="B1375" s="84">
        <v>5701603309422</v>
      </c>
      <c r="C1375" s="83">
        <v>60</v>
      </c>
      <c r="D1375" s="84">
        <v>1010286</v>
      </c>
      <c r="F1375" s="83" t="s">
        <v>103</v>
      </c>
      <c r="G1375" s="83">
        <v>0</v>
      </c>
      <c r="H1375" s="83">
        <v>100</v>
      </c>
      <c r="K1375" s="83">
        <v>8</v>
      </c>
      <c r="L1375" s="83" t="s">
        <v>101</v>
      </c>
      <c r="M1375" s="83" t="s">
        <v>410</v>
      </c>
      <c r="N1375" s="83" t="s">
        <v>102</v>
      </c>
      <c r="P1375" s="83">
        <v>0</v>
      </c>
      <c r="U1375" s="83">
        <v>4</v>
      </c>
      <c r="V1375" s="83">
        <v>1</v>
      </c>
      <c r="W1375" s="83" t="s">
        <v>103</v>
      </c>
      <c r="X1375" s="83">
        <v>0</v>
      </c>
    </row>
    <row r="1376" spans="1:25" x14ac:dyDescent="0.2">
      <c r="A1376" s="83">
        <v>1</v>
      </c>
      <c r="B1376" s="84">
        <v>5701603309422</v>
      </c>
      <c r="C1376" s="83">
        <v>70</v>
      </c>
      <c r="D1376" s="84">
        <v>1010287</v>
      </c>
      <c r="F1376" s="83" t="s">
        <v>103</v>
      </c>
      <c r="G1376" s="83">
        <v>0</v>
      </c>
      <c r="H1376" s="83">
        <v>100</v>
      </c>
      <c r="K1376" s="83">
        <v>4</v>
      </c>
      <c r="L1376" s="83" t="s">
        <v>101</v>
      </c>
      <c r="M1376" s="83" t="s">
        <v>410</v>
      </c>
      <c r="N1376" s="83" t="s">
        <v>102</v>
      </c>
      <c r="P1376" s="83">
        <v>0</v>
      </c>
      <c r="U1376" s="83">
        <v>4</v>
      </c>
      <c r="V1376" s="83">
        <v>1</v>
      </c>
      <c r="W1376" s="83" t="s">
        <v>103</v>
      </c>
      <c r="X1376" s="83">
        <v>0</v>
      </c>
    </row>
    <row r="1377" spans="1:25" x14ac:dyDescent="0.2">
      <c r="A1377" s="83">
        <v>1</v>
      </c>
      <c r="B1377" s="84">
        <v>5701603309422</v>
      </c>
      <c r="C1377" s="83">
        <v>80</v>
      </c>
      <c r="D1377" s="84">
        <v>1020145</v>
      </c>
      <c r="F1377" s="83" t="s">
        <v>103</v>
      </c>
      <c r="G1377" s="83">
        <v>0</v>
      </c>
      <c r="H1377" s="83">
        <v>100</v>
      </c>
      <c r="K1377" s="83" t="s">
        <v>408</v>
      </c>
      <c r="L1377" s="83" t="s">
        <v>101</v>
      </c>
      <c r="M1377" s="83" t="s">
        <v>410</v>
      </c>
      <c r="N1377" s="83" t="s">
        <v>102</v>
      </c>
      <c r="P1377" s="83">
        <v>0</v>
      </c>
      <c r="U1377" s="83">
        <v>4</v>
      </c>
      <c r="V1377" s="83">
        <v>1</v>
      </c>
      <c r="W1377" s="83" t="s">
        <v>103</v>
      </c>
      <c r="X1377" s="83">
        <v>0</v>
      </c>
    </row>
    <row r="1378" spans="1:25" x14ac:dyDescent="0.2">
      <c r="A1378" s="83">
        <v>1</v>
      </c>
      <c r="B1378" s="84">
        <v>5701603309422</v>
      </c>
      <c r="C1378" s="83">
        <v>90</v>
      </c>
      <c r="D1378" s="84">
        <v>777500422</v>
      </c>
      <c r="F1378" s="83" t="s">
        <v>103</v>
      </c>
      <c r="G1378" s="83">
        <v>0</v>
      </c>
      <c r="H1378" s="83">
        <v>100</v>
      </c>
      <c r="K1378" s="83">
        <v>1</v>
      </c>
      <c r="L1378" s="83" t="s">
        <v>101</v>
      </c>
      <c r="M1378" s="83" t="s">
        <v>410</v>
      </c>
      <c r="N1378" s="83" t="s">
        <v>102</v>
      </c>
      <c r="P1378" s="83">
        <v>0</v>
      </c>
      <c r="U1378" s="83">
        <v>4</v>
      </c>
      <c r="V1378" s="83">
        <v>1</v>
      </c>
      <c r="W1378" s="83" t="s">
        <v>103</v>
      </c>
      <c r="X1378" s="83">
        <v>0</v>
      </c>
    </row>
    <row r="1379" spans="1:25" x14ac:dyDescent="0.2">
      <c r="A1379" s="83">
        <v>1</v>
      </c>
      <c r="B1379" s="84">
        <v>5701603310422</v>
      </c>
      <c r="C1379" s="83">
        <v>10</v>
      </c>
      <c r="D1379" s="84">
        <v>5980463310</v>
      </c>
      <c r="F1379" s="83" t="s">
        <v>103</v>
      </c>
      <c r="G1379" s="83">
        <v>0</v>
      </c>
      <c r="H1379" s="83">
        <v>100</v>
      </c>
      <c r="K1379" s="83">
        <v>1</v>
      </c>
      <c r="L1379" s="83" t="s">
        <v>101</v>
      </c>
      <c r="M1379" s="83" t="s">
        <v>410</v>
      </c>
      <c r="N1379" s="83" t="s">
        <v>102</v>
      </c>
      <c r="P1379" s="83">
        <v>0</v>
      </c>
      <c r="U1379" s="83">
        <v>4</v>
      </c>
      <c r="V1379" s="83">
        <v>1</v>
      </c>
      <c r="W1379" s="83" t="s">
        <v>103</v>
      </c>
      <c r="X1379" s="83">
        <v>0</v>
      </c>
      <c r="Y1379" s="83" t="str">
        <f>LEFT(D1379,6)</f>
        <v>598046</v>
      </c>
    </row>
    <row r="1380" spans="1:25" x14ac:dyDescent="0.2">
      <c r="A1380" s="83">
        <v>1</v>
      </c>
      <c r="B1380" s="84">
        <v>5701603310422</v>
      </c>
      <c r="C1380" s="83">
        <v>20</v>
      </c>
      <c r="D1380" s="84">
        <v>5980543310</v>
      </c>
      <c r="F1380" s="83" t="s">
        <v>103</v>
      </c>
      <c r="G1380" s="83">
        <v>0</v>
      </c>
      <c r="H1380" s="83">
        <v>100</v>
      </c>
      <c r="K1380" s="83">
        <v>1</v>
      </c>
      <c r="L1380" s="83" t="s">
        <v>101</v>
      </c>
      <c r="M1380" s="83" t="s">
        <v>410</v>
      </c>
      <c r="N1380" s="83" t="s">
        <v>102</v>
      </c>
      <c r="P1380" s="83">
        <v>0</v>
      </c>
      <c r="U1380" s="83">
        <v>4</v>
      </c>
      <c r="V1380" s="83">
        <v>1</v>
      </c>
      <c r="W1380" s="83" t="s">
        <v>103</v>
      </c>
      <c r="X1380" s="83">
        <v>0</v>
      </c>
    </row>
    <row r="1381" spans="1:25" x14ac:dyDescent="0.2">
      <c r="A1381" s="83">
        <v>1</v>
      </c>
      <c r="B1381" s="84">
        <v>5701603310422</v>
      </c>
      <c r="C1381" s="83">
        <v>30</v>
      </c>
      <c r="D1381" s="84">
        <v>5980623310</v>
      </c>
      <c r="F1381" s="83" t="s">
        <v>103</v>
      </c>
      <c r="G1381" s="83">
        <v>0</v>
      </c>
      <c r="H1381" s="83">
        <v>100</v>
      </c>
      <c r="K1381" s="83">
        <v>1</v>
      </c>
      <c r="L1381" s="83" t="s">
        <v>101</v>
      </c>
      <c r="M1381" s="83" t="s">
        <v>410</v>
      </c>
      <c r="N1381" s="83" t="s">
        <v>102</v>
      </c>
      <c r="P1381" s="83">
        <v>0</v>
      </c>
      <c r="U1381" s="83">
        <v>4</v>
      </c>
      <c r="V1381" s="83">
        <v>1</v>
      </c>
      <c r="W1381" s="83" t="s">
        <v>103</v>
      </c>
      <c r="X1381" s="83">
        <v>0</v>
      </c>
    </row>
    <row r="1382" spans="1:25" x14ac:dyDescent="0.2">
      <c r="A1382" s="83">
        <v>1</v>
      </c>
      <c r="B1382" s="84">
        <v>5701603310422</v>
      </c>
      <c r="C1382" s="83">
        <v>40</v>
      </c>
      <c r="D1382" s="84">
        <v>5980823310</v>
      </c>
      <c r="F1382" s="83" t="s">
        <v>103</v>
      </c>
      <c r="G1382" s="83">
        <v>0</v>
      </c>
      <c r="H1382" s="83">
        <v>100</v>
      </c>
      <c r="K1382" s="83">
        <v>1</v>
      </c>
      <c r="L1382" s="83" t="s">
        <v>101</v>
      </c>
      <c r="M1382" s="83" t="s">
        <v>410</v>
      </c>
      <c r="N1382" s="83" t="s">
        <v>102</v>
      </c>
      <c r="P1382" s="83">
        <v>0</v>
      </c>
      <c r="U1382" s="83">
        <v>4</v>
      </c>
      <c r="V1382" s="83">
        <v>1</v>
      </c>
      <c r="W1382" s="83" t="s">
        <v>103</v>
      </c>
      <c r="X1382" s="83">
        <v>0</v>
      </c>
    </row>
    <row r="1383" spans="1:25" x14ac:dyDescent="0.2">
      <c r="A1383" s="83">
        <v>1</v>
      </c>
      <c r="B1383" s="84">
        <v>5701603310422</v>
      </c>
      <c r="C1383" s="83">
        <v>50</v>
      </c>
      <c r="D1383" s="84">
        <v>5980933310</v>
      </c>
      <c r="F1383" s="83" t="s">
        <v>103</v>
      </c>
      <c r="G1383" s="83">
        <v>0</v>
      </c>
      <c r="H1383" s="83">
        <v>100</v>
      </c>
      <c r="K1383" s="83">
        <v>1</v>
      </c>
      <c r="L1383" s="83" t="s">
        <v>101</v>
      </c>
      <c r="M1383" s="83" t="s">
        <v>410</v>
      </c>
      <c r="N1383" s="83" t="s">
        <v>102</v>
      </c>
      <c r="P1383" s="83">
        <v>0</v>
      </c>
      <c r="U1383" s="83">
        <v>4</v>
      </c>
      <c r="V1383" s="83">
        <v>1</v>
      </c>
      <c r="W1383" s="83" t="s">
        <v>103</v>
      </c>
      <c r="X1383" s="83">
        <v>0</v>
      </c>
    </row>
    <row r="1384" spans="1:25" x14ac:dyDescent="0.2">
      <c r="A1384" s="83">
        <v>1</v>
      </c>
      <c r="B1384" s="84">
        <v>5701603310422</v>
      </c>
      <c r="C1384" s="83">
        <v>60</v>
      </c>
      <c r="D1384" s="84">
        <v>1010286</v>
      </c>
      <c r="F1384" s="83" t="s">
        <v>103</v>
      </c>
      <c r="G1384" s="83">
        <v>0</v>
      </c>
      <c r="H1384" s="83">
        <v>100</v>
      </c>
      <c r="K1384" s="83">
        <v>8</v>
      </c>
      <c r="L1384" s="83" t="s">
        <v>101</v>
      </c>
      <c r="M1384" s="83" t="s">
        <v>410</v>
      </c>
      <c r="N1384" s="83" t="s">
        <v>102</v>
      </c>
      <c r="P1384" s="83">
        <v>0</v>
      </c>
      <c r="U1384" s="83">
        <v>4</v>
      </c>
      <c r="V1384" s="83">
        <v>1</v>
      </c>
      <c r="W1384" s="83" t="s">
        <v>103</v>
      </c>
      <c r="X1384" s="83">
        <v>0</v>
      </c>
    </row>
    <row r="1385" spans="1:25" x14ac:dyDescent="0.2">
      <c r="A1385" s="83">
        <v>1</v>
      </c>
      <c r="B1385" s="84">
        <v>5701603310422</v>
      </c>
      <c r="C1385" s="83">
        <v>70</v>
      </c>
      <c r="D1385" s="84">
        <v>1010287</v>
      </c>
      <c r="F1385" s="83" t="s">
        <v>103</v>
      </c>
      <c r="G1385" s="83">
        <v>0</v>
      </c>
      <c r="H1385" s="83">
        <v>100</v>
      </c>
      <c r="K1385" s="83">
        <v>4</v>
      </c>
      <c r="L1385" s="83" t="s">
        <v>101</v>
      </c>
      <c r="M1385" s="83" t="s">
        <v>410</v>
      </c>
      <c r="N1385" s="83" t="s">
        <v>102</v>
      </c>
      <c r="P1385" s="83">
        <v>0</v>
      </c>
      <c r="U1385" s="83">
        <v>4</v>
      </c>
      <c r="V1385" s="83">
        <v>1</v>
      </c>
      <c r="W1385" s="83" t="s">
        <v>103</v>
      </c>
      <c r="X1385" s="83">
        <v>0</v>
      </c>
    </row>
    <row r="1386" spans="1:25" x14ac:dyDescent="0.2">
      <c r="A1386" s="83">
        <v>1</v>
      </c>
      <c r="B1386" s="84">
        <v>5701603310422</v>
      </c>
      <c r="C1386" s="83">
        <v>80</v>
      </c>
      <c r="D1386" s="84">
        <v>1020145</v>
      </c>
      <c r="F1386" s="83" t="s">
        <v>103</v>
      </c>
      <c r="G1386" s="83">
        <v>0</v>
      </c>
      <c r="H1386" s="83">
        <v>100</v>
      </c>
      <c r="K1386" s="83" t="s">
        <v>408</v>
      </c>
      <c r="L1386" s="83" t="s">
        <v>101</v>
      </c>
      <c r="M1386" s="83" t="s">
        <v>410</v>
      </c>
      <c r="N1386" s="83" t="s">
        <v>102</v>
      </c>
      <c r="P1386" s="83">
        <v>0</v>
      </c>
      <c r="U1386" s="83">
        <v>4</v>
      </c>
      <c r="V1386" s="83">
        <v>1</v>
      </c>
      <c r="W1386" s="83" t="s">
        <v>103</v>
      </c>
      <c r="X1386" s="83">
        <v>0</v>
      </c>
    </row>
    <row r="1387" spans="1:25" x14ac:dyDescent="0.2">
      <c r="A1387" s="83">
        <v>1</v>
      </c>
      <c r="B1387" s="84">
        <v>5701603310422</v>
      </c>
      <c r="C1387" s="83">
        <v>90</v>
      </c>
      <c r="D1387" s="84">
        <v>777500422</v>
      </c>
      <c r="F1387" s="83" t="s">
        <v>103</v>
      </c>
      <c r="G1387" s="83">
        <v>0</v>
      </c>
      <c r="H1387" s="83">
        <v>100</v>
      </c>
      <c r="K1387" s="83">
        <v>1</v>
      </c>
      <c r="L1387" s="83" t="s">
        <v>101</v>
      </c>
      <c r="M1387" s="83" t="s">
        <v>410</v>
      </c>
      <c r="N1387" s="83" t="s">
        <v>102</v>
      </c>
      <c r="P1387" s="83">
        <v>0</v>
      </c>
      <c r="U1387" s="83">
        <v>4</v>
      </c>
      <c r="V1387" s="83">
        <v>1</v>
      </c>
      <c r="W1387" s="83" t="s">
        <v>103</v>
      </c>
      <c r="X1387" s="83">
        <v>0</v>
      </c>
    </row>
    <row r="1388" spans="1:25" x14ac:dyDescent="0.2">
      <c r="A1388" s="83">
        <v>1</v>
      </c>
      <c r="B1388" s="84">
        <v>5701603300495</v>
      </c>
      <c r="C1388" s="83">
        <v>10</v>
      </c>
      <c r="D1388" s="84">
        <v>5980463399</v>
      </c>
      <c r="F1388" s="83" t="s">
        <v>103</v>
      </c>
      <c r="G1388" s="83">
        <v>0</v>
      </c>
      <c r="H1388" s="83">
        <v>100</v>
      </c>
      <c r="K1388" s="83">
        <v>1</v>
      </c>
      <c r="L1388" s="83" t="s">
        <v>101</v>
      </c>
      <c r="M1388" s="83" t="s">
        <v>410</v>
      </c>
      <c r="N1388" s="83" t="s">
        <v>102</v>
      </c>
      <c r="P1388" s="83">
        <v>0</v>
      </c>
      <c r="U1388" s="83">
        <v>4</v>
      </c>
      <c r="V1388" s="83">
        <v>1</v>
      </c>
      <c r="W1388" s="83" t="s">
        <v>103</v>
      </c>
      <c r="X1388" s="83">
        <v>0</v>
      </c>
      <c r="Y1388" s="83" t="str">
        <f>LEFT(D1388,6)</f>
        <v>598046</v>
      </c>
    </row>
    <row r="1389" spans="1:25" x14ac:dyDescent="0.2">
      <c r="A1389" s="83">
        <v>1</v>
      </c>
      <c r="B1389" s="84">
        <v>5701603300495</v>
      </c>
      <c r="C1389" s="83">
        <v>20</v>
      </c>
      <c r="D1389" s="84">
        <v>5980543399</v>
      </c>
      <c r="F1389" s="83" t="s">
        <v>103</v>
      </c>
      <c r="G1389" s="83">
        <v>0</v>
      </c>
      <c r="H1389" s="83">
        <v>100</v>
      </c>
      <c r="K1389" s="83">
        <v>1</v>
      </c>
      <c r="L1389" s="83" t="s">
        <v>101</v>
      </c>
      <c r="M1389" s="83" t="s">
        <v>410</v>
      </c>
      <c r="N1389" s="83" t="s">
        <v>102</v>
      </c>
      <c r="P1389" s="83">
        <v>0</v>
      </c>
      <c r="U1389" s="83">
        <v>4</v>
      </c>
      <c r="V1389" s="83">
        <v>1</v>
      </c>
      <c r="W1389" s="83" t="s">
        <v>103</v>
      </c>
      <c r="X1389" s="83">
        <v>0</v>
      </c>
    </row>
    <row r="1390" spans="1:25" x14ac:dyDescent="0.2">
      <c r="A1390" s="83">
        <v>1</v>
      </c>
      <c r="B1390" s="84">
        <v>5701603300495</v>
      </c>
      <c r="C1390" s="83">
        <v>30</v>
      </c>
      <c r="D1390" s="84">
        <v>5980623399</v>
      </c>
      <c r="F1390" s="83" t="s">
        <v>103</v>
      </c>
      <c r="G1390" s="83">
        <v>0</v>
      </c>
      <c r="H1390" s="83">
        <v>100</v>
      </c>
      <c r="K1390" s="83">
        <v>1</v>
      </c>
      <c r="L1390" s="83" t="s">
        <v>101</v>
      </c>
      <c r="M1390" s="83" t="s">
        <v>410</v>
      </c>
      <c r="N1390" s="83" t="s">
        <v>102</v>
      </c>
      <c r="P1390" s="83">
        <v>0</v>
      </c>
      <c r="U1390" s="83">
        <v>4</v>
      </c>
      <c r="V1390" s="83">
        <v>1</v>
      </c>
      <c r="W1390" s="83" t="s">
        <v>103</v>
      </c>
      <c r="X1390" s="83">
        <v>0</v>
      </c>
    </row>
    <row r="1391" spans="1:25" x14ac:dyDescent="0.2">
      <c r="A1391" s="83">
        <v>1</v>
      </c>
      <c r="B1391" s="84">
        <v>5701603300495</v>
      </c>
      <c r="C1391" s="83">
        <v>40</v>
      </c>
      <c r="D1391" s="84">
        <v>5980823399</v>
      </c>
      <c r="F1391" s="83" t="s">
        <v>103</v>
      </c>
      <c r="G1391" s="83">
        <v>0</v>
      </c>
      <c r="H1391" s="83">
        <v>100</v>
      </c>
      <c r="K1391" s="83">
        <v>1</v>
      </c>
      <c r="L1391" s="83" t="s">
        <v>101</v>
      </c>
      <c r="M1391" s="83" t="s">
        <v>410</v>
      </c>
      <c r="N1391" s="83" t="s">
        <v>102</v>
      </c>
      <c r="P1391" s="83">
        <v>0</v>
      </c>
      <c r="U1391" s="83">
        <v>4</v>
      </c>
      <c r="V1391" s="83">
        <v>1</v>
      </c>
      <c r="W1391" s="83" t="s">
        <v>103</v>
      </c>
      <c r="X1391" s="83">
        <v>0</v>
      </c>
    </row>
    <row r="1392" spans="1:25" x14ac:dyDescent="0.2">
      <c r="A1392" s="83">
        <v>1</v>
      </c>
      <c r="B1392" s="84">
        <v>5701603300495</v>
      </c>
      <c r="C1392" s="83">
        <v>50</v>
      </c>
      <c r="D1392" s="85">
        <v>1010277</v>
      </c>
      <c r="F1392" s="83" t="s">
        <v>103</v>
      </c>
      <c r="G1392" s="83">
        <v>0</v>
      </c>
      <c r="H1392" s="83">
        <v>100</v>
      </c>
      <c r="K1392" s="83">
        <v>1</v>
      </c>
      <c r="L1392" s="83" t="s">
        <v>101</v>
      </c>
      <c r="M1392" s="83" t="s">
        <v>410</v>
      </c>
      <c r="N1392" s="83" t="s">
        <v>102</v>
      </c>
      <c r="P1392" s="83">
        <v>0</v>
      </c>
      <c r="U1392" s="83">
        <v>4</v>
      </c>
      <c r="V1392" s="83">
        <v>1</v>
      </c>
      <c r="W1392" s="83" t="s">
        <v>103</v>
      </c>
      <c r="X1392" s="83">
        <v>0</v>
      </c>
    </row>
    <row r="1393" spans="1:25" x14ac:dyDescent="0.2">
      <c r="A1393" s="83">
        <v>1</v>
      </c>
      <c r="B1393" s="84">
        <v>5701603300495</v>
      </c>
      <c r="C1393" s="83">
        <v>60</v>
      </c>
      <c r="D1393" s="84">
        <v>1010286</v>
      </c>
      <c r="F1393" s="83" t="s">
        <v>103</v>
      </c>
      <c r="G1393" s="83">
        <v>0</v>
      </c>
      <c r="H1393" s="83">
        <v>100</v>
      </c>
      <c r="K1393" s="83">
        <v>8</v>
      </c>
      <c r="L1393" s="83" t="s">
        <v>101</v>
      </c>
      <c r="M1393" s="83" t="s">
        <v>410</v>
      </c>
      <c r="N1393" s="83" t="s">
        <v>102</v>
      </c>
      <c r="P1393" s="83">
        <v>0</v>
      </c>
      <c r="U1393" s="83">
        <v>4</v>
      </c>
      <c r="V1393" s="83">
        <v>1</v>
      </c>
      <c r="W1393" s="83" t="s">
        <v>103</v>
      </c>
      <c r="X1393" s="83">
        <v>0</v>
      </c>
    </row>
    <row r="1394" spans="1:25" x14ac:dyDescent="0.2">
      <c r="A1394" s="83">
        <v>1</v>
      </c>
      <c r="B1394" s="84">
        <v>5701603300495</v>
      </c>
      <c r="C1394" s="83">
        <v>70</v>
      </c>
      <c r="D1394" s="84">
        <v>1010287</v>
      </c>
      <c r="F1394" s="83" t="s">
        <v>103</v>
      </c>
      <c r="G1394" s="83">
        <v>0</v>
      </c>
      <c r="H1394" s="83">
        <v>100</v>
      </c>
      <c r="K1394" s="83">
        <v>4</v>
      </c>
      <c r="L1394" s="83" t="s">
        <v>101</v>
      </c>
      <c r="M1394" s="83" t="s">
        <v>410</v>
      </c>
      <c r="N1394" s="83" t="s">
        <v>102</v>
      </c>
      <c r="P1394" s="83">
        <v>0</v>
      </c>
      <c r="U1394" s="83">
        <v>4</v>
      </c>
      <c r="V1394" s="83">
        <v>1</v>
      </c>
      <c r="W1394" s="83" t="s">
        <v>103</v>
      </c>
      <c r="X1394" s="83">
        <v>0</v>
      </c>
    </row>
    <row r="1395" spans="1:25" x14ac:dyDescent="0.2">
      <c r="A1395" s="83">
        <v>1</v>
      </c>
      <c r="B1395" s="84">
        <v>5701603300495</v>
      </c>
      <c r="C1395" s="83">
        <v>80</v>
      </c>
      <c r="D1395" s="85">
        <v>1020145</v>
      </c>
      <c r="F1395" s="83" t="s">
        <v>103</v>
      </c>
      <c r="G1395" s="83">
        <v>0</v>
      </c>
      <c r="H1395" s="83">
        <v>100</v>
      </c>
      <c r="K1395" s="83" t="s">
        <v>408</v>
      </c>
      <c r="L1395" s="83" t="s">
        <v>101</v>
      </c>
      <c r="M1395" s="83" t="s">
        <v>410</v>
      </c>
      <c r="N1395" s="83" t="s">
        <v>102</v>
      </c>
      <c r="P1395" s="83">
        <v>0</v>
      </c>
      <c r="U1395" s="83">
        <v>4</v>
      </c>
      <c r="V1395" s="83">
        <v>1</v>
      </c>
      <c r="W1395" s="83" t="s">
        <v>103</v>
      </c>
      <c r="X1395" s="83">
        <v>0</v>
      </c>
    </row>
    <row r="1396" spans="1:25" x14ac:dyDescent="0.2">
      <c r="A1396" s="83">
        <v>1</v>
      </c>
      <c r="B1396" s="84">
        <v>5701603300495</v>
      </c>
      <c r="C1396" s="83">
        <v>90</v>
      </c>
      <c r="D1396" s="84">
        <v>777500495</v>
      </c>
      <c r="F1396" s="83" t="s">
        <v>103</v>
      </c>
      <c r="G1396" s="83">
        <v>0</v>
      </c>
      <c r="H1396" s="83">
        <v>100</v>
      </c>
      <c r="K1396" s="83">
        <v>1</v>
      </c>
      <c r="L1396" s="83" t="s">
        <v>101</v>
      </c>
      <c r="M1396" s="83" t="s">
        <v>410</v>
      </c>
      <c r="N1396" s="83" t="s">
        <v>102</v>
      </c>
      <c r="P1396" s="83">
        <v>0</v>
      </c>
      <c r="U1396" s="83">
        <v>4</v>
      </c>
      <c r="V1396" s="83">
        <v>1</v>
      </c>
      <c r="W1396" s="83" t="s">
        <v>103</v>
      </c>
      <c r="X1396" s="83">
        <v>0</v>
      </c>
    </row>
    <row r="1397" spans="1:25" x14ac:dyDescent="0.2">
      <c r="A1397" s="83">
        <v>1</v>
      </c>
      <c r="B1397" s="84">
        <v>5701603301495</v>
      </c>
      <c r="C1397" s="83">
        <v>10</v>
      </c>
      <c r="D1397" s="84">
        <v>5980463301</v>
      </c>
      <c r="F1397" s="83" t="s">
        <v>103</v>
      </c>
      <c r="G1397" s="83">
        <v>0</v>
      </c>
      <c r="H1397" s="83">
        <v>100</v>
      </c>
      <c r="K1397" s="83">
        <v>1</v>
      </c>
      <c r="L1397" s="83" t="s">
        <v>101</v>
      </c>
      <c r="M1397" s="83" t="s">
        <v>410</v>
      </c>
      <c r="N1397" s="83" t="s">
        <v>102</v>
      </c>
      <c r="P1397" s="83">
        <v>0</v>
      </c>
      <c r="U1397" s="83">
        <v>4</v>
      </c>
      <c r="V1397" s="83">
        <v>1</v>
      </c>
      <c r="W1397" s="83" t="s">
        <v>103</v>
      </c>
      <c r="X1397" s="83">
        <v>0</v>
      </c>
      <c r="Y1397" s="83" t="str">
        <f>LEFT(D1397,6)</f>
        <v>598046</v>
      </c>
    </row>
    <row r="1398" spans="1:25" x14ac:dyDescent="0.2">
      <c r="A1398" s="83">
        <v>1</v>
      </c>
      <c r="B1398" s="84">
        <v>5701603301495</v>
      </c>
      <c r="C1398" s="83">
        <v>20</v>
      </c>
      <c r="D1398" s="84">
        <v>5980543301</v>
      </c>
      <c r="F1398" s="83" t="s">
        <v>103</v>
      </c>
      <c r="G1398" s="83">
        <v>0</v>
      </c>
      <c r="H1398" s="83">
        <v>100</v>
      </c>
      <c r="K1398" s="83">
        <v>1</v>
      </c>
      <c r="L1398" s="83" t="s">
        <v>101</v>
      </c>
      <c r="M1398" s="83" t="s">
        <v>410</v>
      </c>
      <c r="N1398" s="83" t="s">
        <v>102</v>
      </c>
      <c r="P1398" s="83">
        <v>0</v>
      </c>
      <c r="U1398" s="83">
        <v>4</v>
      </c>
      <c r="V1398" s="83">
        <v>1</v>
      </c>
      <c r="W1398" s="83" t="s">
        <v>103</v>
      </c>
      <c r="X1398" s="83">
        <v>0</v>
      </c>
    </row>
    <row r="1399" spans="1:25" x14ac:dyDescent="0.2">
      <c r="A1399" s="83">
        <v>1</v>
      </c>
      <c r="B1399" s="84">
        <v>5701603301495</v>
      </c>
      <c r="C1399" s="83">
        <v>30</v>
      </c>
      <c r="D1399" s="84">
        <v>5980623301</v>
      </c>
      <c r="F1399" s="83" t="s">
        <v>103</v>
      </c>
      <c r="G1399" s="83">
        <v>0</v>
      </c>
      <c r="H1399" s="83">
        <v>100</v>
      </c>
      <c r="K1399" s="83">
        <v>1</v>
      </c>
      <c r="L1399" s="83" t="s">
        <v>101</v>
      </c>
      <c r="M1399" s="83" t="s">
        <v>410</v>
      </c>
      <c r="N1399" s="83" t="s">
        <v>102</v>
      </c>
      <c r="P1399" s="83">
        <v>0</v>
      </c>
      <c r="U1399" s="83">
        <v>4</v>
      </c>
      <c r="V1399" s="83">
        <v>1</v>
      </c>
      <c r="W1399" s="83" t="s">
        <v>103</v>
      </c>
      <c r="X1399" s="83">
        <v>0</v>
      </c>
    </row>
    <row r="1400" spans="1:25" x14ac:dyDescent="0.2">
      <c r="A1400" s="83">
        <v>1</v>
      </c>
      <c r="B1400" s="84">
        <v>5701603301495</v>
      </c>
      <c r="C1400" s="83">
        <v>40</v>
      </c>
      <c r="D1400" s="84">
        <v>5980823301</v>
      </c>
      <c r="F1400" s="83" t="s">
        <v>103</v>
      </c>
      <c r="G1400" s="83">
        <v>0</v>
      </c>
      <c r="H1400" s="83">
        <v>100</v>
      </c>
      <c r="K1400" s="83">
        <v>1</v>
      </c>
      <c r="L1400" s="83" t="s">
        <v>101</v>
      </c>
      <c r="M1400" s="83" t="s">
        <v>410</v>
      </c>
      <c r="N1400" s="83" t="s">
        <v>102</v>
      </c>
      <c r="P1400" s="83">
        <v>0</v>
      </c>
      <c r="U1400" s="83">
        <v>4</v>
      </c>
      <c r="V1400" s="83">
        <v>1</v>
      </c>
      <c r="W1400" s="83" t="s">
        <v>103</v>
      </c>
      <c r="X1400" s="83">
        <v>0</v>
      </c>
    </row>
    <row r="1401" spans="1:25" x14ac:dyDescent="0.2">
      <c r="A1401" s="83">
        <v>1</v>
      </c>
      <c r="B1401" s="84">
        <v>5701603301495</v>
      </c>
      <c r="C1401" s="83">
        <v>50</v>
      </c>
      <c r="D1401" s="84">
        <v>5980933301</v>
      </c>
      <c r="F1401" s="83" t="s">
        <v>103</v>
      </c>
      <c r="G1401" s="83">
        <v>0</v>
      </c>
      <c r="H1401" s="83">
        <v>100</v>
      </c>
      <c r="K1401" s="83">
        <v>1</v>
      </c>
      <c r="L1401" s="83" t="s">
        <v>101</v>
      </c>
      <c r="M1401" s="83" t="s">
        <v>410</v>
      </c>
      <c r="N1401" s="83" t="s">
        <v>102</v>
      </c>
      <c r="P1401" s="83">
        <v>0</v>
      </c>
      <c r="U1401" s="83">
        <v>4</v>
      </c>
      <c r="V1401" s="83">
        <v>1</v>
      </c>
      <c r="W1401" s="83" t="s">
        <v>103</v>
      </c>
      <c r="X1401" s="83">
        <v>0</v>
      </c>
    </row>
    <row r="1402" spans="1:25" x14ac:dyDescent="0.2">
      <c r="A1402" s="83">
        <v>1</v>
      </c>
      <c r="B1402" s="84">
        <v>5701603301495</v>
      </c>
      <c r="C1402" s="83">
        <v>60</v>
      </c>
      <c r="D1402" s="84">
        <v>1010286</v>
      </c>
      <c r="F1402" s="83" t="s">
        <v>103</v>
      </c>
      <c r="G1402" s="83">
        <v>0</v>
      </c>
      <c r="H1402" s="83">
        <v>100</v>
      </c>
      <c r="K1402" s="83">
        <v>8</v>
      </c>
      <c r="L1402" s="83" t="s">
        <v>101</v>
      </c>
      <c r="M1402" s="83" t="s">
        <v>410</v>
      </c>
      <c r="N1402" s="83" t="s">
        <v>102</v>
      </c>
      <c r="P1402" s="83">
        <v>0</v>
      </c>
      <c r="U1402" s="83">
        <v>4</v>
      </c>
      <c r="V1402" s="83">
        <v>1</v>
      </c>
      <c r="W1402" s="83" t="s">
        <v>103</v>
      </c>
      <c r="X1402" s="83">
        <v>0</v>
      </c>
    </row>
    <row r="1403" spans="1:25" x14ac:dyDescent="0.2">
      <c r="A1403" s="83">
        <v>1</v>
      </c>
      <c r="B1403" s="84">
        <v>5701603301495</v>
      </c>
      <c r="C1403" s="83">
        <v>70</v>
      </c>
      <c r="D1403" s="84">
        <v>1010287</v>
      </c>
      <c r="F1403" s="83" t="s">
        <v>103</v>
      </c>
      <c r="G1403" s="83">
        <v>0</v>
      </c>
      <c r="H1403" s="83">
        <v>100</v>
      </c>
      <c r="K1403" s="83">
        <v>4</v>
      </c>
      <c r="L1403" s="83" t="s">
        <v>101</v>
      </c>
      <c r="M1403" s="83" t="s">
        <v>410</v>
      </c>
      <c r="N1403" s="83" t="s">
        <v>102</v>
      </c>
      <c r="P1403" s="83">
        <v>0</v>
      </c>
      <c r="U1403" s="83">
        <v>4</v>
      </c>
      <c r="V1403" s="83">
        <v>1</v>
      </c>
      <c r="W1403" s="83" t="s">
        <v>103</v>
      </c>
      <c r="X1403" s="83">
        <v>0</v>
      </c>
    </row>
    <row r="1404" spans="1:25" x14ac:dyDescent="0.2">
      <c r="A1404" s="83">
        <v>1</v>
      </c>
      <c r="B1404" s="84">
        <v>5701603301495</v>
      </c>
      <c r="C1404" s="83">
        <v>80</v>
      </c>
      <c r="D1404" s="84">
        <v>1020145</v>
      </c>
      <c r="F1404" s="83" t="s">
        <v>103</v>
      </c>
      <c r="G1404" s="83">
        <v>0</v>
      </c>
      <c r="H1404" s="83">
        <v>100</v>
      </c>
      <c r="K1404" s="83" t="s">
        <v>408</v>
      </c>
      <c r="L1404" s="83" t="s">
        <v>101</v>
      </c>
      <c r="M1404" s="83" t="s">
        <v>410</v>
      </c>
      <c r="N1404" s="83" t="s">
        <v>102</v>
      </c>
      <c r="P1404" s="83">
        <v>0</v>
      </c>
      <c r="U1404" s="83">
        <v>4</v>
      </c>
      <c r="V1404" s="83">
        <v>1</v>
      </c>
      <c r="W1404" s="83" t="s">
        <v>103</v>
      </c>
      <c r="X1404" s="83">
        <v>0</v>
      </c>
    </row>
    <row r="1405" spans="1:25" x14ac:dyDescent="0.2">
      <c r="A1405" s="83">
        <v>1</v>
      </c>
      <c r="B1405" s="84">
        <v>5701603301495</v>
      </c>
      <c r="C1405" s="83">
        <v>90</v>
      </c>
      <c r="D1405" s="84">
        <v>777500495</v>
      </c>
      <c r="F1405" s="83" t="s">
        <v>103</v>
      </c>
      <c r="G1405" s="83">
        <v>0</v>
      </c>
      <c r="H1405" s="83">
        <v>100</v>
      </c>
      <c r="K1405" s="83">
        <v>1</v>
      </c>
      <c r="L1405" s="83" t="s">
        <v>101</v>
      </c>
      <c r="M1405" s="83" t="s">
        <v>410</v>
      </c>
      <c r="N1405" s="83" t="s">
        <v>102</v>
      </c>
      <c r="P1405" s="83">
        <v>0</v>
      </c>
      <c r="U1405" s="83">
        <v>4</v>
      </c>
      <c r="V1405" s="83">
        <v>1</v>
      </c>
      <c r="W1405" s="83" t="s">
        <v>103</v>
      </c>
      <c r="X1405" s="83">
        <v>0</v>
      </c>
    </row>
    <row r="1406" spans="1:25" x14ac:dyDescent="0.2">
      <c r="A1406" s="83">
        <v>1</v>
      </c>
      <c r="B1406" s="84">
        <v>5701603302495</v>
      </c>
      <c r="C1406" s="83">
        <v>10</v>
      </c>
      <c r="D1406" s="84">
        <v>5980463302</v>
      </c>
      <c r="F1406" s="83" t="s">
        <v>103</v>
      </c>
      <c r="G1406" s="83">
        <v>0</v>
      </c>
      <c r="H1406" s="83">
        <v>100</v>
      </c>
      <c r="K1406" s="83">
        <v>1</v>
      </c>
      <c r="L1406" s="83" t="s">
        <v>101</v>
      </c>
      <c r="M1406" s="83" t="s">
        <v>410</v>
      </c>
      <c r="N1406" s="83" t="s">
        <v>102</v>
      </c>
      <c r="P1406" s="83">
        <v>0</v>
      </c>
      <c r="U1406" s="83">
        <v>4</v>
      </c>
      <c r="V1406" s="83">
        <v>1</v>
      </c>
      <c r="W1406" s="83" t="s">
        <v>103</v>
      </c>
      <c r="X1406" s="83">
        <v>0</v>
      </c>
      <c r="Y1406" s="83" t="str">
        <f>LEFT(D1406,6)</f>
        <v>598046</v>
      </c>
    </row>
    <row r="1407" spans="1:25" x14ac:dyDescent="0.2">
      <c r="A1407" s="83">
        <v>1</v>
      </c>
      <c r="B1407" s="84">
        <v>5701603302495</v>
      </c>
      <c r="C1407" s="83">
        <v>20</v>
      </c>
      <c r="D1407" s="84">
        <v>5980543302</v>
      </c>
      <c r="F1407" s="83" t="s">
        <v>103</v>
      </c>
      <c r="G1407" s="83">
        <v>0</v>
      </c>
      <c r="H1407" s="83">
        <v>100</v>
      </c>
      <c r="K1407" s="83">
        <v>1</v>
      </c>
      <c r="L1407" s="83" t="s">
        <v>101</v>
      </c>
      <c r="M1407" s="83" t="s">
        <v>410</v>
      </c>
      <c r="N1407" s="83" t="s">
        <v>102</v>
      </c>
      <c r="P1407" s="83">
        <v>0</v>
      </c>
      <c r="U1407" s="83">
        <v>4</v>
      </c>
      <c r="V1407" s="83">
        <v>1</v>
      </c>
      <c r="W1407" s="83" t="s">
        <v>103</v>
      </c>
      <c r="X1407" s="83">
        <v>0</v>
      </c>
    </row>
    <row r="1408" spans="1:25" x14ac:dyDescent="0.2">
      <c r="A1408" s="83">
        <v>1</v>
      </c>
      <c r="B1408" s="84">
        <v>5701603302495</v>
      </c>
      <c r="C1408" s="83">
        <v>30</v>
      </c>
      <c r="D1408" s="84">
        <v>5980623302</v>
      </c>
      <c r="F1408" s="83" t="s">
        <v>103</v>
      </c>
      <c r="G1408" s="83">
        <v>0</v>
      </c>
      <c r="H1408" s="83">
        <v>100</v>
      </c>
      <c r="K1408" s="83">
        <v>1</v>
      </c>
      <c r="L1408" s="83" t="s">
        <v>101</v>
      </c>
      <c r="M1408" s="83" t="s">
        <v>410</v>
      </c>
      <c r="N1408" s="83" t="s">
        <v>102</v>
      </c>
      <c r="P1408" s="83">
        <v>0</v>
      </c>
      <c r="U1408" s="83">
        <v>4</v>
      </c>
      <c r="V1408" s="83">
        <v>1</v>
      </c>
      <c r="W1408" s="83" t="s">
        <v>103</v>
      </c>
      <c r="X1408" s="83">
        <v>0</v>
      </c>
    </row>
    <row r="1409" spans="1:25" x14ac:dyDescent="0.2">
      <c r="A1409" s="83">
        <v>1</v>
      </c>
      <c r="B1409" s="84">
        <v>5701603302495</v>
      </c>
      <c r="C1409" s="83">
        <v>40</v>
      </c>
      <c r="D1409" s="84">
        <v>5980823302</v>
      </c>
      <c r="F1409" s="83" t="s">
        <v>103</v>
      </c>
      <c r="G1409" s="83">
        <v>0</v>
      </c>
      <c r="H1409" s="83">
        <v>100</v>
      </c>
      <c r="K1409" s="83">
        <v>1</v>
      </c>
      <c r="L1409" s="83" t="s">
        <v>101</v>
      </c>
      <c r="M1409" s="83" t="s">
        <v>410</v>
      </c>
      <c r="N1409" s="83" t="s">
        <v>102</v>
      </c>
      <c r="P1409" s="83">
        <v>0</v>
      </c>
      <c r="U1409" s="83">
        <v>4</v>
      </c>
      <c r="V1409" s="83">
        <v>1</v>
      </c>
      <c r="W1409" s="83" t="s">
        <v>103</v>
      </c>
      <c r="X1409" s="83">
        <v>0</v>
      </c>
    </row>
    <row r="1410" spans="1:25" x14ac:dyDescent="0.2">
      <c r="A1410" s="83">
        <v>1</v>
      </c>
      <c r="B1410" s="84">
        <v>5701603302495</v>
      </c>
      <c r="C1410" s="83">
        <v>50</v>
      </c>
      <c r="D1410" s="84">
        <v>5980933302</v>
      </c>
      <c r="F1410" s="83" t="s">
        <v>103</v>
      </c>
      <c r="G1410" s="83">
        <v>0</v>
      </c>
      <c r="H1410" s="83">
        <v>100</v>
      </c>
      <c r="K1410" s="83">
        <v>1</v>
      </c>
      <c r="L1410" s="83" t="s">
        <v>101</v>
      </c>
      <c r="M1410" s="83" t="s">
        <v>410</v>
      </c>
      <c r="N1410" s="83" t="s">
        <v>102</v>
      </c>
      <c r="P1410" s="83">
        <v>0</v>
      </c>
      <c r="U1410" s="83">
        <v>4</v>
      </c>
      <c r="V1410" s="83">
        <v>1</v>
      </c>
      <c r="W1410" s="83" t="s">
        <v>103</v>
      </c>
      <c r="X1410" s="83">
        <v>0</v>
      </c>
    </row>
    <row r="1411" spans="1:25" x14ac:dyDescent="0.2">
      <c r="A1411" s="83">
        <v>1</v>
      </c>
      <c r="B1411" s="84">
        <v>5701603302495</v>
      </c>
      <c r="C1411" s="83">
        <v>60</v>
      </c>
      <c r="D1411" s="84">
        <v>1010286</v>
      </c>
      <c r="F1411" s="83" t="s">
        <v>103</v>
      </c>
      <c r="G1411" s="83">
        <v>0</v>
      </c>
      <c r="H1411" s="83">
        <v>100</v>
      </c>
      <c r="K1411" s="83">
        <v>8</v>
      </c>
      <c r="L1411" s="83" t="s">
        <v>101</v>
      </c>
      <c r="M1411" s="83" t="s">
        <v>410</v>
      </c>
      <c r="N1411" s="83" t="s">
        <v>102</v>
      </c>
      <c r="P1411" s="83">
        <v>0</v>
      </c>
      <c r="U1411" s="83">
        <v>4</v>
      </c>
      <c r="V1411" s="83">
        <v>1</v>
      </c>
      <c r="W1411" s="83" t="s">
        <v>103</v>
      </c>
      <c r="X1411" s="83">
        <v>0</v>
      </c>
    </row>
    <row r="1412" spans="1:25" x14ac:dyDescent="0.2">
      <c r="A1412" s="83">
        <v>1</v>
      </c>
      <c r="B1412" s="84">
        <v>5701603302495</v>
      </c>
      <c r="C1412" s="83">
        <v>70</v>
      </c>
      <c r="D1412" s="84">
        <v>1010288</v>
      </c>
      <c r="F1412" s="83" t="s">
        <v>103</v>
      </c>
      <c r="G1412" s="83">
        <v>0</v>
      </c>
      <c r="H1412" s="83">
        <v>100</v>
      </c>
      <c r="K1412" s="83">
        <v>4</v>
      </c>
      <c r="L1412" s="83" t="s">
        <v>101</v>
      </c>
      <c r="M1412" s="83" t="s">
        <v>410</v>
      </c>
      <c r="N1412" s="83" t="s">
        <v>102</v>
      </c>
      <c r="P1412" s="83">
        <v>0</v>
      </c>
      <c r="U1412" s="83">
        <v>4</v>
      </c>
      <c r="V1412" s="83">
        <v>1</v>
      </c>
      <c r="W1412" s="83" t="s">
        <v>103</v>
      </c>
      <c r="X1412" s="83">
        <v>0</v>
      </c>
    </row>
    <row r="1413" spans="1:25" x14ac:dyDescent="0.2">
      <c r="A1413" s="83">
        <v>1</v>
      </c>
      <c r="B1413" s="84">
        <v>5701603302495</v>
      </c>
      <c r="C1413" s="83">
        <v>80</v>
      </c>
      <c r="D1413" s="84">
        <v>1020145</v>
      </c>
      <c r="F1413" s="83" t="s">
        <v>103</v>
      </c>
      <c r="G1413" s="83">
        <v>0</v>
      </c>
      <c r="H1413" s="83">
        <v>100</v>
      </c>
      <c r="K1413" s="83" t="s">
        <v>408</v>
      </c>
      <c r="L1413" s="83" t="s">
        <v>101</v>
      </c>
      <c r="M1413" s="83" t="s">
        <v>410</v>
      </c>
      <c r="N1413" s="83" t="s">
        <v>102</v>
      </c>
      <c r="P1413" s="83">
        <v>0</v>
      </c>
      <c r="U1413" s="83">
        <v>4</v>
      </c>
      <c r="V1413" s="83">
        <v>1</v>
      </c>
      <c r="W1413" s="83" t="s">
        <v>103</v>
      </c>
      <c r="X1413" s="83">
        <v>0</v>
      </c>
    </row>
    <row r="1414" spans="1:25" x14ac:dyDescent="0.2">
      <c r="A1414" s="83">
        <v>1</v>
      </c>
      <c r="B1414" s="84">
        <v>5701603302495</v>
      </c>
      <c r="C1414" s="83">
        <v>90</v>
      </c>
      <c r="D1414" s="84">
        <v>777500495</v>
      </c>
      <c r="F1414" s="83" t="s">
        <v>103</v>
      </c>
      <c r="G1414" s="83">
        <v>0</v>
      </c>
      <c r="H1414" s="83">
        <v>100</v>
      </c>
      <c r="K1414" s="83">
        <v>1</v>
      </c>
      <c r="L1414" s="83" t="s">
        <v>101</v>
      </c>
      <c r="M1414" s="83" t="s">
        <v>410</v>
      </c>
      <c r="N1414" s="83" t="s">
        <v>102</v>
      </c>
      <c r="P1414" s="83">
        <v>0</v>
      </c>
      <c r="U1414" s="83">
        <v>4</v>
      </c>
      <c r="V1414" s="83">
        <v>1</v>
      </c>
      <c r="W1414" s="83" t="s">
        <v>103</v>
      </c>
      <c r="X1414" s="83">
        <v>0</v>
      </c>
    </row>
    <row r="1415" spans="1:25" x14ac:dyDescent="0.2">
      <c r="A1415" s="83">
        <v>1</v>
      </c>
      <c r="B1415" s="84">
        <v>5701603303495</v>
      </c>
      <c r="C1415" s="83">
        <v>10</v>
      </c>
      <c r="D1415" s="84">
        <v>5980463303</v>
      </c>
      <c r="F1415" s="83" t="s">
        <v>103</v>
      </c>
      <c r="G1415" s="83">
        <v>0</v>
      </c>
      <c r="H1415" s="83">
        <v>100</v>
      </c>
      <c r="K1415" s="83">
        <v>1</v>
      </c>
      <c r="L1415" s="83" t="s">
        <v>101</v>
      </c>
      <c r="M1415" s="83" t="s">
        <v>410</v>
      </c>
      <c r="N1415" s="83" t="s">
        <v>102</v>
      </c>
      <c r="P1415" s="83">
        <v>0</v>
      </c>
      <c r="U1415" s="83">
        <v>4</v>
      </c>
      <c r="V1415" s="83">
        <v>1</v>
      </c>
      <c r="W1415" s="83" t="s">
        <v>103</v>
      </c>
      <c r="X1415" s="83">
        <v>0</v>
      </c>
      <c r="Y1415" s="83" t="str">
        <f>LEFT(D1415,6)</f>
        <v>598046</v>
      </c>
    </row>
    <row r="1416" spans="1:25" x14ac:dyDescent="0.2">
      <c r="A1416" s="83">
        <v>1</v>
      </c>
      <c r="B1416" s="84">
        <v>5701603303495</v>
      </c>
      <c r="C1416" s="83">
        <v>20</v>
      </c>
      <c r="D1416" s="84">
        <v>5980543303</v>
      </c>
      <c r="F1416" s="83" t="s">
        <v>103</v>
      </c>
      <c r="G1416" s="83">
        <v>0</v>
      </c>
      <c r="H1416" s="83">
        <v>100</v>
      </c>
      <c r="K1416" s="83">
        <v>1</v>
      </c>
      <c r="L1416" s="83" t="s">
        <v>101</v>
      </c>
      <c r="M1416" s="83" t="s">
        <v>410</v>
      </c>
      <c r="N1416" s="83" t="s">
        <v>102</v>
      </c>
      <c r="P1416" s="83">
        <v>0</v>
      </c>
      <c r="U1416" s="83">
        <v>4</v>
      </c>
      <c r="V1416" s="83">
        <v>1</v>
      </c>
      <c r="W1416" s="83" t="s">
        <v>103</v>
      </c>
      <c r="X1416" s="83">
        <v>0</v>
      </c>
    </row>
    <row r="1417" spans="1:25" x14ac:dyDescent="0.2">
      <c r="A1417" s="83">
        <v>1</v>
      </c>
      <c r="B1417" s="84">
        <v>5701603303495</v>
      </c>
      <c r="C1417" s="83">
        <v>30</v>
      </c>
      <c r="D1417" s="84">
        <v>5980623303</v>
      </c>
      <c r="F1417" s="83" t="s">
        <v>103</v>
      </c>
      <c r="G1417" s="83">
        <v>0</v>
      </c>
      <c r="H1417" s="83">
        <v>100</v>
      </c>
      <c r="K1417" s="83">
        <v>1</v>
      </c>
      <c r="L1417" s="83" t="s">
        <v>101</v>
      </c>
      <c r="M1417" s="83" t="s">
        <v>410</v>
      </c>
      <c r="N1417" s="83" t="s">
        <v>102</v>
      </c>
      <c r="P1417" s="83">
        <v>0</v>
      </c>
      <c r="U1417" s="83">
        <v>4</v>
      </c>
      <c r="V1417" s="83">
        <v>1</v>
      </c>
      <c r="W1417" s="83" t="s">
        <v>103</v>
      </c>
      <c r="X1417" s="83">
        <v>0</v>
      </c>
    </row>
    <row r="1418" spans="1:25" x14ac:dyDescent="0.2">
      <c r="A1418" s="83">
        <v>1</v>
      </c>
      <c r="B1418" s="84">
        <v>5701603303495</v>
      </c>
      <c r="C1418" s="83">
        <v>40</v>
      </c>
      <c r="D1418" s="84">
        <v>5980823303</v>
      </c>
      <c r="F1418" s="83" t="s">
        <v>103</v>
      </c>
      <c r="G1418" s="83">
        <v>0</v>
      </c>
      <c r="H1418" s="83">
        <v>100</v>
      </c>
      <c r="K1418" s="83">
        <v>1</v>
      </c>
      <c r="L1418" s="83" t="s">
        <v>101</v>
      </c>
      <c r="M1418" s="83" t="s">
        <v>410</v>
      </c>
      <c r="N1418" s="83" t="s">
        <v>102</v>
      </c>
      <c r="P1418" s="83">
        <v>0</v>
      </c>
      <c r="U1418" s="83">
        <v>4</v>
      </c>
      <c r="V1418" s="83">
        <v>1</v>
      </c>
      <c r="W1418" s="83" t="s">
        <v>103</v>
      </c>
      <c r="X1418" s="83">
        <v>0</v>
      </c>
    </row>
    <row r="1419" spans="1:25" x14ac:dyDescent="0.2">
      <c r="A1419" s="83">
        <v>1</v>
      </c>
      <c r="B1419" s="84">
        <v>5701603303495</v>
      </c>
      <c r="C1419" s="83">
        <v>50</v>
      </c>
      <c r="D1419" s="84">
        <v>5980933303</v>
      </c>
      <c r="F1419" s="83" t="s">
        <v>103</v>
      </c>
      <c r="G1419" s="83">
        <v>0</v>
      </c>
      <c r="H1419" s="83">
        <v>100</v>
      </c>
      <c r="K1419" s="83">
        <v>1</v>
      </c>
      <c r="L1419" s="83" t="s">
        <v>101</v>
      </c>
      <c r="M1419" s="83" t="s">
        <v>410</v>
      </c>
      <c r="N1419" s="83" t="s">
        <v>102</v>
      </c>
      <c r="P1419" s="83">
        <v>0</v>
      </c>
      <c r="U1419" s="83">
        <v>4</v>
      </c>
      <c r="V1419" s="83">
        <v>1</v>
      </c>
      <c r="W1419" s="83" t="s">
        <v>103</v>
      </c>
      <c r="X1419" s="83">
        <v>0</v>
      </c>
    </row>
    <row r="1420" spans="1:25" x14ac:dyDescent="0.2">
      <c r="A1420" s="83">
        <v>1</v>
      </c>
      <c r="B1420" s="84">
        <v>5701603303495</v>
      </c>
      <c r="C1420" s="83">
        <v>60</v>
      </c>
      <c r="D1420" s="84">
        <v>1010286</v>
      </c>
      <c r="F1420" s="83" t="s">
        <v>103</v>
      </c>
      <c r="G1420" s="83">
        <v>0</v>
      </c>
      <c r="H1420" s="83">
        <v>100</v>
      </c>
      <c r="K1420" s="83">
        <v>8</v>
      </c>
      <c r="L1420" s="83" t="s">
        <v>101</v>
      </c>
      <c r="M1420" s="83" t="s">
        <v>410</v>
      </c>
      <c r="N1420" s="83" t="s">
        <v>102</v>
      </c>
      <c r="P1420" s="83">
        <v>0</v>
      </c>
      <c r="U1420" s="83">
        <v>4</v>
      </c>
      <c r="V1420" s="83">
        <v>1</v>
      </c>
      <c r="W1420" s="83" t="s">
        <v>103</v>
      </c>
      <c r="X1420" s="83">
        <v>0</v>
      </c>
    </row>
    <row r="1421" spans="1:25" x14ac:dyDescent="0.2">
      <c r="A1421" s="83">
        <v>1</v>
      </c>
      <c r="B1421" s="84">
        <v>5701603303495</v>
      </c>
      <c r="C1421" s="83">
        <v>70</v>
      </c>
      <c r="D1421" s="84">
        <v>1010287</v>
      </c>
      <c r="F1421" s="83" t="s">
        <v>103</v>
      </c>
      <c r="G1421" s="83">
        <v>0</v>
      </c>
      <c r="H1421" s="83">
        <v>100</v>
      </c>
      <c r="K1421" s="83">
        <v>4</v>
      </c>
      <c r="L1421" s="83" t="s">
        <v>101</v>
      </c>
      <c r="M1421" s="83" t="s">
        <v>410</v>
      </c>
      <c r="N1421" s="83" t="s">
        <v>102</v>
      </c>
      <c r="P1421" s="83">
        <v>0</v>
      </c>
      <c r="U1421" s="83">
        <v>4</v>
      </c>
      <c r="V1421" s="83">
        <v>1</v>
      </c>
      <c r="W1421" s="83" t="s">
        <v>103</v>
      </c>
      <c r="X1421" s="83">
        <v>0</v>
      </c>
    </row>
    <row r="1422" spans="1:25" x14ac:dyDescent="0.2">
      <c r="A1422" s="83">
        <v>1</v>
      </c>
      <c r="B1422" s="84">
        <v>5701603303495</v>
      </c>
      <c r="C1422" s="83">
        <v>80</v>
      </c>
      <c r="D1422" s="84">
        <v>1020145</v>
      </c>
      <c r="F1422" s="83" t="s">
        <v>103</v>
      </c>
      <c r="G1422" s="83">
        <v>0</v>
      </c>
      <c r="H1422" s="83">
        <v>100</v>
      </c>
      <c r="K1422" s="83" t="s">
        <v>408</v>
      </c>
      <c r="L1422" s="83" t="s">
        <v>101</v>
      </c>
      <c r="M1422" s="83" t="s">
        <v>410</v>
      </c>
      <c r="N1422" s="83" t="s">
        <v>102</v>
      </c>
      <c r="P1422" s="83">
        <v>0</v>
      </c>
      <c r="U1422" s="83">
        <v>4</v>
      </c>
      <c r="V1422" s="83">
        <v>1</v>
      </c>
      <c r="W1422" s="83" t="s">
        <v>103</v>
      </c>
      <c r="X1422" s="83">
        <v>0</v>
      </c>
    </row>
    <row r="1423" spans="1:25" x14ac:dyDescent="0.2">
      <c r="A1423" s="83">
        <v>1</v>
      </c>
      <c r="B1423" s="84">
        <v>5701603303495</v>
      </c>
      <c r="C1423" s="83">
        <v>90</v>
      </c>
      <c r="D1423" s="84">
        <v>777500495</v>
      </c>
      <c r="F1423" s="83" t="s">
        <v>103</v>
      </c>
      <c r="G1423" s="83">
        <v>0</v>
      </c>
      <c r="H1423" s="83">
        <v>100</v>
      </c>
      <c r="K1423" s="83">
        <v>1</v>
      </c>
      <c r="L1423" s="83" t="s">
        <v>101</v>
      </c>
      <c r="M1423" s="83" t="s">
        <v>410</v>
      </c>
      <c r="N1423" s="83" t="s">
        <v>102</v>
      </c>
      <c r="P1423" s="83">
        <v>0</v>
      </c>
      <c r="U1423" s="83">
        <v>4</v>
      </c>
      <c r="V1423" s="83">
        <v>1</v>
      </c>
      <c r="W1423" s="83" t="s">
        <v>103</v>
      </c>
      <c r="X1423" s="83">
        <v>0</v>
      </c>
    </row>
    <row r="1424" spans="1:25" x14ac:dyDescent="0.2">
      <c r="A1424" s="83">
        <v>1</v>
      </c>
      <c r="B1424" s="84">
        <v>5701603304495</v>
      </c>
      <c r="C1424" s="83">
        <v>10</v>
      </c>
      <c r="D1424" s="84">
        <v>5980463304</v>
      </c>
      <c r="F1424" s="83" t="s">
        <v>103</v>
      </c>
      <c r="G1424" s="83">
        <v>0</v>
      </c>
      <c r="H1424" s="83">
        <v>100</v>
      </c>
      <c r="K1424" s="83">
        <v>1</v>
      </c>
      <c r="L1424" s="83" t="s">
        <v>101</v>
      </c>
      <c r="M1424" s="83" t="s">
        <v>410</v>
      </c>
      <c r="N1424" s="83" t="s">
        <v>102</v>
      </c>
      <c r="P1424" s="83">
        <v>0</v>
      </c>
      <c r="U1424" s="83">
        <v>4</v>
      </c>
      <c r="V1424" s="83">
        <v>1</v>
      </c>
      <c r="W1424" s="83" t="s">
        <v>103</v>
      </c>
      <c r="X1424" s="83">
        <v>0</v>
      </c>
      <c r="Y1424" s="83" t="str">
        <f>LEFT(D1424,6)</f>
        <v>598046</v>
      </c>
    </row>
    <row r="1425" spans="1:25" x14ac:dyDescent="0.2">
      <c r="A1425" s="83">
        <v>1</v>
      </c>
      <c r="B1425" s="84">
        <v>5701603304495</v>
      </c>
      <c r="C1425" s="83">
        <v>20</v>
      </c>
      <c r="D1425" s="84">
        <v>5980543304</v>
      </c>
      <c r="F1425" s="83" t="s">
        <v>103</v>
      </c>
      <c r="G1425" s="83">
        <v>0</v>
      </c>
      <c r="H1425" s="83">
        <v>100</v>
      </c>
      <c r="K1425" s="83">
        <v>1</v>
      </c>
      <c r="L1425" s="83" t="s">
        <v>101</v>
      </c>
      <c r="M1425" s="83" t="s">
        <v>410</v>
      </c>
      <c r="N1425" s="83" t="s">
        <v>102</v>
      </c>
      <c r="P1425" s="83">
        <v>0</v>
      </c>
      <c r="U1425" s="83">
        <v>4</v>
      </c>
      <c r="V1425" s="83">
        <v>1</v>
      </c>
      <c r="W1425" s="83" t="s">
        <v>103</v>
      </c>
      <c r="X1425" s="83">
        <v>0</v>
      </c>
    </row>
    <row r="1426" spans="1:25" x14ac:dyDescent="0.2">
      <c r="A1426" s="83">
        <v>1</v>
      </c>
      <c r="B1426" s="84">
        <v>5701603304495</v>
      </c>
      <c r="C1426" s="83">
        <v>30</v>
      </c>
      <c r="D1426" s="84">
        <v>5980623304</v>
      </c>
      <c r="F1426" s="83" t="s">
        <v>103</v>
      </c>
      <c r="G1426" s="83">
        <v>0</v>
      </c>
      <c r="H1426" s="83">
        <v>100</v>
      </c>
      <c r="K1426" s="83">
        <v>1</v>
      </c>
      <c r="L1426" s="83" t="s">
        <v>101</v>
      </c>
      <c r="M1426" s="83" t="s">
        <v>410</v>
      </c>
      <c r="N1426" s="83" t="s">
        <v>102</v>
      </c>
      <c r="P1426" s="83">
        <v>0</v>
      </c>
      <c r="U1426" s="83">
        <v>4</v>
      </c>
      <c r="V1426" s="83">
        <v>1</v>
      </c>
      <c r="W1426" s="83" t="s">
        <v>103</v>
      </c>
      <c r="X1426" s="83">
        <v>0</v>
      </c>
    </row>
    <row r="1427" spans="1:25" x14ac:dyDescent="0.2">
      <c r="A1427" s="83">
        <v>1</v>
      </c>
      <c r="B1427" s="84">
        <v>5701603304495</v>
      </c>
      <c r="C1427" s="83">
        <v>40</v>
      </c>
      <c r="D1427" s="84">
        <v>5980823304</v>
      </c>
      <c r="F1427" s="83" t="s">
        <v>103</v>
      </c>
      <c r="G1427" s="83">
        <v>0</v>
      </c>
      <c r="H1427" s="83">
        <v>100</v>
      </c>
      <c r="K1427" s="83">
        <v>1</v>
      </c>
      <c r="L1427" s="83" t="s">
        <v>101</v>
      </c>
      <c r="M1427" s="83" t="s">
        <v>410</v>
      </c>
      <c r="N1427" s="83" t="s">
        <v>102</v>
      </c>
      <c r="P1427" s="83">
        <v>0</v>
      </c>
      <c r="U1427" s="83">
        <v>4</v>
      </c>
      <c r="V1427" s="83">
        <v>1</v>
      </c>
      <c r="W1427" s="83" t="s">
        <v>103</v>
      </c>
      <c r="X1427" s="83">
        <v>0</v>
      </c>
    </row>
    <row r="1428" spans="1:25" x14ac:dyDescent="0.2">
      <c r="A1428" s="83">
        <v>1</v>
      </c>
      <c r="B1428" s="84">
        <v>5701603304495</v>
      </c>
      <c r="C1428" s="83">
        <v>50</v>
      </c>
      <c r="D1428" s="84">
        <v>5980933304</v>
      </c>
      <c r="F1428" s="83" t="s">
        <v>103</v>
      </c>
      <c r="G1428" s="83">
        <v>0</v>
      </c>
      <c r="H1428" s="83">
        <v>100</v>
      </c>
      <c r="K1428" s="83">
        <v>1</v>
      </c>
      <c r="L1428" s="83" t="s">
        <v>101</v>
      </c>
      <c r="M1428" s="83" t="s">
        <v>410</v>
      </c>
      <c r="N1428" s="83" t="s">
        <v>102</v>
      </c>
      <c r="P1428" s="83">
        <v>0</v>
      </c>
      <c r="U1428" s="83">
        <v>4</v>
      </c>
      <c r="V1428" s="83">
        <v>1</v>
      </c>
      <c r="W1428" s="83" t="s">
        <v>103</v>
      </c>
      <c r="X1428" s="83">
        <v>0</v>
      </c>
    </row>
    <row r="1429" spans="1:25" x14ac:dyDescent="0.2">
      <c r="A1429" s="83">
        <v>1</v>
      </c>
      <c r="B1429" s="84">
        <v>5701603304495</v>
      </c>
      <c r="C1429" s="83">
        <v>60</v>
      </c>
      <c r="D1429" s="84">
        <v>1010286</v>
      </c>
      <c r="F1429" s="83" t="s">
        <v>103</v>
      </c>
      <c r="G1429" s="83">
        <v>0</v>
      </c>
      <c r="H1429" s="83">
        <v>100</v>
      </c>
      <c r="K1429" s="83">
        <v>8</v>
      </c>
      <c r="L1429" s="83" t="s">
        <v>101</v>
      </c>
      <c r="M1429" s="83" t="s">
        <v>410</v>
      </c>
      <c r="N1429" s="83" t="s">
        <v>102</v>
      </c>
      <c r="P1429" s="83">
        <v>0</v>
      </c>
      <c r="U1429" s="83">
        <v>4</v>
      </c>
      <c r="V1429" s="83">
        <v>1</v>
      </c>
      <c r="W1429" s="83" t="s">
        <v>103</v>
      </c>
      <c r="X1429" s="83">
        <v>0</v>
      </c>
    </row>
    <row r="1430" spans="1:25" x14ac:dyDescent="0.2">
      <c r="A1430" s="83">
        <v>1</v>
      </c>
      <c r="B1430" s="84">
        <v>5701603304495</v>
      </c>
      <c r="C1430" s="83">
        <v>70</v>
      </c>
      <c r="D1430" s="84">
        <v>1010288</v>
      </c>
      <c r="F1430" s="83" t="s">
        <v>103</v>
      </c>
      <c r="G1430" s="83">
        <v>0</v>
      </c>
      <c r="H1430" s="83">
        <v>100</v>
      </c>
      <c r="K1430" s="83">
        <v>4</v>
      </c>
      <c r="L1430" s="83" t="s">
        <v>101</v>
      </c>
      <c r="M1430" s="83" t="s">
        <v>410</v>
      </c>
      <c r="N1430" s="83" t="s">
        <v>102</v>
      </c>
      <c r="P1430" s="83">
        <v>0</v>
      </c>
      <c r="U1430" s="83">
        <v>4</v>
      </c>
      <c r="V1430" s="83">
        <v>1</v>
      </c>
      <c r="W1430" s="83" t="s">
        <v>103</v>
      </c>
      <c r="X1430" s="83">
        <v>0</v>
      </c>
    </row>
    <row r="1431" spans="1:25" x14ac:dyDescent="0.2">
      <c r="A1431" s="83">
        <v>1</v>
      </c>
      <c r="B1431" s="84">
        <v>5701603304495</v>
      </c>
      <c r="C1431" s="83">
        <v>80</v>
      </c>
      <c r="D1431" s="84">
        <v>1020145</v>
      </c>
      <c r="F1431" s="83" t="s">
        <v>103</v>
      </c>
      <c r="G1431" s="83">
        <v>0</v>
      </c>
      <c r="H1431" s="83">
        <v>100</v>
      </c>
      <c r="K1431" s="83" t="s">
        <v>408</v>
      </c>
      <c r="L1431" s="83" t="s">
        <v>101</v>
      </c>
      <c r="M1431" s="83" t="s">
        <v>410</v>
      </c>
      <c r="N1431" s="83" t="s">
        <v>102</v>
      </c>
      <c r="P1431" s="83">
        <v>0</v>
      </c>
      <c r="U1431" s="83">
        <v>4</v>
      </c>
      <c r="V1431" s="83">
        <v>1</v>
      </c>
      <c r="W1431" s="83" t="s">
        <v>103</v>
      </c>
      <c r="X1431" s="83">
        <v>0</v>
      </c>
    </row>
    <row r="1432" spans="1:25" x14ac:dyDescent="0.2">
      <c r="A1432" s="83">
        <v>1</v>
      </c>
      <c r="B1432" s="84">
        <v>5701603304495</v>
      </c>
      <c r="C1432" s="83">
        <v>90</v>
      </c>
      <c r="D1432" s="84">
        <v>777500495</v>
      </c>
      <c r="F1432" s="83" t="s">
        <v>103</v>
      </c>
      <c r="G1432" s="83">
        <v>0</v>
      </c>
      <c r="H1432" s="83">
        <v>100</v>
      </c>
      <c r="K1432" s="83">
        <v>1</v>
      </c>
      <c r="L1432" s="83" t="s">
        <v>101</v>
      </c>
      <c r="M1432" s="83" t="s">
        <v>410</v>
      </c>
      <c r="N1432" s="83" t="s">
        <v>102</v>
      </c>
      <c r="P1432" s="83">
        <v>0</v>
      </c>
      <c r="U1432" s="83">
        <v>4</v>
      </c>
      <c r="V1432" s="83">
        <v>1</v>
      </c>
      <c r="W1432" s="83" t="s">
        <v>103</v>
      </c>
      <c r="X1432" s="83">
        <v>0</v>
      </c>
    </row>
    <row r="1433" spans="1:25" x14ac:dyDescent="0.2">
      <c r="A1433" s="83">
        <v>1</v>
      </c>
      <c r="B1433" s="84">
        <v>5701603305495</v>
      </c>
      <c r="C1433" s="83">
        <v>10</v>
      </c>
      <c r="D1433" s="84">
        <v>5980463305</v>
      </c>
      <c r="F1433" s="83" t="s">
        <v>103</v>
      </c>
      <c r="G1433" s="83">
        <v>0</v>
      </c>
      <c r="H1433" s="83">
        <v>100</v>
      </c>
      <c r="K1433" s="83">
        <v>1</v>
      </c>
      <c r="L1433" s="83" t="s">
        <v>101</v>
      </c>
      <c r="M1433" s="83" t="s">
        <v>410</v>
      </c>
      <c r="N1433" s="83" t="s">
        <v>102</v>
      </c>
      <c r="P1433" s="83">
        <v>0</v>
      </c>
      <c r="U1433" s="83">
        <v>4</v>
      </c>
      <c r="V1433" s="83">
        <v>1</v>
      </c>
      <c r="W1433" s="83" t="s">
        <v>103</v>
      </c>
      <c r="X1433" s="83">
        <v>0</v>
      </c>
      <c r="Y1433" s="83" t="str">
        <f>LEFT(D1433,6)</f>
        <v>598046</v>
      </c>
    </row>
    <row r="1434" spans="1:25" x14ac:dyDescent="0.2">
      <c r="A1434" s="83">
        <v>1</v>
      </c>
      <c r="B1434" s="84">
        <v>5701603305495</v>
      </c>
      <c r="C1434" s="83">
        <v>20</v>
      </c>
      <c r="D1434" s="84">
        <v>5980543305</v>
      </c>
      <c r="F1434" s="83" t="s">
        <v>103</v>
      </c>
      <c r="G1434" s="83">
        <v>0</v>
      </c>
      <c r="H1434" s="83">
        <v>100</v>
      </c>
      <c r="K1434" s="83">
        <v>1</v>
      </c>
      <c r="L1434" s="83" t="s">
        <v>101</v>
      </c>
      <c r="M1434" s="83" t="s">
        <v>410</v>
      </c>
      <c r="N1434" s="83" t="s">
        <v>102</v>
      </c>
      <c r="P1434" s="83">
        <v>0</v>
      </c>
      <c r="U1434" s="83">
        <v>4</v>
      </c>
      <c r="V1434" s="83">
        <v>1</v>
      </c>
      <c r="W1434" s="83" t="s">
        <v>103</v>
      </c>
      <c r="X1434" s="83">
        <v>0</v>
      </c>
    </row>
    <row r="1435" spans="1:25" x14ac:dyDescent="0.2">
      <c r="A1435" s="83">
        <v>1</v>
      </c>
      <c r="B1435" s="84">
        <v>5701603305495</v>
      </c>
      <c r="C1435" s="83">
        <v>30</v>
      </c>
      <c r="D1435" s="84">
        <v>5980623305</v>
      </c>
      <c r="F1435" s="83" t="s">
        <v>103</v>
      </c>
      <c r="G1435" s="83">
        <v>0</v>
      </c>
      <c r="H1435" s="83">
        <v>100</v>
      </c>
      <c r="K1435" s="83">
        <v>1</v>
      </c>
      <c r="L1435" s="83" t="s">
        <v>101</v>
      </c>
      <c r="M1435" s="83" t="s">
        <v>410</v>
      </c>
      <c r="N1435" s="83" t="s">
        <v>102</v>
      </c>
      <c r="P1435" s="83">
        <v>0</v>
      </c>
      <c r="U1435" s="83">
        <v>4</v>
      </c>
      <c r="V1435" s="83">
        <v>1</v>
      </c>
      <c r="W1435" s="83" t="s">
        <v>103</v>
      </c>
      <c r="X1435" s="83">
        <v>0</v>
      </c>
    </row>
    <row r="1436" spans="1:25" x14ac:dyDescent="0.2">
      <c r="A1436" s="83">
        <v>1</v>
      </c>
      <c r="B1436" s="84">
        <v>5701603305495</v>
      </c>
      <c r="C1436" s="83">
        <v>40</v>
      </c>
      <c r="D1436" s="84">
        <v>5980823305</v>
      </c>
      <c r="F1436" s="83" t="s">
        <v>103</v>
      </c>
      <c r="G1436" s="83">
        <v>0</v>
      </c>
      <c r="H1436" s="83">
        <v>100</v>
      </c>
      <c r="K1436" s="83">
        <v>1</v>
      </c>
      <c r="L1436" s="83" t="s">
        <v>101</v>
      </c>
      <c r="M1436" s="83" t="s">
        <v>410</v>
      </c>
      <c r="N1436" s="83" t="s">
        <v>102</v>
      </c>
      <c r="P1436" s="83">
        <v>0</v>
      </c>
      <c r="U1436" s="83">
        <v>4</v>
      </c>
      <c r="V1436" s="83">
        <v>1</v>
      </c>
      <c r="W1436" s="83" t="s">
        <v>103</v>
      </c>
      <c r="X1436" s="83">
        <v>0</v>
      </c>
    </row>
    <row r="1437" spans="1:25" x14ac:dyDescent="0.2">
      <c r="A1437" s="83">
        <v>1</v>
      </c>
      <c r="B1437" s="84">
        <v>5701603305495</v>
      </c>
      <c r="C1437" s="83">
        <v>50</v>
      </c>
      <c r="D1437" s="84">
        <v>5980933305</v>
      </c>
      <c r="F1437" s="83" t="s">
        <v>103</v>
      </c>
      <c r="G1437" s="83">
        <v>0</v>
      </c>
      <c r="H1437" s="83">
        <v>100</v>
      </c>
      <c r="K1437" s="83">
        <v>1</v>
      </c>
      <c r="L1437" s="83" t="s">
        <v>101</v>
      </c>
      <c r="M1437" s="83" t="s">
        <v>410</v>
      </c>
      <c r="N1437" s="83" t="s">
        <v>102</v>
      </c>
      <c r="P1437" s="83">
        <v>0</v>
      </c>
      <c r="U1437" s="83">
        <v>4</v>
      </c>
      <c r="V1437" s="83">
        <v>1</v>
      </c>
      <c r="W1437" s="83" t="s">
        <v>103</v>
      </c>
      <c r="X1437" s="83">
        <v>0</v>
      </c>
    </row>
    <row r="1438" spans="1:25" x14ac:dyDescent="0.2">
      <c r="A1438" s="83">
        <v>1</v>
      </c>
      <c r="B1438" s="84">
        <v>5701603305495</v>
      </c>
      <c r="C1438" s="83">
        <v>60</v>
      </c>
      <c r="D1438" s="84">
        <v>1010286</v>
      </c>
      <c r="F1438" s="83" t="s">
        <v>103</v>
      </c>
      <c r="G1438" s="83">
        <v>0</v>
      </c>
      <c r="H1438" s="83">
        <v>100</v>
      </c>
      <c r="K1438" s="83">
        <v>8</v>
      </c>
      <c r="L1438" s="83" t="s">
        <v>101</v>
      </c>
      <c r="M1438" s="83" t="s">
        <v>410</v>
      </c>
      <c r="N1438" s="83" t="s">
        <v>102</v>
      </c>
      <c r="P1438" s="83">
        <v>0</v>
      </c>
      <c r="U1438" s="83">
        <v>4</v>
      </c>
      <c r="V1438" s="83">
        <v>1</v>
      </c>
      <c r="W1438" s="83" t="s">
        <v>103</v>
      </c>
      <c r="X1438" s="83">
        <v>0</v>
      </c>
    </row>
    <row r="1439" spans="1:25" x14ac:dyDescent="0.2">
      <c r="A1439" s="83">
        <v>1</v>
      </c>
      <c r="B1439" s="84">
        <v>5701603305495</v>
      </c>
      <c r="C1439" s="83">
        <v>70</v>
      </c>
      <c r="D1439" s="84">
        <v>1010288</v>
      </c>
      <c r="F1439" s="83" t="s">
        <v>103</v>
      </c>
      <c r="G1439" s="83">
        <v>0</v>
      </c>
      <c r="H1439" s="83">
        <v>100</v>
      </c>
      <c r="K1439" s="83">
        <v>4</v>
      </c>
      <c r="L1439" s="83" t="s">
        <v>101</v>
      </c>
      <c r="M1439" s="83" t="s">
        <v>410</v>
      </c>
      <c r="N1439" s="83" t="s">
        <v>102</v>
      </c>
      <c r="P1439" s="83">
        <v>0</v>
      </c>
      <c r="U1439" s="83">
        <v>4</v>
      </c>
      <c r="V1439" s="83">
        <v>1</v>
      </c>
      <c r="W1439" s="83" t="s">
        <v>103</v>
      </c>
      <c r="X1439" s="83">
        <v>0</v>
      </c>
    </row>
    <row r="1440" spans="1:25" x14ac:dyDescent="0.2">
      <c r="A1440" s="83">
        <v>1</v>
      </c>
      <c r="B1440" s="84">
        <v>5701603305495</v>
      </c>
      <c r="C1440" s="83">
        <v>80</v>
      </c>
      <c r="D1440" s="84">
        <v>1020145</v>
      </c>
      <c r="F1440" s="83" t="s">
        <v>103</v>
      </c>
      <c r="G1440" s="83">
        <v>0</v>
      </c>
      <c r="H1440" s="83">
        <v>100</v>
      </c>
      <c r="K1440" s="83" t="s">
        <v>408</v>
      </c>
      <c r="L1440" s="83" t="s">
        <v>101</v>
      </c>
      <c r="M1440" s="83" t="s">
        <v>410</v>
      </c>
      <c r="N1440" s="83" t="s">
        <v>102</v>
      </c>
      <c r="P1440" s="83">
        <v>0</v>
      </c>
      <c r="U1440" s="83">
        <v>4</v>
      </c>
      <c r="V1440" s="83">
        <v>1</v>
      </c>
      <c r="W1440" s="83" t="s">
        <v>103</v>
      </c>
      <c r="X1440" s="83">
        <v>0</v>
      </c>
    </row>
    <row r="1441" spans="1:25" x14ac:dyDescent="0.2">
      <c r="A1441" s="83">
        <v>1</v>
      </c>
      <c r="B1441" s="84">
        <v>5701603305495</v>
      </c>
      <c r="C1441" s="83">
        <v>90</v>
      </c>
      <c r="D1441" s="84">
        <v>777500495</v>
      </c>
      <c r="F1441" s="83" t="s">
        <v>103</v>
      </c>
      <c r="G1441" s="83">
        <v>0</v>
      </c>
      <c r="H1441" s="83">
        <v>100</v>
      </c>
      <c r="K1441" s="83">
        <v>1</v>
      </c>
      <c r="L1441" s="83" t="s">
        <v>101</v>
      </c>
      <c r="M1441" s="83" t="s">
        <v>410</v>
      </c>
      <c r="N1441" s="83" t="s">
        <v>102</v>
      </c>
      <c r="P1441" s="83">
        <v>0</v>
      </c>
      <c r="U1441" s="83">
        <v>4</v>
      </c>
      <c r="V1441" s="83">
        <v>1</v>
      </c>
      <c r="W1441" s="83" t="s">
        <v>103</v>
      </c>
      <c r="X1441" s="83">
        <v>0</v>
      </c>
    </row>
    <row r="1442" spans="1:25" x14ac:dyDescent="0.2">
      <c r="A1442" s="83">
        <v>1</v>
      </c>
      <c r="B1442" s="84">
        <v>5701603306495</v>
      </c>
      <c r="C1442" s="83">
        <v>10</v>
      </c>
      <c r="D1442" s="84">
        <v>5980463306</v>
      </c>
      <c r="F1442" s="83" t="s">
        <v>103</v>
      </c>
      <c r="G1442" s="83">
        <v>0</v>
      </c>
      <c r="H1442" s="83">
        <v>100</v>
      </c>
      <c r="K1442" s="83">
        <v>1</v>
      </c>
      <c r="L1442" s="83" t="s">
        <v>101</v>
      </c>
      <c r="M1442" s="83" t="s">
        <v>410</v>
      </c>
      <c r="N1442" s="83" t="s">
        <v>102</v>
      </c>
      <c r="P1442" s="83">
        <v>0</v>
      </c>
      <c r="U1442" s="83">
        <v>4</v>
      </c>
      <c r="V1442" s="83">
        <v>1</v>
      </c>
      <c r="W1442" s="83" t="s">
        <v>103</v>
      </c>
      <c r="X1442" s="83">
        <v>0</v>
      </c>
      <c r="Y1442" s="83" t="str">
        <f>LEFT(D1442,6)</f>
        <v>598046</v>
      </c>
    </row>
    <row r="1443" spans="1:25" x14ac:dyDescent="0.2">
      <c r="A1443" s="83">
        <v>1</v>
      </c>
      <c r="B1443" s="84">
        <v>5701603306495</v>
      </c>
      <c r="C1443" s="83">
        <v>20</v>
      </c>
      <c r="D1443" s="84">
        <v>5980543306</v>
      </c>
      <c r="F1443" s="83" t="s">
        <v>103</v>
      </c>
      <c r="G1443" s="83">
        <v>0</v>
      </c>
      <c r="H1443" s="83">
        <v>100</v>
      </c>
      <c r="K1443" s="83">
        <v>1</v>
      </c>
      <c r="L1443" s="83" t="s">
        <v>101</v>
      </c>
      <c r="M1443" s="83" t="s">
        <v>410</v>
      </c>
      <c r="N1443" s="83" t="s">
        <v>102</v>
      </c>
      <c r="P1443" s="83">
        <v>0</v>
      </c>
      <c r="U1443" s="83">
        <v>4</v>
      </c>
      <c r="V1443" s="83">
        <v>1</v>
      </c>
      <c r="W1443" s="83" t="s">
        <v>103</v>
      </c>
      <c r="X1443" s="83">
        <v>0</v>
      </c>
    </row>
    <row r="1444" spans="1:25" x14ac:dyDescent="0.2">
      <c r="A1444" s="83">
        <v>1</v>
      </c>
      <c r="B1444" s="84">
        <v>5701603306495</v>
      </c>
      <c r="C1444" s="83">
        <v>30</v>
      </c>
      <c r="D1444" s="84">
        <v>5980623306</v>
      </c>
      <c r="F1444" s="83" t="s">
        <v>103</v>
      </c>
      <c r="G1444" s="83">
        <v>0</v>
      </c>
      <c r="H1444" s="83">
        <v>100</v>
      </c>
      <c r="K1444" s="83">
        <v>1</v>
      </c>
      <c r="L1444" s="83" t="s">
        <v>101</v>
      </c>
      <c r="M1444" s="83" t="s">
        <v>410</v>
      </c>
      <c r="N1444" s="83" t="s">
        <v>102</v>
      </c>
      <c r="P1444" s="83">
        <v>0</v>
      </c>
      <c r="U1444" s="83">
        <v>4</v>
      </c>
      <c r="V1444" s="83">
        <v>1</v>
      </c>
      <c r="W1444" s="83" t="s">
        <v>103</v>
      </c>
      <c r="X1444" s="83">
        <v>0</v>
      </c>
    </row>
    <row r="1445" spans="1:25" x14ac:dyDescent="0.2">
      <c r="A1445" s="83">
        <v>1</v>
      </c>
      <c r="B1445" s="84">
        <v>5701603306495</v>
      </c>
      <c r="C1445" s="83">
        <v>40</v>
      </c>
      <c r="D1445" s="84">
        <v>5980823306</v>
      </c>
      <c r="F1445" s="83" t="s">
        <v>103</v>
      </c>
      <c r="G1445" s="83">
        <v>0</v>
      </c>
      <c r="H1445" s="83">
        <v>100</v>
      </c>
      <c r="K1445" s="83">
        <v>1</v>
      </c>
      <c r="L1445" s="83" t="s">
        <v>101</v>
      </c>
      <c r="M1445" s="83" t="s">
        <v>410</v>
      </c>
      <c r="N1445" s="83" t="s">
        <v>102</v>
      </c>
      <c r="P1445" s="83">
        <v>0</v>
      </c>
      <c r="U1445" s="83">
        <v>4</v>
      </c>
      <c r="V1445" s="83">
        <v>1</v>
      </c>
      <c r="W1445" s="83" t="s">
        <v>103</v>
      </c>
      <c r="X1445" s="83">
        <v>0</v>
      </c>
    </row>
    <row r="1446" spans="1:25" x14ac:dyDescent="0.2">
      <c r="A1446" s="83">
        <v>1</v>
      </c>
      <c r="B1446" s="84">
        <v>5701603306495</v>
      </c>
      <c r="C1446" s="83">
        <v>50</v>
      </c>
      <c r="D1446" s="84">
        <v>5980933306</v>
      </c>
      <c r="F1446" s="83" t="s">
        <v>103</v>
      </c>
      <c r="G1446" s="83">
        <v>0</v>
      </c>
      <c r="H1446" s="83">
        <v>100</v>
      </c>
      <c r="K1446" s="83">
        <v>1</v>
      </c>
      <c r="L1446" s="83" t="s">
        <v>101</v>
      </c>
      <c r="M1446" s="83" t="s">
        <v>410</v>
      </c>
      <c r="N1446" s="83" t="s">
        <v>102</v>
      </c>
      <c r="P1446" s="83">
        <v>0</v>
      </c>
      <c r="U1446" s="83">
        <v>4</v>
      </c>
      <c r="V1446" s="83">
        <v>1</v>
      </c>
      <c r="W1446" s="83" t="s">
        <v>103</v>
      </c>
      <c r="X1446" s="83">
        <v>0</v>
      </c>
    </row>
    <row r="1447" spans="1:25" x14ac:dyDescent="0.2">
      <c r="A1447" s="83">
        <v>1</v>
      </c>
      <c r="B1447" s="84">
        <v>5701603306495</v>
      </c>
      <c r="C1447" s="83">
        <v>60</v>
      </c>
      <c r="D1447" s="84">
        <v>1010286</v>
      </c>
      <c r="F1447" s="83" t="s">
        <v>103</v>
      </c>
      <c r="G1447" s="83">
        <v>0</v>
      </c>
      <c r="H1447" s="83">
        <v>100</v>
      </c>
      <c r="K1447" s="83">
        <v>8</v>
      </c>
      <c r="L1447" s="83" t="s">
        <v>101</v>
      </c>
      <c r="M1447" s="83" t="s">
        <v>410</v>
      </c>
      <c r="N1447" s="83" t="s">
        <v>102</v>
      </c>
      <c r="P1447" s="83">
        <v>0</v>
      </c>
      <c r="U1447" s="83">
        <v>4</v>
      </c>
      <c r="V1447" s="83">
        <v>1</v>
      </c>
      <c r="W1447" s="83" t="s">
        <v>103</v>
      </c>
      <c r="X1447" s="83">
        <v>0</v>
      </c>
    </row>
    <row r="1448" spans="1:25" x14ac:dyDescent="0.2">
      <c r="A1448" s="83">
        <v>1</v>
      </c>
      <c r="B1448" s="84">
        <v>5701603306495</v>
      </c>
      <c r="C1448" s="83">
        <v>70</v>
      </c>
      <c r="D1448" s="84">
        <v>1010287</v>
      </c>
      <c r="F1448" s="83" t="s">
        <v>103</v>
      </c>
      <c r="G1448" s="83">
        <v>0</v>
      </c>
      <c r="H1448" s="83">
        <v>100</v>
      </c>
      <c r="K1448" s="83">
        <v>4</v>
      </c>
      <c r="L1448" s="83" t="s">
        <v>101</v>
      </c>
      <c r="M1448" s="83" t="s">
        <v>410</v>
      </c>
      <c r="N1448" s="83" t="s">
        <v>102</v>
      </c>
      <c r="P1448" s="83">
        <v>0</v>
      </c>
      <c r="U1448" s="83">
        <v>4</v>
      </c>
      <c r="V1448" s="83">
        <v>1</v>
      </c>
      <c r="W1448" s="83" t="s">
        <v>103</v>
      </c>
      <c r="X1448" s="83">
        <v>0</v>
      </c>
    </row>
    <row r="1449" spans="1:25" x14ac:dyDescent="0.2">
      <c r="A1449" s="83">
        <v>1</v>
      </c>
      <c r="B1449" s="84">
        <v>5701603306495</v>
      </c>
      <c r="C1449" s="83">
        <v>80</v>
      </c>
      <c r="D1449" s="84">
        <v>1020145</v>
      </c>
      <c r="F1449" s="83" t="s">
        <v>103</v>
      </c>
      <c r="G1449" s="83">
        <v>0</v>
      </c>
      <c r="H1449" s="83">
        <v>100</v>
      </c>
      <c r="K1449" s="83" t="s">
        <v>408</v>
      </c>
      <c r="L1449" s="83" t="s">
        <v>101</v>
      </c>
      <c r="M1449" s="83" t="s">
        <v>410</v>
      </c>
      <c r="N1449" s="83" t="s">
        <v>102</v>
      </c>
      <c r="P1449" s="83">
        <v>0</v>
      </c>
      <c r="U1449" s="83">
        <v>4</v>
      </c>
      <c r="V1449" s="83">
        <v>1</v>
      </c>
      <c r="W1449" s="83" t="s">
        <v>103</v>
      </c>
      <c r="X1449" s="83">
        <v>0</v>
      </c>
    </row>
    <row r="1450" spans="1:25" x14ac:dyDescent="0.2">
      <c r="A1450" s="83">
        <v>1</v>
      </c>
      <c r="B1450" s="84">
        <v>5701603306495</v>
      </c>
      <c r="C1450" s="83">
        <v>90</v>
      </c>
      <c r="D1450" s="84">
        <v>777500495</v>
      </c>
      <c r="F1450" s="83" t="s">
        <v>103</v>
      </c>
      <c r="G1450" s="83">
        <v>0</v>
      </c>
      <c r="H1450" s="83">
        <v>100</v>
      </c>
      <c r="K1450" s="83">
        <v>1</v>
      </c>
      <c r="L1450" s="83" t="s">
        <v>101</v>
      </c>
      <c r="M1450" s="83" t="s">
        <v>410</v>
      </c>
      <c r="N1450" s="83" t="s">
        <v>102</v>
      </c>
      <c r="P1450" s="83">
        <v>0</v>
      </c>
      <c r="U1450" s="83">
        <v>4</v>
      </c>
      <c r="V1450" s="83">
        <v>1</v>
      </c>
      <c r="W1450" s="83" t="s">
        <v>103</v>
      </c>
      <c r="X1450" s="83">
        <v>0</v>
      </c>
    </row>
    <row r="1451" spans="1:25" x14ac:dyDescent="0.2">
      <c r="A1451" s="83">
        <v>1</v>
      </c>
      <c r="B1451" s="84">
        <v>5701603307495</v>
      </c>
      <c r="C1451" s="83">
        <v>10</v>
      </c>
      <c r="D1451" s="84">
        <v>5980463307</v>
      </c>
      <c r="F1451" s="83" t="s">
        <v>103</v>
      </c>
      <c r="G1451" s="83">
        <v>0</v>
      </c>
      <c r="H1451" s="83">
        <v>100</v>
      </c>
      <c r="K1451" s="83">
        <v>1</v>
      </c>
      <c r="L1451" s="83" t="s">
        <v>101</v>
      </c>
      <c r="M1451" s="83" t="s">
        <v>410</v>
      </c>
      <c r="N1451" s="83" t="s">
        <v>102</v>
      </c>
      <c r="P1451" s="83">
        <v>0</v>
      </c>
      <c r="U1451" s="83">
        <v>4</v>
      </c>
      <c r="V1451" s="83">
        <v>1</v>
      </c>
      <c r="W1451" s="83" t="s">
        <v>103</v>
      </c>
      <c r="X1451" s="83">
        <v>0</v>
      </c>
      <c r="Y1451" s="83" t="str">
        <f>LEFT(D1451,6)</f>
        <v>598046</v>
      </c>
    </row>
    <row r="1452" spans="1:25" x14ac:dyDescent="0.2">
      <c r="A1452" s="83">
        <v>1</v>
      </c>
      <c r="B1452" s="84">
        <v>5701603307495</v>
      </c>
      <c r="C1452" s="83">
        <v>20</v>
      </c>
      <c r="D1452" s="84">
        <v>5980543307</v>
      </c>
      <c r="F1452" s="83" t="s">
        <v>103</v>
      </c>
      <c r="G1452" s="83">
        <v>0</v>
      </c>
      <c r="H1452" s="83">
        <v>100</v>
      </c>
      <c r="K1452" s="83">
        <v>1</v>
      </c>
      <c r="L1452" s="83" t="s">
        <v>101</v>
      </c>
      <c r="M1452" s="83" t="s">
        <v>410</v>
      </c>
      <c r="N1452" s="83" t="s">
        <v>102</v>
      </c>
      <c r="P1452" s="83">
        <v>0</v>
      </c>
      <c r="U1452" s="83">
        <v>4</v>
      </c>
      <c r="V1452" s="83">
        <v>1</v>
      </c>
      <c r="W1452" s="83" t="s">
        <v>103</v>
      </c>
      <c r="X1452" s="83">
        <v>0</v>
      </c>
    </row>
    <row r="1453" spans="1:25" x14ac:dyDescent="0.2">
      <c r="A1453" s="83">
        <v>1</v>
      </c>
      <c r="B1453" s="84">
        <v>5701603307495</v>
      </c>
      <c r="C1453" s="83">
        <v>30</v>
      </c>
      <c r="D1453" s="84">
        <v>5980623307</v>
      </c>
      <c r="F1453" s="83" t="s">
        <v>103</v>
      </c>
      <c r="G1453" s="83">
        <v>0</v>
      </c>
      <c r="H1453" s="83">
        <v>100</v>
      </c>
      <c r="K1453" s="83">
        <v>1</v>
      </c>
      <c r="L1453" s="83" t="s">
        <v>101</v>
      </c>
      <c r="M1453" s="83" t="s">
        <v>410</v>
      </c>
      <c r="N1453" s="83" t="s">
        <v>102</v>
      </c>
      <c r="P1453" s="83">
        <v>0</v>
      </c>
      <c r="U1453" s="83">
        <v>4</v>
      </c>
      <c r="V1453" s="83">
        <v>1</v>
      </c>
      <c r="W1453" s="83" t="s">
        <v>103</v>
      </c>
      <c r="X1453" s="83">
        <v>0</v>
      </c>
    </row>
    <row r="1454" spans="1:25" x14ac:dyDescent="0.2">
      <c r="A1454" s="83">
        <v>1</v>
      </c>
      <c r="B1454" s="84">
        <v>5701603307495</v>
      </c>
      <c r="C1454" s="83">
        <v>40</v>
      </c>
      <c r="D1454" s="84">
        <v>5980823307</v>
      </c>
      <c r="F1454" s="83" t="s">
        <v>103</v>
      </c>
      <c r="G1454" s="83">
        <v>0</v>
      </c>
      <c r="H1454" s="83">
        <v>100</v>
      </c>
      <c r="K1454" s="83">
        <v>1</v>
      </c>
      <c r="L1454" s="83" t="s">
        <v>101</v>
      </c>
      <c r="M1454" s="83" t="s">
        <v>410</v>
      </c>
      <c r="N1454" s="83" t="s">
        <v>102</v>
      </c>
      <c r="P1454" s="83">
        <v>0</v>
      </c>
      <c r="U1454" s="83">
        <v>4</v>
      </c>
      <c r="V1454" s="83">
        <v>1</v>
      </c>
      <c r="W1454" s="83" t="s">
        <v>103</v>
      </c>
      <c r="X1454" s="83">
        <v>0</v>
      </c>
    </row>
    <row r="1455" spans="1:25" x14ac:dyDescent="0.2">
      <c r="A1455" s="83">
        <v>1</v>
      </c>
      <c r="B1455" s="84">
        <v>5701603307495</v>
      </c>
      <c r="C1455" s="83">
        <v>50</v>
      </c>
      <c r="D1455" s="84">
        <v>5980933307</v>
      </c>
      <c r="F1455" s="83" t="s">
        <v>103</v>
      </c>
      <c r="G1455" s="83">
        <v>0</v>
      </c>
      <c r="H1455" s="83">
        <v>100</v>
      </c>
      <c r="K1455" s="83">
        <v>1</v>
      </c>
      <c r="L1455" s="83" t="s">
        <v>101</v>
      </c>
      <c r="M1455" s="83" t="s">
        <v>410</v>
      </c>
      <c r="N1455" s="83" t="s">
        <v>102</v>
      </c>
      <c r="P1455" s="83">
        <v>0</v>
      </c>
      <c r="U1455" s="83">
        <v>4</v>
      </c>
      <c r="V1455" s="83">
        <v>1</v>
      </c>
      <c r="W1455" s="83" t="s">
        <v>103</v>
      </c>
      <c r="X1455" s="83">
        <v>0</v>
      </c>
    </row>
    <row r="1456" spans="1:25" x14ac:dyDescent="0.2">
      <c r="A1456" s="83">
        <v>1</v>
      </c>
      <c r="B1456" s="84">
        <v>5701603307495</v>
      </c>
      <c r="C1456" s="83">
        <v>60</v>
      </c>
      <c r="D1456" s="84">
        <v>1010286</v>
      </c>
      <c r="F1456" s="83" t="s">
        <v>103</v>
      </c>
      <c r="G1456" s="83">
        <v>0</v>
      </c>
      <c r="H1456" s="83">
        <v>100</v>
      </c>
      <c r="K1456" s="83">
        <v>8</v>
      </c>
      <c r="L1456" s="83" t="s">
        <v>101</v>
      </c>
      <c r="M1456" s="83" t="s">
        <v>410</v>
      </c>
      <c r="N1456" s="83" t="s">
        <v>102</v>
      </c>
      <c r="P1456" s="83">
        <v>0</v>
      </c>
      <c r="U1456" s="83">
        <v>4</v>
      </c>
      <c r="V1456" s="83">
        <v>1</v>
      </c>
      <c r="W1456" s="83" t="s">
        <v>103</v>
      </c>
      <c r="X1456" s="83">
        <v>0</v>
      </c>
    </row>
    <row r="1457" spans="1:25" x14ac:dyDescent="0.2">
      <c r="A1457" s="83">
        <v>1</v>
      </c>
      <c r="B1457" s="84">
        <v>5701603307495</v>
      </c>
      <c r="C1457" s="83">
        <v>70</v>
      </c>
      <c r="D1457" s="84">
        <v>1010287</v>
      </c>
      <c r="F1457" s="83" t="s">
        <v>103</v>
      </c>
      <c r="G1457" s="83">
        <v>0</v>
      </c>
      <c r="H1457" s="83">
        <v>100</v>
      </c>
      <c r="K1457" s="83">
        <v>4</v>
      </c>
      <c r="L1457" s="83" t="s">
        <v>101</v>
      </c>
      <c r="M1457" s="83" t="s">
        <v>410</v>
      </c>
      <c r="N1457" s="83" t="s">
        <v>102</v>
      </c>
      <c r="P1457" s="83">
        <v>0</v>
      </c>
      <c r="U1457" s="83">
        <v>4</v>
      </c>
      <c r="V1457" s="83">
        <v>1</v>
      </c>
      <c r="W1457" s="83" t="s">
        <v>103</v>
      </c>
      <c r="X1457" s="83">
        <v>0</v>
      </c>
    </row>
    <row r="1458" spans="1:25" x14ac:dyDescent="0.2">
      <c r="A1458" s="83">
        <v>1</v>
      </c>
      <c r="B1458" s="84">
        <v>5701603307495</v>
      </c>
      <c r="C1458" s="83">
        <v>80</v>
      </c>
      <c r="D1458" s="84">
        <v>1020145</v>
      </c>
      <c r="F1458" s="83" t="s">
        <v>103</v>
      </c>
      <c r="G1458" s="83">
        <v>0</v>
      </c>
      <c r="H1458" s="83">
        <v>100</v>
      </c>
      <c r="K1458" s="83" t="s">
        <v>408</v>
      </c>
      <c r="L1458" s="83" t="s">
        <v>101</v>
      </c>
      <c r="M1458" s="83" t="s">
        <v>410</v>
      </c>
      <c r="N1458" s="83" t="s">
        <v>102</v>
      </c>
      <c r="P1458" s="83">
        <v>0</v>
      </c>
      <c r="U1458" s="83">
        <v>4</v>
      </c>
      <c r="V1458" s="83">
        <v>1</v>
      </c>
      <c r="W1458" s="83" t="s">
        <v>103</v>
      </c>
      <c r="X1458" s="83">
        <v>0</v>
      </c>
    </row>
    <row r="1459" spans="1:25" x14ac:dyDescent="0.2">
      <c r="A1459" s="83">
        <v>1</v>
      </c>
      <c r="B1459" s="84">
        <v>5701603307495</v>
      </c>
      <c r="C1459" s="83">
        <v>90</v>
      </c>
      <c r="D1459" s="84">
        <v>777500495</v>
      </c>
      <c r="F1459" s="83" t="s">
        <v>103</v>
      </c>
      <c r="G1459" s="83">
        <v>0</v>
      </c>
      <c r="H1459" s="83">
        <v>100</v>
      </c>
      <c r="K1459" s="83">
        <v>1</v>
      </c>
      <c r="L1459" s="83" t="s">
        <v>101</v>
      </c>
      <c r="M1459" s="83" t="s">
        <v>410</v>
      </c>
      <c r="N1459" s="83" t="s">
        <v>102</v>
      </c>
      <c r="P1459" s="83">
        <v>0</v>
      </c>
      <c r="U1459" s="83">
        <v>4</v>
      </c>
      <c r="V1459" s="83">
        <v>1</v>
      </c>
      <c r="W1459" s="83" t="s">
        <v>103</v>
      </c>
      <c r="X1459" s="83">
        <v>0</v>
      </c>
    </row>
    <row r="1460" spans="1:25" x14ac:dyDescent="0.2">
      <c r="A1460" s="83">
        <v>1</v>
      </c>
      <c r="B1460" s="84">
        <v>5701603308495</v>
      </c>
      <c r="C1460" s="83">
        <v>10</v>
      </c>
      <c r="D1460" s="84">
        <v>5980463308</v>
      </c>
      <c r="F1460" s="83" t="s">
        <v>103</v>
      </c>
      <c r="G1460" s="83">
        <v>0</v>
      </c>
      <c r="H1460" s="83">
        <v>100</v>
      </c>
      <c r="K1460" s="83">
        <v>1</v>
      </c>
      <c r="L1460" s="83" t="s">
        <v>101</v>
      </c>
      <c r="M1460" s="83" t="s">
        <v>410</v>
      </c>
      <c r="N1460" s="83" t="s">
        <v>102</v>
      </c>
      <c r="P1460" s="83">
        <v>0</v>
      </c>
      <c r="U1460" s="83">
        <v>4</v>
      </c>
      <c r="V1460" s="83">
        <v>1</v>
      </c>
      <c r="W1460" s="83" t="s">
        <v>103</v>
      </c>
      <c r="X1460" s="83">
        <v>0</v>
      </c>
      <c r="Y1460" s="83" t="str">
        <f>LEFT(D1460,6)</f>
        <v>598046</v>
      </c>
    </row>
    <row r="1461" spans="1:25" x14ac:dyDescent="0.2">
      <c r="A1461" s="83">
        <v>1</v>
      </c>
      <c r="B1461" s="84">
        <v>5701603308495</v>
      </c>
      <c r="C1461" s="83">
        <v>20</v>
      </c>
      <c r="D1461" s="84">
        <v>5980543308</v>
      </c>
      <c r="F1461" s="83" t="s">
        <v>103</v>
      </c>
      <c r="G1461" s="83">
        <v>0</v>
      </c>
      <c r="H1461" s="83">
        <v>100</v>
      </c>
      <c r="K1461" s="83">
        <v>1</v>
      </c>
      <c r="L1461" s="83" t="s">
        <v>101</v>
      </c>
      <c r="M1461" s="83" t="s">
        <v>410</v>
      </c>
      <c r="N1461" s="83" t="s">
        <v>102</v>
      </c>
      <c r="P1461" s="83">
        <v>0</v>
      </c>
      <c r="U1461" s="83">
        <v>4</v>
      </c>
      <c r="V1461" s="83">
        <v>1</v>
      </c>
      <c r="W1461" s="83" t="s">
        <v>103</v>
      </c>
      <c r="X1461" s="83">
        <v>0</v>
      </c>
    </row>
    <row r="1462" spans="1:25" x14ac:dyDescent="0.2">
      <c r="A1462" s="83">
        <v>1</v>
      </c>
      <c r="B1462" s="84">
        <v>5701603308495</v>
      </c>
      <c r="C1462" s="83">
        <v>30</v>
      </c>
      <c r="D1462" s="84">
        <v>5980623308</v>
      </c>
      <c r="F1462" s="83" t="s">
        <v>103</v>
      </c>
      <c r="G1462" s="83">
        <v>0</v>
      </c>
      <c r="H1462" s="83">
        <v>100</v>
      </c>
      <c r="K1462" s="83">
        <v>1</v>
      </c>
      <c r="L1462" s="83" t="s">
        <v>101</v>
      </c>
      <c r="M1462" s="83" t="s">
        <v>410</v>
      </c>
      <c r="N1462" s="83" t="s">
        <v>102</v>
      </c>
      <c r="P1462" s="83">
        <v>0</v>
      </c>
      <c r="U1462" s="83">
        <v>4</v>
      </c>
      <c r="V1462" s="83">
        <v>1</v>
      </c>
      <c r="W1462" s="83" t="s">
        <v>103</v>
      </c>
      <c r="X1462" s="83">
        <v>0</v>
      </c>
    </row>
    <row r="1463" spans="1:25" x14ac:dyDescent="0.2">
      <c r="A1463" s="83">
        <v>1</v>
      </c>
      <c r="B1463" s="84">
        <v>5701603308495</v>
      </c>
      <c r="C1463" s="83">
        <v>40</v>
      </c>
      <c r="D1463" s="84">
        <v>5980823308</v>
      </c>
      <c r="F1463" s="83" t="s">
        <v>103</v>
      </c>
      <c r="G1463" s="83">
        <v>0</v>
      </c>
      <c r="H1463" s="83">
        <v>100</v>
      </c>
      <c r="K1463" s="83">
        <v>1</v>
      </c>
      <c r="L1463" s="83" t="s">
        <v>101</v>
      </c>
      <c r="M1463" s="83" t="s">
        <v>410</v>
      </c>
      <c r="N1463" s="83" t="s">
        <v>102</v>
      </c>
      <c r="P1463" s="83">
        <v>0</v>
      </c>
      <c r="U1463" s="83">
        <v>4</v>
      </c>
      <c r="V1463" s="83">
        <v>1</v>
      </c>
      <c r="W1463" s="83" t="s">
        <v>103</v>
      </c>
      <c r="X1463" s="83">
        <v>0</v>
      </c>
    </row>
    <row r="1464" spans="1:25" x14ac:dyDescent="0.2">
      <c r="A1464" s="83">
        <v>1</v>
      </c>
      <c r="B1464" s="84">
        <v>5701603308495</v>
      </c>
      <c r="C1464" s="83">
        <v>50</v>
      </c>
      <c r="D1464" s="85">
        <v>5980933308</v>
      </c>
      <c r="F1464" s="83" t="s">
        <v>103</v>
      </c>
      <c r="G1464" s="83">
        <v>0</v>
      </c>
      <c r="H1464" s="83">
        <v>100</v>
      </c>
      <c r="K1464" s="83">
        <v>1</v>
      </c>
      <c r="L1464" s="83" t="s">
        <v>101</v>
      </c>
      <c r="M1464" s="83" t="s">
        <v>410</v>
      </c>
      <c r="N1464" s="83" t="s">
        <v>102</v>
      </c>
      <c r="P1464" s="83">
        <v>0</v>
      </c>
      <c r="U1464" s="83">
        <v>4</v>
      </c>
      <c r="V1464" s="83">
        <v>1</v>
      </c>
      <c r="W1464" s="83" t="s">
        <v>103</v>
      </c>
      <c r="X1464" s="83">
        <v>0</v>
      </c>
    </row>
    <row r="1465" spans="1:25" x14ac:dyDescent="0.2">
      <c r="A1465" s="83">
        <v>1</v>
      </c>
      <c r="B1465" s="84">
        <v>5701603308495</v>
      </c>
      <c r="C1465" s="83">
        <v>60</v>
      </c>
      <c r="D1465" s="84">
        <v>1010286</v>
      </c>
      <c r="F1465" s="83" t="s">
        <v>103</v>
      </c>
      <c r="G1465" s="83">
        <v>0</v>
      </c>
      <c r="H1465" s="83">
        <v>100</v>
      </c>
      <c r="K1465" s="83">
        <v>8</v>
      </c>
      <c r="L1465" s="83" t="s">
        <v>101</v>
      </c>
      <c r="M1465" s="83" t="s">
        <v>410</v>
      </c>
      <c r="N1465" s="83" t="s">
        <v>102</v>
      </c>
      <c r="P1465" s="83">
        <v>0</v>
      </c>
      <c r="U1465" s="83">
        <v>4</v>
      </c>
      <c r="V1465" s="83">
        <v>1</v>
      </c>
      <c r="W1465" s="83" t="s">
        <v>103</v>
      </c>
      <c r="X1465" s="83">
        <v>0</v>
      </c>
    </row>
    <row r="1466" spans="1:25" x14ac:dyDescent="0.2">
      <c r="A1466" s="83">
        <v>1</v>
      </c>
      <c r="B1466" s="84">
        <v>5701603308495</v>
      </c>
      <c r="C1466" s="83">
        <v>70</v>
      </c>
      <c r="D1466" s="84">
        <v>1010288</v>
      </c>
      <c r="F1466" s="83" t="s">
        <v>103</v>
      </c>
      <c r="G1466" s="83">
        <v>0</v>
      </c>
      <c r="H1466" s="83">
        <v>100</v>
      </c>
      <c r="K1466" s="83">
        <v>4</v>
      </c>
      <c r="L1466" s="83" t="s">
        <v>101</v>
      </c>
      <c r="M1466" s="83" t="s">
        <v>410</v>
      </c>
      <c r="N1466" s="83" t="s">
        <v>102</v>
      </c>
      <c r="P1466" s="83">
        <v>0</v>
      </c>
      <c r="U1466" s="83">
        <v>4</v>
      </c>
      <c r="V1466" s="83">
        <v>1</v>
      </c>
      <c r="W1466" s="83" t="s">
        <v>103</v>
      </c>
      <c r="X1466" s="83">
        <v>0</v>
      </c>
    </row>
    <row r="1467" spans="1:25" x14ac:dyDescent="0.2">
      <c r="A1467" s="83">
        <v>1</v>
      </c>
      <c r="B1467" s="84">
        <v>5701603308495</v>
      </c>
      <c r="C1467" s="83">
        <v>80</v>
      </c>
      <c r="D1467" s="84">
        <v>1020145</v>
      </c>
      <c r="F1467" s="83" t="s">
        <v>103</v>
      </c>
      <c r="G1467" s="83">
        <v>0</v>
      </c>
      <c r="H1467" s="83">
        <v>100</v>
      </c>
      <c r="K1467" s="83" t="s">
        <v>408</v>
      </c>
      <c r="L1467" s="83" t="s">
        <v>101</v>
      </c>
      <c r="M1467" s="83" t="s">
        <v>410</v>
      </c>
      <c r="N1467" s="83" t="s">
        <v>102</v>
      </c>
      <c r="P1467" s="83">
        <v>0</v>
      </c>
      <c r="U1467" s="83">
        <v>4</v>
      </c>
      <c r="V1467" s="83">
        <v>1</v>
      </c>
      <c r="W1467" s="83" t="s">
        <v>103</v>
      </c>
      <c r="X1467" s="83">
        <v>0</v>
      </c>
    </row>
    <row r="1468" spans="1:25" x14ac:dyDescent="0.2">
      <c r="A1468" s="83">
        <v>1</v>
      </c>
      <c r="B1468" s="84">
        <v>5701603308495</v>
      </c>
      <c r="C1468" s="83">
        <v>90</v>
      </c>
      <c r="D1468" s="84">
        <v>777500495</v>
      </c>
      <c r="F1468" s="83" t="s">
        <v>103</v>
      </c>
      <c r="G1468" s="83">
        <v>0</v>
      </c>
      <c r="H1468" s="83">
        <v>100</v>
      </c>
      <c r="K1468" s="83">
        <v>1</v>
      </c>
      <c r="L1468" s="83" t="s">
        <v>101</v>
      </c>
      <c r="M1468" s="83" t="s">
        <v>410</v>
      </c>
      <c r="N1468" s="83" t="s">
        <v>102</v>
      </c>
      <c r="P1468" s="83">
        <v>0</v>
      </c>
      <c r="U1468" s="83">
        <v>4</v>
      </c>
      <c r="V1468" s="83">
        <v>1</v>
      </c>
      <c r="W1468" s="83" t="s">
        <v>103</v>
      </c>
      <c r="X1468" s="83">
        <v>0</v>
      </c>
    </row>
    <row r="1469" spans="1:25" x14ac:dyDescent="0.2">
      <c r="A1469" s="83">
        <v>1</v>
      </c>
      <c r="B1469" s="84">
        <v>5701603309495</v>
      </c>
      <c r="C1469" s="83">
        <v>10</v>
      </c>
      <c r="D1469" s="84">
        <v>5980463309</v>
      </c>
      <c r="F1469" s="83" t="s">
        <v>103</v>
      </c>
      <c r="G1469" s="83">
        <v>0</v>
      </c>
      <c r="H1469" s="83">
        <v>100</v>
      </c>
      <c r="K1469" s="83">
        <v>1</v>
      </c>
      <c r="L1469" s="83" t="s">
        <v>101</v>
      </c>
      <c r="M1469" s="83" t="s">
        <v>410</v>
      </c>
      <c r="N1469" s="83" t="s">
        <v>102</v>
      </c>
      <c r="P1469" s="83">
        <v>0</v>
      </c>
      <c r="U1469" s="83">
        <v>4</v>
      </c>
      <c r="V1469" s="83">
        <v>1</v>
      </c>
      <c r="W1469" s="83" t="s">
        <v>103</v>
      </c>
      <c r="X1469" s="83">
        <v>0</v>
      </c>
      <c r="Y1469" s="83" t="str">
        <f>LEFT(D1469,6)</f>
        <v>598046</v>
      </c>
    </row>
    <row r="1470" spans="1:25" x14ac:dyDescent="0.2">
      <c r="A1470" s="83">
        <v>1</v>
      </c>
      <c r="B1470" s="84">
        <v>5701603309495</v>
      </c>
      <c r="C1470" s="83">
        <v>20</v>
      </c>
      <c r="D1470" s="84">
        <v>5980543309</v>
      </c>
      <c r="F1470" s="83" t="s">
        <v>103</v>
      </c>
      <c r="G1470" s="83">
        <v>0</v>
      </c>
      <c r="H1470" s="83">
        <v>100</v>
      </c>
      <c r="K1470" s="83">
        <v>1</v>
      </c>
      <c r="L1470" s="83" t="s">
        <v>101</v>
      </c>
      <c r="M1470" s="83" t="s">
        <v>410</v>
      </c>
      <c r="N1470" s="83" t="s">
        <v>102</v>
      </c>
      <c r="P1470" s="83">
        <v>0</v>
      </c>
      <c r="U1470" s="83">
        <v>4</v>
      </c>
      <c r="V1470" s="83">
        <v>1</v>
      </c>
      <c r="W1470" s="83" t="s">
        <v>103</v>
      </c>
      <c r="X1470" s="83">
        <v>0</v>
      </c>
    </row>
    <row r="1471" spans="1:25" x14ac:dyDescent="0.2">
      <c r="A1471" s="83">
        <v>1</v>
      </c>
      <c r="B1471" s="84">
        <v>5701603309495</v>
      </c>
      <c r="C1471" s="83">
        <v>30</v>
      </c>
      <c r="D1471" s="84">
        <v>5980623309</v>
      </c>
      <c r="F1471" s="83" t="s">
        <v>103</v>
      </c>
      <c r="G1471" s="83">
        <v>0</v>
      </c>
      <c r="H1471" s="83">
        <v>100</v>
      </c>
      <c r="K1471" s="83">
        <v>1</v>
      </c>
      <c r="L1471" s="83" t="s">
        <v>101</v>
      </c>
      <c r="M1471" s="83" t="s">
        <v>410</v>
      </c>
      <c r="N1471" s="83" t="s">
        <v>102</v>
      </c>
      <c r="P1471" s="83">
        <v>0</v>
      </c>
      <c r="U1471" s="83">
        <v>4</v>
      </c>
      <c r="V1471" s="83">
        <v>1</v>
      </c>
      <c r="W1471" s="83" t="s">
        <v>103</v>
      </c>
      <c r="X1471" s="83">
        <v>0</v>
      </c>
    </row>
    <row r="1472" spans="1:25" x14ac:dyDescent="0.2">
      <c r="A1472" s="83">
        <v>1</v>
      </c>
      <c r="B1472" s="84">
        <v>5701603309495</v>
      </c>
      <c r="C1472" s="83">
        <v>40</v>
      </c>
      <c r="D1472" s="84">
        <v>5980823309</v>
      </c>
      <c r="F1472" s="83" t="s">
        <v>103</v>
      </c>
      <c r="G1472" s="83">
        <v>0</v>
      </c>
      <c r="H1472" s="83">
        <v>100</v>
      </c>
      <c r="K1472" s="83">
        <v>1</v>
      </c>
      <c r="L1472" s="83" t="s">
        <v>101</v>
      </c>
      <c r="M1472" s="83" t="s">
        <v>410</v>
      </c>
      <c r="N1472" s="83" t="s">
        <v>102</v>
      </c>
      <c r="P1472" s="83">
        <v>0</v>
      </c>
      <c r="U1472" s="83">
        <v>4</v>
      </c>
      <c r="V1472" s="83">
        <v>1</v>
      </c>
      <c r="W1472" s="83" t="s">
        <v>103</v>
      </c>
      <c r="X1472" s="83">
        <v>0</v>
      </c>
    </row>
    <row r="1473" spans="1:25" x14ac:dyDescent="0.2">
      <c r="A1473" s="83">
        <v>1</v>
      </c>
      <c r="B1473" s="84">
        <v>5701603309495</v>
      </c>
      <c r="C1473" s="83">
        <v>50</v>
      </c>
      <c r="D1473" s="84">
        <v>5980933309</v>
      </c>
      <c r="F1473" s="83" t="s">
        <v>103</v>
      </c>
      <c r="G1473" s="83">
        <v>0</v>
      </c>
      <c r="H1473" s="83">
        <v>100</v>
      </c>
      <c r="K1473" s="83">
        <v>1</v>
      </c>
      <c r="L1473" s="83" t="s">
        <v>101</v>
      </c>
      <c r="M1473" s="83" t="s">
        <v>410</v>
      </c>
      <c r="N1473" s="83" t="s">
        <v>102</v>
      </c>
      <c r="P1473" s="83">
        <v>0</v>
      </c>
      <c r="U1473" s="83">
        <v>4</v>
      </c>
      <c r="V1473" s="83">
        <v>1</v>
      </c>
      <c r="W1473" s="83" t="s">
        <v>103</v>
      </c>
      <c r="X1473" s="83">
        <v>0</v>
      </c>
    </row>
    <row r="1474" spans="1:25" x14ac:dyDescent="0.2">
      <c r="A1474" s="83">
        <v>1</v>
      </c>
      <c r="B1474" s="84">
        <v>5701603309495</v>
      </c>
      <c r="C1474" s="83">
        <v>60</v>
      </c>
      <c r="D1474" s="84">
        <v>1010286</v>
      </c>
      <c r="F1474" s="83" t="s">
        <v>103</v>
      </c>
      <c r="G1474" s="83">
        <v>0</v>
      </c>
      <c r="H1474" s="83">
        <v>100</v>
      </c>
      <c r="K1474" s="83">
        <v>8</v>
      </c>
      <c r="L1474" s="83" t="s">
        <v>101</v>
      </c>
      <c r="M1474" s="83" t="s">
        <v>410</v>
      </c>
      <c r="N1474" s="83" t="s">
        <v>102</v>
      </c>
      <c r="P1474" s="83">
        <v>0</v>
      </c>
      <c r="U1474" s="83">
        <v>4</v>
      </c>
      <c r="V1474" s="83">
        <v>1</v>
      </c>
      <c r="W1474" s="83" t="s">
        <v>103</v>
      </c>
      <c r="X1474" s="83">
        <v>0</v>
      </c>
    </row>
    <row r="1475" spans="1:25" x14ac:dyDescent="0.2">
      <c r="A1475" s="83">
        <v>1</v>
      </c>
      <c r="B1475" s="84">
        <v>5701603309495</v>
      </c>
      <c r="C1475" s="83">
        <v>70</v>
      </c>
      <c r="D1475" s="84">
        <v>1010287</v>
      </c>
      <c r="F1475" s="83" t="s">
        <v>103</v>
      </c>
      <c r="G1475" s="83">
        <v>0</v>
      </c>
      <c r="H1475" s="83">
        <v>100</v>
      </c>
      <c r="K1475" s="83">
        <v>4</v>
      </c>
      <c r="L1475" s="83" t="s">
        <v>101</v>
      </c>
      <c r="M1475" s="83" t="s">
        <v>410</v>
      </c>
      <c r="N1475" s="83" t="s">
        <v>102</v>
      </c>
      <c r="P1475" s="83">
        <v>0</v>
      </c>
      <c r="U1475" s="83">
        <v>4</v>
      </c>
      <c r="V1475" s="83">
        <v>1</v>
      </c>
      <c r="W1475" s="83" t="s">
        <v>103</v>
      </c>
      <c r="X1475" s="83">
        <v>0</v>
      </c>
    </row>
    <row r="1476" spans="1:25" x14ac:dyDescent="0.2">
      <c r="A1476" s="83">
        <v>1</v>
      </c>
      <c r="B1476" s="84">
        <v>5701603309495</v>
      </c>
      <c r="C1476" s="83">
        <v>80</v>
      </c>
      <c r="D1476" s="84">
        <v>1020145</v>
      </c>
      <c r="F1476" s="83" t="s">
        <v>103</v>
      </c>
      <c r="G1476" s="83">
        <v>0</v>
      </c>
      <c r="H1476" s="83">
        <v>100</v>
      </c>
      <c r="K1476" s="83" t="s">
        <v>408</v>
      </c>
      <c r="L1476" s="83" t="s">
        <v>101</v>
      </c>
      <c r="M1476" s="83" t="s">
        <v>410</v>
      </c>
      <c r="N1476" s="83" t="s">
        <v>102</v>
      </c>
      <c r="P1476" s="83">
        <v>0</v>
      </c>
      <c r="U1476" s="83">
        <v>4</v>
      </c>
      <c r="V1476" s="83">
        <v>1</v>
      </c>
      <c r="W1476" s="83" t="s">
        <v>103</v>
      </c>
      <c r="X1476" s="83">
        <v>0</v>
      </c>
    </row>
    <row r="1477" spans="1:25" x14ac:dyDescent="0.2">
      <c r="A1477" s="83">
        <v>1</v>
      </c>
      <c r="B1477" s="84">
        <v>5701603309495</v>
      </c>
      <c r="C1477" s="83">
        <v>90</v>
      </c>
      <c r="D1477" s="84">
        <v>777500495</v>
      </c>
      <c r="F1477" s="83" t="s">
        <v>103</v>
      </c>
      <c r="G1477" s="83">
        <v>0</v>
      </c>
      <c r="H1477" s="83">
        <v>100</v>
      </c>
      <c r="K1477" s="83">
        <v>1</v>
      </c>
      <c r="L1477" s="83" t="s">
        <v>101</v>
      </c>
      <c r="M1477" s="83" t="s">
        <v>410</v>
      </c>
      <c r="N1477" s="83" t="s">
        <v>102</v>
      </c>
      <c r="P1477" s="83">
        <v>0</v>
      </c>
      <c r="U1477" s="83">
        <v>4</v>
      </c>
      <c r="V1477" s="83">
        <v>1</v>
      </c>
      <c r="W1477" s="83" t="s">
        <v>103</v>
      </c>
      <c r="X1477" s="83">
        <v>0</v>
      </c>
    </row>
    <row r="1478" spans="1:25" x14ac:dyDescent="0.2">
      <c r="A1478" s="83">
        <v>1</v>
      </c>
      <c r="B1478" s="84">
        <v>5701603310495</v>
      </c>
      <c r="C1478" s="83">
        <v>10</v>
      </c>
      <c r="D1478" s="84">
        <v>5980463310</v>
      </c>
      <c r="F1478" s="83" t="s">
        <v>103</v>
      </c>
      <c r="G1478" s="83">
        <v>0</v>
      </c>
      <c r="H1478" s="83">
        <v>100</v>
      </c>
      <c r="K1478" s="83">
        <v>1</v>
      </c>
      <c r="L1478" s="83" t="s">
        <v>101</v>
      </c>
      <c r="M1478" s="83" t="s">
        <v>410</v>
      </c>
      <c r="N1478" s="83" t="s">
        <v>102</v>
      </c>
      <c r="P1478" s="83">
        <v>0</v>
      </c>
      <c r="U1478" s="83">
        <v>4</v>
      </c>
      <c r="V1478" s="83">
        <v>1</v>
      </c>
      <c r="W1478" s="83" t="s">
        <v>103</v>
      </c>
      <c r="X1478" s="83">
        <v>0</v>
      </c>
      <c r="Y1478" s="83" t="str">
        <f>LEFT(D1478,6)</f>
        <v>598046</v>
      </c>
    </row>
    <row r="1479" spans="1:25" x14ac:dyDescent="0.2">
      <c r="A1479" s="83">
        <v>1</v>
      </c>
      <c r="B1479" s="84">
        <v>5701603310495</v>
      </c>
      <c r="C1479" s="83">
        <v>20</v>
      </c>
      <c r="D1479" s="84">
        <v>5980543310</v>
      </c>
      <c r="F1479" s="83" t="s">
        <v>103</v>
      </c>
      <c r="G1479" s="83">
        <v>0</v>
      </c>
      <c r="H1479" s="83">
        <v>100</v>
      </c>
      <c r="K1479" s="83">
        <v>1</v>
      </c>
      <c r="L1479" s="83" t="s">
        <v>101</v>
      </c>
      <c r="M1479" s="83" t="s">
        <v>410</v>
      </c>
      <c r="N1479" s="83" t="s">
        <v>102</v>
      </c>
      <c r="P1479" s="83">
        <v>0</v>
      </c>
      <c r="U1479" s="83">
        <v>4</v>
      </c>
      <c r="V1479" s="83">
        <v>1</v>
      </c>
      <c r="W1479" s="83" t="s">
        <v>103</v>
      </c>
      <c r="X1479" s="83">
        <v>0</v>
      </c>
    </row>
    <row r="1480" spans="1:25" x14ac:dyDescent="0.2">
      <c r="A1480" s="83">
        <v>1</v>
      </c>
      <c r="B1480" s="84">
        <v>5701603310495</v>
      </c>
      <c r="C1480" s="83">
        <v>30</v>
      </c>
      <c r="D1480" s="84">
        <v>5980623310</v>
      </c>
      <c r="F1480" s="83" t="s">
        <v>103</v>
      </c>
      <c r="G1480" s="83">
        <v>0</v>
      </c>
      <c r="H1480" s="83">
        <v>100</v>
      </c>
      <c r="K1480" s="83">
        <v>1</v>
      </c>
      <c r="L1480" s="83" t="s">
        <v>101</v>
      </c>
      <c r="M1480" s="83" t="s">
        <v>410</v>
      </c>
      <c r="N1480" s="83" t="s">
        <v>102</v>
      </c>
      <c r="P1480" s="83">
        <v>0</v>
      </c>
      <c r="U1480" s="83">
        <v>4</v>
      </c>
      <c r="V1480" s="83">
        <v>1</v>
      </c>
      <c r="W1480" s="83" t="s">
        <v>103</v>
      </c>
      <c r="X1480" s="83">
        <v>0</v>
      </c>
    </row>
    <row r="1481" spans="1:25" x14ac:dyDescent="0.2">
      <c r="A1481" s="83">
        <v>1</v>
      </c>
      <c r="B1481" s="84">
        <v>5701603310495</v>
      </c>
      <c r="C1481" s="83">
        <v>40</v>
      </c>
      <c r="D1481" s="84">
        <v>5980823310</v>
      </c>
      <c r="F1481" s="83" t="s">
        <v>103</v>
      </c>
      <c r="G1481" s="83">
        <v>0</v>
      </c>
      <c r="H1481" s="83">
        <v>100</v>
      </c>
      <c r="K1481" s="83">
        <v>1</v>
      </c>
      <c r="L1481" s="83" t="s">
        <v>101</v>
      </c>
      <c r="M1481" s="83" t="s">
        <v>410</v>
      </c>
      <c r="N1481" s="83" t="s">
        <v>102</v>
      </c>
      <c r="P1481" s="83">
        <v>0</v>
      </c>
      <c r="U1481" s="83">
        <v>4</v>
      </c>
      <c r="V1481" s="83">
        <v>1</v>
      </c>
      <c r="W1481" s="83" t="s">
        <v>103</v>
      </c>
      <c r="X1481" s="83">
        <v>0</v>
      </c>
    </row>
    <row r="1482" spans="1:25" x14ac:dyDescent="0.2">
      <c r="A1482" s="83">
        <v>1</v>
      </c>
      <c r="B1482" s="84">
        <v>5701603310495</v>
      </c>
      <c r="C1482" s="83">
        <v>50</v>
      </c>
      <c r="D1482" s="84">
        <v>5980933310</v>
      </c>
      <c r="F1482" s="83" t="s">
        <v>103</v>
      </c>
      <c r="G1482" s="83">
        <v>0</v>
      </c>
      <c r="H1482" s="83">
        <v>100</v>
      </c>
      <c r="K1482" s="83">
        <v>1</v>
      </c>
      <c r="L1482" s="83" t="s">
        <v>101</v>
      </c>
      <c r="M1482" s="83" t="s">
        <v>410</v>
      </c>
      <c r="N1482" s="83" t="s">
        <v>102</v>
      </c>
      <c r="P1482" s="83">
        <v>0</v>
      </c>
      <c r="U1482" s="83">
        <v>4</v>
      </c>
      <c r="V1482" s="83">
        <v>1</v>
      </c>
      <c r="W1482" s="83" t="s">
        <v>103</v>
      </c>
      <c r="X1482" s="83">
        <v>0</v>
      </c>
    </row>
    <row r="1483" spans="1:25" x14ac:dyDescent="0.2">
      <c r="A1483" s="83">
        <v>1</v>
      </c>
      <c r="B1483" s="84">
        <v>5701603310495</v>
      </c>
      <c r="C1483" s="83">
        <v>60</v>
      </c>
      <c r="D1483" s="84">
        <v>1010286</v>
      </c>
      <c r="F1483" s="83" t="s">
        <v>103</v>
      </c>
      <c r="G1483" s="83">
        <v>0</v>
      </c>
      <c r="H1483" s="83">
        <v>100</v>
      </c>
      <c r="K1483" s="83">
        <v>8</v>
      </c>
      <c r="L1483" s="83" t="s">
        <v>101</v>
      </c>
      <c r="M1483" s="83" t="s">
        <v>410</v>
      </c>
      <c r="N1483" s="83" t="s">
        <v>102</v>
      </c>
      <c r="P1483" s="83">
        <v>0</v>
      </c>
      <c r="U1483" s="83">
        <v>4</v>
      </c>
      <c r="V1483" s="83">
        <v>1</v>
      </c>
      <c r="W1483" s="83" t="s">
        <v>103</v>
      </c>
      <c r="X1483" s="83">
        <v>0</v>
      </c>
    </row>
    <row r="1484" spans="1:25" x14ac:dyDescent="0.2">
      <c r="A1484" s="83">
        <v>1</v>
      </c>
      <c r="B1484" s="84">
        <v>5701603310495</v>
      </c>
      <c r="C1484" s="83">
        <v>70</v>
      </c>
      <c r="D1484" s="84">
        <v>1010287</v>
      </c>
      <c r="F1484" s="83" t="s">
        <v>103</v>
      </c>
      <c r="G1484" s="83">
        <v>0</v>
      </c>
      <c r="H1484" s="83">
        <v>100</v>
      </c>
      <c r="K1484" s="83">
        <v>4</v>
      </c>
      <c r="L1484" s="83" t="s">
        <v>101</v>
      </c>
      <c r="M1484" s="83" t="s">
        <v>410</v>
      </c>
      <c r="N1484" s="83" t="s">
        <v>102</v>
      </c>
      <c r="P1484" s="83">
        <v>0</v>
      </c>
      <c r="U1484" s="83">
        <v>4</v>
      </c>
      <c r="V1484" s="83">
        <v>1</v>
      </c>
      <c r="W1484" s="83" t="s">
        <v>103</v>
      </c>
      <c r="X1484" s="83">
        <v>0</v>
      </c>
    </row>
    <row r="1485" spans="1:25" x14ac:dyDescent="0.2">
      <c r="A1485" s="83">
        <v>1</v>
      </c>
      <c r="B1485" s="84">
        <v>5701603310495</v>
      </c>
      <c r="C1485" s="83">
        <v>80</v>
      </c>
      <c r="D1485" s="84">
        <v>1020145</v>
      </c>
      <c r="F1485" s="83" t="s">
        <v>103</v>
      </c>
      <c r="G1485" s="83">
        <v>0</v>
      </c>
      <c r="H1485" s="83">
        <v>100</v>
      </c>
      <c r="K1485" s="83" t="s">
        <v>408</v>
      </c>
      <c r="L1485" s="83" t="s">
        <v>101</v>
      </c>
      <c r="M1485" s="83" t="s">
        <v>410</v>
      </c>
      <c r="N1485" s="83" t="s">
        <v>102</v>
      </c>
      <c r="P1485" s="83">
        <v>0</v>
      </c>
      <c r="U1485" s="83">
        <v>4</v>
      </c>
      <c r="V1485" s="83">
        <v>1</v>
      </c>
      <c r="W1485" s="83" t="s">
        <v>103</v>
      </c>
      <c r="X1485" s="83">
        <v>0</v>
      </c>
    </row>
    <row r="1486" spans="1:25" x14ac:dyDescent="0.2">
      <c r="A1486" s="83">
        <v>1</v>
      </c>
      <c r="B1486" s="84">
        <v>5701603310495</v>
      </c>
      <c r="C1486" s="83">
        <v>90</v>
      </c>
      <c r="D1486" s="84">
        <v>777500495</v>
      </c>
      <c r="F1486" s="83" t="s">
        <v>103</v>
      </c>
      <c r="G1486" s="83">
        <v>0</v>
      </c>
      <c r="H1486" s="83">
        <v>100</v>
      </c>
      <c r="K1486" s="83">
        <v>1</v>
      </c>
      <c r="L1486" s="83" t="s">
        <v>101</v>
      </c>
      <c r="M1486" s="83" t="s">
        <v>410</v>
      </c>
      <c r="N1486" s="83" t="s">
        <v>102</v>
      </c>
      <c r="P1486" s="83">
        <v>0</v>
      </c>
      <c r="U1486" s="83">
        <v>4</v>
      </c>
      <c r="V1486" s="83">
        <v>1</v>
      </c>
      <c r="W1486" s="83" t="s">
        <v>103</v>
      </c>
      <c r="X1486" s="83">
        <v>0</v>
      </c>
    </row>
    <row r="1487" spans="1:25" x14ac:dyDescent="0.2">
      <c r="A1487" s="83">
        <v>1</v>
      </c>
      <c r="B1487" s="84">
        <v>5701603300502</v>
      </c>
      <c r="C1487" s="83">
        <v>10</v>
      </c>
      <c r="D1487" s="84">
        <v>5980463399</v>
      </c>
      <c r="F1487" s="83" t="s">
        <v>103</v>
      </c>
      <c r="G1487" s="83">
        <v>0</v>
      </c>
      <c r="H1487" s="83">
        <v>100</v>
      </c>
      <c r="K1487" s="83">
        <v>1</v>
      </c>
      <c r="L1487" s="83" t="s">
        <v>101</v>
      </c>
      <c r="M1487" s="83" t="s">
        <v>410</v>
      </c>
      <c r="N1487" s="83" t="s">
        <v>102</v>
      </c>
      <c r="P1487" s="83">
        <v>0</v>
      </c>
      <c r="U1487" s="83">
        <v>4</v>
      </c>
      <c r="V1487" s="83">
        <v>1</v>
      </c>
      <c r="W1487" s="83" t="s">
        <v>103</v>
      </c>
      <c r="X1487" s="83">
        <v>0</v>
      </c>
      <c r="Y1487" s="83" t="str">
        <f>LEFT(D1487,6)</f>
        <v>598046</v>
      </c>
    </row>
    <row r="1488" spans="1:25" x14ac:dyDescent="0.2">
      <c r="A1488" s="83">
        <v>1</v>
      </c>
      <c r="B1488" s="84">
        <v>5701603300502</v>
      </c>
      <c r="C1488" s="83">
        <v>20</v>
      </c>
      <c r="D1488" s="84">
        <v>5980543399</v>
      </c>
      <c r="F1488" s="83" t="s">
        <v>103</v>
      </c>
      <c r="G1488" s="83">
        <v>0</v>
      </c>
      <c r="H1488" s="83">
        <v>100</v>
      </c>
      <c r="K1488" s="83">
        <v>1</v>
      </c>
      <c r="L1488" s="83" t="s">
        <v>101</v>
      </c>
      <c r="M1488" s="83" t="s">
        <v>410</v>
      </c>
      <c r="N1488" s="83" t="s">
        <v>102</v>
      </c>
      <c r="P1488" s="83">
        <v>0</v>
      </c>
      <c r="U1488" s="83">
        <v>4</v>
      </c>
      <c r="V1488" s="83">
        <v>1</v>
      </c>
      <c r="W1488" s="83" t="s">
        <v>103</v>
      </c>
      <c r="X1488" s="83">
        <v>0</v>
      </c>
    </row>
    <row r="1489" spans="1:25" x14ac:dyDescent="0.2">
      <c r="A1489" s="83">
        <v>1</v>
      </c>
      <c r="B1489" s="84">
        <v>5701603300502</v>
      </c>
      <c r="C1489" s="83">
        <v>30</v>
      </c>
      <c r="D1489" s="84">
        <v>5980623399</v>
      </c>
      <c r="F1489" s="83" t="s">
        <v>103</v>
      </c>
      <c r="G1489" s="83">
        <v>0</v>
      </c>
      <c r="H1489" s="83">
        <v>100</v>
      </c>
      <c r="K1489" s="83">
        <v>1</v>
      </c>
      <c r="L1489" s="83" t="s">
        <v>101</v>
      </c>
      <c r="M1489" s="83" t="s">
        <v>410</v>
      </c>
      <c r="N1489" s="83" t="s">
        <v>102</v>
      </c>
      <c r="P1489" s="83">
        <v>0</v>
      </c>
      <c r="U1489" s="83">
        <v>4</v>
      </c>
      <c r="V1489" s="83">
        <v>1</v>
      </c>
      <c r="W1489" s="83" t="s">
        <v>103</v>
      </c>
      <c r="X1489" s="83">
        <v>0</v>
      </c>
    </row>
    <row r="1490" spans="1:25" x14ac:dyDescent="0.2">
      <c r="A1490" s="83">
        <v>1</v>
      </c>
      <c r="B1490" s="84">
        <v>5701603300502</v>
      </c>
      <c r="C1490" s="83">
        <v>40</v>
      </c>
      <c r="D1490" s="84">
        <v>5980823399</v>
      </c>
      <c r="F1490" s="83" t="s">
        <v>103</v>
      </c>
      <c r="G1490" s="83">
        <v>0</v>
      </c>
      <c r="H1490" s="83">
        <v>100</v>
      </c>
      <c r="K1490" s="83">
        <v>1</v>
      </c>
      <c r="L1490" s="83" t="s">
        <v>101</v>
      </c>
      <c r="M1490" s="83" t="s">
        <v>410</v>
      </c>
      <c r="N1490" s="83" t="s">
        <v>102</v>
      </c>
      <c r="P1490" s="83">
        <v>0</v>
      </c>
      <c r="U1490" s="83">
        <v>4</v>
      </c>
      <c r="V1490" s="83">
        <v>1</v>
      </c>
      <c r="W1490" s="83" t="s">
        <v>103</v>
      </c>
      <c r="X1490" s="83">
        <v>0</v>
      </c>
    </row>
    <row r="1491" spans="1:25" x14ac:dyDescent="0.2">
      <c r="A1491" s="83">
        <v>1</v>
      </c>
      <c r="B1491" s="84">
        <v>5701603300502</v>
      </c>
      <c r="C1491" s="83">
        <v>50</v>
      </c>
      <c r="D1491" s="85">
        <v>1010277</v>
      </c>
      <c r="F1491" s="83" t="s">
        <v>103</v>
      </c>
      <c r="G1491" s="83">
        <v>0</v>
      </c>
      <c r="H1491" s="83">
        <v>100</v>
      </c>
      <c r="K1491" s="83">
        <v>1</v>
      </c>
      <c r="L1491" s="83" t="s">
        <v>101</v>
      </c>
      <c r="M1491" s="83" t="s">
        <v>410</v>
      </c>
      <c r="N1491" s="83" t="s">
        <v>102</v>
      </c>
      <c r="P1491" s="83">
        <v>0</v>
      </c>
      <c r="U1491" s="83">
        <v>4</v>
      </c>
      <c r="V1491" s="83">
        <v>1</v>
      </c>
      <c r="W1491" s="83" t="s">
        <v>103</v>
      </c>
      <c r="X1491" s="83">
        <v>0</v>
      </c>
    </row>
    <row r="1492" spans="1:25" x14ac:dyDescent="0.2">
      <c r="A1492" s="83">
        <v>1</v>
      </c>
      <c r="B1492" s="84">
        <v>5701603300502</v>
      </c>
      <c r="C1492" s="83">
        <v>60</v>
      </c>
      <c r="D1492" s="84">
        <v>1010286</v>
      </c>
      <c r="F1492" s="83" t="s">
        <v>103</v>
      </c>
      <c r="G1492" s="83">
        <v>0</v>
      </c>
      <c r="H1492" s="83">
        <v>100</v>
      </c>
      <c r="K1492" s="83">
        <v>8</v>
      </c>
      <c r="L1492" s="83" t="s">
        <v>101</v>
      </c>
      <c r="M1492" s="83" t="s">
        <v>410</v>
      </c>
      <c r="N1492" s="83" t="s">
        <v>102</v>
      </c>
      <c r="P1492" s="83">
        <v>0</v>
      </c>
      <c r="U1492" s="83">
        <v>4</v>
      </c>
      <c r="V1492" s="83">
        <v>1</v>
      </c>
      <c r="W1492" s="83" t="s">
        <v>103</v>
      </c>
      <c r="X1492" s="83">
        <v>0</v>
      </c>
    </row>
    <row r="1493" spans="1:25" x14ac:dyDescent="0.2">
      <c r="A1493" s="83">
        <v>1</v>
      </c>
      <c r="B1493" s="84">
        <v>5701603300502</v>
      </c>
      <c r="C1493" s="83">
        <v>70</v>
      </c>
      <c r="D1493" s="84">
        <v>1010287</v>
      </c>
      <c r="F1493" s="83" t="s">
        <v>103</v>
      </c>
      <c r="G1493" s="83">
        <v>0</v>
      </c>
      <c r="H1493" s="83">
        <v>100</v>
      </c>
      <c r="K1493" s="83">
        <v>4</v>
      </c>
      <c r="L1493" s="83" t="s">
        <v>101</v>
      </c>
      <c r="M1493" s="83" t="s">
        <v>410</v>
      </c>
      <c r="N1493" s="83" t="s">
        <v>102</v>
      </c>
      <c r="P1493" s="83">
        <v>0</v>
      </c>
      <c r="U1493" s="83">
        <v>4</v>
      </c>
      <c r="V1493" s="83">
        <v>1</v>
      </c>
      <c r="W1493" s="83" t="s">
        <v>103</v>
      </c>
      <c r="X1493" s="83">
        <v>0</v>
      </c>
    </row>
    <row r="1494" spans="1:25" x14ac:dyDescent="0.2">
      <c r="A1494" s="83">
        <v>1</v>
      </c>
      <c r="B1494" s="84">
        <v>5701603300502</v>
      </c>
      <c r="C1494" s="83">
        <v>80</v>
      </c>
      <c r="D1494" s="84">
        <v>1020145</v>
      </c>
      <c r="F1494" s="83" t="s">
        <v>103</v>
      </c>
      <c r="G1494" s="83">
        <v>0</v>
      </c>
      <c r="H1494" s="83">
        <v>100</v>
      </c>
      <c r="K1494" s="83" t="s">
        <v>408</v>
      </c>
      <c r="L1494" s="83" t="s">
        <v>101</v>
      </c>
      <c r="M1494" s="83" t="s">
        <v>410</v>
      </c>
      <c r="N1494" s="83" t="s">
        <v>102</v>
      </c>
      <c r="P1494" s="83">
        <v>0</v>
      </c>
      <c r="U1494" s="83">
        <v>4</v>
      </c>
      <c r="V1494" s="83">
        <v>1</v>
      </c>
      <c r="W1494" s="83" t="s">
        <v>103</v>
      </c>
      <c r="X1494" s="83">
        <v>0</v>
      </c>
    </row>
    <row r="1495" spans="1:25" x14ac:dyDescent="0.2">
      <c r="A1495" s="83">
        <v>1</v>
      </c>
      <c r="B1495" s="84">
        <v>5701603300502</v>
      </c>
      <c r="C1495" s="83">
        <v>90</v>
      </c>
      <c r="D1495" s="84">
        <v>777500502</v>
      </c>
      <c r="F1495" s="83" t="s">
        <v>103</v>
      </c>
      <c r="G1495" s="83">
        <v>0</v>
      </c>
      <c r="H1495" s="83">
        <v>100</v>
      </c>
      <c r="K1495" s="83">
        <v>1</v>
      </c>
      <c r="L1495" s="83" t="s">
        <v>101</v>
      </c>
      <c r="M1495" s="83" t="s">
        <v>410</v>
      </c>
      <c r="N1495" s="83" t="s">
        <v>102</v>
      </c>
      <c r="P1495" s="83">
        <v>0</v>
      </c>
      <c r="U1495" s="83">
        <v>4</v>
      </c>
      <c r="V1495" s="83">
        <v>1</v>
      </c>
      <c r="W1495" s="83" t="s">
        <v>103</v>
      </c>
      <c r="X1495" s="83">
        <v>0</v>
      </c>
    </row>
    <row r="1496" spans="1:25" x14ac:dyDescent="0.2">
      <c r="A1496" s="83">
        <v>1</v>
      </c>
      <c r="B1496" s="84">
        <v>5701603301502</v>
      </c>
      <c r="C1496" s="83">
        <v>10</v>
      </c>
      <c r="D1496" s="84">
        <v>5980463301</v>
      </c>
      <c r="F1496" s="83" t="s">
        <v>103</v>
      </c>
      <c r="G1496" s="83">
        <v>0</v>
      </c>
      <c r="H1496" s="83">
        <v>100</v>
      </c>
      <c r="K1496" s="83">
        <v>1</v>
      </c>
      <c r="L1496" s="83" t="s">
        <v>101</v>
      </c>
      <c r="M1496" s="83" t="s">
        <v>410</v>
      </c>
      <c r="N1496" s="83" t="s">
        <v>102</v>
      </c>
      <c r="P1496" s="83">
        <v>0</v>
      </c>
      <c r="U1496" s="83">
        <v>4</v>
      </c>
      <c r="V1496" s="83">
        <v>1</v>
      </c>
      <c r="W1496" s="83" t="s">
        <v>103</v>
      </c>
      <c r="X1496" s="83">
        <v>0</v>
      </c>
      <c r="Y1496" s="83" t="str">
        <f>LEFT(D1496,6)</f>
        <v>598046</v>
      </c>
    </row>
    <row r="1497" spans="1:25" x14ac:dyDescent="0.2">
      <c r="A1497" s="83">
        <v>1</v>
      </c>
      <c r="B1497" s="84">
        <v>5701603301502</v>
      </c>
      <c r="C1497" s="83">
        <v>20</v>
      </c>
      <c r="D1497" s="84">
        <v>5980543301</v>
      </c>
      <c r="F1497" s="83" t="s">
        <v>103</v>
      </c>
      <c r="G1497" s="83">
        <v>0</v>
      </c>
      <c r="H1497" s="83">
        <v>100</v>
      </c>
      <c r="K1497" s="83">
        <v>1</v>
      </c>
      <c r="L1497" s="83" t="s">
        <v>101</v>
      </c>
      <c r="M1497" s="83" t="s">
        <v>410</v>
      </c>
      <c r="N1497" s="83" t="s">
        <v>102</v>
      </c>
      <c r="P1497" s="83">
        <v>0</v>
      </c>
      <c r="U1497" s="83">
        <v>4</v>
      </c>
      <c r="V1497" s="83">
        <v>1</v>
      </c>
      <c r="W1497" s="83" t="s">
        <v>103</v>
      </c>
      <c r="X1497" s="83">
        <v>0</v>
      </c>
    </row>
    <row r="1498" spans="1:25" x14ac:dyDescent="0.2">
      <c r="A1498" s="83">
        <v>1</v>
      </c>
      <c r="B1498" s="84">
        <v>5701603301502</v>
      </c>
      <c r="C1498" s="83">
        <v>30</v>
      </c>
      <c r="D1498" s="84">
        <v>5980623301</v>
      </c>
      <c r="F1498" s="83" t="s">
        <v>103</v>
      </c>
      <c r="G1498" s="83">
        <v>0</v>
      </c>
      <c r="H1498" s="83">
        <v>100</v>
      </c>
      <c r="K1498" s="83">
        <v>1</v>
      </c>
      <c r="L1498" s="83" t="s">
        <v>101</v>
      </c>
      <c r="M1498" s="83" t="s">
        <v>410</v>
      </c>
      <c r="N1498" s="83" t="s">
        <v>102</v>
      </c>
      <c r="P1498" s="83">
        <v>0</v>
      </c>
      <c r="U1498" s="83">
        <v>4</v>
      </c>
      <c r="V1498" s="83">
        <v>1</v>
      </c>
      <c r="W1498" s="83" t="s">
        <v>103</v>
      </c>
      <c r="X1498" s="83">
        <v>0</v>
      </c>
    </row>
    <row r="1499" spans="1:25" x14ac:dyDescent="0.2">
      <c r="A1499" s="83">
        <v>1</v>
      </c>
      <c r="B1499" s="84">
        <v>5701603301502</v>
      </c>
      <c r="C1499" s="83">
        <v>40</v>
      </c>
      <c r="D1499" s="84">
        <v>5980823301</v>
      </c>
      <c r="F1499" s="83" t="s">
        <v>103</v>
      </c>
      <c r="G1499" s="83">
        <v>0</v>
      </c>
      <c r="H1499" s="83">
        <v>100</v>
      </c>
      <c r="K1499" s="83">
        <v>1</v>
      </c>
      <c r="L1499" s="83" t="s">
        <v>101</v>
      </c>
      <c r="M1499" s="83" t="s">
        <v>410</v>
      </c>
      <c r="N1499" s="83" t="s">
        <v>102</v>
      </c>
      <c r="P1499" s="83">
        <v>0</v>
      </c>
      <c r="U1499" s="83">
        <v>4</v>
      </c>
      <c r="V1499" s="83">
        <v>1</v>
      </c>
      <c r="W1499" s="83" t="s">
        <v>103</v>
      </c>
      <c r="X1499" s="83">
        <v>0</v>
      </c>
    </row>
    <row r="1500" spans="1:25" x14ac:dyDescent="0.2">
      <c r="A1500" s="83">
        <v>1</v>
      </c>
      <c r="B1500" s="84">
        <v>5701603301502</v>
      </c>
      <c r="C1500" s="83">
        <v>50</v>
      </c>
      <c r="D1500" s="84">
        <v>5980933301</v>
      </c>
      <c r="F1500" s="83" t="s">
        <v>103</v>
      </c>
      <c r="G1500" s="83">
        <v>0</v>
      </c>
      <c r="H1500" s="83">
        <v>100</v>
      </c>
      <c r="K1500" s="83">
        <v>1</v>
      </c>
      <c r="L1500" s="83" t="s">
        <v>101</v>
      </c>
      <c r="M1500" s="83" t="s">
        <v>410</v>
      </c>
      <c r="N1500" s="83" t="s">
        <v>102</v>
      </c>
      <c r="P1500" s="83">
        <v>0</v>
      </c>
      <c r="U1500" s="83">
        <v>4</v>
      </c>
      <c r="V1500" s="83">
        <v>1</v>
      </c>
      <c r="W1500" s="83" t="s">
        <v>103</v>
      </c>
      <c r="X1500" s="83">
        <v>0</v>
      </c>
    </row>
    <row r="1501" spans="1:25" x14ac:dyDescent="0.2">
      <c r="A1501" s="83">
        <v>1</v>
      </c>
      <c r="B1501" s="84">
        <v>5701603301502</v>
      </c>
      <c r="C1501" s="83">
        <v>60</v>
      </c>
      <c r="D1501" s="84">
        <v>1010286</v>
      </c>
      <c r="F1501" s="83" t="s">
        <v>103</v>
      </c>
      <c r="G1501" s="83">
        <v>0</v>
      </c>
      <c r="H1501" s="83">
        <v>100</v>
      </c>
      <c r="K1501" s="83">
        <v>8</v>
      </c>
      <c r="L1501" s="83" t="s">
        <v>101</v>
      </c>
      <c r="M1501" s="83" t="s">
        <v>410</v>
      </c>
      <c r="N1501" s="83" t="s">
        <v>102</v>
      </c>
      <c r="P1501" s="83">
        <v>0</v>
      </c>
      <c r="U1501" s="83">
        <v>4</v>
      </c>
      <c r="V1501" s="83">
        <v>1</v>
      </c>
      <c r="W1501" s="83" t="s">
        <v>103</v>
      </c>
      <c r="X1501" s="83">
        <v>0</v>
      </c>
    </row>
    <row r="1502" spans="1:25" x14ac:dyDescent="0.2">
      <c r="A1502" s="83">
        <v>1</v>
      </c>
      <c r="B1502" s="84">
        <v>5701603301502</v>
      </c>
      <c r="C1502" s="83">
        <v>70</v>
      </c>
      <c r="D1502" s="84">
        <v>1010287</v>
      </c>
      <c r="F1502" s="83" t="s">
        <v>103</v>
      </c>
      <c r="G1502" s="83">
        <v>0</v>
      </c>
      <c r="H1502" s="83">
        <v>100</v>
      </c>
      <c r="K1502" s="83">
        <v>4</v>
      </c>
      <c r="L1502" s="83" t="s">
        <v>101</v>
      </c>
      <c r="M1502" s="83" t="s">
        <v>410</v>
      </c>
      <c r="N1502" s="83" t="s">
        <v>102</v>
      </c>
      <c r="P1502" s="83">
        <v>0</v>
      </c>
      <c r="U1502" s="83">
        <v>4</v>
      </c>
      <c r="V1502" s="83">
        <v>1</v>
      </c>
      <c r="W1502" s="83" t="s">
        <v>103</v>
      </c>
      <c r="X1502" s="83">
        <v>0</v>
      </c>
    </row>
    <row r="1503" spans="1:25" x14ac:dyDescent="0.2">
      <c r="A1503" s="83">
        <v>1</v>
      </c>
      <c r="B1503" s="84">
        <v>5701603301502</v>
      </c>
      <c r="C1503" s="83">
        <v>80</v>
      </c>
      <c r="D1503" s="84">
        <v>1020145</v>
      </c>
      <c r="F1503" s="83" t="s">
        <v>103</v>
      </c>
      <c r="G1503" s="83">
        <v>0</v>
      </c>
      <c r="H1503" s="83">
        <v>100</v>
      </c>
      <c r="K1503" s="83" t="s">
        <v>408</v>
      </c>
      <c r="L1503" s="83" t="s">
        <v>101</v>
      </c>
      <c r="M1503" s="83" t="s">
        <v>410</v>
      </c>
      <c r="N1503" s="83" t="s">
        <v>102</v>
      </c>
      <c r="P1503" s="83">
        <v>0</v>
      </c>
      <c r="U1503" s="83">
        <v>4</v>
      </c>
      <c r="V1503" s="83">
        <v>1</v>
      </c>
      <c r="W1503" s="83" t="s">
        <v>103</v>
      </c>
      <c r="X1503" s="83">
        <v>0</v>
      </c>
    </row>
    <row r="1504" spans="1:25" x14ac:dyDescent="0.2">
      <c r="A1504" s="83">
        <v>1</v>
      </c>
      <c r="B1504" s="84">
        <v>5701603301502</v>
      </c>
      <c r="C1504" s="83">
        <v>90</v>
      </c>
      <c r="D1504" s="84">
        <v>777500502</v>
      </c>
      <c r="F1504" s="83" t="s">
        <v>103</v>
      </c>
      <c r="G1504" s="83">
        <v>0</v>
      </c>
      <c r="H1504" s="83">
        <v>100</v>
      </c>
      <c r="K1504" s="83">
        <v>1</v>
      </c>
      <c r="L1504" s="83" t="s">
        <v>101</v>
      </c>
      <c r="M1504" s="83" t="s">
        <v>410</v>
      </c>
      <c r="N1504" s="83" t="s">
        <v>102</v>
      </c>
      <c r="P1504" s="83">
        <v>0</v>
      </c>
      <c r="U1504" s="83">
        <v>4</v>
      </c>
      <c r="V1504" s="83">
        <v>1</v>
      </c>
      <c r="W1504" s="83" t="s">
        <v>103</v>
      </c>
      <c r="X1504" s="83">
        <v>0</v>
      </c>
    </row>
    <row r="1505" spans="1:25" x14ac:dyDescent="0.2">
      <c r="A1505" s="83">
        <v>1</v>
      </c>
      <c r="B1505" s="84">
        <v>5701603302502</v>
      </c>
      <c r="C1505" s="83">
        <v>10</v>
      </c>
      <c r="D1505" s="84">
        <v>5980463302</v>
      </c>
      <c r="F1505" s="83" t="s">
        <v>103</v>
      </c>
      <c r="G1505" s="83">
        <v>0</v>
      </c>
      <c r="H1505" s="83">
        <v>100</v>
      </c>
      <c r="K1505" s="83">
        <v>1</v>
      </c>
      <c r="L1505" s="83" t="s">
        <v>101</v>
      </c>
      <c r="M1505" s="83" t="s">
        <v>410</v>
      </c>
      <c r="N1505" s="83" t="s">
        <v>102</v>
      </c>
      <c r="P1505" s="83">
        <v>0</v>
      </c>
      <c r="U1505" s="83">
        <v>4</v>
      </c>
      <c r="V1505" s="83">
        <v>1</v>
      </c>
      <c r="W1505" s="83" t="s">
        <v>103</v>
      </c>
      <c r="X1505" s="83">
        <v>0</v>
      </c>
      <c r="Y1505" s="83" t="str">
        <f>LEFT(D1505,6)</f>
        <v>598046</v>
      </c>
    </row>
    <row r="1506" spans="1:25" x14ac:dyDescent="0.2">
      <c r="A1506" s="83">
        <v>1</v>
      </c>
      <c r="B1506" s="84">
        <v>5701603302502</v>
      </c>
      <c r="C1506" s="83">
        <v>20</v>
      </c>
      <c r="D1506" s="84">
        <v>5980543302</v>
      </c>
      <c r="F1506" s="83" t="s">
        <v>103</v>
      </c>
      <c r="G1506" s="83">
        <v>0</v>
      </c>
      <c r="H1506" s="83">
        <v>100</v>
      </c>
      <c r="K1506" s="83">
        <v>1</v>
      </c>
      <c r="L1506" s="83" t="s">
        <v>101</v>
      </c>
      <c r="M1506" s="83" t="s">
        <v>410</v>
      </c>
      <c r="N1506" s="83" t="s">
        <v>102</v>
      </c>
      <c r="P1506" s="83">
        <v>0</v>
      </c>
      <c r="U1506" s="83">
        <v>4</v>
      </c>
      <c r="V1506" s="83">
        <v>1</v>
      </c>
      <c r="W1506" s="83" t="s">
        <v>103</v>
      </c>
      <c r="X1506" s="83">
        <v>0</v>
      </c>
    </row>
    <row r="1507" spans="1:25" x14ac:dyDescent="0.2">
      <c r="A1507" s="83">
        <v>1</v>
      </c>
      <c r="B1507" s="84">
        <v>5701603302502</v>
      </c>
      <c r="C1507" s="83">
        <v>30</v>
      </c>
      <c r="D1507" s="84">
        <v>5980623302</v>
      </c>
      <c r="F1507" s="83" t="s">
        <v>103</v>
      </c>
      <c r="G1507" s="83">
        <v>0</v>
      </c>
      <c r="H1507" s="83">
        <v>100</v>
      </c>
      <c r="K1507" s="83">
        <v>1</v>
      </c>
      <c r="L1507" s="83" t="s">
        <v>101</v>
      </c>
      <c r="M1507" s="83" t="s">
        <v>410</v>
      </c>
      <c r="N1507" s="83" t="s">
        <v>102</v>
      </c>
      <c r="P1507" s="83">
        <v>0</v>
      </c>
      <c r="U1507" s="83">
        <v>4</v>
      </c>
      <c r="V1507" s="83">
        <v>1</v>
      </c>
      <c r="W1507" s="83" t="s">
        <v>103</v>
      </c>
      <c r="X1507" s="83">
        <v>0</v>
      </c>
    </row>
    <row r="1508" spans="1:25" x14ac:dyDescent="0.2">
      <c r="A1508" s="83">
        <v>1</v>
      </c>
      <c r="B1508" s="84">
        <v>5701603302502</v>
      </c>
      <c r="C1508" s="83">
        <v>40</v>
      </c>
      <c r="D1508" s="84">
        <v>5980823302</v>
      </c>
      <c r="F1508" s="83" t="s">
        <v>103</v>
      </c>
      <c r="G1508" s="83">
        <v>0</v>
      </c>
      <c r="H1508" s="83">
        <v>100</v>
      </c>
      <c r="K1508" s="83">
        <v>1</v>
      </c>
      <c r="L1508" s="83" t="s">
        <v>101</v>
      </c>
      <c r="M1508" s="83" t="s">
        <v>410</v>
      </c>
      <c r="N1508" s="83" t="s">
        <v>102</v>
      </c>
      <c r="P1508" s="83">
        <v>0</v>
      </c>
      <c r="U1508" s="83">
        <v>4</v>
      </c>
      <c r="V1508" s="83">
        <v>1</v>
      </c>
      <c r="W1508" s="83" t="s">
        <v>103</v>
      </c>
      <c r="X1508" s="83">
        <v>0</v>
      </c>
    </row>
    <row r="1509" spans="1:25" x14ac:dyDescent="0.2">
      <c r="A1509" s="83">
        <v>1</v>
      </c>
      <c r="B1509" s="84">
        <v>5701603302502</v>
      </c>
      <c r="C1509" s="83">
        <v>50</v>
      </c>
      <c r="D1509" s="84">
        <v>5980933302</v>
      </c>
      <c r="F1509" s="83" t="s">
        <v>103</v>
      </c>
      <c r="G1509" s="83">
        <v>0</v>
      </c>
      <c r="H1509" s="83">
        <v>100</v>
      </c>
      <c r="K1509" s="83">
        <v>1</v>
      </c>
      <c r="L1509" s="83" t="s">
        <v>101</v>
      </c>
      <c r="M1509" s="83" t="s">
        <v>410</v>
      </c>
      <c r="N1509" s="83" t="s">
        <v>102</v>
      </c>
      <c r="P1509" s="83">
        <v>0</v>
      </c>
      <c r="U1509" s="83">
        <v>4</v>
      </c>
      <c r="V1509" s="83">
        <v>1</v>
      </c>
      <c r="W1509" s="83" t="s">
        <v>103</v>
      </c>
      <c r="X1509" s="83">
        <v>0</v>
      </c>
    </row>
    <row r="1510" spans="1:25" x14ac:dyDescent="0.2">
      <c r="A1510" s="83">
        <v>1</v>
      </c>
      <c r="B1510" s="84">
        <v>5701603302502</v>
      </c>
      <c r="C1510" s="83">
        <v>60</v>
      </c>
      <c r="D1510" s="84">
        <v>1010286</v>
      </c>
      <c r="F1510" s="83" t="s">
        <v>103</v>
      </c>
      <c r="G1510" s="83">
        <v>0</v>
      </c>
      <c r="H1510" s="83">
        <v>100</v>
      </c>
      <c r="K1510" s="83">
        <v>8</v>
      </c>
      <c r="L1510" s="83" t="s">
        <v>101</v>
      </c>
      <c r="M1510" s="83" t="s">
        <v>410</v>
      </c>
      <c r="N1510" s="83" t="s">
        <v>102</v>
      </c>
      <c r="P1510" s="83">
        <v>0</v>
      </c>
      <c r="U1510" s="83">
        <v>4</v>
      </c>
      <c r="V1510" s="83">
        <v>1</v>
      </c>
      <c r="W1510" s="83" t="s">
        <v>103</v>
      </c>
      <c r="X1510" s="83">
        <v>0</v>
      </c>
    </row>
    <row r="1511" spans="1:25" x14ac:dyDescent="0.2">
      <c r="A1511" s="83">
        <v>1</v>
      </c>
      <c r="B1511" s="84">
        <v>5701603302502</v>
      </c>
      <c r="C1511" s="83">
        <v>70</v>
      </c>
      <c r="D1511" s="84">
        <v>1010288</v>
      </c>
      <c r="F1511" s="83" t="s">
        <v>103</v>
      </c>
      <c r="G1511" s="83">
        <v>0</v>
      </c>
      <c r="H1511" s="83">
        <v>100</v>
      </c>
      <c r="K1511" s="83">
        <v>4</v>
      </c>
      <c r="L1511" s="83" t="s">
        <v>101</v>
      </c>
      <c r="M1511" s="83" t="s">
        <v>410</v>
      </c>
      <c r="N1511" s="83" t="s">
        <v>102</v>
      </c>
      <c r="P1511" s="83">
        <v>0</v>
      </c>
      <c r="U1511" s="83">
        <v>4</v>
      </c>
      <c r="V1511" s="83">
        <v>1</v>
      </c>
      <c r="W1511" s="83" t="s">
        <v>103</v>
      </c>
      <c r="X1511" s="83">
        <v>0</v>
      </c>
    </row>
    <row r="1512" spans="1:25" x14ac:dyDescent="0.2">
      <c r="A1512" s="83">
        <v>1</v>
      </c>
      <c r="B1512" s="84">
        <v>5701603302502</v>
      </c>
      <c r="C1512" s="83">
        <v>80</v>
      </c>
      <c r="D1512" s="84">
        <v>1020145</v>
      </c>
      <c r="F1512" s="83" t="s">
        <v>103</v>
      </c>
      <c r="G1512" s="83">
        <v>0</v>
      </c>
      <c r="H1512" s="83">
        <v>100</v>
      </c>
      <c r="K1512" s="83" t="s">
        <v>408</v>
      </c>
      <c r="L1512" s="83" t="s">
        <v>101</v>
      </c>
      <c r="M1512" s="83" t="s">
        <v>410</v>
      </c>
      <c r="N1512" s="83" t="s">
        <v>102</v>
      </c>
      <c r="P1512" s="83">
        <v>0</v>
      </c>
      <c r="U1512" s="83">
        <v>4</v>
      </c>
      <c r="V1512" s="83">
        <v>1</v>
      </c>
      <c r="W1512" s="83" t="s">
        <v>103</v>
      </c>
      <c r="X1512" s="83">
        <v>0</v>
      </c>
    </row>
    <row r="1513" spans="1:25" x14ac:dyDescent="0.2">
      <c r="A1513" s="83">
        <v>1</v>
      </c>
      <c r="B1513" s="84">
        <v>5701603302502</v>
      </c>
      <c r="C1513" s="83">
        <v>90</v>
      </c>
      <c r="D1513" s="84">
        <v>777500502</v>
      </c>
      <c r="F1513" s="83" t="s">
        <v>103</v>
      </c>
      <c r="G1513" s="83">
        <v>0</v>
      </c>
      <c r="H1513" s="83">
        <v>100</v>
      </c>
      <c r="K1513" s="83">
        <v>1</v>
      </c>
      <c r="L1513" s="83" t="s">
        <v>101</v>
      </c>
      <c r="M1513" s="83" t="s">
        <v>410</v>
      </c>
      <c r="N1513" s="83" t="s">
        <v>102</v>
      </c>
      <c r="P1513" s="83">
        <v>0</v>
      </c>
      <c r="U1513" s="83">
        <v>4</v>
      </c>
      <c r="V1513" s="83">
        <v>1</v>
      </c>
      <c r="W1513" s="83" t="s">
        <v>103</v>
      </c>
      <c r="X1513" s="83">
        <v>0</v>
      </c>
    </row>
    <row r="1514" spans="1:25" x14ac:dyDescent="0.2">
      <c r="A1514" s="83">
        <v>1</v>
      </c>
      <c r="B1514" s="84">
        <v>5701603303502</v>
      </c>
      <c r="C1514" s="83">
        <v>10</v>
      </c>
      <c r="D1514" s="84">
        <v>5980463303</v>
      </c>
      <c r="F1514" s="83" t="s">
        <v>103</v>
      </c>
      <c r="G1514" s="83">
        <v>0</v>
      </c>
      <c r="H1514" s="83">
        <v>100</v>
      </c>
      <c r="K1514" s="83">
        <v>1</v>
      </c>
      <c r="L1514" s="83" t="s">
        <v>101</v>
      </c>
      <c r="M1514" s="83" t="s">
        <v>410</v>
      </c>
      <c r="N1514" s="83" t="s">
        <v>102</v>
      </c>
      <c r="P1514" s="83">
        <v>0</v>
      </c>
      <c r="U1514" s="83">
        <v>4</v>
      </c>
      <c r="V1514" s="83">
        <v>1</v>
      </c>
      <c r="W1514" s="83" t="s">
        <v>103</v>
      </c>
      <c r="X1514" s="83">
        <v>0</v>
      </c>
      <c r="Y1514" s="83" t="str">
        <f>LEFT(D1514,6)</f>
        <v>598046</v>
      </c>
    </row>
    <row r="1515" spans="1:25" x14ac:dyDescent="0.2">
      <c r="A1515" s="83">
        <v>1</v>
      </c>
      <c r="B1515" s="84">
        <v>5701603303502</v>
      </c>
      <c r="C1515" s="83">
        <v>20</v>
      </c>
      <c r="D1515" s="84">
        <v>5980543303</v>
      </c>
      <c r="F1515" s="83" t="s">
        <v>103</v>
      </c>
      <c r="G1515" s="83">
        <v>0</v>
      </c>
      <c r="H1515" s="83">
        <v>100</v>
      </c>
      <c r="K1515" s="83">
        <v>1</v>
      </c>
      <c r="L1515" s="83" t="s">
        <v>101</v>
      </c>
      <c r="M1515" s="83" t="s">
        <v>410</v>
      </c>
      <c r="N1515" s="83" t="s">
        <v>102</v>
      </c>
      <c r="P1515" s="83">
        <v>0</v>
      </c>
      <c r="U1515" s="83">
        <v>4</v>
      </c>
      <c r="V1515" s="83">
        <v>1</v>
      </c>
      <c r="W1515" s="83" t="s">
        <v>103</v>
      </c>
      <c r="X1515" s="83">
        <v>0</v>
      </c>
    </row>
    <row r="1516" spans="1:25" x14ac:dyDescent="0.2">
      <c r="A1516" s="83">
        <v>1</v>
      </c>
      <c r="B1516" s="84">
        <v>5701603303502</v>
      </c>
      <c r="C1516" s="83">
        <v>30</v>
      </c>
      <c r="D1516" s="84">
        <v>5980623303</v>
      </c>
      <c r="F1516" s="83" t="s">
        <v>103</v>
      </c>
      <c r="G1516" s="83">
        <v>0</v>
      </c>
      <c r="H1516" s="83">
        <v>100</v>
      </c>
      <c r="K1516" s="83">
        <v>1</v>
      </c>
      <c r="L1516" s="83" t="s">
        <v>101</v>
      </c>
      <c r="M1516" s="83" t="s">
        <v>410</v>
      </c>
      <c r="N1516" s="83" t="s">
        <v>102</v>
      </c>
      <c r="P1516" s="83">
        <v>0</v>
      </c>
      <c r="U1516" s="83">
        <v>4</v>
      </c>
      <c r="V1516" s="83">
        <v>1</v>
      </c>
      <c r="W1516" s="83" t="s">
        <v>103</v>
      </c>
      <c r="X1516" s="83">
        <v>0</v>
      </c>
    </row>
    <row r="1517" spans="1:25" x14ac:dyDescent="0.2">
      <c r="A1517" s="83">
        <v>1</v>
      </c>
      <c r="B1517" s="84">
        <v>5701603303502</v>
      </c>
      <c r="C1517" s="83">
        <v>40</v>
      </c>
      <c r="D1517" s="84">
        <v>5980823303</v>
      </c>
      <c r="F1517" s="83" t="s">
        <v>103</v>
      </c>
      <c r="G1517" s="83">
        <v>0</v>
      </c>
      <c r="H1517" s="83">
        <v>100</v>
      </c>
      <c r="K1517" s="83">
        <v>1</v>
      </c>
      <c r="L1517" s="83" t="s">
        <v>101</v>
      </c>
      <c r="M1517" s="83" t="s">
        <v>410</v>
      </c>
      <c r="N1517" s="83" t="s">
        <v>102</v>
      </c>
      <c r="P1517" s="83">
        <v>0</v>
      </c>
      <c r="U1517" s="83">
        <v>4</v>
      </c>
      <c r="V1517" s="83">
        <v>1</v>
      </c>
      <c r="W1517" s="83" t="s">
        <v>103</v>
      </c>
      <c r="X1517" s="83">
        <v>0</v>
      </c>
    </row>
    <row r="1518" spans="1:25" x14ac:dyDescent="0.2">
      <c r="A1518" s="83">
        <v>1</v>
      </c>
      <c r="B1518" s="84">
        <v>5701603303502</v>
      </c>
      <c r="C1518" s="83">
        <v>50</v>
      </c>
      <c r="D1518" s="84">
        <v>5980933303</v>
      </c>
      <c r="F1518" s="83" t="s">
        <v>103</v>
      </c>
      <c r="G1518" s="83">
        <v>0</v>
      </c>
      <c r="H1518" s="83">
        <v>100</v>
      </c>
      <c r="K1518" s="83">
        <v>1</v>
      </c>
      <c r="L1518" s="83" t="s">
        <v>101</v>
      </c>
      <c r="M1518" s="83" t="s">
        <v>410</v>
      </c>
      <c r="N1518" s="83" t="s">
        <v>102</v>
      </c>
      <c r="P1518" s="83">
        <v>0</v>
      </c>
      <c r="U1518" s="83">
        <v>4</v>
      </c>
      <c r="V1518" s="83">
        <v>1</v>
      </c>
      <c r="W1518" s="83" t="s">
        <v>103</v>
      </c>
      <c r="X1518" s="83">
        <v>0</v>
      </c>
    </row>
    <row r="1519" spans="1:25" x14ac:dyDescent="0.2">
      <c r="A1519" s="83">
        <v>1</v>
      </c>
      <c r="B1519" s="84">
        <v>5701603303502</v>
      </c>
      <c r="C1519" s="83">
        <v>60</v>
      </c>
      <c r="D1519" s="84">
        <v>1010286</v>
      </c>
      <c r="F1519" s="83" t="s">
        <v>103</v>
      </c>
      <c r="G1519" s="83">
        <v>0</v>
      </c>
      <c r="H1519" s="83">
        <v>100</v>
      </c>
      <c r="K1519" s="83">
        <v>8</v>
      </c>
      <c r="L1519" s="83" t="s">
        <v>101</v>
      </c>
      <c r="M1519" s="83" t="s">
        <v>410</v>
      </c>
      <c r="N1519" s="83" t="s">
        <v>102</v>
      </c>
      <c r="P1519" s="83">
        <v>0</v>
      </c>
      <c r="U1519" s="83">
        <v>4</v>
      </c>
      <c r="V1519" s="83">
        <v>1</v>
      </c>
      <c r="W1519" s="83" t="s">
        <v>103</v>
      </c>
      <c r="X1519" s="83">
        <v>0</v>
      </c>
    </row>
    <row r="1520" spans="1:25" x14ac:dyDescent="0.2">
      <c r="A1520" s="83">
        <v>1</v>
      </c>
      <c r="B1520" s="84">
        <v>5701603303502</v>
      </c>
      <c r="C1520" s="83">
        <v>70</v>
      </c>
      <c r="D1520" s="84">
        <v>1010287</v>
      </c>
      <c r="F1520" s="83" t="s">
        <v>103</v>
      </c>
      <c r="G1520" s="83">
        <v>0</v>
      </c>
      <c r="H1520" s="83">
        <v>100</v>
      </c>
      <c r="K1520" s="83">
        <v>4</v>
      </c>
      <c r="L1520" s="83" t="s">
        <v>101</v>
      </c>
      <c r="M1520" s="83" t="s">
        <v>410</v>
      </c>
      <c r="N1520" s="83" t="s">
        <v>102</v>
      </c>
      <c r="P1520" s="83">
        <v>0</v>
      </c>
      <c r="U1520" s="83">
        <v>4</v>
      </c>
      <c r="V1520" s="83">
        <v>1</v>
      </c>
      <c r="W1520" s="83" t="s">
        <v>103</v>
      </c>
      <c r="X1520" s="83">
        <v>0</v>
      </c>
    </row>
    <row r="1521" spans="1:25" x14ac:dyDescent="0.2">
      <c r="A1521" s="83">
        <v>1</v>
      </c>
      <c r="B1521" s="84">
        <v>5701603303502</v>
      </c>
      <c r="C1521" s="83">
        <v>80</v>
      </c>
      <c r="D1521" s="84">
        <v>1020145</v>
      </c>
      <c r="F1521" s="83" t="s">
        <v>103</v>
      </c>
      <c r="G1521" s="83">
        <v>0</v>
      </c>
      <c r="H1521" s="83">
        <v>100</v>
      </c>
      <c r="K1521" s="83" t="s">
        <v>408</v>
      </c>
      <c r="L1521" s="83" t="s">
        <v>101</v>
      </c>
      <c r="M1521" s="83" t="s">
        <v>410</v>
      </c>
      <c r="N1521" s="83" t="s">
        <v>102</v>
      </c>
      <c r="P1521" s="83">
        <v>0</v>
      </c>
      <c r="U1521" s="83">
        <v>4</v>
      </c>
      <c r="V1521" s="83">
        <v>1</v>
      </c>
      <c r="W1521" s="83" t="s">
        <v>103</v>
      </c>
      <c r="X1521" s="83">
        <v>0</v>
      </c>
    </row>
    <row r="1522" spans="1:25" x14ac:dyDescent="0.2">
      <c r="A1522" s="83">
        <v>1</v>
      </c>
      <c r="B1522" s="84">
        <v>5701603303502</v>
      </c>
      <c r="C1522" s="83">
        <v>90</v>
      </c>
      <c r="D1522" s="84">
        <v>777500502</v>
      </c>
      <c r="F1522" s="83" t="s">
        <v>103</v>
      </c>
      <c r="G1522" s="83">
        <v>0</v>
      </c>
      <c r="H1522" s="83">
        <v>100</v>
      </c>
      <c r="K1522" s="83">
        <v>1</v>
      </c>
      <c r="L1522" s="83" t="s">
        <v>101</v>
      </c>
      <c r="M1522" s="83" t="s">
        <v>410</v>
      </c>
      <c r="N1522" s="83" t="s">
        <v>102</v>
      </c>
      <c r="P1522" s="83">
        <v>0</v>
      </c>
      <c r="U1522" s="83">
        <v>4</v>
      </c>
      <c r="V1522" s="83">
        <v>1</v>
      </c>
      <c r="W1522" s="83" t="s">
        <v>103</v>
      </c>
      <c r="X1522" s="83">
        <v>0</v>
      </c>
    </row>
    <row r="1523" spans="1:25" x14ac:dyDescent="0.2">
      <c r="A1523" s="83">
        <v>1</v>
      </c>
      <c r="B1523" s="84">
        <v>5701603304502</v>
      </c>
      <c r="C1523" s="83">
        <v>10</v>
      </c>
      <c r="D1523" s="84">
        <v>5980463304</v>
      </c>
      <c r="F1523" s="83" t="s">
        <v>103</v>
      </c>
      <c r="G1523" s="83">
        <v>0</v>
      </c>
      <c r="H1523" s="83">
        <v>100</v>
      </c>
      <c r="K1523" s="83">
        <v>1</v>
      </c>
      <c r="L1523" s="83" t="s">
        <v>101</v>
      </c>
      <c r="M1523" s="83" t="s">
        <v>410</v>
      </c>
      <c r="N1523" s="83" t="s">
        <v>102</v>
      </c>
      <c r="P1523" s="83">
        <v>0</v>
      </c>
      <c r="U1523" s="83">
        <v>4</v>
      </c>
      <c r="V1523" s="83">
        <v>1</v>
      </c>
      <c r="W1523" s="83" t="s">
        <v>103</v>
      </c>
      <c r="X1523" s="83">
        <v>0</v>
      </c>
      <c r="Y1523" s="83" t="str">
        <f>LEFT(D1523,6)</f>
        <v>598046</v>
      </c>
    </row>
    <row r="1524" spans="1:25" x14ac:dyDescent="0.2">
      <c r="A1524" s="83">
        <v>1</v>
      </c>
      <c r="B1524" s="84">
        <v>5701603304502</v>
      </c>
      <c r="C1524" s="83">
        <v>20</v>
      </c>
      <c r="D1524" s="84">
        <v>5980543304</v>
      </c>
      <c r="F1524" s="83" t="s">
        <v>103</v>
      </c>
      <c r="G1524" s="83">
        <v>0</v>
      </c>
      <c r="H1524" s="83">
        <v>100</v>
      </c>
      <c r="K1524" s="83">
        <v>1</v>
      </c>
      <c r="L1524" s="83" t="s">
        <v>101</v>
      </c>
      <c r="M1524" s="83" t="s">
        <v>410</v>
      </c>
      <c r="N1524" s="83" t="s">
        <v>102</v>
      </c>
      <c r="P1524" s="83">
        <v>0</v>
      </c>
      <c r="U1524" s="83">
        <v>4</v>
      </c>
      <c r="V1524" s="83">
        <v>1</v>
      </c>
      <c r="W1524" s="83" t="s">
        <v>103</v>
      </c>
      <c r="X1524" s="83">
        <v>0</v>
      </c>
    </row>
    <row r="1525" spans="1:25" x14ac:dyDescent="0.2">
      <c r="A1525" s="83">
        <v>1</v>
      </c>
      <c r="B1525" s="84">
        <v>5701603304502</v>
      </c>
      <c r="C1525" s="83">
        <v>30</v>
      </c>
      <c r="D1525" s="84">
        <v>5980623304</v>
      </c>
      <c r="F1525" s="83" t="s">
        <v>103</v>
      </c>
      <c r="G1525" s="83">
        <v>0</v>
      </c>
      <c r="H1525" s="83">
        <v>100</v>
      </c>
      <c r="K1525" s="83">
        <v>1</v>
      </c>
      <c r="L1525" s="83" t="s">
        <v>101</v>
      </c>
      <c r="M1525" s="83" t="s">
        <v>410</v>
      </c>
      <c r="N1525" s="83" t="s">
        <v>102</v>
      </c>
      <c r="P1525" s="83">
        <v>0</v>
      </c>
      <c r="U1525" s="83">
        <v>4</v>
      </c>
      <c r="V1525" s="83">
        <v>1</v>
      </c>
      <c r="W1525" s="83" t="s">
        <v>103</v>
      </c>
      <c r="X1525" s="83">
        <v>0</v>
      </c>
    </row>
    <row r="1526" spans="1:25" x14ac:dyDescent="0.2">
      <c r="A1526" s="83">
        <v>1</v>
      </c>
      <c r="B1526" s="84">
        <v>5701603304502</v>
      </c>
      <c r="C1526" s="83">
        <v>40</v>
      </c>
      <c r="D1526" s="84">
        <v>5980823304</v>
      </c>
      <c r="F1526" s="83" t="s">
        <v>103</v>
      </c>
      <c r="G1526" s="83">
        <v>0</v>
      </c>
      <c r="H1526" s="83">
        <v>100</v>
      </c>
      <c r="K1526" s="83">
        <v>1</v>
      </c>
      <c r="L1526" s="83" t="s">
        <v>101</v>
      </c>
      <c r="M1526" s="83" t="s">
        <v>410</v>
      </c>
      <c r="N1526" s="83" t="s">
        <v>102</v>
      </c>
      <c r="P1526" s="83">
        <v>0</v>
      </c>
      <c r="U1526" s="83">
        <v>4</v>
      </c>
      <c r="V1526" s="83">
        <v>1</v>
      </c>
      <c r="W1526" s="83" t="s">
        <v>103</v>
      </c>
      <c r="X1526" s="83">
        <v>0</v>
      </c>
    </row>
    <row r="1527" spans="1:25" x14ac:dyDescent="0.2">
      <c r="A1527" s="83">
        <v>1</v>
      </c>
      <c r="B1527" s="84">
        <v>5701603304502</v>
      </c>
      <c r="C1527" s="83">
        <v>50</v>
      </c>
      <c r="D1527" s="84">
        <v>5980933304</v>
      </c>
      <c r="F1527" s="83" t="s">
        <v>103</v>
      </c>
      <c r="G1527" s="83">
        <v>0</v>
      </c>
      <c r="H1527" s="83">
        <v>100</v>
      </c>
      <c r="K1527" s="83">
        <v>1</v>
      </c>
      <c r="L1527" s="83" t="s">
        <v>101</v>
      </c>
      <c r="M1527" s="83" t="s">
        <v>410</v>
      </c>
      <c r="N1527" s="83" t="s">
        <v>102</v>
      </c>
      <c r="P1527" s="83">
        <v>0</v>
      </c>
      <c r="U1527" s="83">
        <v>4</v>
      </c>
      <c r="V1527" s="83">
        <v>1</v>
      </c>
      <c r="W1527" s="83" t="s">
        <v>103</v>
      </c>
      <c r="X1527" s="83">
        <v>0</v>
      </c>
    </row>
    <row r="1528" spans="1:25" x14ac:dyDescent="0.2">
      <c r="A1528" s="83">
        <v>1</v>
      </c>
      <c r="B1528" s="84">
        <v>5701603304502</v>
      </c>
      <c r="C1528" s="83">
        <v>60</v>
      </c>
      <c r="D1528" s="84">
        <v>1010286</v>
      </c>
      <c r="F1528" s="83" t="s">
        <v>103</v>
      </c>
      <c r="G1528" s="83">
        <v>0</v>
      </c>
      <c r="H1528" s="83">
        <v>100</v>
      </c>
      <c r="K1528" s="83">
        <v>8</v>
      </c>
      <c r="L1528" s="83" t="s">
        <v>101</v>
      </c>
      <c r="M1528" s="83" t="s">
        <v>410</v>
      </c>
      <c r="N1528" s="83" t="s">
        <v>102</v>
      </c>
      <c r="P1528" s="83">
        <v>0</v>
      </c>
      <c r="U1528" s="83">
        <v>4</v>
      </c>
      <c r="V1528" s="83">
        <v>1</v>
      </c>
      <c r="W1528" s="83" t="s">
        <v>103</v>
      </c>
      <c r="X1528" s="83">
        <v>0</v>
      </c>
    </row>
    <row r="1529" spans="1:25" x14ac:dyDescent="0.2">
      <c r="A1529" s="83">
        <v>1</v>
      </c>
      <c r="B1529" s="84">
        <v>5701603304502</v>
      </c>
      <c r="C1529" s="83">
        <v>70</v>
      </c>
      <c r="D1529" s="84">
        <v>1010288</v>
      </c>
      <c r="F1529" s="83" t="s">
        <v>103</v>
      </c>
      <c r="G1529" s="83">
        <v>0</v>
      </c>
      <c r="H1529" s="83">
        <v>100</v>
      </c>
      <c r="K1529" s="83">
        <v>4</v>
      </c>
      <c r="L1529" s="83" t="s">
        <v>101</v>
      </c>
      <c r="M1529" s="83" t="s">
        <v>410</v>
      </c>
      <c r="N1529" s="83" t="s">
        <v>102</v>
      </c>
      <c r="P1529" s="83">
        <v>0</v>
      </c>
      <c r="U1529" s="83">
        <v>4</v>
      </c>
      <c r="V1529" s="83">
        <v>1</v>
      </c>
      <c r="W1529" s="83" t="s">
        <v>103</v>
      </c>
      <c r="X1529" s="83">
        <v>0</v>
      </c>
    </row>
    <row r="1530" spans="1:25" x14ac:dyDescent="0.2">
      <c r="A1530" s="83">
        <v>1</v>
      </c>
      <c r="B1530" s="84">
        <v>5701603304502</v>
      </c>
      <c r="C1530" s="83">
        <v>80</v>
      </c>
      <c r="D1530" s="84">
        <v>1020145</v>
      </c>
      <c r="F1530" s="83" t="s">
        <v>103</v>
      </c>
      <c r="G1530" s="83">
        <v>0</v>
      </c>
      <c r="H1530" s="83">
        <v>100</v>
      </c>
      <c r="K1530" s="83" t="s">
        <v>408</v>
      </c>
      <c r="L1530" s="83" t="s">
        <v>101</v>
      </c>
      <c r="M1530" s="83" t="s">
        <v>410</v>
      </c>
      <c r="N1530" s="83" t="s">
        <v>102</v>
      </c>
      <c r="P1530" s="83">
        <v>0</v>
      </c>
      <c r="U1530" s="83">
        <v>4</v>
      </c>
      <c r="V1530" s="83">
        <v>1</v>
      </c>
      <c r="W1530" s="83" t="s">
        <v>103</v>
      </c>
      <c r="X1530" s="83">
        <v>0</v>
      </c>
    </row>
    <row r="1531" spans="1:25" x14ac:dyDescent="0.2">
      <c r="A1531" s="83">
        <v>1</v>
      </c>
      <c r="B1531" s="84">
        <v>5701603304502</v>
      </c>
      <c r="C1531" s="83">
        <v>90</v>
      </c>
      <c r="D1531" s="84">
        <v>777500502</v>
      </c>
      <c r="F1531" s="83" t="s">
        <v>103</v>
      </c>
      <c r="G1531" s="83">
        <v>0</v>
      </c>
      <c r="H1531" s="83">
        <v>100</v>
      </c>
      <c r="K1531" s="83">
        <v>1</v>
      </c>
      <c r="L1531" s="83" t="s">
        <v>101</v>
      </c>
      <c r="M1531" s="83" t="s">
        <v>410</v>
      </c>
      <c r="N1531" s="83" t="s">
        <v>102</v>
      </c>
      <c r="P1531" s="83">
        <v>0</v>
      </c>
      <c r="U1531" s="83">
        <v>4</v>
      </c>
      <c r="V1531" s="83">
        <v>1</v>
      </c>
      <c r="W1531" s="83" t="s">
        <v>103</v>
      </c>
      <c r="X1531" s="83">
        <v>0</v>
      </c>
    </row>
    <row r="1532" spans="1:25" x14ac:dyDescent="0.2">
      <c r="A1532" s="83">
        <v>1</v>
      </c>
      <c r="B1532" s="84">
        <v>5701603305502</v>
      </c>
      <c r="C1532" s="83">
        <v>10</v>
      </c>
      <c r="D1532" s="84">
        <v>5980463305</v>
      </c>
      <c r="F1532" s="83" t="s">
        <v>103</v>
      </c>
      <c r="G1532" s="83">
        <v>0</v>
      </c>
      <c r="H1532" s="83">
        <v>100</v>
      </c>
      <c r="K1532" s="83">
        <v>1</v>
      </c>
      <c r="L1532" s="83" t="s">
        <v>101</v>
      </c>
      <c r="M1532" s="83" t="s">
        <v>410</v>
      </c>
      <c r="N1532" s="83" t="s">
        <v>102</v>
      </c>
      <c r="P1532" s="83">
        <v>0</v>
      </c>
      <c r="U1532" s="83">
        <v>4</v>
      </c>
      <c r="V1532" s="83">
        <v>1</v>
      </c>
      <c r="W1532" s="83" t="s">
        <v>103</v>
      </c>
      <c r="X1532" s="83">
        <v>0</v>
      </c>
      <c r="Y1532" s="83" t="str">
        <f>LEFT(D1532,6)</f>
        <v>598046</v>
      </c>
    </row>
    <row r="1533" spans="1:25" x14ac:dyDescent="0.2">
      <c r="A1533" s="83">
        <v>1</v>
      </c>
      <c r="B1533" s="84">
        <v>5701603305502</v>
      </c>
      <c r="C1533" s="83">
        <v>20</v>
      </c>
      <c r="D1533" s="85">
        <v>5980543305</v>
      </c>
      <c r="F1533" s="83" t="s">
        <v>103</v>
      </c>
      <c r="G1533" s="83">
        <v>0</v>
      </c>
      <c r="H1533" s="83">
        <v>100</v>
      </c>
      <c r="K1533" s="83">
        <v>1</v>
      </c>
      <c r="L1533" s="83" t="s">
        <v>101</v>
      </c>
      <c r="M1533" s="83" t="s">
        <v>410</v>
      </c>
      <c r="N1533" s="83" t="s">
        <v>102</v>
      </c>
      <c r="P1533" s="83">
        <v>0</v>
      </c>
      <c r="U1533" s="83">
        <v>4</v>
      </c>
      <c r="V1533" s="83">
        <v>1</v>
      </c>
      <c r="W1533" s="83" t="s">
        <v>103</v>
      </c>
      <c r="X1533" s="83">
        <v>0</v>
      </c>
    </row>
    <row r="1534" spans="1:25" x14ac:dyDescent="0.2">
      <c r="A1534" s="83">
        <v>1</v>
      </c>
      <c r="B1534" s="84">
        <v>5701603305502</v>
      </c>
      <c r="C1534" s="83">
        <v>30</v>
      </c>
      <c r="D1534" s="84">
        <v>5980623305</v>
      </c>
      <c r="F1534" s="83" t="s">
        <v>103</v>
      </c>
      <c r="G1534" s="83">
        <v>0</v>
      </c>
      <c r="H1534" s="83">
        <v>100</v>
      </c>
      <c r="K1534" s="83">
        <v>1</v>
      </c>
      <c r="L1534" s="83" t="s">
        <v>101</v>
      </c>
      <c r="M1534" s="83" t="s">
        <v>410</v>
      </c>
      <c r="N1534" s="83" t="s">
        <v>102</v>
      </c>
      <c r="P1534" s="83">
        <v>0</v>
      </c>
      <c r="U1534" s="83">
        <v>4</v>
      </c>
      <c r="V1534" s="83">
        <v>1</v>
      </c>
      <c r="W1534" s="83" t="s">
        <v>103</v>
      </c>
      <c r="X1534" s="83">
        <v>0</v>
      </c>
    </row>
    <row r="1535" spans="1:25" x14ac:dyDescent="0.2">
      <c r="A1535" s="83">
        <v>1</v>
      </c>
      <c r="B1535" s="84">
        <v>5701603305502</v>
      </c>
      <c r="C1535" s="83">
        <v>40</v>
      </c>
      <c r="D1535" s="84">
        <v>5980823305</v>
      </c>
      <c r="F1535" s="83" t="s">
        <v>103</v>
      </c>
      <c r="G1535" s="83">
        <v>0</v>
      </c>
      <c r="H1535" s="83">
        <v>100</v>
      </c>
      <c r="K1535" s="83">
        <v>1</v>
      </c>
      <c r="L1535" s="83" t="s">
        <v>101</v>
      </c>
      <c r="M1535" s="83" t="s">
        <v>410</v>
      </c>
      <c r="N1535" s="83" t="s">
        <v>102</v>
      </c>
      <c r="P1535" s="83">
        <v>0</v>
      </c>
      <c r="U1535" s="83">
        <v>4</v>
      </c>
      <c r="V1535" s="83">
        <v>1</v>
      </c>
      <c r="W1535" s="83" t="s">
        <v>103</v>
      </c>
      <c r="X1535" s="83">
        <v>0</v>
      </c>
    </row>
    <row r="1536" spans="1:25" x14ac:dyDescent="0.2">
      <c r="A1536" s="83">
        <v>1</v>
      </c>
      <c r="B1536" s="84">
        <v>5701603305502</v>
      </c>
      <c r="C1536" s="83">
        <v>50</v>
      </c>
      <c r="D1536" s="84">
        <v>5980933305</v>
      </c>
      <c r="F1536" s="83" t="s">
        <v>103</v>
      </c>
      <c r="G1536" s="83">
        <v>0</v>
      </c>
      <c r="H1536" s="83">
        <v>100</v>
      </c>
      <c r="K1536" s="83">
        <v>1</v>
      </c>
      <c r="L1536" s="83" t="s">
        <v>101</v>
      </c>
      <c r="M1536" s="83" t="s">
        <v>410</v>
      </c>
      <c r="N1536" s="83" t="s">
        <v>102</v>
      </c>
      <c r="P1536" s="83">
        <v>0</v>
      </c>
      <c r="U1536" s="83">
        <v>4</v>
      </c>
      <c r="V1536" s="83">
        <v>1</v>
      </c>
      <c r="W1536" s="83" t="s">
        <v>103</v>
      </c>
      <c r="X1536" s="83">
        <v>0</v>
      </c>
    </row>
    <row r="1537" spans="1:25" x14ac:dyDescent="0.2">
      <c r="A1537" s="83">
        <v>1</v>
      </c>
      <c r="B1537" s="84">
        <v>5701603305502</v>
      </c>
      <c r="C1537" s="83">
        <v>60</v>
      </c>
      <c r="D1537" s="84">
        <v>1010286</v>
      </c>
      <c r="F1537" s="83" t="s">
        <v>103</v>
      </c>
      <c r="G1537" s="83">
        <v>0</v>
      </c>
      <c r="H1537" s="83">
        <v>100</v>
      </c>
      <c r="K1537" s="83">
        <v>8</v>
      </c>
      <c r="L1537" s="83" t="s">
        <v>101</v>
      </c>
      <c r="M1537" s="83" t="s">
        <v>410</v>
      </c>
      <c r="N1537" s="83" t="s">
        <v>102</v>
      </c>
      <c r="P1537" s="83">
        <v>0</v>
      </c>
      <c r="U1537" s="83">
        <v>4</v>
      </c>
      <c r="V1537" s="83">
        <v>1</v>
      </c>
      <c r="W1537" s="83" t="s">
        <v>103</v>
      </c>
      <c r="X1537" s="83">
        <v>0</v>
      </c>
    </row>
    <row r="1538" spans="1:25" x14ac:dyDescent="0.2">
      <c r="A1538" s="83">
        <v>1</v>
      </c>
      <c r="B1538" s="84">
        <v>5701603305502</v>
      </c>
      <c r="C1538" s="83">
        <v>70</v>
      </c>
      <c r="D1538" s="84">
        <v>1010288</v>
      </c>
      <c r="F1538" s="83" t="s">
        <v>103</v>
      </c>
      <c r="G1538" s="83">
        <v>0</v>
      </c>
      <c r="H1538" s="83">
        <v>100</v>
      </c>
      <c r="K1538" s="83">
        <v>4</v>
      </c>
      <c r="L1538" s="83" t="s">
        <v>101</v>
      </c>
      <c r="M1538" s="83" t="s">
        <v>410</v>
      </c>
      <c r="N1538" s="83" t="s">
        <v>102</v>
      </c>
      <c r="P1538" s="83">
        <v>0</v>
      </c>
      <c r="U1538" s="83">
        <v>4</v>
      </c>
      <c r="V1538" s="83">
        <v>1</v>
      </c>
      <c r="W1538" s="83" t="s">
        <v>103</v>
      </c>
      <c r="X1538" s="83">
        <v>0</v>
      </c>
    </row>
    <row r="1539" spans="1:25" x14ac:dyDescent="0.2">
      <c r="A1539" s="83">
        <v>1</v>
      </c>
      <c r="B1539" s="84">
        <v>5701603305502</v>
      </c>
      <c r="C1539" s="83">
        <v>80</v>
      </c>
      <c r="D1539" s="84">
        <v>1020145</v>
      </c>
      <c r="F1539" s="83" t="s">
        <v>103</v>
      </c>
      <c r="G1539" s="83">
        <v>0</v>
      </c>
      <c r="H1539" s="83">
        <v>100</v>
      </c>
      <c r="K1539" s="83" t="s">
        <v>408</v>
      </c>
      <c r="L1539" s="83" t="s">
        <v>101</v>
      </c>
      <c r="M1539" s="83" t="s">
        <v>410</v>
      </c>
      <c r="N1539" s="83" t="s">
        <v>102</v>
      </c>
      <c r="P1539" s="83">
        <v>0</v>
      </c>
      <c r="U1539" s="83">
        <v>4</v>
      </c>
      <c r="V1539" s="83">
        <v>1</v>
      </c>
      <c r="W1539" s="83" t="s">
        <v>103</v>
      </c>
      <c r="X1539" s="83">
        <v>0</v>
      </c>
    </row>
    <row r="1540" spans="1:25" x14ac:dyDescent="0.2">
      <c r="A1540" s="83">
        <v>1</v>
      </c>
      <c r="B1540" s="84">
        <v>5701603305502</v>
      </c>
      <c r="C1540" s="83">
        <v>90</v>
      </c>
      <c r="D1540" s="84">
        <v>777500502</v>
      </c>
      <c r="F1540" s="83" t="s">
        <v>103</v>
      </c>
      <c r="G1540" s="83">
        <v>0</v>
      </c>
      <c r="H1540" s="83">
        <v>100</v>
      </c>
      <c r="K1540" s="83">
        <v>1</v>
      </c>
      <c r="L1540" s="83" t="s">
        <v>101</v>
      </c>
      <c r="M1540" s="83" t="s">
        <v>410</v>
      </c>
      <c r="N1540" s="83" t="s">
        <v>102</v>
      </c>
      <c r="P1540" s="83">
        <v>0</v>
      </c>
      <c r="U1540" s="83">
        <v>4</v>
      </c>
      <c r="V1540" s="83">
        <v>1</v>
      </c>
      <c r="W1540" s="83" t="s">
        <v>103</v>
      </c>
      <c r="X1540" s="83">
        <v>0</v>
      </c>
    </row>
    <row r="1541" spans="1:25" x14ac:dyDescent="0.2">
      <c r="A1541" s="83">
        <v>1</v>
      </c>
      <c r="B1541" s="84">
        <v>5701603306502</v>
      </c>
      <c r="C1541" s="83">
        <v>10</v>
      </c>
      <c r="D1541" s="84">
        <v>5980463306</v>
      </c>
      <c r="F1541" s="83" t="s">
        <v>103</v>
      </c>
      <c r="G1541" s="83">
        <v>0</v>
      </c>
      <c r="H1541" s="83">
        <v>100</v>
      </c>
      <c r="K1541" s="83">
        <v>1</v>
      </c>
      <c r="L1541" s="83" t="s">
        <v>101</v>
      </c>
      <c r="M1541" s="83" t="s">
        <v>410</v>
      </c>
      <c r="N1541" s="83" t="s">
        <v>102</v>
      </c>
      <c r="P1541" s="83">
        <v>0</v>
      </c>
      <c r="U1541" s="83">
        <v>4</v>
      </c>
      <c r="V1541" s="83">
        <v>1</v>
      </c>
      <c r="W1541" s="83" t="s">
        <v>103</v>
      </c>
      <c r="X1541" s="83">
        <v>0</v>
      </c>
      <c r="Y1541" s="83" t="str">
        <f>LEFT(D1541,6)</f>
        <v>598046</v>
      </c>
    </row>
    <row r="1542" spans="1:25" x14ac:dyDescent="0.2">
      <c r="A1542" s="83">
        <v>1</v>
      </c>
      <c r="B1542" s="84">
        <v>5701603306502</v>
      </c>
      <c r="C1542" s="83">
        <v>20</v>
      </c>
      <c r="D1542" s="84">
        <v>5980543306</v>
      </c>
      <c r="F1542" s="83" t="s">
        <v>103</v>
      </c>
      <c r="G1542" s="83">
        <v>0</v>
      </c>
      <c r="H1542" s="83">
        <v>100</v>
      </c>
      <c r="K1542" s="83">
        <v>1</v>
      </c>
      <c r="L1542" s="83" t="s">
        <v>101</v>
      </c>
      <c r="M1542" s="83" t="s">
        <v>410</v>
      </c>
      <c r="N1542" s="83" t="s">
        <v>102</v>
      </c>
      <c r="P1542" s="83">
        <v>0</v>
      </c>
      <c r="U1542" s="83">
        <v>4</v>
      </c>
      <c r="V1542" s="83">
        <v>1</v>
      </c>
      <c r="W1542" s="83" t="s">
        <v>103</v>
      </c>
      <c r="X1542" s="83">
        <v>0</v>
      </c>
    </row>
    <row r="1543" spans="1:25" x14ac:dyDescent="0.2">
      <c r="A1543" s="83">
        <v>1</v>
      </c>
      <c r="B1543" s="84">
        <v>5701603306502</v>
      </c>
      <c r="C1543" s="83">
        <v>30</v>
      </c>
      <c r="D1543" s="84">
        <v>5980623306</v>
      </c>
      <c r="F1543" s="83" t="s">
        <v>103</v>
      </c>
      <c r="G1543" s="83">
        <v>0</v>
      </c>
      <c r="H1543" s="83">
        <v>100</v>
      </c>
      <c r="K1543" s="83">
        <v>1</v>
      </c>
      <c r="L1543" s="83" t="s">
        <v>101</v>
      </c>
      <c r="M1543" s="83" t="s">
        <v>410</v>
      </c>
      <c r="N1543" s="83" t="s">
        <v>102</v>
      </c>
      <c r="P1543" s="83">
        <v>0</v>
      </c>
      <c r="U1543" s="83">
        <v>4</v>
      </c>
      <c r="V1543" s="83">
        <v>1</v>
      </c>
      <c r="W1543" s="83" t="s">
        <v>103</v>
      </c>
      <c r="X1543" s="83">
        <v>0</v>
      </c>
    </row>
    <row r="1544" spans="1:25" x14ac:dyDescent="0.2">
      <c r="A1544" s="83">
        <v>1</v>
      </c>
      <c r="B1544" s="84">
        <v>5701603306502</v>
      </c>
      <c r="C1544" s="83">
        <v>40</v>
      </c>
      <c r="D1544" s="84">
        <v>5980823306</v>
      </c>
      <c r="F1544" s="83" t="s">
        <v>103</v>
      </c>
      <c r="G1544" s="83">
        <v>0</v>
      </c>
      <c r="H1544" s="83">
        <v>100</v>
      </c>
      <c r="K1544" s="83">
        <v>1</v>
      </c>
      <c r="L1544" s="83" t="s">
        <v>101</v>
      </c>
      <c r="M1544" s="83" t="s">
        <v>410</v>
      </c>
      <c r="N1544" s="83" t="s">
        <v>102</v>
      </c>
      <c r="P1544" s="83">
        <v>0</v>
      </c>
      <c r="U1544" s="83">
        <v>4</v>
      </c>
      <c r="V1544" s="83">
        <v>1</v>
      </c>
      <c r="W1544" s="83" t="s">
        <v>103</v>
      </c>
      <c r="X1544" s="83">
        <v>0</v>
      </c>
    </row>
    <row r="1545" spans="1:25" x14ac:dyDescent="0.2">
      <c r="A1545" s="83">
        <v>1</v>
      </c>
      <c r="B1545" s="84">
        <v>5701603306502</v>
      </c>
      <c r="C1545" s="83">
        <v>50</v>
      </c>
      <c r="D1545" s="84">
        <v>5980933306</v>
      </c>
      <c r="F1545" s="83" t="s">
        <v>103</v>
      </c>
      <c r="G1545" s="83">
        <v>0</v>
      </c>
      <c r="H1545" s="83">
        <v>100</v>
      </c>
      <c r="K1545" s="83">
        <v>1</v>
      </c>
      <c r="L1545" s="83" t="s">
        <v>101</v>
      </c>
      <c r="M1545" s="83" t="s">
        <v>410</v>
      </c>
      <c r="N1545" s="83" t="s">
        <v>102</v>
      </c>
      <c r="P1545" s="83">
        <v>0</v>
      </c>
      <c r="U1545" s="83">
        <v>4</v>
      </c>
      <c r="V1545" s="83">
        <v>1</v>
      </c>
      <c r="W1545" s="83" t="s">
        <v>103</v>
      </c>
      <c r="X1545" s="83">
        <v>0</v>
      </c>
    </row>
    <row r="1546" spans="1:25" x14ac:dyDescent="0.2">
      <c r="A1546" s="83">
        <v>1</v>
      </c>
      <c r="B1546" s="84">
        <v>5701603306502</v>
      </c>
      <c r="C1546" s="83">
        <v>60</v>
      </c>
      <c r="D1546" s="84">
        <v>1010286</v>
      </c>
      <c r="F1546" s="83" t="s">
        <v>103</v>
      </c>
      <c r="G1546" s="83">
        <v>0</v>
      </c>
      <c r="H1546" s="83">
        <v>100</v>
      </c>
      <c r="K1546" s="83">
        <v>8</v>
      </c>
      <c r="L1546" s="83" t="s">
        <v>101</v>
      </c>
      <c r="M1546" s="83" t="s">
        <v>410</v>
      </c>
      <c r="N1546" s="83" t="s">
        <v>102</v>
      </c>
      <c r="P1546" s="83">
        <v>0</v>
      </c>
      <c r="U1546" s="83">
        <v>4</v>
      </c>
      <c r="V1546" s="83">
        <v>1</v>
      </c>
      <c r="W1546" s="83" t="s">
        <v>103</v>
      </c>
      <c r="X1546" s="83">
        <v>0</v>
      </c>
    </row>
    <row r="1547" spans="1:25" x14ac:dyDescent="0.2">
      <c r="A1547" s="83">
        <v>1</v>
      </c>
      <c r="B1547" s="84">
        <v>5701603306502</v>
      </c>
      <c r="C1547" s="83">
        <v>70</v>
      </c>
      <c r="D1547" s="84">
        <v>1010287</v>
      </c>
      <c r="F1547" s="83" t="s">
        <v>103</v>
      </c>
      <c r="G1547" s="83">
        <v>0</v>
      </c>
      <c r="H1547" s="83">
        <v>100</v>
      </c>
      <c r="K1547" s="83">
        <v>4</v>
      </c>
      <c r="L1547" s="83" t="s">
        <v>101</v>
      </c>
      <c r="M1547" s="83" t="s">
        <v>410</v>
      </c>
      <c r="N1547" s="83" t="s">
        <v>102</v>
      </c>
      <c r="P1547" s="83">
        <v>0</v>
      </c>
      <c r="U1547" s="83">
        <v>4</v>
      </c>
      <c r="V1547" s="83">
        <v>1</v>
      </c>
      <c r="W1547" s="83" t="s">
        <v>103</v>
      </c>
      <c r="X1547" s="83">
        <v>0</v>
      </c>
    </row>
    <row r="1548" spans="1:25" x14ac:dyDescent="0.2">
      <c r="A1548" s="83">
        <v>1</v>
      </c>
      <c r="B1548" s="84">
        <v>5701603306502</v>
      </c>
      <c r="C1548" s="83">
        <v>80</v>
      </c>
      <c r="D1548" s="84">
        <v>1020145</v>
      </c>
      <c r="F1548" s="83" t="s">
        <v>103</v>
      </c>
      <c r="G1548" s="83">
        <v>0</v>
      </c>
      <c r="H1548" s="83">
        <v>100</v>
      </c>
      <c r="K1548" s="83" t="s">
        <v>408</v>
      </c>
      <c r="L1548" s="83" t="s">
        <v>101</v>
      </c>
      <c r="M1548" s="83" t="s">
        <v>410</v>
      </c>
      <c r="N1548" s="83" t="s">
        <v>102</v>
      </c>
      <c r="P1548" s="83">
        <v>0</v>
      </c>
      <c r="U1548" s="83">
        <v>4</v>
      </c>
      <c r="V1548" s="83">
        <v>1</v>
      </c>
      <c r="W1548" s="83" t="s">
        <v>103</v>
      </c>
      <c r="X1548" s="83">
        <v>0</v>
      </c>
    </row>
    <row r="1549" spans="1:25" x14ac:dyDescent="0.2">
      <c r="A1549" s="83">
        <v>1</v>
      </c>
      <c r="B1549" s="84">
        <v>5701603306502</v>
      </c>
      <c r="C1549" s="83">
        <v>90</v>
      </c>
      <c r="D1549" s="84">
        <v>777500502</v>
      </c>
      <c r="F1549" s="83" t="s">
        <v>103</v>
      </c>
      <c r="G1549" s="83">
        <v>0</v>
      </c>
      <c r="H1549" s="83">
        <v>100</v>
      </c>
      <c r="K1549" s="83">
        <v>1</v>
      </c>
      <c r="L1549" s="83" t="s">
        <v>101</v>
      </c>
      <c r="M1549" s="83" t="s">
        <v>410</v>
      </c>
      <c r="N1549" s="83" t="s">
        <v>102</v>
      </c>
      <c r="P1549" s="83">
        <v>0</v>
      </c>
      <c r="U1549" s="83">
        <v>4</v>
      </c>
      <c r="V1549" s="83">
        <v>1</v>
      </c>
      <c r="W1549" s="83" t="s">
        <v>103</v>
      </c>
      <c r="X1549" s="83">
        <v>0</v>
      </c>
    </row>
    <row r="1550" spans="1:25" x14ac:dyDescent="0.2">
      <c r="A1550" s="83">
        <v>1</v>
      </c>
      <c r="B1550" s="84">
        <v>5701603307502</v>
      </c>
      <c r="C1550" s="83">
        <v>10</v>
      </c>
      <c r="D1550" s="84">
        <v>5980463307</v>
      </c>
      <c r="F1550" s="83" t="s">
        <v>103</v>
      </c>
      <c r="G1550" s="83">
        <v>0</v>
      </c>
      <c r="H1550" s="83">
        <v>100</v>
      </c>
      <c r="K1550" s="83">
        <v>1</v>
      </c>
      <c r="L1550" s="83" t="s">
        <v>101</v>
      </c>
      <c r="M1550" s="83" t="s">
        <v>410</v>
      </c>
      <c r="N1550" s="83" t="s">
        <v>102</v>
      </c>
      <c r="P1550" s="83">
        <v>0</v>
      </c>
      <c r="U1550" s="83">
        <v>4</v>
      </c>
      <c r="V1550" s="83">
        <v>1</v>
      </c>
      <c r="W1550" s="83" t="s">
        <v>103</v>
      </c>
      <c r="X1550" s="83">
        <v>0</v>
      </c>
      <c r="Y1550" s="83" t="str">
        <f>LEFT(D1550,6)</f>
        <v>598046</v>
      </c>
    </row>
    <row r="1551" spans="1:25" x14ac:dyDescent="0.2">
      <c r="A1551" s="83">
        <v>1</v>
      </c>
      <c r="B1551" s="84">
        <v>5701603307502</v>
      </c>
      <c r="C1551" s="83">
        <v>20</v>
      </c>
      <c r="D1551" s="84">
        <v>5980543307</v>
      </c>
      <c r="F1551" s="83" t="s">
        <v>103</v>
      </c>
      <c r="G1551" s="83">
        <v>0</v>
      </c>
      <c r="H1551" s="83">
        <v>100</v>
      </c>
      <c r="K1551" s="83">
        <v>1</v>
      </c>
      <c r="L1551" s="83" t="s">
        <v>101</v>
      </c>
      <c r="M1551" s="83" t="s">
        <v>410</v>
      </c>
      <c r="N1551" s="83" t="s">
        <v>102</v>
      </c>
      <c r="P1551" s="83">
        <v>0</v>
      </c>
      <c r="U1551" s="83">
        <v>4</v>
      </c>
      <c r="V1551" s="83">
        <v>1</v>
      </c>
      <c r="W1551" s="83" t="s">
        <v>103</v>
      </c>
      <c r="X1551" s="83">
        <v>0</v>
      </c>
    </row>
    <row r="1552" spans="1:25" x14ac:dyDescent="0.2">
      <c r="A1552" s="83">
        <v>1</v>
      </c>
      <c r="B1552" s="84">
        <v>5701603307502</v>
      </c>
      <c r="C1552" s="83">
        <v>30</v>
      </c>
      <c r="D1552" s="84">
        <v>5980623307</v>
      </c>
      <c r="F1552" s="83" t="s">
        <v>103</v>
      </c>
      <c r="G1552" s="83">
        <v>0</v>
      </c>
      <c r="H1552" s="83">
        <v>100</v>
      </c>
      <c r="K1552" s="83">
        <v>1</v>
      </c>
      <c r="L1552" s="83" t="s">
        <v>101</v>
      </c>
      <c r="M1552" s="83" t="s">
        <v>410</v>
      </c>
      <c r="N1552" s="83" t="s">
        <v>102</v>
      </c>
      <c r="P1552" s="83">
        <v>0</v>
      </c>
      <c r="U1552" s="83">
        <v>4</v>
      </c>
      <c r="V1552" s="83">
        <v>1</v>
      </c>
      <c r="W1552" s="83" t="s">
        <v>103</v>
      </c>
      <c r="X1552" s="83">
        <v>0</v>
      </c>
    </row>
    <row r="1553" spans="1:25" x14ac:dyDescent="0.2">
      <c r="A1553" s="83">
        <v>1</v>
      </c>
      <c r="B1553" s="84">
        <v>5701603307502</v>
      </c>
      <c r="C1553" s="83">
        <v>40</v>
      </c>
      <c r="D1553" s="84">
        <v>5980823307</v>
      </c>
      <c r="F1553" s="83" t="s">
        <v>103</v>
      </c>
      <c r="G1553" s="83">
        <v>0</v>
      </c>
      <c r="H1553" s="83">
        <v>100</v>
      </c>
      <c r="K1553" s="83">
        <v>1</v>
      </c>
      <c r="L1553" s="83" t="s">
        <v>101</v>
      </c>
      <c r="M1553" s="83" t="s">
        <v>410</v>
      </c>
      <c r="N1553" s="83" t="s">
        <v>102</v>
      </c>
      <c r="P1553" s="83">
        <v>0</v>
      </c>
      <c r="U1553" s="83">
        <v>4</v>
      </c>
      <c r="V1553" s="83">
        <v>1</v>
      </c>
      <c r="W1553" s="83" t="s">
        <v>103</v>
      </c>
      <c r="X1553" s="83">
        <v>0</v>
      </c>
    </row>
    <row r="1554" spans="1:25" x14ac:dyDescent="0.2">
      <c r="A1554" s="83">
        <v>1</v>
      </c>
      <c r="B1554" s="84">
        <v>5701603307502</v>
      </c>
      <c r="C1554" s="83">
        <v>50</v>
      </c>
      <c r="D1554" s="84">
        <v>5980933307</v>
      </c>
      <c r="F1554" s="83" t="s">
        <v>103</v>
      </c>
      <c r="G1554" s="83">
        <v>0</v>
      </c>
      <c r="H1554" s="83">
        <v>100</v>
      </c>
      <c r="K1554" s="83">
        <v>1</v>
      </c>
      <c r="L1554" s="83" t="s">
        <v>101</v>
      </c>
      <c r="M1554" s="83" t="s">
        <v>410</v>
      </c>
      <c r="N1554" s="83" t="s">
        <v>102</v>
      </c>
      <c r="P1554" s="83">
        <v>0</v>
      </c>
      <c r="U1554" s="83">
        <v>4</v>
      </c>
      <c r="V1554" s="83">
        <v>1</v>
      </c>
      <c r="W1554" s="83" t="s">
        <v>103</v>
      </c>
      <c r="X1554" s="83">
        <v>0</v>
      </c>
    </row>
    <row r="1555" spans="1:25" x14ac:dyDescent="0.2">
      <c r="A1555" s="83">
        <v>1</v>
      </c>
      <c r="B1555" s="84">
        <v>5701603307502</v>
      </c>
      <c r="C1555" s="83">
        <v>60</v>
      </c>
      <c r="D1555" s="84">
        <v>1010286</v>
      </c>
      <c r="F1555" s="83" t="s">
        <v>103</v>
      </c>
      <c r="G1555" s="83">
        <v>0</v>
      </c>
      <c r="H1555" s="83">
        <v>100</v>
      </c>
      <c r="K1555" s="83">
        <v>8</v>
      </c>
      <c r="L1555" s="83" t="s">
        <v>101</v>
      </c>
      <c r="M1555" s="83" t="s">
        <v>410</v>
      </c>
      <c r="N1555" s="83" t="s">
        <v>102</v>
      </c>
      <c r="P1555" s="83">
        <v>0</v>
      </c>
      <c r="U1555" s="83">
        <v>4</v>
      </c>
      <c r="V1555" s="83">
        <v>1</v>
      </c>
      <c r="W1555" s="83" t="s">
        <v>103</v>
      </c>
      <c r="X1555" s="83">
        <v>0</v>
      </c>
    </row>
    <row r="1556" spans="1:25" x14ac:dyDescent="0.2">
      <c r="A1556" s="83">
        <v>1</v>
      </c>
      <c r="B1556" s="84">
        <v>5701603307502</v>
      </c>
      <c r="C1556" s="83">
        <v>70</v>
      </c>
      <c r="D1556" s="84">
        <v>1010287</v>
      </c>
      <c r="F1556" s="83" t="s">
        <v>103</v>
      </c>
      <c r="G1556" s="83">
        <v>0</v>
      </c>
      <c r="H1556" s="83">
        <v>100</v>
      </c>
      <c r="K1556" s="83">
        <v>4</v>
      </c>
      <c r="L1556" s="83" t="s">
        <v>101</v>
      </c>
      <c r="M1556" s="83" t="s">
        <v>410</v>
      </c>
      <c r="N1556" s="83" t="s">
        <v>102</v>
      </c>
      <c r="P1556" s="83">
        <v>0</v>
      </c>
      <c r="U1556" s="83">
        <v>4</v>
      </c>
      <c r="V1556" s="83">
        <v>1</v>
      </c>
      <c r="W1556" s="83" t="s">
        <v>103</v>
      </c>
      <c r="X1556" s="83">
        <v>0</v>
      </c>
    </row>
    <row r="1557" spans="1:25" x14ac:dyDescent="0.2">
      <c r="A1557" s="83">
        <v>1</v>
      </c>
      <c r="B1557" s="84">
        <v>5701603307502</v>
      </c>
      <c r="C1557" s="83">
        <v>80</v>
      </c>
      <c r="D1557" s="84">
        <v>1020145</v>
      </c>
      <c r="F1557" s="83" t="s">
        <v>103</v>
      </c>
      <c r="G1557" s="83">
        <v>0</v>
      </c>
      <c r="H1557" s="83">
        <v>100</v>
      </c>
      <c r="K1557" s="83" t="s">
        <v>408</v>
      </c>
      <c r="L1557" s="83" t="s">
        <v>101</v>
      </c>
      <c r="M1557" s="83" t="s">
        <v>410</v>
      </c>
      <c r="N1557" s="83" t="s">
        <v>102</v>
      </c>
      <c r="P1557" s="83">
        <v>0</v>
      </c>
      <c r="U1557" s="83">
        <v>4</v>
      </c>
      <c r="V1557" s="83">
        <v>1</v>
      </c>
      <c r="W1557" s="83" t="s">
        <v>103</v>
      </c>
      <c r="X1557" s="83">
        <v>0</v>
      </c>
    </row>
    <row r="1558" spans="1:25" x14ac:dyDescent="0.2">
      <c r="A1558" s="83">
        <v>1</v>
      </c>
      <c r="B1558" s="84">
        <v>5701603307502</v>
      </c>
      <c r="C1558" s="83">
        <v>90</v>
      </c>
      <c r="D1558" s="84">
        <v>777500502</v>
      </c>
      <c r="F1558" s="83" t="s">
        <v>103</v>
      </c>
      <c r="G1558" s="83">
        <v>0</v>
      </c>
      <c r="H1558" s="83">
        <v>100</v>
      </c>
      <c r="K1558" s="83">
        <v>1</v>
      </c>
      <c r="L1558" s="83" t="s">
        <v>101</v>
      </c>
      <c r="M1558" s="83" t="s">
        <v>410</v>
      </c>
      <c r="N1558" s="83" t="s">
        <v>102</v>
      </c>
      <c r="P1558" s="83">
        <v>0</v>
      </c>
      <c r="U1558" s="83">
        <v>4</v>
      </c>
      <c r="V1558" s="83">
        <v>1</v>
      </c>
      <c r="W1558" s="83" t="s">
        <v>103</v>
      </c>
      <c r="X1558" s="83">
        <v>0</v>
      </c>
    </row>
    <row r="1559" spans="1:25" x14ac:dyDescent="0.2">
      <c r="A1559" s="83">
        <v>1</v>
      </c>
      <c r="B1559" s="84">
        <v>5701603308502</v>
      </c>
      <c r="C1559" s="83">
        <v>10</v>
      </c>
      <c r="D1559" s="84">
        <v>5980463308</v>
      </c>
      <c r="F1559" s="83" t="s">
        <v>103</v>
      </c>
      <c r="G1559" s="83">
        <v>0</v>
      </c>
      <c r="H1559" s="83">
        <v>100</v>
      </c>
      <c r="K1559" s="83">
        <v>1</v>
      </c>
      <c r="L1559" s="83" t="s">
        <v>101</v>
      </c>
      <c r="M1559" s="83" t="s">
        <v>410</v>
      </c>
      <c r="N1559" s="83" t="s">
        <v>102</v>
      </c>
      <c r="P1559" s="83">
        <v>0</v>
      </c>
      <c r="U1559" s="83">
        <v>4</v>
      </c>
      <c r="V1559" s="83">
        <v>1</v>
      </c>
      <c r="W1559" s="83" t="s">
        <v>103</v>
      </c>
      <c r="X1559" s="83">
        <v>0</v>
      </c>
      <c r="Y1559" s="83" t="str">
        <f>LEFT(D1559,6)</f>
        <v>598046</v>
      </c>
    </row>
    <row r="1560" spans="1:25" x14ac:dyDescent="0.2">
      <c r="A1560" s="83">
        <v>1</v>
      </c>
      <c r="B1560" s="84">
        <v>5701603308502</v>
      </c>
      <c r="C1560" s="83">
        <v>20</v>
      </c>
      <c r="D1560" s="84">
        <v>5980543308</v>
      </c>
      <c r="F1560" s="83" t="s">
        <v>103</v>
      </c>
      <c r="G1560" s="83">
        <v>0</v>
      </c>
      <c r="H1560" s="83">
        <v>100</v>
      </c>
      <c r="K1560" s="83">
        <v>1</v>
      </c>
      <c r="L1560" s="83" t="s">
        <v>101</v>
      </c>
      <c r="M1560" s="83" t="s">
        <v>410</v>
      </c>
      <c r="N1560" s="83" t="s">
        <v>102</v>
      </c>
      <c r="P1560" s="83">
        <v>0</v>
      </c>
      <c r="U1560" s="83">
        <v>4</v>
      </c>
      <c r="V1560" s="83">
        <v>1</v>
      </c>
      <c r="W1560" s="83" t="s">
        <v>103</v>
      </c>
      <c r="X1560" s="83">
        <v>0</v>
      </c>
    </row>
    <row r="1561" spans="1:25" x14ac:dyDescent="0.2">
      <c r="A1561" s="83">
        <v>1</v>
      </c>
      <c r="B1561" s="84">
        <v>5701603308502</v>
      </c>
      <c r="C1561" s="83">
        <v>30</v>
      </c>
      <c r="D1561" s="84">
        <v>5980623308</v>
      </c>
      <c r="F1561" s="83" t="s">
        <v>103</v>
      </c>
      <c r="G1561" s="83">
        <v>0</v>
      </c>
      <c r="H1561" s="83">
        <v>100</v>
      </c>
      <c r="K1561" s="83">
        <v>1</v>
      </c>
      <c r="L1561" s="83" t="s">
        <v>101</v>
      </c>
      <c r="M1561" s="83" t="s">
        <v>410</v>
      </c>
      <c r="N1561" s="83" t="s">
        <v>102</v>
      </c>
      <c r="P1561" s="83">
        <v>0</v>
      </c>
      <c r="U1561" s="83">
        <v>4</v>
      </c>
      <c r="V1561" s="83">
        <v>1</v>
      </c>
      <c r="W1561" s="83" t="s">
        <v>103</v>
      </c>
      <c r="X1561" s="83">
        <v>0</v>
      </c>
    </row>
    <row r="1562" spans="1:25" x14ac:dyDescent="0.2">
      <c r="A1562" s="83">
        <v>1</v>
      </c>
      <c r="B1562" s="84">
        <v>5701603308502</v>
      </c>
      <c r="C1562" s="83">
        <v>40</v>
      </c>
      <c r="D1562" s="84">
        <v>5980823308</v>
      </c>
      <c r="F1562" s="83" t="s">
        <v>103</v>
      </c>
      <c r="G1562" s="83">
        <v>0</v>
      </c>
      <c r="H1562" s="83">
        <v>100</v>
      </c>
      <c r="K1562" s="83">
        <v>1</v>
      </c>
      <c r="L1562" s="83" t="s">
        <v>101</v>
      </c>
      <c r="M1562" s="83" t="s">
        <v>410</v>
      </c>
      <c r="N1562" s="83" t="s">
        <v>102</v>
      </c>
      <c r="P1562" s="83">
        <v>0</v>
      </c>
      <c r="U1562" s="83">
        <v>4</v>
      </c>
      <c r="V1562" s="83">
        <v>1</v>
      </c>
      <c r="W1562" s="83" t="s">
        <v>103</v>
      </c>
      <c r="X1562" s="83">
        <v>0</v>
      </c>
    </row>
    <row r="1563" spans="1:25" x14ac:dyDescent="0.2">
      <c r="A1563" s="83">
        <v>1</v>
      </c>
      <c r="B1563" s="84">
        <v>5701603308502</v>
      </c>
      <c r="C1563" s="83">
        <v>50</v>
      </c>
      <c r="D1563" s="84">
        <v>5980933308</v>
      </c>
      <c r="F1563" s="83" t="s">
        <v>103</v>
      </c>
      <c r="G1563" s="83">
        <v>0</v>
      </c>
      <c r="H1563" s="83">
        <v>100</v>
      </c>
      <c r="K1563" s="83">
        <v>1</v>
      </c>
      <c r="L1563" s="83" t="s">
        <v>101</v>
      </c>
      <c r="M1563" s="83" t="s">
        <v>410</v>
      </c>
      <c r="N1563" s="83" t="s">
        <v>102</v>
      </c>
      <c r="P1563" s="83">
        <v>0</v>
      </c>
      <c r="U1563" s="83">
        <v>4</v>
      </c>
      <c r="V1563" s="83">
        <v>1</v>
      </c>
      <c r="W1563" s="83" t="s">
        <v>103</v>
      </c>
      <c r="X1563" s="83">
        <v>0</v>
      </c>
    </row>
    <row r="1564" spans="1:25" x14ac:dyDescent="0.2">
      <c r="A1564" s="83">
        <v>1</v>
      </c>
      <c r="B1564" s="84">
        <v>5701603308502</v>
      </c>
      <c r="C1564" s="83">
        <v>60</v>
      </c>
      <c r="D1564" s="84">
        <v>1010286</v>
      </c>
      <c r="F1564" s="83" t="s">
        <v>103</v>
      </c>
      <c r="G1564" s="83">
        <v>0</v>
      </c>
      <c r="H1564" s="83">
        <v>100</v>
      </c>
      <c r="K1564" s="83">
        <v>8</v>
      </c>
      <c r="L1564" s="83" t="s">
        <v>101</v>
      </c>
      <c r="M1564" s="83" t="s">
        <v>410</v>
      </c>
      <c r="N1564" s="83" t="s">
        <v>102</v>
      </c>
      <c r="P1564" s="83">
        <v>0</v>
      </c>
      <c r="U1564" s="83">
        <v>4</v>
      </c>
      <c r="V1564" s="83">
        <v>1</v>
      </c>
      <c r="W1564" s="83" t="s">
        <v>103</v>
      </c>
      <c r="X1564" s="83">
        <v>0</v>
      </c>
    </row>
    <row r="1565" spans="1:25" x14ac:dyDescent="0.2">
      <c r="A1565" s="83">
        <v>1</v>
      </c>
      <c r="B1565" s="84">
        <v>5701603308502</v>
      </c>
      <c r="C1565" s="83">
        <v>70</v>
      </c>
      <c r="D1565" s="84">
        <v>1010288</v>
      </c>
      <c r="F1565" s="83" t="s">
        <v>103</v>
      </c>
      <c r="G1565" s="83">
        <v>0</v>
      </c>
      <c r="H1565" s="83">
        <v>100</v>
      </c>
      <c r="K1565" s="83">
        <v>4</v>
      </c>
      <c r="L1565" s="83" t="s">
        <v>101</v>
      </c>
      <c r="M1565" s="83" t="s">
        <v>410</v>
      </c>
      <c r="N1565" s="83" t="s">
        <v>102</v>
      </c>
      <c r="P1565" s="83">
        <v>0</v>
      </c>
      <c r="U1565" s="83">
        <v>4</v>
      </c>
      <c r="V1565" s="83">
        <v>1</v>
      </c>
      <c r="W1565" s="83" t="s">
        <v>103</v>
      </c>
      <c r="X1565" s="83">
        <v>0</v>
      </c>
    </row>
    <row r="1566" spans="1:25" x14ac:dyDescent="0.2">
      <c r="A1566" s="83">
        <v>1</v>
      </c>
      <c r="B1566" s="84">
        <v>5701603308502</v>
      </c>
      <c r="C1566" s="83">
        <v>80</v>
      </c>
      <c r="D1566" s="84">
        <v>1020145</v>
      </c>
      <c r="F1566" s="83" t="s">
        <v>103</v>
      </c>
      <c r="G1566" s="83">
        <v>0</v>
      </c>
      <c r="H1566" s="83">
        <v>100</v>
      </c>
      <c r="K1566" s="83" t="s">
        <v>408</v>
      </c>
      <c r="L1566" s="83" t="s">
        <v>101</v>
      </c>
      <c r="M1566" s="83" t="s">
        <v>410</v>
      </c>
      <c r="N1566" s="83" t="s">
        <v>102</v>
      </c>
      <c r="P1566" s="83">
        <v>0</v>
      </c>
      <c r="U1566" s="83">
        <v>4</v>
      </c>
      <c r="V1566" s="83">
        <v>1</v>
      </c>
      <c r="W1566" s="83" t="s">
        <v>103</v>
      </c>
      <c r="X1566" s="83">
        <v>0</v>
      </c>
    </row>
    <row r="1567" spans="1:25" x14ac:dyDescent="0.2">
      <c r="A1567" s="83">
        <v>1</v>
      </c>
      <c r="B1567" s="84">
        <v>5701603308502</v>
      </c>
      <c r="C1567" s="83">
        <v>90</v>
      </c>
      <c r="D1567" s="84">
        <v>777500502</v>
      </c>
      <c r="F1567" s="83" t="s">
        <v>103</v>
      </c>
      <c r="G1567" s="83">
        <v>0</v>
      </c>
      <c r="H1567" s="83">
        <v>100</v>
      </c>
      <c r="K1567" s="83">
        <v>1</v>
      </c>
      <c r="L1567" s="83" t="s">
        <v>101</v>
      </c>
      <c r="M1567" s="83" t="s">
        <v>410</v>
      </c>
      <c r="N1567" s="83" t="s">
        <v>102</v>
      </c>
      <c r="P1567" s="83">
        <v>0</v>
      </c>
      <c r="U1567" s="83">
        <v>4</v>
      </c>
      <c r="V1567" s="83">
        <v>1</v>
      </c>
      <c r="W1567" s="83" t="s">
        <v>103</v>
      </c>
      <c r="X1567" s="83">
        <v>0</v>
      </c>
    </row>
    <row r="1568" spans="1:25" x14ac:dyDescent="0.2">
      <c r="A1568" s="83">
        <v>1</v>
      </c>
      <c r="B1568" s="84">
        <v>5701603309502</v>
      </c>
      <c r="C1568" s="83">
        <v>10</v>
      </c>
      <c r="D1568" s="84">
        <v>5980463309</v>
      </c>
      <c r="F1568" s="83" t="s">
        <v>103</v>
      </c>
      <c r="G1568" s="83">
        <v>0</v>
      </c>
      <c r="H1568" s="83">
        <v>100</v>
      </c>
      <c r="K1568" s="83">
        <v>1</v>
      </c>
      <c r="L1568" s="83" t="s">
        <v>101</v>
      </c>
      <c r="M1568" s="83" t="s">
        <v>410</v>
      </c>
      <c r="N1568" s="83" t="s">
        <v>102</v>
      </c>
      <c r="P1568" s="83">
        <v>0</v>
      </c>
      <c r="U1568" s="83">
        <v>4</v>
      </c>
      <c r="V1568" s="83">
        <v>1</v>
      </c>
      <c r="W1568" s="83" t="s">
        <v>103</v>
      </c>
      <c r="X1568" s="83">
        <v>0</v>
      </c>
      <c r="Y1568" s="83" t="str">
        <f>LEFT(D1568,6)</f>
        <v>598046</v>
      </c>
    </row>
    <row r="1569" spans="1:25" x14ac:dyDescent="0.2">
      <c r="A1569" s="83">
        <v>1</v>
      </c>
      <c r="B1569" s="84">
        <v>5701603309502</v>
      </c>
      <c r="C1569" s="83">
        <v>20</v>
      </c>
      <c r="D1569" s="84">
        <v>5980543309</v>
      </c>
      <c r="F1569" s="83" t="s">
        <v>103</v>
      </c>
      <c r="G1569" s="83">
        <v>0</v>
      </c>
      <c r="H1569" s="83">
        <v>100</v>
      </c>
      <c r="K1569" s="83">
        <v>1</v>
      </c>
      <c r="L1569" s="83" t="s">
        <v>101</v>
      </c>
      <c r="M1569" s="83" t="s">
        <v>410</v>
      </c>
      <c r="N1569" s="83" t="s">
        <v>102</v>
      </c>
      <c r="P1569" s="83">
        <v>0</v>
      </c>
      <c r="U1569" s="83">
        <v>4</v>
      </c>
      <c r="V1569" s="83">
        <v>1</v>
      </c>
      <c r="W1569" s="83" t="s">
        <v>103</v>
      </c>
      <c r="X1569" s="83">
        <v>0</v>
      </c>
    </row>
    <row r="1570" spans="1:25" x14ac:dyDescent="0.2">
      <c r="A1570" s="83">
        <v>1</v>
      </c>
      <c r="B1570" s="84">
        <v>5701603309502</v>
      </c>
      <c r="C1570" s="83">
        <v>30</v>
      </c>
      <c r="D1570" s="84">
        <v>5980623309</v>
      </c>
      <c r="F1570" s="83" t="s">
        <v>103</v>
      </c>
      <c r="G1570" s="83">
        <v>0</v>
      </c>
      <c r="H1570" s="83">
        <v>100</v>
      </c>
      <c r="K1570" s="83">
        <v>1</v>
      </c>
      <c r="L1570" s="83" t="s">
        <v>101</v>
      </c>
      <c r="M1570" s="83" t="s">
        <v>410</v>
      </c>
      <c r="N1570" s="83" t="s">
        <v>102</v>
      </c>
      <c r="P1570" s="83">
        <v>0</v>
      </c>
      <c r="U1570" s="83">
        <v>4</v>
      </c>
      <c r="V1570" s="83">
        <v>1</v>
      </c>
      <c r="W1570" s="83" t="s">
        <v>103</v>
      </c>
      <c r="X1570" s="83">
        <v>0</v>
      </c>
    </row>
    <row r="1571" spans="1:25" x14ac:dyDescent="0.2">
      <c r="A1571" s="83">
        <v>1</v>
      </c>
      <c r="B1571" s="84">
        <v>5701603309502</v>
      </c>
      <c r="C1571" s="83">
        <v>40</v>
      </c>
      <c r="D1571" s="84">
        <v>5980823309</v>
      </c>
      <c r="F1571" s="83" t="s">
        <v>103</v>
      </c>
      <c r="G1571" s="83">
        <v>0</v>
      </c>
      <c r="H1571" s="83">
        <v>100</v>
      </c>
      <c r="K1571" s="83">
        <v>1</v>
      </c>
      <c r="L1571" s="83" t="s">
        <v>101</v>
      </c>
      <c r="M1571" s="83" t="s">
        <v>410</v>
      </c>
      <c r="N1571" s="83" t="s">
        <v>102</v>
      </c>
      <c r="P1571" s="83">
        <v>0</v>
      </c>
      <c r="U1571" s="83">
        <v>4</v>
      </c>
      <c r="V1571" s="83">
        <v>1</v>
      </c>
      <c r="W1571" s="83" t="s">
        <v>103</v>
      </c>
      <c r="X1571" s="83">
        <v>0</v>
      </c>
    </row>
    <row r="1572" spans="1:25" x14ac:dyDescent="0.2">
      <c r="A1572" s="83">
        <v>1</v>
      </c>
      <c r="B1572" s="84">
        <v>5701603309502</v>
      </c>
      <c r="C1572" s="83">
        <v>50</v>
      </c>
      <c r="D1572" s="84">
        <v>5980933309</v>
      </c>
      <c r="F1572" s="83" t="s">
        <v>103</v>
      </c>
      <c r="G1572" s="83">
        <v>0</v>
      </c>
      <c r="H1572" s="83">
        <v>100</v>
      </c>
      <c r="K1572" s="83">
        <v>1</v>
      </c>
      <c r="L1572" s="83" t="s">
        <v>101</v>
      </c>
      <c r="M1572" s="83" t="s">
        <v>410</v>
      </c>
      <c r="N1572" s="83" t="s">
        <v>102</v>
      </c>
      <c r="P1572" s="83">
        <v>0</v>
      </c>
      <c r="U1572" s="83">
        <v>4</v>
      </c>
      <c r="V1572" s="83">
        <v>1</v>
      </c>
      <c r="W1572" s="83" t="s">
        <v>103</v>
      </c>
      <c r="X1572" s="83">
        <v>0</v>
      </c>
    </row>
    <row r="1573" spans="1:25" x14ac:dyDescent="0.2">
      <c r="A1573" s="83">
        <v>1</v>
      </c>
      <c r="B1573" s="84">
        <v>5701603309502</v>
      </c>
      <c r="C1573" s="83">
        <v>60</v>
      </c>
      <c r="D1573" s="84">
        <v>1010286</v>
      </c>
      <c r="F1573" s="83" t="s">
        <v>103</v>
      </c>
      <c r="G1573" s="83">
        <v>0</v>
      </c>
      <c r="H1573" s="83">
        <v>100</v>
      </c>
      <c r="K1573" s="83">
        <v>8</v>
      </c>
      <c r="L1573" s="83" t="s">
        <v>101</v>
      </c>
      <c r="M1573" s="83" t="s">
        <v>410</v>
      </c>
      <c r="N1573" s="83" t="s">
        <v>102</v>
      </c>
      <c r="P1573" s="83">
        <v>0</v>
      </c>
      <c r="U1573" s="83">
        <v>4</v>
      </c>
      <c r="V1573" s="83">
        <v>1</v>
      </c>
      <c r="W1573" s="83" t="s">
        <v>103</v>
      </c>
      <c r="X1573" s="83">
        <v>0</v>
      </c>
    </row>
    <row r="1574" spans="1:25" x14ac:dyDescent="0.2">
      <c r="A1574" s="83">
        <v>1</v>
      </c>
      <c r="B1574" s="84">
        <v>5701603309502</v>
      </c>
      <c r="C1574" s="83">
        <v>70</v>
      </c>
      <c r="D1574" s="84">
        <v>1010287</v>
      </c>
      <c r="F1574" s="83" t="s">
        <v>103</v>
      </c>
      <c r="G1574" s="83">
        <v>0</v>
      </c>
      <c r="H1574" s="83">
        <v>100</v>
      </c>
      <c r="K1574" s="83">
        <v>4</v>
      </c>
      <c r="L1574" s="83" t="s">
        <v>101</v>
      </c>
      <c r="M1574" s="83" t="s">
        <v>410</v>
      </c>
      <c r="N1574" s="83" t="s">
        <v>102</v>
      </c>
      <c r="P1574" s="83">
        <v>0</v>
      </c>
      <c r="U1574" s="83">
        <v>4</v>
      </c>
      <c r="V1574" s="83">
        <v>1</v>
      </c>
      <c r="W1574" s="83" t="s">
        <v>103</v>
      </c>
      <c r="X1574" s="83">
        <v>0</v>
      </c>
    </row>
    <row r="1575" spans="1:25" x14ac:dyDescent="0.2">
      <c r="A1575" s="83">
        <v>1</v>
      </c>
      <c r="B1575" s="84">
        <v>5701603309502</v>
      </c>
      <c r="C1575" s="83">
        <v>80</v>
      </c>
      <c r="D1575" s="84">
        <v>1020145</v>
      </c>
      <c r="F1575" s="83" t="s">
        <v>103</v>
      </c>
      <c r="G1575" s="83">
        <v>0</v>
      </c>
      <c r="H1575" s="83">
        <v>100</v>
      </c>
      <c r="K1575" s="83" t="s">
        <v>408</v>
      </c>
      <c r="L1575" s="83" t="s">
        <v>101</v>
      </c>
      <c r="M1575" s="83" t="s">
        <v>410</v>
      </c>
      <c r="N1575" s="83" t="s">
        <v>102</v>
      </c>
      <c r="P1575" s="83">
        <v>0</v>
      </c>
      <c r="U1575" s="83">
        <v>4</v>
      </c>
      <c r="V1575" s="83">
        <v>1</v>
      </c>
      <c r="W1575" s="83" t="s">
        <v>103</v>
      </c>
      <c r="X1575" s="83">
        <v>0</v>
      </c>
    </row>
    <row r="1576" spans="1:25" x14ac:dyDescent="0.2">
      <c r="A1576" s="83">
        <v>1</v>
      </c>
      <c r="B1576" s="84">
        <v>5701603309502</v>
      </c>
      <c r="C1576" s="83">
        <v>90</v>
      </c>
      <c r="D1576" s="84">
        <v>777500502</v>
      </c>
      <c r="F1576" s="83" t="s">
        <v>103</v>
      </c>
      <c r="G1576" s="83">
        <v>0</v>
      </c>
      <c r="H1576" s="83">
        <v>100</v>
      </c>
      <c r="K1576" s="83">
        <v>1</v>
      </c>
      <c r="L1576" s="83" t="s">
        <v>101</v>
      </c>
      <c r="M1576" s="83" t="s">
        <v>410</v>
      </c>
      <c r="N1576" s="83" t="s">
        <v>102</v>
      </c>
      <c r="P1576" s="83">
        <v>0</v>
      </c>
      <c r="U1576" s="83">
        <v>4</v>
      </c>
      <c r="V1576" s="83">
        <v>1</v>
      </c>
      <c r="W1576" s="83" t="s">
        <v>103</v>
      </c>
      <c r="X1576" s="83">
        <v>0</v>
      </c>
    </row>
    <row r="1577" spans="1:25" x14ac:dyDescent="0.2">
      <c r="A1577" s="83">
        <v>1</v>
      </c>
      <c r="B1577" s="84">
        <v>5701603310502</v>
      </c>
      <c r="C1577" s="83">
        <v>10</v>
      </c>
      <c r="D1577" s="84">
        <v>5980463310</v>
      </c>
      <c r="F1577" s="83" t="s">
        <v>103</v>
      </c>
      <c r="G1577" s="83">
        <v>0</v>
      </c>
      <c r="H1577" s="83">
        <v>100</v>
      </c>
      <c r="K1577" s="83">
        <v>1</v>
      </c>
      <c r="L1577" s="83" t="s">
        <v>101</v>
      </c>
      <c r="M1577" s="83" t="s">
        <v>410</v>
      </c>
      <c r="N1577" s="83" t="s">
        <v>102</v>
      </c>
      <c r="P1577" s="83">
        <v>0</v>
      </c>
      <c r="U1577" s="83">
        <v>4</v>
      </c>
      <c r="V1577" s="83">
        <v>1</v>
      </c>
      <c r="W1577" s="83" t="s">
        <v>103</v>
      </c>
      <c r="X1577" s="83">
        <v>0</v>
      </c>
      <c r="Y1577" s="83" t="str">
        <f>LEFT(D1577,6)</f>
        <v>598046</v>
      </c>
    </row>
    <row r="1578" spans="1:25" x14ac:dyDescent="0.2">
      <c r="A1578" s="83">
        <v>1</v>
      </c>
      <c r="B1578" s="84">
        <v>5701603310502</v>
      </c>
      <c r="C1578" s="83">
        <v>20</v>
      </c>
      <c r="D1578" s="84">
        <v>5980543310</v>
      </c>
      <c r="F1578" s="83" t="s">
        <v>103</v>
      </c>
      <c r="G1578" s="83">
        <v>0</v>
      </c>
      <c r="H1578" s="83">
        <v>100</v>
      </c>
      <c r="K1578" s="83">
        <v>1</v>
      </c>
      <c r="L1578" s="83" t="s">
        <v>101</v>
      </c>
      <c r="M1578" s="83" t="s">
        <v>410</v>
      </c>
      <c r="N1578" s="83" t="s">
        <v>102</v>
      </c>
      <c r="P1578" s="83">
        <v>0</v>
      </c>
      <c r="U1578" s="83">
        <v>4</v>
      </c>
      <c r="V1578" s="83">
        <v>1</v>
      </c>
      <c r="W1578" s="83" t="s">
        <v>103</v>
      </c>
      <c r="X1578" s="83">
        <v>0</v>
      </c>
    </row>
    <row r="1579" spans="1:25" x14ac:dyDescent="0.2">
      <c r="A1579" s="83">
        <v>1</v>
      </c>
      <c r="B1579" s="84">
        <v>5701603310502</v>
      </c>
      <c r="C1579" s="83">
        <v>30</v>
      </c>
      <c r="D1579" s="84">
        <v>5980623310</v>
      </c>
      <c r="F1579" s="83" t="s">
        <v>103</v>
      </c>
      <c r="G1579" s="83">
        <v>0</v>
      </c>
      <c r="H1579" s="83">
        <v>100</v>
      </c>
      <c r="K1579" s="83">
        <v>1</v>
      </c>
      <c r="L1579" s="83" t="s">
        <v>101</v>
      </c>
      <c r="M1579" s="83" t="s">
        <v>410</v>
      </c>
      <c r="N1579" s="83" t="s">
        <v>102</v>
      </c>
      <c r="P1579" s="83">
        <v>0</v>
      </c>
      <c r="U1579" s="83">
        <v>4</v>
      </c>
      <c r="V1579" s="83">
        <v>1</v>
      </c>
      <c r="W1579" s="83" t="s">
        <v>103</v>
      </c>
      <c r="X1579" s="83">
        <v>0</v>
      </c>
    </row>
    <row r="1580" spans="1:25" x14ac:dyDescent="0.2">
      <c r="A1580" s="83">
        <v>1</v>
      </c>
      <c r="B1580" s="84">
        <v>5701603310502</v>
      </c>
      <c r="C1580" s="83">
        <v>40</v>
      </c>
      <c r="D1580" s="84">
        <v>5980823310</v>
      </c>
      <c r="F1580" s="83" t="s">
        <v>103</v>
      </c>
      <c r="G1580" s="83">
        <v>0</v>
      </c>
      <c r="H1580" s="83">
        <v>100</v>
      </c>
      <c r="K1580" s="83">
        <v>1</v>
      </c>
      <c r="L1580" s="83" t="s">
        <v>101</v>
      </c>
      <c r="M1580" s="83" t="s">
        <v>410</v>
      </c>
      <c r="N1580" s="83" t="s">
        <v>102</v>
      </c>
      <c r="P1580" s="83">
        <v>0</v>
      </c>
      <c r="U1580" s="83">
        <v>4</v>
      </c>
      <c r="V1580" s="83">
        <v>1</v>
      </c>
      <c r="W1580" s="83" t="s">
        <v>103</v>
      </c>
      <c r="X1580" s="83">
        <v>0</v>
      </c>
    </row>
    <row r="1581" spans="1:25" x14ac:dyDescent="0.2">
      <c r="A1581" s="83">
        <v>1</v>
      </c>
      <c r="B1581" s="84">
        <v>5701603310502</v>
      </c>
      <c r="C1581" s="83">
        <v>50</v>
      </c>
      <c r="D1581" s="84">
        <v>5980933310</v>
      </c>
      <c r="F1581" s="83" t="s">
        <v>103</v>
      </c>
      <c r="G1581" s="83">
        <v>0</v>
      </c>
      <c r="H1581" s="83">
        <v>100</v>
      </c>
      <c r="K1581" s="83">
        <v>1</v>
      </c>
      <c r="L1581" s="83" t="s">
        <v>101</v>
      </c>
      <c r="M1581" s="83" t="s">
        <v>410</v>
      </c>
      <c r="N1581" s="83" t="s">
        <v>102</v>
      </c>
      <c r="P1581" s="83">
        <v>0</v>
      </c>
      <c r="U1581" s="83">
        <v>4</v>
      </c>
      <c r="V1581" s="83">
        <v>1</v>
      </c>
      <c r="W1581" s="83" t="s">
        <v>103</v>
      </c>
      <c r="X1581" s="83">
        <v>0</v>
      </c>
    </row>
    <row r="1582" spans="1:25" x14ac:dyDescent="0.2">
      <c r="A1582" s="83">
        <v>1</v>
      </c>
      <c r="B1582" s="84">
        <v>5701603310502</v>
      </c>
      <c r="C1582" s="83">
        <v>60</v>
      </c>
      <c r="D1582" s="84">
        <v>1010286</v>
      </c>
      <c r="F1582" s="83" t="s">
        <v>103</v>
      </c>
      <c r="G1582" s="83">
        <v>0</v>
      </c>
      <c r="H1582" s="83">
        <v>100</v>
      </c>
      <c r="K1582" s="83">
        <v>8</v>
      </c>
      <c r="L1582" s="83" t="s">
        <v>101</v>
      </c>
      <c r="M1582" s="83" t="s">
        <v>410</v>
      </c>
      <c r="N1582" s="83" t="s">
        <v>102</v>
      </c>
      <c r="P1582" s="83">
        <v>0</v>
      </c>
      <c r="U1582" s="83">
        <v>4</v>
      </c>
      <c r="V1582" s="83">
        <v>1</v>
      </c>
      <c r="W1582" s="83" t="s">
        <v>103</v>
      </c>
      <c r="X1582" s="83">
        <v>0</v>
      </c>
    </row>
    <row r="1583" spans="1:25" x14ac:dyDescent="0.2">
      <c r="A1583" s="83">
        <v>1</v>
      </c>
      <c r="B1583" s="84">
        <v>5701603310502</v>
      </c>
      <c r="C1583" s="83">
        <v>70</v>
      </c>
      <c r="D1583" s="84">
        <v>1010287</v>
      </c>
      <c r="F1583" s="83" t="s">
        <v>103</v>
      </c>
      <c r="G1583" s="83">
        <v>0</v>
      </c>
      <c r="H1583" s="83">
        <v>100</v>
      </c>
      <c r="K1583" s="83">
        <v>4</v>
      </c>
      <c r="L1583" s="83" t="s">
        <v>101</v>
      </c>
      <c r="M1583" s="83" t="s">
        <v>410</v>
      </c>
      <c r="N1583" s="83" t="s">
        <v>102</v>
      </c>
      <c r="P1583" s="83">
        <v>0</v>
      </c>
      <c r="U1583" s="83">
        <v>4</v>
      </c>
      <c r="V1583" s="83">
        <v>1</v>
      </c>
      <c r="W1583" s="83" t="s">
        <v>103</v>
      </c>
      <c r="X1583" s="83">
        <v>0</v>
      </c>
    </row>
    <row r="1584" spans="1:25" x14ac:dyDescent="0.2">
      <c r="A1584" s="83">
        <v>1</v>
      </c>
      <c r="B1584" s="84">
        <v>5701603310502</v>
      </c>
      <c r="C1584" s="83">
        <v>80</v>
      </c>
      <c r="D1584" s="84">
        <v>1020145</v>
      </c>
      <c r="F1584" s="83" t="s">
        <v>103</v>
      </c>
      <c r="G1584" s="83">
        <v>0</v>
      </c>
      <c r="H1584" s="83">
        <v>100</v>
      </c>
      <c r="K1584" s="83" t="s">
        <v>408</v>
      </c>
      <c r="L1584" s="83" t="s">
        <v>101</v>
      </c>
      <c r="M1584" s="83" t="s">
        <v>410</v>
      </c>
      <c r="N1584" s="83" t="s">
        <v>102</v>
      </c>
      <c r="P1584" s="83">
        <v>0</v>
      </c>
      <c r="U1584" s="83">
        <v>4</v>
      </c>
      <c r="V1584" s="83">
        <v>1</v>
      </c>
      <c r="W1584" s="83" t="s">
        <v>103</v>
      </c>
      <c r="X1584" s="83">
        <v>0</v>
      </c>
    </row>
    <row r="1585" spans="1:25" x14ac:dyDescent="0.2">
      <c r="A1585" s="83">
        <v>1</v>
      </c>
      <c r="B1585" s="84">
        <v>5701603310502</v>
      </c>
      <c r="C1585" s="83">
        <v>90</v>
      </c>
      <c r="D1585" s="84">
        <v>777500502</v>
      </c>
      <c r="F1585" s="83" t="s">
        <v>103</v>
      </c>
      <c r="G1585" s="83">
        <v>0</v>
      </c>
      <c r="H1585" s="83">
        <v>100</v>
      </c>
      <c r="K1585" s="83">
        <v>1</v>
      </c>
      <c r="L1585" s="83" t="s">
        <v>101</v>
      </c>
      <c r="M1585" s="83" t="s">
        <v>410</v>
      </c>
      <c r="N1585" s="83" t="s">
        <v>102</v>
      </c>
      <c r="P1585" s="83">
        <v>0</v>
      </c>
      <c r="U1585" s="83">
        <v>4</v>
      </c>
      <c r="V1585" s="83">
        <v>1</v>
      </c>
      <c r="W1585" s="83" t="s">
        <v>103</v>
      </c>
      <c r="X1585" s="83">
        <v>0</v>
      </c>
    </row>
    <row r="1586" spans="1:25" x14ac:dyDescent="0.2">
      <c r="A1586" s="83">
        <v>1</v>
      </c>
      <c r="B1586" s="84">
        <v>5701603300305</v>
      </c>
      <c r="C1586" s="83">
        <v>10</v>
      </c>
      <c r="D1586" s="84">
        <v>5980463399</v>
      </c>
      <c r="F1586" s="83" t="s">
        <v>103</v>
      </c>
      <c r="G1586" s="83">
        <v>0</v>
      </c>
      <c r="H1586" s="83">
        <v>100</v>
      </c>
      <c r="K1586" s="83">
        <v>1</v>
      </c>
      <c r="L1586" s="83" t="s">
        <v>101</v>
      </c>
      <c r="M1586" s="83" t="s">
        <v>410</v>
      </c>
      <c r="N1586" s="83" t="s">
        <v>102</v>
      </c>
      <c r="P1586" s="83">
        <v>0</v>
      </c>
      <c r="U1586" s="83">
        <v>4</v>
      </c>
      <c r="V1586" s="83">
        <v>1</v>
      </c>
      <c r="W1586" s="83" t="s">
        <v>103</v>
      </c>
      <c r="X1586" s="83">
        <v>0</v>
      </c>
      <c r="Y1586" s="83" t="str">
        <f>LEFT(D1586,6)</f>
        <v>598046</v>
      </c>
    </row>
    <row r="1587" spans="1:25" x14ac:dyDescent="0.2">
      <c r="A1587" s="83">
        <v>1</v>
      </c>
      <c r="B1587" s="84">
        <v>5701603300305</v>
      </c>
      <c r="C1587" s="83">
        <v>20</v>
      </c>
      <c r="D1587" s="84">
        <v>5980543399</v>
      </c>
      <c r="F1587" s="83" t="s">
        <v>103</v>
      </c>
      <c r="G1587" s="83">
        <v>0</v>
      </c>
      <c r="H1587" s="83">
        <v>100</v>
      </c>
      <c r="K1587" s="83">
        <v>1</v>
      </c>
      <c r="L1587" s="83" t="s">
        <v>101</v>
      </c>
      <c r="M1587" s="83" t="s">
        <v>410</v>
      </c>
      <c r="N1587" s="83" t="s">
        <v>102</v>
      </c>
      <c r="P1587" s="83">
        <v>0</v>
      </c>
      <c r="U1587" s="83">
        <v>4</v>
      </c>
      <c r="V1587" s="83">
        <v>1</v>
      </c>
      <c r="W1587" s="83" t="s">
        <v>103</v>
      </c>
      <c r="X1587" s="83">
        <v>0</v>
      </c>
    </row>
    <row r="1588" spans="1:25" x14ac:dyDescent="0.2">
      <c r="A1588" s="83">
        <v>1</v>
      </c>
      <c r="B1588" s="84">
        <v>5701603300305</v>
      </c>
      <c r="C1588" s="83">
        <v>30</v>
      </c>
      <c r="D1588" s="84">
        <v>5980623399</v>
      </c>
      <c r="F1588" s="83" t="s">
        <v>103</v>
      </c>
      <c r="G1588" s="83">
        <v>0</v>
      </c>
      <c r="H1588" s="83">
        <v>100</v>
      </c>
      <c r="K1588" s="83">
        <v>1</v>
      </c>
      <c r="L1588" s="83" t="s">
        <v>101</v>
      </c>
      <c r="M1588" s="83" t="s">
        <v>410</v>
      </c>
      <c r="N1588" s="83" t="s">
        <v>102</v>
      </c>
      <c r="P1588" s="83">
        <v>0</v>
      </c>
      <c r="U1588" s="83">
        <v>4</v>
      </c>
      <c r="V1588" s="83">
        <v>1</v>
      </c>
      <c r="W1588" s="83" t="s">
        <v>103</v>
      </c>
      <c r="X1588" s="83">
        <v>0</v>
      </c>
    </row>
    <row r="1589" spans="1:25" x14ac:dyDescent="0.2">
      <c r="A1589" s="83">
        <v>1</v>
      </c>
      <c r="B1589" s="84">
        <v>5701603300305</v>
      </c>
      <c r="C1589" s="83">
        <v>40</v>
      </c>
      <c r="D1589" s="84">
        <v>5980823399</v>
      </c>
      <c r="F1589" s="83" t="s">
        <v>103</v>
      </c>
      <c r="G1589" s="83">
        <v>0</v>
      </c>
      <c r="H1589" s="83">
        <v>100</v>
      </c>
      <c r="K1589" s="83">
        <v>1</v>
      </c>
      <c r="L1589" s="83" t="s">
        <v>101</v>
      </c>
      <c r="M1589" s="83" t="s">
        <v>410</v>
      </c>
      <c r="N1589" s="83" t="s">
        <v>102</v>
      </c>
      <c r="P1589" s="83">
        <v>0</v>
      </c>
      <c r="U1589" s="83">
        <v>4</v>
      </c>
      <c r="V1589" s="83">
        <v>1</v>
      </c>
      <c r="W1589" s="83" t="s">
        <v>103</v>
      </c>
      <c r="X1589" s="83">
        <v>0</v>
      </c>
    </row>
    <row r="1590" spans="1:25" x14ac:dyDescent="0.2">
      <c r="A1590" s="83">
        <v>1</v>
      </c>
      <c r="B1590" s="84">
        <v>5701603300305</v>
      </c>
      <c r="C1590" s="83">
        <v>50</v>
      </c>
      <c r="D1590" s="85">
        <v>1010277</v>
      </c>
      <c r="F1590" s="83" t="s">
        <v>103</v>
      </c>
      <c r="G1590" s="83">
        <v>0</v>
      </c>
      <c r="H1590" s="83">
        <v>100</v>
      </c>
      <c r="K1590" s="83">
        <v>1</v>
      </c>
      <c r="L1590" s="83" t="s">
        <v>101</v>
      </c>
      <c r="M1590" s="83" t="s">
        <v>410</v>
      </c>
      <c r="N1590" s="83" t="s">
        <v>102</v>
      </c>
      <c r="P1590" s="83">
        <v>0</v>
      </c>
      <c r="U1590" s="83">
        <v>4</v>
      </c>
      <c r="V1590" s="83">
        <v>1</v>
      </c>
      <c r="W1590" s="83" t="s">
        <v>103</v>
      </c>
      <c r="X1590" s="83">
        <v>0</v>
      </c>
    </row>
    <row r="1591" spans="1:25" x14ac:dyDescent="0.2">
      <c r="A1591" s="83">
        <v>1</v>
      </c>
      <c r="B1591" s="84">
        <v>5701603300305</v>
      </c>
      <c r="C1591" s="83">
        <v>60</v>
      </c>
      <c r="D1591" s="84">
        <v>1010286</v>
      </c>
      <c r="F1591" s="83" t="s">
        <v>103</v>
      </c>
      <c r="G1591" s="83">
        <v>0</v>
      </c>
      <c r="H1591" s="83">
        <v>100</v>
      </c>
      <c r="K1591" s="83">
        <v>8</v>
      </c>
      <c r="L1591" s="83" t="s">
        <v>101</v>
      </c>
      <c r="M1591" s="83" t="s">
        <v>410</v>
      </c>
      <c r="N1591" s="83" t="s">
        <v>102</v>
      </c>
      <c r="P1591" s="83">
        <v>0</v>
      </c>
      <c r="U1591" s="83">
        <v>4</v>
      </c>
      <c r="V1591" s="83">
        <v>1</v>
      </c>
      <c r="W1591" s="83" t="s">
        <v>103</v>
      </c>
      <c r="X1591" s="83">
        <v>0</v>
      </c>
    </row>
    <row r="1592" spans="1:25" x14ac:dyDescent="0.2">
      <c r="A1592" s="83">
        <v>1</v>
      </c>
      <c r="B1592" s="84">
        <v>5701603300305</v>
      </c>
      <c r="C1592" s="83">
        <v>70</v>
      </c>
      <c r="D1592" s="84">
        <v>1010287</v>
      </c>
      <c r="F1592" s="83" t="s">
        <v>103</v>
      </c>
      <c r="G1592" s="83">
        <v>0</v>
      </c>
      <c r="H1592" s="83">
        <v>100</v>
      </c>
      <c r="K1592" s="83">
        <v>4</v>
      </c>
      <c r="L1592" s="83" t="s">
        <v>101</v>
      </c>
      <c r="M1592" s="83" t="s">
        <v>410</v>
      </c>
      <c r="N1592" s="83" t="s">
        <v>102</v>
      </c>
      <c r="P1592" s="83">
        <v>0</v>
      </c>
      <c r="U1592" s="83">
        <v>4</v>
      </c>
      <c r="V1592" s="83">
        <v>1</v>
      </c>
      <c r="W1592" s="83" t="s">
        <v>103</v>
      </c>
      <c r="X1592" s="83">
        <v>0</v>
      </c>
    </row>
    <row r="1593" spans="1:25" x14ac:dyDescent="0.2">
      <c r="A1593" s="83">
        <v>1</v>
      </c>
      <c r="B1593" s="84">
        <v>5701603300305</v>
      </c>
      <c r="C1593" s="83">
        <v>80</v>
      </c>
      <c r="D1593" s="84">
        <v>1020145</v>
      </c>
      <c r="F1593" s="83" t="s">
        <v>103</v>
      </c>
      <c r="G1593" s="83">
        <v>0</v>
      </c>
      <c r="H1593" s="83">
        <v>100</v>
      </c>
      <c r="K1593" s="83" t="s">
        <v>408</v>
      </c>
      <c r="L1593" s="83" t="s">
        <v>101</v>
      </c>
      <c r="M1593" s="83" t="s">
        <v>410</v>
      </c>
      <c r="N1593" s="83" t="s">
        <v>102</v>
      </c>
      <c r="P1593" s="83">
        <v>0</v>
      </c>
      <c r="U1593" s="83">
        <v>4</v>
      </c>
      <c r="V1593" s="83">
        <v>1</v>
      </c>
      <c r="W1593" s="83" t="s">
        <v>103</v>
      </c>
      <c r="X1593" s="83">
        <v>0</v>
      </c>
    </row>
    <row r="1594" spans="1:25" x14ac:dyDescent="0.2">
      <c r="A1594" s="83">
        <v>1</v>
      </c>
      <c r="B1594" s="84">
        <v>5701603300305</v>
      </c>
      <c r="C1594" s="83">
        <v>90</v>
      </c>
      <c r="D1594" s="84">
        <v>777500305</v>
      </c>
      <c r="F1594" s="83" t="s">
        <v>103</v>
      </c>
      <c r="G1594" s="83">
        <v>0</v>
      </c>
      <c r="H1594" s="83">
        <v>100</v>
      </c>
      <c r="K1594" s="83">
        <v>1</v>
      </c>
      <c r="L1594" s="83" t="s">
        <v>101</v>
      </c>
      <c r="M1594" s="83" t="s">
        <v>410</v>
      </c>
      <c r="N1594" s="83" t="s">
        <v>102</v>
      </c>
      <c r="P1594" s="83">
        <v>0</v>
      </c>
      <c r="U1594" s="83">
        <v>4</v>
      </c>
      <c r="V1594" s="83">
        <v>1</v>
      </c>
      <c r="W1594" s="83" t="s">
        <v>103</v>
      </c>
      <c r="X1594" s="83">
        <v>0</v>
      </c>
    </row>
    <row r="1595" spans="1:25" x14ac:dyDescent="0.2">
      <c r="A1595" s="83">
        <v>1</v>
      </c>
      <c r="B1595" s="84">
        <v>5701603301305</v>
      </c>
      <c r="C1595" s="83">
        <v>10</v>
      </c>
      <c r="D1595" s="84">
        <v>5980463301</v>
      </c>
      <c r="F1595" s="83" t="s">
        <v>103</v>
      </c>
      <c r="G1595" s="83">
        <v>0</v>
      </c>
      <c r="H1595" s="83">
        <v>100</v>
      </c>
      <c r="K1595" s="83">
        <v>1</v>
      </c>
      <c r="L1595" s="83" t="s">
        <v>101</v>
      </c>
      <c r="M1595" s="83" t="s">
        <v>410</v>
      </c>
      <c r="N1595" s="83" t="s">
        <v>102</v>
      </c>
      <c r="P1595" s="83">
        <v>0</v>
      </c>
      <c r="U1595" s="83">
        <v>4</v>
      </c>
      <c r="V1595" s="83">
        <v>1</v>
      </c>
      <c r="W1595" s="83" t="s">
        <v>103</v>
      </c>
      <c r="X1595" s="83">
        <v>0</v>
      </c>
      <c r="Y1595" s="83" t="str">
        <f>LEFT(D1595,6)</f>
        <v>598046</v>
      </c>
    </row>
    <row r="1596" spans="1:25" x14ac:dyDescent="0.2">
      <c r="A1596" s="83">
        <v>1</v>
      </c>
      <c r="B1596" s="84">
        <v>5701603301305</v>
      </c>
      <c r="C1596" s="83">
        <v>20</v>
      </c>
      <c r="D1596" s="84">
        <v>5980543301</v>
      </c>
      <c r="F1596" s="83" t="s">
        <v>103</v>
      </c>
      <c r="G1596" s="83">
        <v>0</v>
      </c>
      <c r="H1596" s="83">
        <v>100</v>
      </c>
      <c r="K1596" s="83">
        <v>1</v>
      </c>
      <c r="L1596" s="83" t="s">
        <v>101</v>
      </c>
      <c r="M1596" s="83" t="s">
        <v>410</v>
      </c>
      <c r="N1596" s="83" t="s">
        <v>102</v>
      </c>
      <c r="P1596" s="83">
        <v>0</v>
      </c>
      <c r="U1596" s="83">
        <v>4</v>
      </c>
      <c r="V1596" s="83">
        <v>1</v>
      </c>
      <c r="W1596" s="83" t="s">
        <v>103</v>
      </c>
      <c r="X1596" s="83">
        <v>0</v>
      </c>
    </row>
    <row r="1597" spans="1:25" x14ac:dyDescent="0.2">
      <c r="A1597" s="83">
        <v>1</v>
      </c>
      <c r="B1597" s="84">
        <v>5701603301305</v>
      </c>
      <c r="C1597" s="83">
        <v>30</v>
      </c>
      <c r="D1597" s="84">
        <v>5980623301</v>
      </c>
      <c r="F1597" s="83" t="s">
        <v>103</v>
      </c>
      <c r="G1597" s="83">
        <v>0</v>
      </c>
      <c r="H1597" s="83">
        <v>100</v>
      </c>
      <c r="K1597" s="83">
        <v>1</v>
      </c>
      <c r="L1597" s="83" t="s">
        <v>101</v>
      </c>
      <c r="M1597" s="83" t="s">
        <v>410</v>
      </c>
      <c r="N1597" s="83" t="s">
        <v>102</v>
      </c>
      <c r="P1597" s="83">
        <v>0</v>
      </c>
      <c r="U1597" s="83">
        <v>4</v>
      </c>
      <c r="V1597" s="83">
        <v>1</v>
      </c>
      <c r="W1597" s="83" t="s">
        <v>103</v>
      </c>
      <c r="X1597" s="83">
        <v>0</v>
      </c>
    </row>
    <row r="1598" spans="1:25" x14ac:dyDescent="0.2">
      <c r="A1598" s="83">
        <v>1</v>
      </c>
      <c r="B1598" s="84">
        <v>5701603301305</v>
      </c>
      <c r="C1598" s="83">
        <v>40</v>
      </c>
      <c r="D1598" s="84">
        <v>5980823301</v>
      </c>
      <c r="F1598" s="83" t="s">
        <v>103</v>
      </c>
      <c r="G1598" s="83">
        <v>0</v>
      </c>
      <c r="H1598" s="83">
        <v>100</v>
      </c>
      <c r="K1598" s="83">
        <v>1</v>
      </c>
      <c r="L1598" s="83" t="s">
        <v>101</v>
      </c>
      <c r="M1598" s="83" t="s">
        <v>410</v>
      </c>
      <c r="N1598" s="83" t="s">
        <v>102</v>
      </c>
      <c r="P1598" s="83">
        <v>0</v>
      </c>
      <c r="U1598" s="83">
        <v>4</v>
      </c>
      <c r="V1598" s="83">
        <v>1</v>
      </c>
      <c r="W1598" s="83" t="s">
        <v>103</v>
      </c>
      <c r="X1598" s="83">
        <v>0</v>
      </c>
    </row>
    <row r="1599" spans="1:25" x14ac:dyDescent="0.2">
      <c r="A1599" s="83">
        <v>1</v>
      </c>
      <c r="B1599" s="84">
        <v>5701603301305</v>
      </c>
      <c r="C1599" s="83">
        <v>50</v>
      </c>
      <c r="D1599" s="84">
        <v>5980933301</v>
      </c>
      <c r="F1599" s="83" t="s">
        <v>103</v>
      </c>
      <c r="G1599" s="83">
        <v>0</v>
      </c>
      <c r="H1599" s="83">
        <v>100</v>
      </c>
      <c r="K1599" s="83">
        <v>1</v>
      </c>
      <c r="L1599" s="83" t="s">
        <v>101</v>
      </c>
      <c r="M1599" s="83" t="s">
        <v>410</v>
      </c>
      <c r="N1599" s="83" t="s">
        <v>102</v>
      </c>
      <c r="P1599" s="83">
        <v>0</v>
      </c>
      <c r="U1599" s="83">
        <v>4</v>
      </c>
      <c r="V1599" s="83">
        <v>1</v>
      </c>
      <c r="W1599" s="83" t="s">
        <v>103</v>
      </c>
      <c r="X1599" s="83">
        <v>0</v>
      </c>
    </row>
    <row r="1600" spans="1:25" x14ac:dyDescent="0.2">
      <c r="A1600" s="83">
        <v>1</v>
      </c>
      <c r="B1600" s="84">
        <v>5701603301305</v>
      </c>
      <c r="C1600" s="83">
        <v>60</v>
      </c>
      <c r="D1600" s="84">
        <v>1010286</v>
      </c>
      <c r="F1600" s="83" t="s">
        <v>103</v>
      </c>
      <c r="G1600" s="83">
        <v>0</v>
      </c>
      <c r="H1600" s="83">
        <v>100</v>
      </c>
      <c r="K1600" s="83">
        <v>8</v>
      </c>
      <c r="L1600" s="83" t="s">
        <v>101</v>
      </c>
      <c r="M1600" s="83" t="s">
        <v>410</v>
      </c>
      <c r="N1600" s="83" t="s">
        <v>102</v>
      </c>
      <c r="P1600" s="83">
        <v>0</v>
      </c>
      <c r="U1600" s="83">
        <v>4</v>
      </c>
      <c r="V1600" s="83">
        <v>1</v>
      </c>
      <c r="W1600" s="83" t="s">
        <v>103</v>
      </c>
      <c r="X1600" s="83">
        <v>0</v>
      </c>
    </row>
    <row r="1601" spans="1:25" x14ac:dyDescent="0.2">
      <c r="A1601" s="83">
        <v>1</v>
      </c>
      <c r="B1601" s="84">
        <v>5701603301305</v>
      </c>
      <c r="C1601" s="83">
        <v>70</v>
      </c>
      <c r="D1601" s="84">
        <v>1010287</v>
      </c>
      <c r="F1601" s="83" t="s">
        <v>103</v>
      </c>
      <c r="G1601" s="83">
        <v>0</v>
      </c>
      <c r="H1601" s="83">
        <v>100</v>
      </c>
      <c r="K1601" s="83">
        <v>4</v>
      </c>
      <c r="L1601" s="83" t="s">
        <v>101</v>
      </c>
      <c r="M1601" s="83" t="s">
        <v>410</v>
      </c>
      <c r="N1601" s="83" t="s">
        <v>102</v>
      </c>
      <c r="P1601" s="83">
        <v>0</v>
      </c>
      <c r="U1601" s="83">
        <v>4</v>
      </c>
      <c r="V1601" s="83">
        <v>1</v>
      </c>
      <c r="W1601" s="83" t="s">
        <v>103</v>
      </c>
      <c r="X1601" s="83">
        <v>0</v>
      </c>
    </row>
    <row r="1602" spans="1:25" x14ac:dyDescent="0.2">
      <c r="A1602" s="83">
        <v>1</v>
      </c>
      <c r="B1602" s="84">
        <v>5701603301305</v>
      </c>
      <c r="C1602" s="83">
        <v>80</v>
      </c>
      <c r="D1602" s="84">
        <v>1020145</v>
      </c>
      <c r="F1602" s="83" t="s">
        <v>103</v>
      </c>
      <c r="G1602" s="83">
        <v>0</v>
      </c>
      <c r="H1602" s="83">
        <v>100</v>
      </c>
      <c r="K1602" s="83" t="s">
        <v>408</v>
      </c>
      <c r="L1602" s="83" t="s">
        <v>101</v>
      </c>
      <c r="M1602" s="83" t="s">
        <v>410</v>
      </c>
      <c r="N1602" s="83" t="s">
        <v>102</v>
      </c>
      <c r="P1602" s="83">
        <v>0</v>
      </c>
      <c r="U1602" s="83">
        <v>4</v>
      </c>
      <c r="V1602" s="83">
        <v>1</v>
      </c>
      <c r="W1602" s="83" t="s">
        <v>103</v>
      </c>
      <c r="X1602" s="83">
        <v>0</v>
      </c>
    </row>
    <row r="1603" spans="1:25" x14ac:dyDescent="0.2">
      <c r="A1603" s="83">
        <v>1</v>
      </c>
      <c r="B1603" s="84">
        <v>5701603301305</v>
      </c>
      <c r="C1603" s="83">
        <v>90</v>
      </c>
      <c r="D1603" s="84">
        <v>777500305</v>
      </c>
      <c r="F1603" s="83" t="s">
        <v>103</v>
      </c>
      <c r="G1603" s="83">
        <v>0</v>
      </c>
      <c r="H1603" s="83">
        <v>100</v>
      </c>
      <c r="K1603" s="83">
        <v>1</v>
      </c>
      <c r="L1603" s="83" t="s">
        <v>101</v>
      </c>
      <c r="M1603" s="83" t="s">
        <v>410</v>
      </c>
      <c r="N1603" s="83" t="s">
        <v>102</v>
      </c>
      <c r="P1603" s="83">
        <v>0</v>
      </c>
      <c r="U1603" s="83">
        <v>4</v>
      </c>
      <c r="V1603" s="83">
        <v>1</v>
      </c>
      <c r="W1603" s="83" t="s">
        <v>103</v>
      </c>
      <c r="X1603" s="83">
        <v>0</v>
      </c>
    </row>
    <row r="1604" spans="1:25" x14ac:dyDescent="0.2">
      <c r="A1604" s="83">
        <v>1</v>
      </c>
      <c r="B1604" s="84">
        <v>5701603302305</v>
      </c>
      <c r="C1604" s="83">
        <v>10</v>
      </c>
      <c r="D1604" s="84">
        <v>5980463302</v>
      </c>
      <c r="F1604" s="83" t="s">
        <v>103</v>
      </c>
      <c r="G1604" s="83">
        <v>0</v>
      </c>
      <c r="H1604" s="83">
        <v>100</v>
      </c>
      <c r="K1604" s="83">
        <v>1</v>
      </c>
      <c r="L1604" s="83" t="s">
        <v>101</v>
      </c>
      <c r="M1604" s="83" t="s">
        <v>410</v>
      </c>
      <c r="N1604" s="83" t="s">
        <v>102</v>
      </c>
      <c r="P1604" s="83">
        <v>0</v>
      </c>
      <c r="U1604" s="83">
        <v>4</v>
      </c>
      <c r="V1604" s="83">
        <v>1</v>
      </c>
      <c r="W1604" s="83" t="s">
        <v>103</v>
      </c>
      <c r="X1604" s="83">
        <v>0</v>
      </c>
      <c r="Y1604" s="83" t="str">
        <f>LEFT(D1604,6)</f>
        <v>598046</v>
      </c>
    </row>
    <row r="1605" spans="1:25" x14ac:dyDescent="0.2">
      <c r="A1605" s="83">
        <v>1</v>
      </c>
      <c r="B1605" s="84">
        <v>5701603302305</v>
      </c>
      <c r="C1605" s="83">
        <v>20</v>
      </c>
      <c r="D1605" s="84">
        <v>5980543302</v>
      </c>
      <c r="F1605" s="83" t="s">
        <v>103</v>
      </c>
      <c r="G1605" s="83">
        <v>0</v>
      </c>
      <c r="H1605" s="83">
        <v>100</v>
      </c>
      <c r="K1605" s="83">
        <v>1</v>
      </c>
      <c r="L1605" s="83" t="s">
        <v>101</v>
      </c>
      <c r="M1605" s="83" t="s">
        <v>410</v>
      </c>
      <c r="N1605" s="83" t="s">
        <v>102</v>
      </c>
      <c r="P1605" s="83">
        <v>0</v>
      </c>
      <c r="U1605" s="83">
        <v>4</v>
      </c>
      <c r="V1605" s="83">
        <v>1</v>
      </c>
      <c r="W1605" s="83" t="s">
        <v>103</v>
      </c>
      <c r="X1605" s="83">
        <v>0</v>
      </c>
    </row>
    <row r="1606" spans="1:25" x14ac:dyDescent="0.2">
      <c r="A1606" s="83">
        <v>1</v>
      </c>
      <c r="B1606" s="84">
        <v>5701603302305</v>
      </c>
      <c r="C1606" s="83">
        <v>30</v>
      </c>
      <c r="D1606" s="84">
        <v>5980623302</v>
      </c>
      <c r="F1606" s="83" t="s">
        <v>103</v>
      </c>
      <c r="G1606" s="83">
        <v>0</v>
      </c>
      <c r="H1606" s="83">
        <v>100</v>
      </c>
      <c r="K1606" s="83">
        <v>1</v>
      </c>
      <c r="L1606" s="83" t="s">
        <v>101</v>
      </c>
      <c r="M1606" s="83" t="s">
        <v>410</v>
      </c>
      <c r="N1606" s="83" t="s">
        <v>102</v>
      </c>
      <c r="P1606" s="83">
        <v>0</v>
      </c>
      <c r="U1606" s="83">
        <v>4</v>
      </c>
      <c r="V1606" s="83">
        <v>1</v>
      </c>
      <c r="W1606" s="83" t="s">
        <v>103</v>
      </c>
      <c r="X1606" s="83">
        <v>0</v>
      </c>
    </row>
    <row r="1607" spans="1:25" x14ac:dyDescent="0.2">
      <c r="A1607" s="83">
        <v>1</v>
      </c>
      <c r="B1607" s="84">
        <v>5701603302305</v>
      </c>
      <c r="C1607" s="83">
        <v>40</v>
      </c>
      <c r="D1607" s="84">
        <v>5980823302</v>
      </c>
      <c r="F1607" s="83" t="s">
        <v>103</v>
      </c>
      <c r="G1607" s="83">
        <v>0</v>
      </c>
      <c r="H1607" s="83">
        <v>100</v>
      </c>
      <c r="K1607" s="83">
        <v>1</v>
      </c>
      <c r="L1607" s="83" t="s">
        <v>101</v>
      </c>
      <c r="M1607" s="83" t="s">
        <v>410</v>
      </c>
      <c r="N1607" s="83" t="s">
        <v>102</v>
      </c>
      <c r="P1607" s="83">
        <v>0</v>
      </c>
      <c r="U1607" s="83">
        <v>4</v>
      </c>
      <c r="V1607" s="83">
        <v>1</v>
      </c>
      <c r="W1607" s="83" t="s">
        <v>103</v>
      </c>
      <c r="X1607" s="83">
        <v>0</v>
      </c>
    </row>
    <row r="1608" spans="1:25" x14ac:dyDescent="0.2">
      <c r="A1608" s="83">
        <v>1</v>
      </c>
      <c r="B1608" s="84">
        <v>5701603302305</v>
      </c>
      <c r="C1608" s="83">
        <v>50</v>
      </c>
      <c r="D1608" s="84">
        <v>5980933302</v>
      </c>
      <c r="F1608" s="83" t="s">
        <v>103</v>
      </c>
      <c r="G1608" s="83">
        <v>0</v>
      </c>
      <c r="H1608" s="83">
        <v>100</v>
      </c>
      <c r="K1608" s="83">
        <v>1</v>
      </c>
      <c r="L1608" s="83" t="s">
        <v>101</v>
      </c>
      <c r="M1608" s="83" t="s">
        <v>410</v>
      </c>
      <c r="N1608" s="83" t="s">
        <v>102</v>
      </c>
      <c r="P1608" s="83">
        <v>0</v>
      </c>
      <c r="U1608" s="83">
        <v>4</v>
      </c>
      <c r="V1608" s="83">
        <v>1</v>
      </c>
      <c r="W1608" s="83" t="s">
        <v>103</v>
      </c>
      <c r="X1608" s="83">
        <v>0</v>
      </c>
    </row>
    <row r="1609" spans="1:25" x14ac:dyDescent="0.2">
      <c r="A1609" s="83">
        <v>1</v>
      </c>
      <c r="B1609" s="84">
        <v>5701603302305</v>
      </c>
      <c r="C1609" s="83">
        <v>60</v>
      </c>
      <c r="D1609" s="84">
        <v>1010286</v>
      </c>
      <c r="F1609" s="83" t="s">
        <v>103</v>
      </c>
      <c r="G1609" s="83">
        <v>0</v>
      </c>
      <c r="H1609" s="83">
        <v>100</v>
      </c>
      <c r="K1609" s="83">
        <v>8</v>
      </c>
      <c r="L1609" s="83" t="s">
        <v>101</v>
      </c>
      <c r="M1609" s="83" t="s">
        <v>410</v>
      </c>
      <c r="N1609" s="83" t="s">
        <v>102</v>
      </c>
      <c r="P1609" s="83">
        <v>0</v>
      </c>
      <c r="U1609" s="83">
        <v>4</v>
      </c>
      <c r="V1609" s="83">
        <v>1</v>
      </c>
      <c r="W1609" s="83" t="s">
        <v>103</v>
      </c>
      <c r="X1609" s="83">
        <v>0</v>
      </c>
    </row>
    <row r="1610" spans="1:25" x14ac:dyDescent="0.2">
      <c r="A1610" s="83">
        <v>1</v>
      </c>
      <c r="B1610" s="84">
        <v>5701603302305</v>
      </c>
      <c r="C1610" s="83">
        <v>70</v>
      </c>
      <c r="D1610" s="84">
        <v>1010288</v>
      </c>
      <c r="F1610" s="83" t="s">
        <v>103</v>
      </c>
      <c r="G1610" s="83">
        <v>0</v>
      </c>
      <c r="H1610" s="83">
        <v>100</v>
      </c>
      <c r="K1610" s="83">
        <v>4</v>
      </c>
      <c r="L1610" s="83" t="s">
        <v>101</v>
      </c>
      <c r="M1610" s="83" t="s">
        <v>410</v>
      </c>
      <c r="N1610" s="83" t="s">
        <v>102</v>
      </c>
      <c r="P1610" s="83">
        <v>0</v>
      </c>
      <c r="U1610" s="83">
        <v>4</v>
      </c>
      <c r="V1610" s="83">
        <v>1</v>
      </c>
      <c r="W1610" s="83" t="s">
        <v>103</v>
      </c>
      <c r="X1610" s="83">
        <v>0</v>
      </c>
    </row>
    <row r="1611" spans="1:25" x14ac:dyDescent="0.2">
      <c r="A1611" s="83">
        <v>1</v>
      </c>
      <c r="B1611" s="84">
        <v>5701603302305</v>
      </c>
      <c r="C1611" s="83">
        <v>80</v>
      </c>
      <c r="D1611" s="84">
        <v>1020145</v>
      </c>
      <c r="F1611" s="83" t="s">
        <v>103</v>
      </c>
      <c r="G1611" s="83">
        <v>0</v>
      </c>
      <c r="H1611" s="83">
        <v>100</v>
      </c>
      <c r="K1611" s="83" t="s">
        <v>408</v>
      </c>
      <c r="L1611" s="83" t="s">
        <v>101</v>
      </c>
      <c r="M1611" s="83" t="s">
        <v>410</v>
      </c>
      <c r="N1611" s="83" t="s">
        <v>102</v>
      </c>
      <c r="P1611" s="83">
        <v>0</v>
      </c>
      <c r="U1611" s="83">
        <v>4</v>
      </c>
      <c r="V1611" s="83">
        <v>1</v>
      </c>
      <c r="W1611" s="83" t="s">
        <v>103</v>
      </c>
      <c r="X1611" s="83">
        <v>0</v>
      </c>
    </row>
    <row r="1612" spans="1:25" x14ac:dyDescent="0.2">
      <c r="A1612" s="83">
        <v>1</v>
      </c>
      <c r="B1612" s="84">
        <v>5701603302305</v>
      </c>
      <c r="C1612" s="83">
        <v>90</v>
      </c>
      <c r="D1612" s="84">
        <v>777500305</v>
      </c>
      <c r="F1612" s="83" t="s">
        <v>103</v>
      </c>
      <c r="G1612" s="83">
        <v>0</v>
      </c>
      <c r="H1612" s="83">
        <v>100</v>
      </c>
      <c r="K1612" s="83">
        <v>1</v>
      </c>
      <c r="L1612" s="83" t="s">
        <v>101</v>
      </c>
      <c r="M1612" s="83" t="s">
        <v>410</v>
      </c>
      <c r="N1612" s="83" t="s">
        <v>102</v>
      </c>
      <c r="P1612" s="83">
        <v>0</v>
      </c>
      <c r="U1612" s="83">
        <v>4</v>
      </c>
      <c r="V1612" s="83">
        <v>1</v>
      </c>
      <c r="W1612" s="83" t="s">
        <v>103</v>
      </c>
      <c r="X1612" s="83">
        <v>0</v>
      </c>
    </row>
    <row r="1613" spans="1:25" x14ac:dyDescent="0.2">
      <c r="A1613" s="83">
        <v>1</v>
      </c>
      <c r="B1613" s="84">
        <v>5701603303305</v>
      </c>
      <c r="C1613" s="83">
        <v>10</v>
      </c>
      <c r="D1613" s="84">
        <v>5980463303</v>
      </c>
      <c r="F1613" s="83" t="s">
        <v>103</v>
      </c>
      <c r="G1613" s="83">
        <v>0</v>
      </c>
      <c r="H1613" s="83">
        <v>100</v>
      </c>
      <c r="K1613" s="83">
        <v>1</v>
      </c>
      <c r="L1613" s="83" t="s">
        <v>101</v>
      </c>
      <c r="M1613" s="83" t="s">
        <v>410</v>
      </c>
      <c r="N1613" s="83" t="s">
        <v>102</v>
      </c>
      <c r="P1613" s="83">
        <v>0</v>
      </c>
      <c r="U1613" s="83">
        <v>4</v>
      </c>
      <c r="V1613" s="83">
        <v>1</v>
      </c>
      <c r="W1613" s="83" t="s">
        <v>103</v>
      </c>
      <c r="X1613" s="83">
        <v>0</v>
      </c>
      <c r="Y1613" s="83" t="str">
        <f>LEFT(D1613,6)</f>
        <v>598046</v>
      </c>
    </row>
    <row r="1614" spans="1:25" x14ac:dyDescent="0.2">
      <c r="A1614" s="83">
        <v>1</v>
      </c>
      <c r="B1614" s="84">
        <v>5701603303305</v>
      </c>
      <c r="C1614" s="83">
        <v>20</v>
      </c>
      <c r="D1614" s="84">
        <v>5980543303</v>
      </c>
      <c r="F1614" s="83" t="s">
        <v>103</v>
      </c>
      <c r="G1614" s="83">
        <v>0</v>
      </c>
      <c r="H1614" s="83">
        <v>100</v>
      </c>
      <c r="K1614" s="83">
        <v>1</v>
      </c>
      <c r="L1614" s="83" t="s">
        <v>101</v>
      </c>
      <c r="M1614" s="83" t="s">
        <v>410</v>
      </c>
      <c r="N1614" s="83" t="s">
        <v>102</v>
      </c>
      <c r="P1614" s="83">
        <v>0</v>
      </c>
      <c r="U1614" s="83">
        <v>4</v>
      </c>
      <c r="V1614" s="83">
        <v>1</v>
      </c>
      <c r="W1614" s="83" t="s">
        <v>103</v>
      </c>
      <c r="X1614" s="83">
        <v>0</v>
      </c>
    </row>
    <row r="1615" spans="1:25" x14ac:dyDescent="0.2">
      <c r="A1615" s="83">
        <v>1</v>
      </c>
      <c r="B1615" s="84">
        <v>5701603303305</v>
      </c>
      <c r="C1615" s="83">
        <v>30</v>
      </c>
      <c r="D1615" s="84">
        <v>5980623303</v>
      </c>
      <c r="F1615" s="83" t="s">
        <v>103</v>
      </c>
      <c r="G1615" s="83">
        <v>0</v>
      </c>
      <c r="H1615" s="83">
        <v>100</v>
      </c>
      <c r="K1615" s="83">
        <v>1</v>
      </c>
      <c r="L1615" s="83" t="s">
        <v>101</v>
      </c>
      <c r="M1615" s="83" t="s">
        <v>410</v>
      </c>
      <c r="N1615" s="83" t="s">
        <v>102</v>
      </c>
      <c r="P1615" s="83">
        <v>0</v>
      </c>
      <c r="U1615" s="83">
        <v>4</v>
      </c>
      <c r="V1615" s="83">
        <v>1</v>
      </c>
      <c r="W1615" s="83" t="s">
        <v>103</v>
      </c>
      <c r="X1615" s="83">
        <v>0</v>
      </c>
    </row>
    <row r="1616" spans="1:25" x14ac:dyDescent="0.2">
      <c r="A1616" s="83">
        <v>1</v>
      </c>
      <c r="B1616" s="84">
        <v>5701603303305</v>
      </c>
      <c r="C1616" s="83">
        <v>40</v>
      </c>
      <c r="D1616" s="84">
        <v>5980823303</v>
      </c>
      <c r="F1616" s="83" t="s">
        <v>103</v>
      </c>
      <c r="G1616" s="83">
        <v>0</v>
      </c>
      <c r="H1616" s="83">
        <v>100</v>
      </c>
      <c r="K1616" s="83">
        <v>1</v>
      </c>
      <c r="L1616" s="83" t="s">
        <v>101</v>
      </c>
      <c r="M1616" s="83" t="s">
        <v>410</v>
      </c>
      <c r="N1616" s="83" t="s">
        <v>102</v>
      </c>
      <c r="P1616" s="83">
        <v>0</v>
      </c>
      <c r="U1616" s="83">
        <v>4</v>
      </c>
      <c r="V1616" s="83">
        <v>1</v>
      </c>
      <c r="W1616" s="83" t="s">
        <v>103</v>
      </c>
      <c r="X1616" s="83">
        <v>0</v>
      </c>
    </row>
    <row r="1617" spans="1:25" x14ac:dyDescent="0.2">
      <c r="A1617" s="83">
        <v>1</v>
      </c>
      <c r="B1617" s="84">
        <v>5701603303305</v>
      </c>
      <c r="C1617" s="83">
        <v>50</v>
      </c>
      <c r="D1617" s="84">
        <v>5980933303</v>
      </c>
      <c r="F1617" s="83" t="s">
        <v>103</v>
      </c>
      <c r="G1617" s="83">
        <v>0</v>
      </c>
      <c r="H1617" s="83">
        <v>100</v>
      </c>
      <c r="K1617" s="83">
        <v>1</v>
      </c>
      <c r="L1617" s="83" t="s">
        <v>101</v>
      </c>
      <c r="M1617" s="83" t="s">
        <v>410</v>
      </c>
      <c r="N1617" s="83" t="s">
        <v>102</v>
      </c>
      <c r="P1617" s="83">
        <v>0</v>
      </c>
      <c r="U1617" s="83">
        <v>4</v>
      </c>
      <c r="V1617" s="83">
        <v>1</v>
      </c>
      <c r="W1617" s="83" t="s">
        <v>103</v>
      </c>
      <c r="X1617" s="83">
        <v>0</v>
      </c>
    </row>
    <row r="1618" spans="1:25" x14ac:dyDescent="0.2">
      <c r="A1618" s="83">
        <v>1</v>
      </c>
      <c r="B1618" s="84">
        <v>5701603303305</v>
      </c>
      <c r="C1618" s="83">
        <v>60</v>
      </c>
      <c r="D1618" s="84">
        <v>1010286</v>
      </c>
      <c r="F1618" s="83" t="s">
        <v>103</v>
      </c>
      <c r="G1618" s="83">
        <v>0</v>
      </c>
      <c r="H1618" s="83">
        <v>100</v>
      </c>
      <c r="K1618" s="83">
        <v>8</v>
      </c>
      <c r="L1618" s="83" t="s">
        <v>101</v>
      </c>
      <c r="M1618" s="83" t="s">
        <v>410</v>
      </c>
      <c r="N1618" s="83" t="s">
        <v>102</v>
      </c>
      <c r="P1618" s="83">
        <v>0</v>
      </c>
      <c r="U1618" s="83">
        <v>4</v>
      </c>
      <c r="V1618" s="83">
        <v>1</v>
      </c>
      <c r="W1618" s="83" t="s">
        <v>103</v>
      </c>
      <c r="X1618" s="83">
        <v>0</v>
      </c>
    </row>
    <row r="1619" spans="1:25" x14ac:dyDescent="0.2">
      <c r="A1619" s="83">
        <v>1</v>
      </c>
      <c r="B1619" s="84">
        <v>5701603303305</v>
      </c>
      <c r="C1619" s="83">
        <v>70</v>
      </c>
      <c r="D1619" s="84">
        <v>1010287</v>
      </c>
      <c r="F1619" s="83" t="s">
        <v>103</v>
      </c>
      <c r="G1619" s="83">
        <v>0</v>
      </c>
      <c r="H1619" s="83">
        <v>100</v>
      </c>
      <c r="K1619" s="83">
        <v>4</v>
      </c>
      <c r="L1619" s="83" t="s">
        <v>101</v>
      </c>
      <c r="M1619" s="83" t="s">
        <v>410</v>
      </c>
      <c r="N1619" s="83" t="s">
        <v>102</v>
      </c>
      <c r="P1619" s="83">
        <v>0</v>
      </c>
      <c r="U1619" s="83">
        <v>4</v>
      </c>
      <c r="V1619" s="83">
        <v>1</v>
      </c>
      <c r="W1619" s="83" t="s">
        <v>103</v>
      </c>
      <c r="X1619" s="83">
        <v>0</v>
      </c>
    </row>
    <row r="1620" spans="1:25" x14ac:dyDescent="0.2">
      <c r="A1620" s="83">
        <v>1</v>
      </c>
      <c r="B1620" s="84">
        <v>5701603303305</v>
      </c>
      <c r="C1620" s="83">
        <v>80</v>
      </c>
      <c r="D1620" s="84">
        <v>1020145</v>
      </c>
      <c r="F1620" s="83" t="s">
        <v>103</v>
      </c>
      <c r="G1620" s="83">
        <v>0</v>
      </c>
      <c r="H1620" s="83">
        <v>100</v>
      </c>
      <c r="K1620" s="83" t="s">
        <v>408</v>
      </c>
      <c r="L1620" s="83" t="s">
        <v>101</v>
      </c>
      <c r="M1620" s="83" t="s">
        <v>410</v>
      </c>
      <c r="N1620" s="83" t="s">
        <v>102</v>
      </c>
      <c r="P1620" s="83">
        <v>0</v>
      </c>
      <c r="U1620" s="83">
        <v>4</v>
      </c>
      <c r="V1620" s="83">
        <v>1</v>
      </c>
      <c r="W1620" s="83" t="s">
        <v>103</v>
      </c>
      <c r="X1620" s="83">
        <v>0</v>
      </c>
    </row>
    <row r="1621" spans="1:25" x14ac:dyDescent="0.2">
      <c r="A1621" s="83">
        <v>1</v>
      </c>
      <c r="B1621" s="84">
        <v>5701603303305</v>
      </c>
      <c r="C1621" s="83">
        <v>90</v>
      </c>
      <c r="D1621" s="84">
        <v>777500305</v>
      </c>
      <c r="F1621" s="83" t="s">
        <v>103</v>
      </c>
      <c r="G1621" s="83">
        <v>0</v>
      </c>
      <c r="H1621" s="83">
        <v>100</v>
      </c>
      <c r="K1621" s="83">
        <v>1</v>
      </c>
      <c r="L1621" s="83" t="s">
        <v>101</v>
      </c>
      <c r="M1621" s="83" t="s">
        <v>410</v>
      </c>
      <c r="N1621" s="83" t="s">
        <v>102</v>
      </c>
      <c r="P1621" s="83">
        <v>0</v>
      </c>
      <c r="U1621" s="83">
        <v>4</v>
      </c>
      <c r="V1621" s="83">
        <v>1</v>
      </c>
      <c r="W1621" s="83" t="s">
        <v>103</v>
      </c>
      <c r="X1621" s="83">
        <v>0</v>
      </c>
    </row>
    <row r="1622" spans="1:25" x14ac:dyDescent="0.2">
      <c r="A1622" s="83">
        <v>1</v>
      </c>
      <c r="B1622" s="84">
        <v>5701603304305</v>
      </c>
      <c r="C1622" s="83">
        <v>10</v>
      </c>
      <c r="D1622" s="84">
        <v>5980463304</v>
      </c>
      <c r="F1622" s="83" t="s">
        <v>103</v>
      </c>
      <c r="G1622" s="83">
        <v>0</v>
      </c>
      <c r="H1622" s="83">
        <v>100</v>
      </c>
      <c r="K1622" s="83">
        <v>1</v>
      </c>
      <c r="L1622" s="83" t="s">
        <v>101</v>
      </c>
      <c r="M1622" s="83" t="s">
        <v>410</v>
      </c>
      <c r="N1622" s="83" t="s">
        <v>102</v>
      </c>
      <c r="P1622" s="83">
        <v>0</v>
      </c>
      <c r="U1622" s="83">
        <v>4</v>
      </c>
      <c r="V1622" s="83">
        <v>1</v>
      </c>
      <c r="W1622" s="83" t="s">
        <v>103</v>
      </c>
      <c r="X1622" s="83">
        <v>0</v>
      </c>
      <c r="Y1622" s="83" t="str">
        <f>LEFT(D1622,6)</f>
        <v>598046</v>
      </c>
    </row>
    <row r="1623" spans="1:25" x14ac:dyDescent="0.2">
      <c r="A1623" s="83">
        <v>1</v>
      </c>
      <c r="B1623" s="84">
        <v>5701603304305</v>
      </c>
      <c r="C1623" s="83">
        <v>20</v>
      </c>
      <c r="D1623" s="84">
        <v>5980543304</v>
      </c>
      <c r="F1623" s="83" t="s">
        <v>103</v>
      </c>
      <c r="G1623" s="83">
        <v>0</v>
      </c>
      <c r="H1623" s="83">
        <v>100</v>
      </c>
      <c r="K1623" s="83">
        <v>1</v>
      </c>
      <c r="L1623" s="83" t="s">
        <v>101</v>
      </c>
      <c r="M1623" s="83" t="s">
        <v>410</v>
      </c>
      <c r="N1623" s="83" t="s">
        <v>102</v>
      </c>
      <c r="P1623" s="83">
        <v>0</v>
      </c>
      <c r="U1623" s="83">
        <v>4</v>
      </c>
      <c r="V1623" s="83">
        <v>1</v>
      </c>
      <c r="W1623" s="83" t="s">
        <v>103</v>
      </c>
      <c r="X1623" s="83">
        <v>0</v>
      </c>
    </row>
    <row r="1624" spans="1:25" x14ac:dyDescent="0.2">
      <c r="A1624" s="83">
        <v>1</v>
      </c>
      <c r="B1624" s="84">
        <v>5701603304305</v>
      </c>
      <c r="C1624" s="83">
        <v>30</v>
      </c>
      <c r="D1624" s="84">
        <v>5980623304</v>
      </c>
      <c r="F1624" s="83" t="s">
        <v>103</v>
      </c>
      <c r="G1624" s="83">
        <v>0</v>
      </c>
      <c r="H1624" s="83">
        <v>100</v>
      </c>
      <c r="K1624" s="83">
        <v>1</v>
      </c>
      <c r="L1624" s="83" t="s">
        <v>101</v>
      </c>
      <c r="M1624" s="83" t="s">
        <v>410</v>
      </c>
      <c r="N1624" s="83" t="s">
        <v>102</v>
      </c>
      <c r="P1624" s="83">
        <v>0</v>
      </c>
      <c r="U1624" s="83">
        <v>4</v>
      </c>
      <c r="V1624" s="83">
        <v>1</v>
      </c>
      <c r="W1624" s="83" t="s">
        <v>103</v>
      </c>
      <c r="X1624" s="83">
        <v>0</v>
      </c>
    </row>
    <row r="1625" spans="1:25" x14ac:dyDescent="0.2">
      <c r="A1625" s="83">
        <v>1</v>
      </c>
      <c r="B1625" s="84">
        <v>5701603304305</v>
      </c>
      <c r="C1625" s="83">
        <v>40</v>
      </c>
      <c r="D1625" s="84">
        <v>5980823304</v>
      </c>
      <c r="F1625" s="83" t="s">
        <v>103</v>
      </c>
      <c r="G1625" s="83">
        <v>0</v>
      </c>
      <c r="H1625" s="83">
        <v>100</v>
      </c>
      <c r="K1625" s="83">
        <v>1</v>
      </c>
      <c r="L1625" s="83" t="s">
        <v>101</v>
      </c>
      <c r="M1625" s="83" t="s">
        <v>410</v>
      </c>
      <c r="N1625" s="83" t="s">
        <v>102</v>
      </c>
      <c r="P1625" s="83">
        <v>0</v>
      </c>
      <c r="U1625" s="83">
        <v>4</v>
      </c>
      <c r="V1625" s="83">
        <v>1</v>
      </c>
      <c r="W1625" s="83" t="s">
        <v>103</v>
      </c>
      <c r="X1625" s="83">
        <v>0</v>
      </c>
    </row>
    <row r="1626" spans="1:25" x14ac:dyDescent="0.2">
      <c r="A1626" s="83">
        <v>1</v>
      </c>
      <c r="B1626" s="84">
        <v>5701603304305</v>
      </c>
      <c r="C1626" s="83">
        <v>50</v>
      </c>
      <c r="D1626" s="84">
        <v>5980933304</v>
      </c>
      <c r="F1626" s="83" t="s">
        <v>103</v>
      </c>
      <c r="G1626" s="83">
        <v>0</v>
      </c>
      <c r="H1626" s="83">
        <v>100</v>
      </c>
      <c r="K1626" s="83">
        <v>1</v>
      </c>
      <c r="L1626" s="83" t="s">
        <v>101</v>
      </c>
      <c r="M1626" s="83" t="s">
        <v>410</v>
      </c>
      <c r="N1626" s="83" t="s">
        <v>102</v>
      </c>
      <c r="P1626" s="83">
        <v>0</v>
      </c>
      <c r="U1626" s="83">
        <v>4</v>
      </c>
      <c r="V1626" s="83">
        <v>1</v>
      </c>
      <c r="W1626" s="83" t="s">
        <v>103</v>
      </c>
      <c r="X1626" s="83">
        <v>0</v>
      </c>
    </row>
    <row r="1627" spans="1:25" x14ac:dyDescent="0.2">
      <c r="A1627" s="83">
        <v>1</v>
      </c>
      <c r="B1627" s="84">
        <v>5701603304305</v>
      </c>
      <c r="C1627" s="83">
        <v>60</v>
      </c>
      <c r="D1627" s="84">
        <v>1010286</v>
      </c>
      <c r="F1627" s="83" t="s">
        <v>103</v>
      </c>
      <c r="G1627" s="83">
        <v>0</v>
      </c>
      <c r="H1627" s="83">
        <v>100</v>
      </c>
      <c r="K1627" s="83">
        <v>8</v>
      </c>
      <c r="L1627" s="83" t="s">
        <v>101</v>
      </c>
      <c r="M1627" s="83" t="s">
        <v>410</v>
      </c>
      <c r="N1627" s="83" t="s">
        <v>102</v>
      </c>
      <c r="P1627" s="83">
        <v>0</v>
      </c>
      <c r="U1627" s="83">
        <v>4</v>
      </c>
      <c r="V1627" s="83">
        <v>1</v>
      </c>
      <c r="W1627" s="83" t="s">
        <v>103</v>
      </c>
      <c r="X1627" s="83">
        <v>0</v>
      </c>
    </row>
    <row r="1628" spans="1:25" x14ac:dyDescent="0.2">
      <c r="A1628" s="83">
        <v>1</v>
      </c>
      <c r="B1628" s="84">
        <v>5701603304305</v>
      </c>
      <c r="C1628" s="83">
        <v>70</v>
      </c>
      <c r="D1628" s="84">
        <v>1010288</v>
      </c>
      <c r="F1628" s="83" t="s">
        <v>103</v>
      </c>
      <c r="G1628" s="83">
        <v>0</v>
      </c>
      <c r="H1628" s="83">
        <v>100</v>
      </c>
      <c r="K1628" s="83">
        <v>4</v>
      </c>
      <c r="L1628" s="83" t="s">
        <v>101</v>
      </c>
      <c r="M1628" s="83" t="s">
        <v>410</v>
      </c>
      <c r="N1628" s="83" t="s">
        <v>102</v>
      </c>
      <c r="P1628" s="83">
        <v>0</v>
      </c>
      <c r="U1628" s="83">
        <v>4</v>
      </c>
      <c r="V1628" s="83">
        <v>1</v>
      </c>
      <c r="W1628" s="83" t="s">
        <v>103</v>
      </c>
      <c r="X1628" s="83">
        <v>0</v>
      </c>
    </row>
    <row r="1629" spans="1:25" x14ac:dyDescent="0.2">
      <c r="A1629" s="83">
        <v>1</v>
      </c>
      <c r="B1629" s="84">
        <v>5701603304305</v>
      </c>
      <c r="C1629" s="83">
        <v>80</v>
      </c>
      <c r="D1629" s="84">
        <v>1020145</v>
      </c>
      <c r="F1629" s="83" t="s">
        <v>103</v>
      </c>
      <c r="G1629" s="83">
        <v>0</v>
      </c>
      <c r="H1629" s="83">
        <v>100</v>
      </c>
      <c r="K1629" s="83" t="s">
        <v>408</v>
      </c>
      <c r="L1629" s="83" t="s">
        <v>101</v>
      </c>
      <c r="M1629" s="83" t="s">
        <v>410</v>
      </c>
      <c r="N1629" s="83" t="s">
        <v>102</v>
      </c>
      <c r="P1629" s="83">
        <v>0</v>
      </c>
      <c r="U1629" s="83">
        <v>4</v>
      </c>
      <c r="V1629" s="83">
        <v>1</v>
      </c>
      <c r="W1629" s="83" t="s">
        <v>103</v>
      </c>
      <c r="X1629" s="83">
        <v>0</v>
      </c>
    </row>
    <row r="1630" spans="1:25" x14ac:dyDescent="0.2">
      <c r="A1630" s="83">
        <v>1</v>
      </c>
      <c r="B1630" s="84">
        <v>5701603304305</v>
      </c>
      <c r="C1630" s="83">
        <v>90</v>
      </c>
      <c r="D1630" s="84">
        <v>777500305</v>
      </c>
      <c r="F1630" s="83" t="s">
        <v>103</v>
      </c>
      <c r="G1630" s="83">
        <v>0</v>
      </c>
      <c r="H1630" s="83">
        <v>100</v>
      </c>
      <c r="K1630" s="83">
        <v>1</v>
      </c>
      <c r="L1630" s="83" t="s">
        <v>101</v>
      </c>
      <c r="M1630" s="83" t="s">
        <v>410</v>
      </c>
      <c r="N1630" s="83" t="s">
        <v>102</v>
      </c>
      <c r="P1630" s="83">
        <v>0</v>
      </c>
      <c r="U1630" s="83">
        <v>4</v>
      </c>
      <c r="V1630" s="83">
        <v>1</v>
      </c>
      <c r="W1630" s="83" t="s">
        <v>103</v>
      </c>
      <c r="X1630" s="83">
        <v>0</v>
      </c>
    </row>
    <row r="1631" spans="1:25" x14ac:dyDescent="0.2">
      <c r="A1631" s="83">
        <v>1</v>
      </c>
      <c r="B1631" s="84">
        <v>5701603305305</v>
      </c>
      <c r="C1631" s="83">
        <v>10</v>
      </c>
      <c r="D1631" s="84">
        <v>5980463305</v>
      </c>
      <c r="F1631" s="83" t="s">
        <v>103</v>
      </c>
      <c r="G1631" s="83">
        <v>0</v>
      </c>
      <c r="H1631" s="83">
        <v>100</v>
      </c>
      <c r="K1631" s="83">
        <v>1</v>
      </c>
      <c r="L1631" s="83" t="s">
        <v>101</v>
      </c>
      <c r="M1631" s="83" t="s">
        <v>410</v>
      </c>
      <c r="N1631" s="83" t="s">
        <v>102</v>
      </c>
      <c r="P1631" s="83">
        <v>0</v>
      </c>
      <c r="U1631" s="83">
        <v>4</v>
      </c>
      <c r="V1631" s="83">
        <v>1</v>
      </c>
      <c r="W1631" s="83" t="s">
        <v>103</v>
      </c>
      <c r="X1631" s="83">
        <v>0</v>
      </c>
      <c r="Y1631" s="83" t="str">
        <f>LEFT(D1631,6)</f>
        <v>598046</v>
      </c>
    </row>
    <row r="1632" spans="1:25" x14ac:dyDescent="0.2">
      <c r="A1632" s="83">
        <v>1</v>
      </c>
      <c r="B1632" s="84">
        <v>5701603305305</v>
      </c>
      <c r="C1632" s="83">
        <v>20</v>
      </c>
      <c r="D1632" s="84">
        <v>5980543305</v>
      </c>
      <c r="F1632" s="83" t="s">
        <v>103</v>
      </c>
      <c r="G1632" s="83">
        <v>0</v>
      </c>
      <c r="H1632" s="83">
        <v>100</v>
      </c>
      <c r="K1632" s="83">
        <v>1</v>
      </c>
      <c r="L1632" s="83" t="s">
        <v>101</v>
      </c>
      <c r="M1632" s="83" t="s">
        <v>410</v>
      </c>
      <c r="N1632" s="83" t="s">
        <v>102</v>
      </c>
      <c r="P1632" s="83">
        <v>0</v>
      </c>
      <c r="U1632" s="83">
        <v>4</v>
      </c>
      <c r="V1632" s="83">
        <v>1</v>
      </c>
      <c r="W1632" s="83" t="s">
        <v>103</v>
      </c>
      <c r="X1632" s="83">
        <v>0</v>
      </c>
    </row>
    <row r="1633" spans="1:25" x14ac:dyDescent="0.2">
      <c r="A1633" s="83">
        <v>1</v>
      </c>
      <c r="B1633" s="84">
        <v>5701603305305</v>
      </c>
      <c r="C1633" s="83">
        <v>30</v>
      </c>
      <c r="D1633" s="84">
        <v>5980623305</v>
      </c>
      <c r="F1633" s="83" t="s">
        <v>103</v>
      </c>
      <c r="G1633" s="83">
        <v>0</v>
      </c>
      <c r="H1633" s="83">
        <v>100</v>
      </c>
      <c r="K1633" s="83">
        <v>1</v>
      </c>
      <c r="L1633" s="83" t="s">
        <v>101</v>
      </c>
      <c r="M1633" s="83" t="s">
        <v>410</v>
      </c>
      <c r="N1633" s="83" t="s">
        <v>102</v>
      </c>
      <c r="P1633" s="83">
        <v>0</v>
      </c>
      <c r="U1633" s="83">
        <v>4</v>
      </c>
      <c r="V1633" s="83">
        <v>1</v>
      </c>
      <c r="W1633" s="83" t="s">
        <v>103</v>
      </c>
      <c r="X1633" s="83">
        <v>0</v>
      </c>
    </row>
    <row r="1634" spans="1:25" x14ac:dyDescent="0.2">
      <c r="A1634" s="83">
        <v>1</v>
      </c>
      <c r="B1634" s="84">
        <v>5701603305305</v>
      </c>
      <c r="C1634" s="83">
        <v>40</v>
      </c>
      <c r="D1634" s="84">
        <v>5980823305</v>
      </c>
      <c r="F1634" s="83" t="s">
        <v>103</v>
      </c>
      <c r="G1634" s="83">
        <v>0</v>
      </c>
      <c r="H1634" s="83">
        <v>100</v>
      </c>
      <c r="K1634" s="83">
        <v>1</v>
      </c>
      <c r="L1634" s="83" t="s">
        <v>101</v>
      </c>
      <c r="M1634" s="83" t="s">
        <v>410</v>
      </c>
      <c r="N1634" s="83" t="s">
        <v>102</v>
      </c>
      <c r="P1634" s="83">
        <v>0</v>
      </c>
      <c r="U1634" s="83">
        <v>4</v>
      </c>
      <c r="V1634" s="83">
        <v>1</v>
      </c>
      <c r="W1634" s="83" t="s">
        <v>103</v>
      </c>
      <c r="X1634" s="83">
        <v>0</v>
      </c>
    </row>
    <row r="1635" spans="1:25" x14ac:dyDescent="0.2">
      <c r="A1635" s="83">
        <v>1</v>
      </c>
      <c r="B1635" s="84">
        <v>5701603305305</v>
      </c>
      <c r="C1635" s="83">
        <v>50</v>
      </c>
      <c r="D1635" s="84">
        <v>5980933305</v>
      </c>
      <c r="F1635" s="83" t="s">
        <v>103</v>
      </c>
      <c r="G1635" s="83">
        <v>0</v>
      </c>
      <c r="H1635" s="83">
        <v>100</v>
      </c>
      <c r="K1635" s="83">
        <v>1</v>
      </c>
      <c r="L1635" s="83" t="s">
        <v>101</v>
      </c>
      <c r="M1635" s="83" t="s">
        <v>410</v>
      </c>
      <c r="N1635" s="83" t="s">
        <v>102</v>
      </c>
      <c r="P1635" s="83">
        <v>0</v>
      </c>
      <c r="U1635" s="83">
        <v>4</v>
      </c>
      <c r="V1635" s="83">
        <v>1</v>
      </c>
      <c r="W1635" s="83" t="s">
        <v>103</v>
      </c>
      <c r="X1635" s="83">
        <v>0</v>
      </c>
    </row>
    <row r="1636" spans="1:25" x14ac:dyDescent="0.2">
      <c r="A1636" s="83">
        <v>1</v>
      </c>
      <c r="B1636" s="84">
        <v>5701603305305</v>
      </c>
      <c r="C1636" s="83">
        <v>60</v>
      </c>
      <c r="D1636" s="84">
        <v>1010286</v>
      </c>
      <c r="F1636" s="83" t="s">
        <v>103</v>
      </c>
      <c r="G1636" s="83">
        <v>0</v>
      </c>
      <c r="H1636" s="83">
        <v>100</v>
      </c>
      <c r="K1636" s="83">
        <v>8</v>
      </c>
      <c r="L1636" s="83" t="s">
        <v>101</v>
      </c>
      <c r="M1636" s="83" t="s">
        <v>410</v>
      </c>
      <c r="N1636" s="83" t="s">
        <v>102</v>
      </c>
      <c r="P1636" s="83">
        <v>0</v>
      </c>
      <c r="U1636" s="83">
        <v>4</v>
      </c>
      <c r="V1636" s="83">
        <v>1</v>
      </c>
      <c r="W1636" s="83" t="s">
        <v>103</v>
      </c>
      <c r="X1636" s="83">
        <v>0</v>
      </c>
    </row>
    <row r="1637" spans="1:25" x14ac:dyDescent="0.2">
      <c r="A1637" s="83">
        <v>1</v>
      </c>
      <c r="B1637" s="84">
        <v>5701603305305</v>
      </c>
      <c r="C1637" s="83">
        <v>70</v>
      </c>
      <c r="D1637" s="84">
        <v>1010288</v>
      </c>
      <c r="F1637" s="83" t="s">
        <v>103</v>
      </c>
      <c r="G1637" s="83">
        <v>0</v>
      </c>
      <c r="H1637" s="83">
        <v>100</v>
      </c>
      <c r="K1637" s="83">
        <v>4</v>
      </c>
      <c r="L1637" s="83" t="s">
        <v>101</v>
      </c>
      <c r="M1637" s="83" t="s">
        <v>410</v>
      </c>
      <c r="N1637" s="83" t="s">
        <v>102</v>
      </c>
      <c r="P1637" s="83">
        <v>0</v>
      </c>
      <c r="U1637" s="83">
        <v>4</v>
      </c>
      <c r="V1637" s="83">
        <v>1</v>
      </c>
      <c r="W1637" s="83" t="s">
        <v>103</v>
      </c>
      <c r="X1637" s="83">
        <v>0</v>
      </c>
    </row>
    <row r="1638" spans="1:25" x14ac:dyDescent="0.2">
      <c r="A1638" s="83">
        <v>1</v>
      </c>
      <c r="B1638" s="84">
        <v>5701603305305</v>
      </c>
      <c r="C1638" s="83">
        <v>80</v>
      </c>
      <c r="D1638" s="84">
        <v>1020145</v>
      </c>
      <c r="F1638" s="83" t="s">
        <v>103</v>
      </c>
      <c r="G1638" s="83">
        <v>0</v>
      </c>
      <c r="H1638" s="83">
        <v>100</v>
      </c>
      <c r="K1638" s="83" t="s">
        <v>408</v>
      </c>
      <c r="L1638" s="83" t="s">
        <v>101</v>
      </c>
      <c r="M1638" s="83" t="s">
        <v>410</v>
      </c>
      <c r="N1638" s="83" t="s">
        <v>102</v>
      </c>
      <c r="P1638" s="83">
        <v>0</v>
      </c>
      <c r="U1638" s="83">
        <v>4</v>
      </c>
      <c r="V1638" s="83">
        <v>1</v>
      </c>
      <c r="W1638" s="83" t="s">
        <v>103</v>
      </c>
      <c r="X1638" s="83">
        <v>0</v>
      </c>
    </row>
    <row r="1639" spans="1:25" x14ac:dyDescent="0.2">
      <c r="A1639" s="83">
        <v>1</v>
      </c>
      <c r="B1639" s="84">
        <v>5701603305305</v>
      </c>
      <c r="C1639" s="83">
        <v>90</v>
      </c>
      <c r="D1639" s="84">
        <v>777500305</v>
      </c>
      <c r="F1639" s="83" t="s">
        <v>103</v>
      </c>
      <c r="G1639" s="83">
        <v>0</v>
      </c>
      <c r="H1639" s="83">
        <v>100</v>
      </c>
      <c r="K1639" s="83">
        <v>1</v>
      </c>
      <c r="L1639" s="83" t="s">
        <v>101</v>
      </c>
      <c r="M1639" s="83" t="s">
        <v>410</v>
      </c>
      <c r="N1639" s="83" t="s">
        <v>102</v>
      </c>
      <c r="P1639" s="83">
        <v>0</v>
      </c>
      <c r="U1639" s="83">
        <v>4</v>
      </c>
      <c r="V1639" s="83">
        <v>1</v>
      </c>
      <c r="W1639" s="83" t="s">
        <v>103</v>
      </c>
      <c r="X1639" s="83">
        <v>0</v>
      </c>
    </row>
    <row r="1640" spans="1:25" x14ac:dyDescent="0.2">
      <c r="A1640" s="83">
        <v>1</v>
      </c>
      <c r="B1640" s="84">
        <v>5701603306305</v>
      </c>
      <c r="C1640" s="83">
        <v>10</v>
      </c>
      <c r="D1640" s="84">
        <v>5980463306</v>
      </c>
      <c r="F1640" s="83" t="s">
        <v>103</v>
      </c>
      <c r="G1640" s="83">
        <v>0</v>
      </c>
      <c r="H1640" s="83">
        <v>100</v>
      </c>
      <c r="K1640" s="83">
        <v>1</v>
      </c>
      <c r="L1640" s="83" t="s">
        <v>101</v>
      </c>
      <c r="M1640" s="83" t="s">
        <v>410</v>
      </c>
      <c r="N1640" s="83" t="s">
        <v>102</v>
      </c>
      <c r="P1640" s="83">
        <v>0</v>
      </c>
      <c r="U1640" s="83">
        <v>4</v>
      </c>
      <c r="V1640" s="83">
        <v>1</v>
      </c>
      <c r="W1640" s="83" t="s">
        <v>103</v>
      </c>
      <c r="X1640" s="83">
        <v>0</v>
      </c>
      <c r="Y1640" s="83" t="str">
        <f>LEFT(D1640,6)</f>
        <v>598046</v>
      </c>
    </row>
    <row r="1641" spans="1:25" x14ac:dyDescent="0.2">
      <c r="A1641" s="83">
        <v>1</v>
      </c>
      <c r="B1641" s="84">
        <v>5701603306305</v>
      </c>
      <c r="C1641" s="83">
        <v>20</v>
      </c>
      <c r="D1641" s="84">
        <v>5980543306</v>
      </c>
      <c r="F1641" s="83" t="s">
        <v>103</v>
      </c>
      <c r="G1641" s="83">
        <v>0</v>
      </c>
      <c r="H1641" s="83">
        <v>100</v>
      </c>
      <c r="K1641" s="83">
        <v>1</v>
      </c>
      <c r="L1641" s="83" t="s">
        <v>101</v>
      </c>
      <c r="M1641" s="83" t="s">
        <v>410</v>
      </c>
      <c r="N1641" s="83" t="s">
        <v>102</v>
      </c>
      <c r="P1641" s="83">
        <v>0</v>
      </c>
      <c r="U1641" s="83">
        <v>4</v>
      </c>
      <c r="V1641" s="83">
        <v>1</v>
      </c>
      <c r="W1641" s="83" t="s">
        <v>103</v>
      </c>
      <c r="X1641" s="83">
        <v>0</v>
      </c>
    </row>
    <row r="1642" spans="1:25" x14ac:dyDescent="0.2">
      <c r="A1642" s="83">
        <v>1</v>
      </c>
      <c r="B1642" s="84">
        <v>5701603306305</v>
      </c>
      <c r="C1642" s="83">
        <v>30</v>
      </c>
      <c r="D1642" s="84">
        <v>5980623306</v>
      </c>
      <c r="F1642" s="83" t="s">
        <v>103</v>
      </c>
      <c r="G1642" s="83">
        <v>0</v>
      </c>
      <c r="H1642" s="83">
        <v>100</v>
      </c>
      <c r="K1642" s="83">
        <v>1</v>
      </c>
      <c r="L1642" s="83" t="s">
        <v>101</v>
      </c>
      <c r="M1642" s="83" t="s">
        <v>410</v>
      </c>
      <c r="N1642" s="83" t="s">
        <v>102</v>
      </c>
      <c r="P1642" s="83">
        <v>0</v>
      </c>
      <c r="U1642" s="83">
        <v>4</v>
      </c>
      <c r="V1642" s="83">
        <v>1</v>
      </c>
      <c r="W1642" s="83" t="s">
        <v>103</v>
      </c>
      <c r="X1642" s="83">
        <v>0</v>
      </c>
    </row>
    <row r="1643" spans="1:25" x14ac:dyDescent="0.2">
      <c r="A1643" s="83">
        <v>1</v>
      </c>
      <c r="B1643" s="84">
        <v>5701603306305</v>
      </c>
      <c r="C1643" s="83">
        <v>40</v>
      </c>
      <c r="D1643" s="84">
        <v>5980823306</v>
      </c>
      <c r="F1643" s="83" t="s">
        <v>103</v>
      </c>
      <c r="G1643" s="83">
        <v>0</v>
      </c>
      <c r="H1643" s="83">
        <v>100</v>
      </c>
      <c r="K1643" s="83">
        <v>1</v>
      </c>
      <c r="L1643" s="83" t="s">
        <v>101</v>
      </c>
      <c r="M1643" s="83" t="s">
        <v>410</v>
      </c>
      <c r="N1643" s="83" t="s">
        <v>102</v>
      </c>
      <c r="P1643" s="83">
        <v>0</v>
      </c>
      <c r="U1643" s="83">
        <v>4</v>
      </c>
      <c r="V1643" s="83">
        <v>1</v>
      </c>
      <c r="W1643" s="83" t="s">
        <v>103</v>
      </c>
      <c r="X1643" s="83">
        <v>0</v>
      </c>
    </row>
    <row r="1644" spans="1:25" x14ac:dyDescent="0.2">
      <c r="A1644" s="83">
        <v>1</v>
      </c>
      <c r="B1644" s="84">
        <v>5701603306305</v>
      </c>
      <c r="C1644" s="83">
        <v>50</v>
      </c>
      <c r="D1644" s="84">
        <v>5980933306</v>
      </c>
      <c r="F1644" s="83" t="s">
        <v>103</v>
      </c>
      <c r="G1644" s="83">
        <v>0</v>
      </c>
      <c r="H1644" s="83">
        <v>100</v>
      </c>
      <c r="K1644" s="83">
        <v>1</v>
      </c>
      <c r="L1644" s="83" t="s">
        <v>101</v>
      </c>
      <c r="M1644" s="83" t="s">
        <v>410</v>
      </c>
      <c r="N1644" s="83" t="s">
        <v>102</v>
      </c>
      <c r="P1644" s="83">
        <v>0</v>
      </c>
      <c r="U1644" s="83">
        <v>4</v>
      </c>
      <c r="V1644" s="83">
        <v>1</v>
      </c>
      <c r="W1644" s="83" t="s">
        <v>103</v>
      </c>
      <c r="X1644" s="83">
        <v>0</v>
      </c>
    </row>
    <row r="1645" spans="1:25" x14ac:dyDescent="0.2">
      <c r="A1645" s="83">
        <v>1</v>
      </c>
      <c r="B1645" s="84">
        <v>5701603306305</v>
      </c>
      <c r="C1645" s="83">
        <v>60</v>
      </c>
      <c r="D1645" s="84">
        <v>1010286</v>
      </c>
      <c r="F1645" s="83" t="s">
        <v>103</v>
      </c>
      <c r="G1645" s="83">
        <v>0</v>
      </c>
      <c r="H1645" s="83">
        <v>100</v>
      </c>
      <c r="K1645" s="83">
        <v>8</v>
      </c>
      <c r="L1645" s="83" t="s">
        <v>101</v>
      </c>
      <c r="M1645" s="83" t="s">
        <v>410</v>
      </c>
      <c r="N1645" s="83" t="s">
        <v>102</v>
      </c>
      <c r="P1645" s="83">
        <v>0</v>
      </c>
      <c r="U1645" s="83">
        <v>4</v>
      </c>
      <c r="V1645" s="83">
        <v>1</v>
      </c>
      <c r="W1645" s="83" t="s">
        <v>103</v>
      </c>
      <c r="X1645" s="83">
        <v>0</v>
      </c>
    </row>
    <row r="1646" spans="1:25" x14ac:dyDescent="0.2">
      <c r="A1646" s="83">
        <v>1</v>
      </c>
      <c r="B1646" s="84">
        <v>5701603306305</v>
      </c>
      <c r="C1646" s="83">
        <v>70</v>
      </c>
      <c r="D1646" s="84">
        <v>1010287</v>
      </c>
      <c r="F1646" s="83" t="s">
        <v>103</v>
      </c>
      <c r="G1646" s="83">
        <v>0</v>
      </c>
      <c r="H1646" s="83">
        <v>100</v>
      </c>
      <c r="K1646" s="83">
        <v>4</v>
      </c>
      <c r="L1646" s="83" t="s">
        <v>101</v>
      </c>
      <c r="M1646" s="83" t="s">
        <v>410</v>
      </c>
      <c r="N1646" s="83" t="s">
        <v>102</v>
      </c>
      <c r="P1646" s="83">
        <v>0</v>
      </c>
      <c r="U1646" s="83">
        <v>4</v>
      </c>
      <c r="V1646" s="83">
        <v>1</v>
      </c>
      <c r="W1646" s="83" t="s">
        <v>103</v>
      </c>
      <c r="X1646" s="83">
        <v>0</v>
      </c>
    </row>
    <row r="1647" spans="1:25" x14ac:dyDescent="0.2">
      <c r="A1647" s="83">
        <v>1</v>
      </c>
      <c r="B1647" s="84">
        <v>5701603306305</v>
      </c>
      <c r="C1647" s="83">
        <v>80</v>
      </c>
      <c r="D1647" s="84">
        <v>1020145</v>
      </c>
      <c r="F1647" s="83" t="s">
        <v>103</v>
      </c>
      <c r="G1647" s="83">
        <v>0</v>
      </c>
      <c r="H1647" s="83">
        <v>100</v>
      </c>
      <c r="K1647" s="83" t="s">
        <v>408</v>
      </c>
      <c r="L1647" s="83" t="s">
        <v>101</v>
      </c>
      <c r="M1647" s="83" t="s">
        <v>410</v>
      </c>
      <c r="N1647" s="83" t="s">
        <v>102</v>
      </c>
      <c r="P1647" s="83">
        <v>0</v>
      </c>
      <c r="U1647" s="83">
        <v>4</v>
      </c>
      <c r="V1647" s="83">
        <v>1</v>
      </c>
      <c r="W1647" s="83" t="s">
        <v>103</v>
      </c>
      <c r="X1647" s="83">
        <v>0</v>
      </c>
    </row>
    <row r="1648" spans="1:25" x14ac:dyDescent="0.2">
      <c r="A1648" s="83">
        <v>1</v>
      </c>
      <c r="B1648" s="84">
        <v>5701603306305</v>
      </c>
      <c r="C1648" s="83">
        <v>90</v>
      </c>
      <c r="D1648" s="84">
        <v>777500305</v>
      </c>
      <c r="F1648" s="83" t="s">
        <v>103</v>
      </c>
      <c r="G1648" s="83">
        <v>0</v>
      </c>
      <c r="H1648" s="83">
        <v>100</v>
      </c>
      <c r="K1648" s="83">
        <v>1</v>
      </c>
      <c r="L1648" s="83" t="s">
        <v>101</v>
      </c>
      <c r="M1648" s="83" t="s">
        <v>410</v>
      </c>
      <c r="N1648" s="83" t="s">
        <v>102</v>
      </c>
      <c r="P1648" s="83">
        <v>0</v>
      </c>
      <c r="U1648" s="83">
        <v>4</v>
      </c>
      <c r="V1648" s="83">
        <v>1</v>
      </c>
      <c r="W1648" s="83" t="s">
        <v>103</v>
      </c>
      <c r="X1648" s="83">
        <v>0</v>
      </c>
    </row>
    <row r="1649" spans="1:25" x14ac:dyDescent="0.2">
      <c r="A1649" s="83">
        <v>1</v>
      </c>
      <c r="B1649" s="84">
        <v>5701603307305</v>
      </c>
      <c r="C1649" s="83">
        <v>10</v>
      </c>
      <c r="D1649" s="84">
        <v>5980463307</v>
      </c>
      <c r="F1649" s="83" t="s">
        <v>103</v>
      </c>
      <c r="G1649" s="83">
        <v>0</v>
      </c>
      <c r="H1649" s="83">
        <v>100</v>
      </c>
      <c r="K1649" s="83">
        <v>1</v>
      </c>
      <c r="L1649" s="83" t="s">
        <v>101</v>
      </c>
      <c r="M1649" s="83" t="s">
        <v>410</v>
      </c>
      <c r="N1649" s="83" t="s">
        <v>102</v>
      </c>
      <c r="P1649" s="83">
        <v>0</v>
      </c>
      <c r="U1649" s="83">
        <v>4</v>
      </c>
      <c r="V1649" s="83">
        <v>1</v>
      </c>
      <c r="W1649" s="83" t="s">
        <v>103</v>
      </c>
      <c r="X1649" s="83">
        <v>0</v>
      </c>
      <c r="Y1649" s="83" t="str">
        <f>LEFT(D1649,6)</f>
        <v>598046</v>
      </c>
    </row>
    <row r="1650" spans="1:25" x14ac:dyDescent="0.2">
      <c r="A1650" s="83">
        <v>1</v>
      </c>
      <c r="B1650" s="84">
        <v>5701603307305</v>
      </c>
      <c r="C1650" s="83">
        <v>20</v>
      </c>
      <c r="D1650" s="84">
        <v>5980543307</v>
      </c>
      <c r="F1650" s="83" t="s">
        <v>103</v>
      </c>
      <c r="G1650" s="83">
        <v>0</v>
      </c>
      <c r="H1650" s="83">
        <v>100</v>
      </c>
      <c r="K1650" s="83">
        <v>1</v>
      </c>
      <c r="L1650" s="83" t="s">
        <v>101</v>
      </c>
      <c r="M1650" s="83" t="s">
        <v>410</v>
      </c>
      <c r="N1650" s="83" t="s">
        <v>102</v>
      </c>
      <c r="P1650" s="83">
        <v>0</v>
      </c>
      <c r="U1650" s="83">
        <v>4</v>
      </c>
      <c r="V1650" s="83">
        <v>1</v>
      </c>
      <c r="W1650" s="83" t="s">
        <v>103</v>
      </c>
      <c r="X1650" s="83">
        <v>0</v>
      </c>
    </row>
    <row r="1651" spans="1:25" x14ac:dyDescent="0.2">
      <c r="A1651" s="83">
        <v>1</v>
      </c>
      <c r="B1651" s="84">
        <v>5701603307305</v>
      </c>
      <c r="C1651" s="83">
        <v>30</v>
      </c>
      <c r="D1651" s="84">
        <v>5980623307</v>
      </c>
      <c r="F1651" s="83" t="s">
        <v>103</v>
      </c>
      <c r="G1651" s="83">
        <v>0</v>
      </c>
      <c r="H1651" s="83">
        <v>100</v>
      </c>
      <c r="K1651" s="83">
        <v>1</v>
      </c>
      <c r="L1651" s="83" t="s">
        <v>101</v>
      </c>
      <c r="M1651" s="83" t="s">
        <v>410</v>
      </c>
      <c r="N1651" s="83" t="s">
        <v>102</v>
      </c>
      <c r="P1651" s="83">
        <v>0</v>
      </c>
      <c r="U1651" s="83">
        <v>4</v>
      </c>
      <c r="V1651" s="83">
        <v>1</v>
      </c>
      <c r="W1651" s="83" t="s">
        <v>103</v>
      </c>
      <c r="X1651" s="83">
        <v>0</v>
      </c>
    </row>
    <row r="1652" spans="1:25" x14ac:dyDescent="0.2">
      <c r="A1652" s="83">
        <v>1</v>
      </c>
      <c r="B1652" s="84">
        <v>5701603307305</v>
      </c>
      <c r="C1652" s="83">
        <v>40</v>
      </c>
      <c r="D1652" s="84">
        <v>5980823307</v>
      </c>
      <c r="F1652" s="83" t="s">
        <v>103</v>
      </c>
      <c r="G1652" s="83">
        <v>0</v>
      </c>
      <c r="H1652" s="83">
        <v>100</v>
      </c>
      <c r="K1652" s="83">
        <v>1</v>
      </c>
      <c r="L1652" s="83" t="s">
        <v>101</v>
      </c>
      <c r="M1652" s="83" t="s">
        <v>410</v>
      </c>
      <c r="N1652" s="83" t="s">
        <v>102</v>
      </c>
      <c r="P1652" s="83">
        <v>0</v>
      </c>
      <c r="U1652" s="83">
        <v>4</v>
      </c>
      <c r="V1652" s="83">
        <v>1</v>
      </c>
      <c r="W1652" s="83" t="s">
        <v>103</v>
      </c>
      <c r="X1652" s="83">
        <v>0</v>
      </c>
    </row>
    <row r="1653" spans="1:25" x14ac:dyDescent="0.2">
      <c r="A1653" s="83">
        <v>1</v>
      </c>
      <c r="B1653" s="84">
        <v>5701603307305</v>
      </c>
      <c r="C1653" s="83">
        <v>50</v>
      </c>
      <c r="D1653" s="84">
        <v>5980933307</v>
      </c>
      <c r="F1653" s="83" t="s">
        <v>103</v>
      </c>
      <c r="G1653" s="83">
        <v>0</v>
      </c>
      <c r="H1653" s="83">
        <v>100</v>
      </c>
      <c r="K1653" s="83">
        <v>1</v>
      </c>
      <c r="L1653" s="83" t="s">
        <v>101</v>
      </c>
      <c r="M1653" s="83" t="s">
        <v>410</v>
      </c>
      <c r="N1653" s="83" t="s">
        <v>102</v>
      </c>
      <c r="P1653" s="83">
        <v>0</v>
      </c>
      <c r="U1653" s="83">
        <v>4</v>
      </c>
      <c r="V1653" s="83">
        <v>1</v>
      </c>
      <c r="W1653" s="83" t="s">
        <v>103</v>
      </c>
      <c r="X1653" s="83">
        <v>0</v>
      </c>
    </row>
    <row r="1654" spans="1:25" x14ac:dyDescent="0.2">
      <c r="A1654" s="83">
        <v>1</v>
      </c>
      <c r="B1654" s="84">
        <v>5701603307305</v>
      </c>
      <c r="C1654" s="83">
        <v>60</v>
      </c>
      <c r="D1654" s="84">
        <v>1010286</v>
      </c>
      <c r="F1654" s="83" t="s">
        <v>103</v>
      </c>
      <c r="G1654" s="83">
        <v>0</v>
      </c>
      <c r="H1654" s="83">
        <v>100</v>
      </c>
      <c r="K1654" s="83">
        <v>8</v>
      </c>
      <c r="L1654" s="83" t="s">
        <v>101</v>
      </c>
      <c r="M1654" s="83" t="s">
        <v>410</v>
      </c>
      <c r="N1654" s="83" t="s">
        <v>102</v>
      </c>
      <c r="P1654" s="83">
        <v>0</v>
      </c>
      <c r="U1654" s="83">
        <v>4</v>
      </c>
      <c r="V1654" s="83">
        <v>1</v>
      </c>
      <c r="W1654" s="83" t="s">
        <v>103</v>
      </c>
      <c r="X1654" s="83">
        <v>0</v>
      </c>
    </row>
    <row r="1655" spans="1:25" x14ac:dyDescent="0.2">
      <c r="A1655" s="83">
        <v>1</v>
      </c>
      <c r="B1655" s="84">
        <v>5701603307305</v>
      </c>
      <c r="C1655" s="83">
        <v>70</v>
      </c>
      <c r="D1655" s="84">
        <v>1010287</v>
      </c>
      <c r="F1655" s="83" t="s">
        <v>103</v>
      </c>
      <c r="G1655" s="83">
        <v>0</v>
      </c>
      <c r="H1655" s="83">
        <v>100</v>
      </c>
      <c r="K1655" s="83">
        <v>4</v>
      </c>
      <c r="L1655" s="83" t="s">
        <v>101</v>
      </c>
      <c r="M1655" s="83" t="s">
        <v>410</v>
      </c>
      <c r="N1655" s="83" t="s">
        <v>102</v>
      </c>
      <c r="P1655" s="83">
        <v>0</v>
      </c>
      <c r="U1655" s="83">
        <v>4</v>
      </c>
      <c r="V1655" s="83">
        <v>1</v>
      </c>
      <c r="W1655" s="83" t="s">
        <v>103</v>
      </c>
      <c r="X1655" s="83">
        <v>0</v>
      </c>
    </row>
    <row r="1656" spans="1:25" x14ac:dyDescent="0.2">
      <c r="A1656" s="83">
        <v>1</v>
      </c>
      <c r="B1656" s="84">
        <v>5701603307305</v>
      </c>
      <c r="C1656" s="83">
        <v>80</v>
      </c>
      <c r="D1656" s="84">
        <v>1020145</v>
      </c>
      <c r="F1656" s="83" t="s">
        <v>103</v>
      </c>
      <c r="G1656" s="83">
        <v>0</v>
      </c>
      <c r="H1656" s="83">
        <v>100</v>
      </c>
      <c r="K1656" s="83" t="s">
        <v>408</v>
      </c>
      <c r="L1656" s="83" t="s">
        <v>101</v>
      </c>
      <c r="M1656" s="83" t="s">
        <v>410</v>
      </c>
      <c r="N1656" s="83" t="s">
        <v>102</v>
      </c>
      <c r="P1656" s="83">
        <v>0</v>
      </c>
      <c r="U1656" s="83">
        <v>4</v>
      </c>
      <c r="V1656" s="83">
        <v>1</v>
      </c>
      <c r="W1656" s="83" t="s">
        <v>103</v>
      </c>
      <c r="X1656" s="83">
        <v>0</v>
      </c>
    </row>
    <row r="1657" spans="1:25" x14ac:dyDescent="0.2">
      <c r="A1657" s="83">
        <v>1</v>
      </c>
      <c r="B1657" s="84">
        <v>5701603307305</v>
      </c>
      <c r="C1657" s="83">
        <v>90</v>
      </c>
      <c r="D1657" s="84">
        <v>777500305</v>
      </c>
      <c r="F1657" s="83" t="s">
        <v>103</v>
      </c>
      <c r="G1657" s="83">
        <v>0</v>
      </c>
      <c r="H1657" s="83">
        <v>100</v>
      </c>
      <c r="K1657" s="83">
        <v>1</v>
      </c>
      <c r="L1657" s="83" t="s">
        <v>101</v>
      </c>
      <c r="M1657" s="83" t="s">
        <v>410</v>
      </c>
      <c r="N1657" s="83" t="s">
        <v>102</v>
      </c>
      <c r="P1657" s="83">
        <v>0</v>
      </c>
      <c r="U1657" s="83">
        <v>4</v>
      </c>
      <c r="V1657" s="83">
        <v>1</v>
      </c>
      <c r="W1657" s="83" t="s">
        <v>103</v>
      </c>
      <c r="X1657" s="83">
        <v>0</v>
      </c>
    </row>
    <row r="1658" spans="1:25" x14ac:dyDescent="0.2">
      <c r="A1658" s="83">
        <v>1</v>
      </c>
      <c r="B1658" s="84">
        <v>5701603308305</v>
      </c>
      <c r="C1658" s="83">
        <v>10</v>
      </c>
      <c r="D1658" s="84">
        <v>5980463308</v>
      </c>
      <c r="F1658" s="83" t="s">
        <v>103</v>
      </c>
      <c r="G1658" s="83">
        <v>0</v>
      </c>
      <c r="H1658" s="83">
        <v>100</v>
      </c>
      <c r="K1658" s="83">
        <v>1</v>
      </c>
      <c r="L1658" s="83" t="s">
        <v>101</v>
      </c>
      <c r="M1658" s="83" t="s">
        <v>410</v>
      </c>
      <c r="N1658" s="83" t="s">
        <v>102</v>
      </c>
      <c r="P1658" s="83">
        <v>0</v>
      </c>
      <c r="U1658" s="83">
        <v>4</v>
      </c>
      <c r="V1658" s="83">
        <v>1</v>
      </c>
      <c r="W1658" s="83" t="s">
        <v>103</v>
      </c>
      <c r="X1658" s="83">
        <v>0</v>
      </c>
      <c r="Y1658" s="83" t="str">
        <f>LEFT(D1658,6)</f>
        <v>598046</v>
      </c>
    </row>
    <row r="1659" spans="1:25" x14ac:dyDescent="0.2">
      <c r="A1659" s="83">
        <v>1</v>
      </c>
      <c r="B1659" s="84">
        <v>5701603308305</v>
      </c>
      <c r="C1659" s="83">
        <v>20</v>
      </c>
      <c r="D1659" s="84">
        <v>5980543308</v>
      </c>
      <c r="F1659" s="83" t="s">
        <v>103</v>
      </c>
      <c r="G1659" s="83">
        <v>0</v>
      </c>
      <c r="H1659" s="83">
        <v>100</v>
      </c>
      <c r="K1659" s="83">
        <v>1</v>
      </c>
      <c r="L1659" s="83" t="s">
        <v>101</v>
      </c>
      <c r="M1659" s="83" t="s">
        <v>410</v>
      </c>
      <c r="N1659" s="83" t="s">
        <v>102</v>
      </c>
      <c r="P1659" s="83">
        <v>0</v>
      </c>
      <c r="U1659" s="83">
        <v>4</v>
      </c>
      <c r="V1659" s="83">
        <v>1</v>
      </c>
      <c r="W1659" s="83" t="s">
        <v>103</v>
      </c>
      <c r="X1659" s="83">
        <v>0</v>
      </c>
    </row>
    <row r="1660" spans="1:25" x14ac:dyDescent="0.2">
      <c r="A1660" s="83">
        <v>1</v>
      </c>
      <c r="B1660" s="84">
        <v>5701603308305</v>
      </c>
      <c r="C1660" s="83">
        <v>30</v>
      </c>
      <c r="D1660" s="84">
        <v>5980623308</v>
      </c>
      <c r="F1660" s="83" t="s">
        <v>103</v>
      </c>
      <c r="G1660" s="83">
        <v>0</v>
      </c>
      <c r="H1660" s="83">
        <v>100</v>
      </c>
      <c r="K1660" s="83">
        <v>1</v>
      </c>
      <c r="L1660" s="83" t="s">
        <v>101</v>
      </c>
      <c r="M1660" s="83" t="s">
        <v>410</v>
      </c>
      <c r="N1660" s="83" t="s">
        <v>102</v>
      </c>
      <c r="P1660" s="83">
        <v>0</v>
      </c>
      <c r="U1660" s="83">
        <v>4</v>
      </c>
      <c r="V1660" s="83">
        <v>1</v>
      </c>
      <c r="W1660" s="83" t="s">
        <v>103</v>
      </c>
      <c r="X1660" s="83">
        <v>0</v>
      </c>
    </row>
    <row r="1661" spans="1:25" x14ac:dyDescent="0.2">
      <c r="A1661" s="83">
        <v>1</v>
      </c>
      <c r="B1661" s="84">
        <v>5701603308305</v>
      </c>
      <c r="C1661" s="83">
        <v>40</v>
      </c>
      <c r="D1661" s="84">
        <v>5980823308</v>
      </c>
      <c r="F1661" s="83" t="s">
        <v>103</v>
      </c>
      <c r="G1661" s="83">
        <v>0</v>
      </c>
      <c r="H1661" s="83">
        <v>100</v>
      </c>
      <c r="K1661" s="83">
        <v>1</v>
      </c>
      <c r="L1661" s="83" t="s">
        <v>101</v>
      </c>
      <c r="M1661" s="83" t="s">
        <v>410</v>
      </c>
      <c r="N1661" s="83" t="s">
        <v>102</v>
      </c>
      <c r="P1661" s="83">
        <v>0</v>
      </c>
      <c r="U1661" s="83">
        <v>4</v>
      </c>
      <c r="V1661" s="83">
        <v>1</v>
      </c>
      <c r="W1661" s="83" t="s">
        <v>103</v>
      </c>
      <c r="X1661" s="83">
        <v>0</v>
      </c>
    </row>
    <row r="1662" spans="1:25" x14ac:dyDescent="0.2">
      <c r="A1662" s="83">
        <v>1</v>
      </c>
      <c r="B1662" s="84">
        <v>5701603308305</v>
      </c>
      <c r="C1662" s="83">
        <v>50</v>
      </c>
      <c r="D1662" s="84">
        <v>5980933308</v>
      </c>
      <c r="F1662" s="83" t="s">
        <v>103</v>
      </c>
      <c r="G1662" s="83">
        <v>0</v>
      </c>
      <c r="H1662" s="83">
        <v>100</v>
      </c>
      <c r="K1662" s="83">
        <v>1</v>
      </c>
      <c r="L1662" s="83" t="s">
        <v>101</v>
      </c>
      <c r="M1662" s="83" t="s">
        <v>410</v>
      </c>
      <c r="N1662" s="83" t="s">
        <v>102</v>
      </c>
      <c r="P1662" s="83">
        <v>0</v>
      </c>
      <c r="U1662" s="83">
        <v>4</v>
      </c>
      <c r="V1662" s="83">
        <v>1</v>
      </c>
      <c r="W1662" s="83" t="s">
        <v>103</v>
      </c>
      <c r="X1662" s="83">
        <v>0</v>
      </c>
    </row>
    <row r="1663" spans="1:25" x14ac:dyDescent="0.2">
      <c r="A1663" s="83">
        <v>1</v>
      </c>
      <c r="B1663" s="84">
        <v>5701603308305</v>
      </c>
      <c r="C1663" s="83">
        <v>60</v>
      </c>
      <c r="D1663" s="84">
        <v>1010286</v>
      </c>
      <c r="F1663" s="83" t="s">
        <v>103</v>
      </c>
      <c r="G1663" s="83">
        <v>0</v>
      </c>
      <c r="H1663" s="83">
        <v>100</v>
      </c>
      <c r="K1663" s="83">
        <v>8</v>
      </c>
      <c r="L1663" s="83" t="s">
        <v>101</v>
      </c>
      <c r="M1663" s="83" t="s">
        <v>410</v>
      </c>
      <c r="N1663" s="83" t="s">
        <v>102</v>
      </c>
      <c r="P1663" s="83">
        <v>0</v>
      </c>
      <c r="U1663" s="83">
        <v>4</v>
      </c>
      <c r="V1663" s="83">
        <v>1</v>
      </c>
      <c r="W1663" s="83" t="s">
        <v>103</v>
      </c>
      <c r="X1663" s="83">
        <v>0</v>
      </c>
    </row>
    <row r="1664" spans="1:25" x14ac:dyDescent="0.2">
      <c r="A1664" s="83">
        <v>1</v>
      </c>
      <c r="B1664" s="84">
        <v>5701603308305</v>
      </c>
      <c r="C1664" s="83">
        <v>70</v>
      </c>
      <c r="D1664" s="84">
        <v>1010288</v>
      </c>
      <c r="F1664" s="83" t="s">
        <v>103</v>
      </c>
      <c r="G1664" s="83">
        <v>0</v>
      </c>
      <c r="H1664" s="83">
        <v>100</v>
      </c>
      <c r="K1664" s="83">
        <v>4</v>
      </c>
      <c r="L1664" s="83" t="s">
        <v>101</v>
      </c>
      <c r="M1664" s="83" t="s">
        <v>410</v>
      </c>
      <c r="N1664" s="83" t="s">
        <v>102</v>
      </c>
      <c r="P1664" s="83">
        <v>0</v>
      </c>
      <c r="U1664" s="83">
        <v>4</v>
      </c>
      <c r="V1664" s="83">
        <v>1</v>
      </c>
      <c r="W1664" s="83" t="s">
        <v>103</v>
      </c>
      <c r="X1664" s="83">
        <v>0</v>
      </c>
    </row>
    <row r="1665" spans="1:25" x14ac:dyDescent="0.2">
      <c r="A1665" s="83">
        <v>1</v>
      </c>
      <c r="B1665" s="84">
        <v>5701603308305</v>
      </c>
      <c r="C1665" s="83">
        <v>80</v>
      </c>
      <c r="D1665" s="84">
        <v>1020145</v>
      </c>
      <c r="F1665" s="83" t="s">
        <v>103</v>
      </c>
      <c r="G1665" s="83">
        <v>0</v>
      </c>
      <c r="H1665" s="83">
        <v>100</v>
      </c>
      <c r="K1665" s="83" t="s">
        <v>408</v>
      </c>
      <c r="L1665" s="83" t="s">
        <v>101</v>
      </c>
      <c r="M1665" s="83" t="s">
        <v>410</v>
      </c>
      <c r="N1665" s="83" t="s">
        <v>102</v>
      </c>
      <c r="P1665" s="83">
        <v>0</v>
      </c>
      <c r="U1665" s="83">
        <v>4</v>
      </c>
      <c r="V1665" s="83">
        <v>1</v>
      </c>
      <c r="W1665" s="83" t="s">
        <v>103</v>
      </c>
      <c r="X1665" s="83">
        <v>0</v>
      </c>
    </row>
    <row r="1666" spans="1:25" x14ac:dyDescent="0.2">
      <c r="A1666" s="83">
        <v>1</v>
      </c>
      <c r="B1666" s="84">
        <v>5701603308305</v>
      </c>
      <c r="C1666" s="83">
        <v>90</v>
      </c>
      <c r="D1666" s="84">
        <v>777500305</v>
      </c>
      <c r="F1666" s="83" t="s">
        <v>103</v>
      </c>
      <c r="G1666" s="83">
        <v>0</v>
      </c>
      <c r="H1666" s="83">
        <v>100</v>
      </c>
      <c r="K1666" s="83">
        <v>1</v>
      </c>
      <c r="L1666" s="83" t="s">
        <v>101</v>
      </c>
      <c r="M1666" s="83" t="s">
        <v>410</v>
      </c>
      <c r="N1666" s="83" t="s">
        <v>102</v>
      </c>
      <c r="P1666" s="83">
        <v>0</v>
      </c>
      <c r="U1666" s="83">
        <v>4</v>
      </c>
      <c r="V1666" s="83">
        <v>1</v>
      </c>
      <c r="W1666" s="83" t="s">
        <v>103</v>
      </c>
      <c r="X1666" s="83">
        <v>0</v>
      </c>
    </row>
    <row r="1667" spans="1:25" x14ac:dyDescent="0.2">
      <c r="A1667" s="83">
        <v>1</v>
      </c>
      <c r="B1667" s="84">
        <v>5701603309305</v>
      </c>
      <c r="C1667" s="83">
        <v>10</v>
      </c>
      <c r="D1667" s="84">
        <v>5980463309</v>
      </c>
      <c r="F1667" s="83" t="s">
        <v>103</v>
      </c>
      <c r="G1667" s="83">
        <v>0</v>
      </c>
      <c r="H1667" s="83">
        <v>100</v>
      </c>
      <c r="K1667" s="83">
        <v>1</v>
      </c>
      <c r="L1667" s="83" t="s">
        <v>101</v>
      </c>
      <c r="M1667" s="83" t="s">
        <v>410</v>
      </c>
      <c r="N1667" s="83" t="s">
        <v>102</v>
      </c>
      <c r="P1667" s="83">
        <v>0</v>
      </c>
      <c r="U1667" s="83">
        <v>4</v>
      </c>
      <c r="V1667" s="83">
        <v>1</v>
      </c>
      <c r="W1667" s="83" t="s">
        <v>103</v>
      </c>
      <c r="X1667" s="83">
        <v>0</v>
      </c>
      <c r="Y1667" s="83" t="str">
        <f>LEFT(D1667,6)</f>
        <v>598046</v>
      </c>
    </row>
    <row r="1668" spans="1:25" x14ac:dyDescent="0.2">
      <c r="A1668" s="83">
        <v>1</v>
      </c>
      <c r="B1668" s="84">
        <v>5701603309305</v>
      </c>
      <c r="C1668" s="83">
        <v>20</v>
      </c>
      <c r="D1668" s="84">
        <v>5980543309</v>
      </c>
      <c r="F1668" s="83" t="s">
        <v>103</v>
      </c>
      <c r="G1668" s="83">
        <v>0</v>
      </c>
      <c r="H1668" s="83">
        <v>100</v>
      </c>
      <c r="K1668" s="83">
        <v>1</v>
      </c>
      <c r="L1668" s="83" t="s">
        <v>101</v>
      </c>
      <c r="M1668" s="83" t="s">
        <v>410</v>
      </c>
      <c r="N1668" s="83" t="s">
        <v>102</v>
      </c>
      <c r="P1668" s="83">
        <v>0</v>
      </c>
      <c r="U1668" s="83">
        <v>4</v>
      </c>
      <c r="V1668" s="83">
        <v>1</v>
      </c>
      <c r="W1668" s="83" t="s">
        <v>103</v>
      </c>
      <c r="X1668" s="83">
        <v>0</v>
      </c>
    </row>
    <row r="1669" spans="1:25" x14ac:dyDescent="0.2">
      <c r="A1669" s="83">
        <v>1</v>
      </c>
      <c r="B1669" s="84">
        <v>5701603309305</v>
      </c>
      <c r="C1669" s="83">
        <v>30</v>
      </c>
      <c r="D1669" s="84">
        <v>5980623309</v>
      </c>
      <c r="F1669" s="83" t="s">
        <v>103</v>
      </c>
      <c r="G1669" s="83">
        <v>0</v>
      </c>
      <c r="H1669" s="83">
        <v>100</v>
      </c>
      <c r="K1669" s="83">
        <v>1</v>
      </c>
      <c r="L1669" s="83" t="s">
        <v>101</v>
      </c>
      <c r="M1669" s="83" t="s">
        <v>410</v>
      </c>
      <c r="N1669" s="83" t="s">
        <v>102</v>
      </c>
      <c r="P1669" s="83">
        <v>0</v>
      </c>
      <c r="U1669" s="83">
        <v>4</v>
      </c>
      <c r="V1669" s="83">
        <v>1</v>
      </c>
      <c r="W1669" s="83" t="s">
        <v>103</v>
      </c>
      <c r="X1669" s="83">
        <v>0</v>
      </c>
    </row>
    <row r="1670" spans="1:25" x14ac:dyDescent="0.2">
      <c r="A1670" s="83">
        <v>1</v>
      </c>
      <c r="B1670" s="84">
        <v>5701603309305</v>
      </c>
      <c r="C1670" s="83">
        <v>40</v>
      </c>
      <c r="D1670" s="84">
        <v>5980823309</v>
      </c>
      <c r="F1670" s="83" t="s">
        <v>103</v>
      </c>
      <c r="G1670" s="83">
        <v>0</v>
      </c>
      <c r="H1670" s="83">
        <v>100</v>
      </c>
      <c r="K1670" s="83">
        <v>1</v>
      </c>
      <c r="L1670" s="83" t="s">
        <v>101</v>
      </c>
      <c r="M1670" s="83" t="s">
        <v>410</v>
      </c>
      <c r="N1670" s="83" t="s">
        <v>102</v>
      </c>
      <c r="P1670" s="83">
        <v>0</v>
      </c>
      <c r="U1670" s="83">
        <v>4</v>
      </c>
      <c r="V1670" s="83">
        <v>1</v>
      </c>
      <c r="W1670" s="83" t="s">
        <v>103</v>
      </c>
      <c r="X1670" s="83">
        <v>0</v>
      </c>
    </row>
    <row r="1671" spans="1:25" x14ac:dyDescent="0.2">
      <c r="A1671" s="83">
        <v>1</v>
      </c>
      <c r="B1671" s="84">
        <v>5701603309305</v>
      </c>
      <c r="C1671" s="83">
        <v>50</v>
      </c>
      <c r="D1671" s="84">
        <v>5980933309</v>
      </c>
      <c r="F1671" s="83" t="s">
        <v>103</v>
      </c>
      <c r="G1671" s="83">
        <v>0</v>
      </c>
      <c r="H1671" s="83">
        <v>100</v>
      </c>
      <c r="K1671" s="83">
        <v>1</v>
      </c>
      <c r="L1671" s="83" t="s">
        <v>101</v>
      </c>
      <c r="M1671" s="83" t="s">
        <v>410</v>
      </c>
      <c r="N1671" s="83" t="s">
        <v>102</v>
      </c>
      <c r="P1671" s="83">
        <v>0</v>
      </c>
      <c r="U1671" s="83">
        <v>4</v>
      </c>
      <c r="V1671" s="83">
        <v>1</v>
      </c>
      <c r="W1671" s="83" t="s">
        <v>103</v>
      </c>
      <c r="X1671" s="83">
        <v>0</v>
      </c>
    </row>
    <row r="1672" spans="1:25" x14ac:dyDescent="0.2">
      <c r="A1672" s="83">
        <v>1</v>
      </c>
      <c r="B1672" s="84">
        <v>5701603309305</v>
      </c>
      <c r="C1672" s="83">
        <v>60</v>
      </c>
      <c r="D1672" s="84">
        <v>1010286</v>
      </c>
      <c r="F1672" s="83" t="s">
        <v>103</v>
      </c>
      <c r="G1672" s="83">
        <v>0</v>
      </c>
      <c r="H1672" s="83">
        <v>100</v>
      </c>
      <c r="K1672" s="83">
        <v>8</v>
      </c>
      <c r="L1672" s="83" t="s">
        <v>101</v>
      </c>
      <c r="M1672" s="83" t="s">
        <v>410</v>
      </c>
      <c r="N1672" s="83" t="s">
        <v>102</v>
      </c>
      <c r="P1672" s="83">
        <v>0</v>
      </c>
      <c r="U1672" s="83">
        <v>4</v>
      </c>
      <c r="V1672" s="83">
        <v>1</v>
      </c>
      <c r="W1672" s="83" t="s">
        <v>103</v>
      </c>
      <c r="X1672" s="83">
        <v>0</v>
      </c>
    </row>
    <row r="1673" spans="1:25" x14ac:dyDescent="0.2">
      <c r="A1673" s="83">
        <v>1</v>
      </c>
      <c r="B1673" s="84">
        <v>5701603309305</v>
      </c>
      <c r="C1673" s="83">
        <v>70</v>
      </c>
      <c r="D1673" s="84">
        <v>1010287</v>
      </c>
      <c r="F1673" s="83" t="s">
        <v>103</v>
      </c>
      <c r="G1673" s="83">
        <v>0</v>
      </c>
      <c r="H1673" s="83">
        <v>100</v>
      </c>
      <c r="K1673" s="83">
        <v>4</v>
      </c>
      <c r="L1673" s="83" t="s">
        <v>101</v>
      </c>
      <c r="M1673" s="83" t="s">
        <v>410</v>
      </c>
      <c r="N1673" s="83" t="s">
        <v>102</v>
      </c>
      <c r="P1673" s="83">
        <v>0</v>
      </c>
      <c r="U1673" s="83">
        <v>4</v>
      </c>
      <c r="V1673" s="83">
        <v>1</v>
      </c>
      <c r="W1673" s="83" t="s">
        <v>103</v>
      </c>
      <c r="X1673" s="83">
        <v>0</v>
      </c>
    </row>
    <row r="1674" spans="1:25" x14ac:dyDescent="0.2">
      <c r="A1674" s="83">
        <v>1</v>
      </c>
      <c r="B1674" s="84">
        <v>5701603309305</v>
      </c>
      <c r="C1674" s="83">
        <v>80</v>
      </c>
      <c r="D1674" s="84">
        <v>1020145</v>
      </c>
      <c r="F1674" s="83" t="s">
        <v>103</v>
      </c>
      <c r="G1674" s="83">
        <v>0</v>
      </c>
      <c r="H1674" s="83">
        <v>100</v>
      </c>
      <c r="K1674" s="83" t="s">
        <v>408</v>
      </c>
      <c r="L1674" s="83" t="s">
        <v>101</v>
      </c>
      <c r="M1674" s="83" t="s">
        <v>410</v>
      </c>
      <c r="N1674" s="83" t="s">
        <v>102</v>
      </c>
      <c r="P1674" s="83">
        <v>0</v>
      </c>
      <c r="U1674" s="83">
        <v>4</v>
      </c>
      <c r="V1674" s="83">
        <v>1</v>
      </c>
      <c r="W1674" s="83" t="s">
        <v>103</v>
      </c>
      <c r="X1674" s="83">
        <v>0</v>
      </c>
    </row>
    <row r="1675" spans="1:25" x14ac:dyDescent="0.2">
      <c r="A1675" s="83">
        <v>1</v>
      </c>
      <c r="B1675" s="84">
        <v>5701603309305</v>
      </c>
      <c r="C1675" s="83">
        <v>90</v>
      </c>
      <c r="D1675" s="84">
        <v>777500305</v>
      </c>
      <c r="F1675" s="83" t="s">
        <v>103</v>
      </c>
      <c r="G1675" s="83">
        <v>0</v>
      </c>
      <c r="H1675" s="83">
        <v>100</v>
      </c>
      <c r="K1675" s="83">
        <v>1</v>
      </c>
      <c r="L1675" s="83" t="s">
        <v>101</v>
      </c>
      <c r="M1675" s="83" t="s">
        <v>410</v>
      </c>
      <c r="N1675" s="83" t="s">
        <v>102</v>
      </c>
      <c r="P1675" s="83">
        <v>0</v>
      </c>
      <c r="U1675" s="83">
        <v>4</v>
      </c>
      <c r="V1675" s="83">
        <v>1</v>
      </c>
      <c r="W1675" s="83" t="s">
        <v>103</v>
      </c>
      <c r="X1675" s="83">
        <v>0</v>
      </c>
    </row>
    <row r="1676" spans="1:25" x14ac:dyDescent="0.2">
      <c r="A1676" s="83">
        <v>1</v>
      </c>
      <c r="B1676" s="84">
        <v>5701603310305</v>
      </c>
      <c r="C1676" s="83">
        <v>10</v>
      </c>
      <c r="D1676" s="84">
        <v>5980463310</v>
      </c>
      <c r="F1676" s="83" t="s">
        <v>103</v>
      </c>
      <c r="G1676" s="83">
        <v>0</v>
      </c>
      <c r="H1676" s="83">
        <v>100</v>
      </c>
      <c r="K1676" s="83">
        <v>1</v>
      </c>
      <c r="L1676" s="83" t="s">
        <v>101</v>
      </c>
      <c r="M1676" s="83" t="s">
        <v>410</v>
      </c>
      <c r="N1676" s="83" t="s">
        <v>102</v>
      </c>
      <c r="P1676" s="83">
        <v>0</v>
      </c>
      <c r="U1676" s="83">
        <v>4</v>
      </c>
      <c r="V1676" s="83">
        <v>1</v>
      </c>
      <c r="W1676" s="83" t="s">
        <v>103</v>
      </c>
      <c r="X1676" s="83">
        <v>0</v>
      </c>
      <c r="Y1676" s="83" t="str">
        <f>LEFT(D1676,6)</f>
        <v>598046</v>
      </c>
    </row>
    <row r="1677" spans="1:25" x14ac:dyDescent="0.2">
      <c r="A1677" s="83">
        <v>1</v>
      </c>
      <c r="B1677" s="84">
        <v>5701603310305</v>
      </c>
      <c r="C1677" s="83">
        <v>20</v>
      </c>
      <c r="D1677" s="84">
        <v>5980543310</v>
      </c>
      <c r="F1677" s="83" t="s">
        <v>103</v>
      </c>
      <c r="G1677" s="83">
        <v>0</v>
      </c>
      <c r="H1677" s="83">
        <v>100</v>
      </c>
      <c r="K1677" s="83">
        <v>1</v>
      </c>
      <c r="L1677" s="83" t="s">
        <v>101</v>
      </c>
      <c r="M1677" s="83" t="s">
        <v>410</v>
      </c>
      <c r="N1677" s="83" t="s">
        <v>102</v>
      </c>
      <c r="P1677" s="83">
        <v>0</v>
      </c>
      <c r="U1677" s="83">
        <v>4</v>
      </c>
      <c r="V1677" s="83">
        <v>1</v>
      </c>
      <c r="W1677" s="83" t="s">
        <v>103</v>
      </c>
      <c r="X1677" s="83">
        <v>0</v>
      </c>
    </row>
    <row r="1678" spans="1:25" x14ac:dyDescent="0.2">
      <c r="A1678" s="83">
        <v>1</v>
      </c>
      <c r="B1678" s="84">
        <v>5701603310305</v>
      </c>
      <c r="C1678" s="83">
        <v>30</v>
      </c>
      <c r="D1678" s="84">
        <v>5980623310</v>
      </c>
      <c r="F1678" s="83" t="s">
        <v>103</v>
      </c>
      <c r="G1678" s="83">
        <v>0</v>
      </c>
      <c r="H1678" s="83">
        <v>100</v>
      </c>
      <c r="K1678" s="83">
        <v>1</v>
      </c>
      <c r="L1678" s="83" t="s">
        <v>101</v>
      </c>
      <c r="M1678" s="83" t="s">
        <v>410</v>
      </c>
      <c r="N1678" s="83" t="s">
        <v>102</v>
      </c>
      <c r="P1678" s="83">
        <v>0</v>
      </c>
      <c r="U1678" s="83">
        <v>4</v>
      </c>
      <c r="V1678" s="83">
        <v>1</v>
      </c>
      <c r="W1678" s="83" t="s">
        <v>103</v>
      </c>
      <c r="X1678" s="83">
        <v>0</v>
      </c>
    </row>
    <row r="1679" spans="1:25" x14ac:dyDescent="0.2">
      <c r="A1679" s="83">
        <v>1</v>
      </c>
      <c r="B1679" s="84">
        <v>5701603310305</v>
      </c>
      <c r="C1679" s="83">
        <v>40</v>
      </c>
      <c r="D1679" s="84">
        <v>5980823310</v>
      </c>
      <c r="F1679" s="83" t="s">
        <v>103</v>
      </c>
      <c r="G1679" s="83">
        <v>0</v>
      </c>
      <c r="H1679" s="83">
        <v>100</v>
      </c>
      <c r="K1679" s="83">
        <v>1</v>
      </c>
      <c r="L1679" s="83" t="s">
        <v>101</v>
      </c>
      <c r="M1679" s="83" t="s">
        <v>410</v>
      </c>
      <c r="N1679" s="83" t="s">
        <v>102</v>
      </c>
      <c r="P1679" s="83">
        <v>0</v>
      </c>
      <c r="U1679" s="83">
        <v>4</v>
      </c>
      <c r="V1679" s="83">
        <v>1</v>
      </c>
      <c r="W1679" s="83" t="s">
        <v>103</v>
      </c>
      <c r="X1679" s="83">
        <v>0</v>
      </c>
    </row>
    <row r="1680" spans="1:25" x14ac:dyDescent="0.2">
      <c r="A1680" s="83">
        <v>1</v>
      </c>
      <c r="B1680" s="84">
        <v>5701603310305</v>
      </c>
      <c r="C1680" s="83">
        <v>50</v>
      </c>
      <c r="D1680" s="84">
        <v>5980933310</v>
      </c>
      <c r="F1680" s="83" t="s">
        <v>103</v>
      </c>
      <c r="G1680" s="83">
        <v>0</v>
      </c>
      <c r="H1680" s="83">
        <v>100</v>
      </c>
      <c r="K1680" s="83">
        <v>1</v>
      </c>
      <c r="L1680" s="83" t="s">
        <v>101</v>
      </c>
      <c r="M1680" s="83" t="s">
        <v>410</v>
      </c>
      <c r="N1680" s="83" t="s">
        <v>102</v>
      </c>
      <c r="P1680" s="83">
        <v>0</v>
      </c>
      <c r="U1680" s="83">
        <v>4</v>
      </c>
      <c r="V1680" s="83">
        <v>1</v>
      </c>
      <c r="W1680" s="83" t="s">
        <v>103</v>
      </c>
      <c r="X1680" s="83">
        <v>0</v>
      </c>
    </row>
    <row r="1681" spans="1:25" x14ac:dyDescent="0.2">
      <c r="A1681" s="83">
        <v>1</v>
      </c>
      <c r="B1681" s="84">
        <v>5701603310305</v>
      </c>
      <c r="C1681" s="83">
        <v>60</v>
      </c>
      <c r="D1681" s="84">
        <v>1010286</v>
      </c>
      <c r="F1681" s="83" t="s">
        <v>103</v>
      </c>
      <c r="G1681" s="83">
        <v>0</v>
      </c>
      <c r="H1681" s="83">
        <v>100</v>
      </c>
      <c r="K1681" s="83">
        <v>8</v>
      </c>
      <c r="L1681" s="83" t="s">
        <v>101</v>
      </c>
      <c r="M1681" s="83" t="s">
        <v>410</v>
      </c>
      <c r="N1681" s="83" t="s">
        <v>102</v>
      </c>
      <c r="P1681" s="83">
        <v>0</v>
      </c>
      <c r="U1681" s="83">
        <v>4</v>
      </c>
      <c r="V1681" s="83">
        <v>1</v>
      </c>
      <c r="W1681" s="83" t="s">
        <v>103</v>
      </c>
      <c r="X1681" s="83">
        <v>0</v>
      </c>
    </row>
    <row r="1682" spans="1:25" x14ac:dyDescent="0.2">
      <c r="A1682" s="83">
        <v>1</v>
      </c>
      <c r="B1682" s="84">
        <v>5701603310305</v>
      </c>
      <c r="C1682" s="83">
        <v>70</v>
      </c>
      <c r="D1682" s="84">
        <v>1010287</v>
      </c>
      <c r="F1682" s="83" t="s">
        <v>103</v>
      </c>
      <c r="G1682" s="83">
        <v>0</v>
      </c>
      <c r="H1682" s="83">
        <v>100</v>
      </c>
      <c r="K1682" s="83">
        <v>4</v>
      </c>
      <c r="L1682" s="83" t="s">
        <v>101</v>
      </c>
      <c r="M1682" s="83" t="s">
        <v>410</v>
      </c>
      <c r="N1682" s="83" t="s">
        <v>102</v>
      </c>
      <c r="P1682" s="83">
        <v>0</v>
      </c>
      <c r="U1682" s="83">
        <v>4</v>
      </c>
      <c r="V1682" s="83">
        <v>1</v>
      </c>
      <c r="W1682" s="83" t="s">
        <v>103</v>
      </c>
      <c r="X1682" s="83">
        <v>0</v>
      </c>
    </row>
    <row r="1683" spans="1:25" x14ac:dyDescent="0.2">
      <c r="A1683" s="83">
        <v>1</v>
      </c>
      <c r="B1683" s="84">
        <v>5701603310305</v>
      </c>
      <c r="C1683" s="83">
        <v>80</v>
      </c>
      <c r="D1683" s="84">
        <v>1020145</v>
      </c>
      <c r="F1683" s="83" t="s">
        <v>103</v>
      </c>
      <c r="G1683" s="83">
        <v>0</v>
      </c>
      <c r="H1683" s="83">
        <v>100</v>
      </c>
      <c r="K1683" s="83" t="s">
        <v>408</v>
      </c>
      <c r="L1683" s="83" t="s">
        <v>101</v>
      </c>
      <c r="M1683" s="83" t="s">
        <v>410</v>
      </c>
      <c r="N1683" s="83" t="s">
        <v>102</v>
      </c>
      <c r="P1683" s="83">
        <v>0</v>
      </c>
      <c r="U1683" s="83">
        <v>4</v>
      </c>
      <c r="V1683" s="83">
        <v>1</v>
      </c>
      <c r="W1683" s="83" t="s">
        <v>103</v>
      </c>
      <c r="X1683" s="83">
        <v>0</v>
      </c>
    </row>
    <row r="1684" spans="1:25" x14ac:dyDescent="0.2">
      <c r="A1684" s="83">
        <v>1</v>
      </c>
      <c r="B1684" s="84">
        <v>5701603310305</v>
      </c>
      <c r="C1684" s="83">
        <v>90</v>
      </c>
      <c r="D1684" s="84">
        <v>777500305</v>
      </c>
      <c r="F1684" s="83" t="s">
        <v>103</v>
      </c>
      <c r="G1684" s="83">
        <v>0</v>
      </c>
      <c r="H1684" s="83">
        <v>100</v>
      </c>
      <c r="K1684" s="83">
        <v>1</v>
      </c>
      <c r="L1684" s="83" t="s">
        <v>101</v>
      </c>
      <c r="M1684" s="83" t="s">
        <v>410</v>
      </c>
      <c r="N1684" s="83" t="s">
        <v>102</v>
      </c>
      <c r="P1684" s="83">
        <v>0</v>
      </c>
      <c r="U1684" s="83">
        <v>4</v>
      </c>
      <c r="V1684" s="83">
        <v>1</v>
      </c>
      <c r="W1684" s="83" t="s">
        <v>103</v>
      </c>
      <c r="X1684" s="83">
        <v>0</v>
      </c>
    </row>
    <row r="1685" spans="1:25" x14ac:dyDescent="0.2">
      <c r="A1685" s="83">
        <v>1</v>
      </c>
      <c r="B1685" s="84">
        <v>5701603300306</v>
      </c>
      <c r="C1685" s="83">
        <v>10</v>
      </c>
      <c r="D1685" s="84">
        <v>5980463399</v>
      </c>
      <c r="F1685" s="83" t="s">
        <v>103</v>
      </c>
      <c r="G1685" s="83">
        <v>0</v>
      </c>
      <c r="H1685" s="83">
        <v>100</v>
      </c>
      <c r="K1685" s="83">
        <v>1</v>
      </c>
      <c r="L1685" s="83" t="s">
        <v>101</v>
      </c>
      <c r="M1685" s="83" t="s">
        <v>410</v>
      </c>
      <c r="N1685" s="83" t="s">
        <v>102</v>
      </c>
      <c r="P1685" s="83">
        <v>0</v>
      </c>
      <c r="U1685" s="83">
        <v>4</v>
      </c>
      <c r="V1685" s="83">
        <v>1</v>
      </c>
      <c r="W1685" s="83" t="s">
        <v>103</v>
      </c>
      <c r="X1685" s="83">
        <v>0</v>
      </c>
      <c r="Y1685" s="83" t="str">
        <f>LEFT(D1685,6)</f>
        <v>598046</v>
      </c>
    </row>
    <row r="1686" spans="1:25" x14ac:dyDescent="0.2">
      <c r="A1686" s="83">
        <v>1</v>
      </c>
      <c r="B1686" s="84">
        <v>5701603300306</v>
      </c>
      <c r="C1686" s="83">
        <v>20</v>
      </c>
      <c r="D1686" s="84">
        <v>5980543399</v>
      </c>
      <c r="F1686" s="83" t="s">
        <v>103</v>
      </c>
      <c r="G1686" s="83">
        <v>0</v>
      </c>
      <c r="H1686" s="83">
        <v>100</v>
      </c>
      <c r="K1686" s="83">
        <v>1</v>
      </c>
      <c r="L1686" s="83" t="s">
        <v>101</v>
      </c>
      <c r="M1686" s="83" t="s">
        <v>410</v>
      </c>
      <c r="N1686" s="83" t="s">
        <v>102</v>
      </c>
      <c r="P1686" s="83">
        <v>0</v>
      </c>
      <c r="U1686" s="83">
        <v>4</v>
      </c>
      <c r="V1686" s="83">
        <v>1</v>
      </c>
      <c r="W1686" s="83" t="s">
        <v>103</v>
      </c>
      <c r="X1686" s="83">
        <v>0</v>
      </c>
    </row>
    <row r="1687" spans="1:25" x14ac:dyDescent="0.2">
      <c r="A1687" s="83">
        <v>1</v>
      </c>
      <c r="B1687" s="84">
        <v>5701603300306</v>
      </c>
      <c r="C1687" s="83">
        <v>30</v>
      </c>
      <c r="D1687" s="84">
        <v>5980623399</v>
      </c>
      <c r="F1687" s="83" t="s">
        <v>103</v>
      </c>
      <c r="G1687" s="83">
        <v>0</v>
      </c>
      <c r="H1687" s="83">
        <v>100</v>
      </c>
      <c r="K1687" s="83">
        <v>1</v>
      </c>
      <c r="L1687" s="83" t="s">
        <v>101</v>
      </c>
      <c r="M1687" s="83" t="s">
        <v>410</v>
      </c>
      <c r="N1687" s="83" t="s">
        <v>102</v>
      </c>
      <c r="P1687" s="83">
        <v>0</v>
      </c>
      <c r="U1687" s="83">
        <v>4</v>
      </c>
      <c r="V1687" s="83">
        <v>1</v>
      </c>
      <c r="W1687" s="83" t="s">
        <v>103</v>
      </c>
      <c r="X1687" s="83">
        <v>0</v>
      </c>
    </row>
    <row r="1688" spans="1:25" x14ac:dyDescent="0.2">
      <c r="A1688" s="83">
        <v>1</v>
      </c>
      <c r="B1688" s="84">
        <v>5701603300306</v>
      </c>
      <c r="C1688" s="83">
        <v>40</v>
      </c>
      <c r="D1688" s="84">
        <v>5980823399</v>
      </c>
      <c r="F1688" s="83" t="s">
        <v>103</v>
      </c>
      <c r="G1688" s="83">
        <v>0</v>
      </c>
      <c r="H1688" s="83">
        <v>100</v>
      </c>
      <c r="K1688" s="83">
        <v>1</v>
      </c>
      <c r="L1688" s="83" t="s">
        <v>101</v>
      </c>
      <c r="M1688" s="83" t="s">
        <v>410</v>
      </c>
      <c r="N1688" s="83" t="s">
        <v>102</v>
      </c>
      <c r="P1688" s="83">
        <v>0</v>
      </c>
      <c r="U1688" s="83">
        <v>4</v>
      </c>
      <c r="V1688" s="83">
        <v>1</v>
      </c>
      <c r="W1688" s="83" t="s">
        <v>103</v>
      </c>
      <c r="X1688" s="83">
        <v>0</v>
      </c>
    </row>
    <row r="1689" spans="1:25" x14ac:dyDescent="0.2">
      <c r="A1689" s="83">
        <v>1</v>
      </c>
      <c r="B1689" s="84">
        <v>5701603300306</v>
      </c>
      <c r="C1689" s="83">
        <v>50</v>
      </c>
      <c r="D1689" s="85">
        <v>1010277</v>
      </c>
      <c r="F1689" s="83" t="s">
        <v>103</v>
      </c>
      <c r="G1689" s="83">
        <v>0</v>
      </c>
      <c r="H1689" s="83">
        <v>100</v>
      </c>
      <c r="K1689" s="83">
        <v>1</v>
      </c>
      <c r="L1689" s="83" t="s">
        <v>101</v>
      </c>
      <c r="M1689" s="83" t="s">
        <v>410</v>
      </c>
      <c r="N1689" s="83" t="s">
        <v>102</v>
      </c>
      <c r="P1689" s="83">
        <v>0</v>
      </c>
      <c r="U1689" s="83">
        <v>4</v>
      </c>
      <c r="V1689" s="83">
        <v>1</v>
      </c>
      <c r="W1689" s="83" t="s">
        <v>103</v>
      </c>
      <c r="X1689" s="83">
        <v>0</v>
      </c>
    </row>
    <row r="1690" spans="1:25" x14ac:dyDescent="0.2">
      <c r="A1690" s="83">
        <v>1</v>
      </c>
      <c r="B1690" s="84">
        <v>5701603300306</v>
      </c>
      <c r="C1690" s="83">
        <v>60</v>
      </c>
      <c r="D1690" s="84">
        <v>1010286</v>
      </c>
      <c r="F1690" s="83" t="s">
        <v>103</v>
      </c>
      <c r="G1690" s="83">
        <v>0</v>
      </c>
      <c r="H1690" s="83">
        <v>100</v>
      </c>
      <c r="K1690" s="83">
        <v>8</v>
      </c>
      <c r="L1690" s="83" t="s">
        <v>101</v>
      </c>
      <c r="M1690" s="83" t="s">
        <v>410</v>
      </c>
      <c r="N1690" s="83" t="s">
        <v>102</v>
      </c>
      <c r="P1690" s="83">
        <v>0</v>
      </c>
      <c r="U1690" s="83">
        <v>4</v>
      </c>
      <c r="V1690" s="83">
        <v>1</v>
      </c>
      <c r="W1690" s="83" t="s">
        <v>103</v>
      </c>
      <c r="X1690" s="83">
        <v>0</v>
      </c>
    </row>
    <row r="1691" spans="1:25" x14ac:dyDescent="0.2">
      <c r="A1691" s="83">
        <v>1</v>
      </c>
      <c r="B1691" s="84">
        <v>5701603300306</v>
      </c>
      <c r="C1691" s="83">
        <v>70</v>
      </c>
      <c r="D1691" s="84">
        <v>1010287</v>
      </c>
      <c r="F1691" s="83" t="s">
        <v>103</v>
      </c>
      <c r="G1691" s="83">
        <v>0</v>
      </c>
      <c r="H1691" s="83">
        <v>100</v>
      </c>
      <c r="K1691" s="83">
        <v>4</v>
      </c>
      <c r="L1691" s="83" t="s">
        <v>101</v>
      </c>
      <c r="M1691" s="83" t="s">
        <v>410</v>
      </c>
      <c r="N1691" s="83" t="s">
        <v>102</v>
      </c>
      <c r="P1691" s="83">
        <v>0</v>
      </c>
      <c r="U1691" s="83">
        <v>4</v>
      </c>
      <c r="V1691" s="83">
        <v>1</v>
      </c>
      <c r="W1691" s="83" t="s">
        <v>103</v>
      </c>
      <c r="X1691" s="83">
        <v>0</v>
      </c>
    </row>
    <row r="1692" spans="1:25" x14ac:dyDescent="0.2">
      <c r="A1692" s="83">
        <v>1</v>
      </c>
      <c r="B1692" s="84">
        <v>5701603300306</v>
      </c>
      <c r="C1692" s="83">
        <v>80</v>
      </c>
      <c r="D1692" s="84">
        <v>1020145</v>
      </c>
      <c r="F1692" s="83" t="s">
        <v>103</v>
      </c>
      <c r="G1692" s="83">
        <v>0</v>
      </c>
      <c r="H1692" s="83">
        <v>100</v>
      </c>
      <c r="K1692" s="83" t="s">
        <v>408</v>
      </c>
      <c r="L1692" s="83" t="s">
        <v>101</v>
      </c>
      <c r="M1692" s="83" t="s">
        <v>410</v>
      </c>
      <c r="N1692" s="83" t="s">
        <v>102</v>
      </c>
      <c r="P1692" s="83">
        <v>0</v>
      </c>
      <c r="U1692" s="83">
        <v>4</v>
      </c>
      <c r="V1692" s="83">
        <v>1</v>
      </c>
      <c r="W1692" s="83" t="s">
        <v>103</v>
      </c>
      <c r="X1692" s="83">
        <v>0</v>
      </c>
    </row>
    <row r="1693" spans="1:25" x14ac:dyDescent="0.2">
      <c r="A1693" s="83">
        <v>1</v>
      </c>
      <c r="B1693" s="84">
        <v>5701603300306</v>
      </c>
      <c r="C1693" s="83">
        <v>90</v>
      </c>
      <c r="D1693" s="84">
        <v>777500306</v>
      </c>
      <c r="F1693" s="83" t="s">
        <v>103</v>
      </c>
      <c r="G1693" s="83">
        <v>0</v>
      </c>
      <c r="H1693" s="83">
        <v>100</v>
      </c>
      <c r="K1693" s="83">
        <v>1</v>
      </c>
      <c r="L1693" s="83" t="s">
        <v>101</v>
      </c>
      <c r="M1693" s="83" t="s">
        <v>410</v>
      </c>
      <c r="N1693" s="83" t="s">
        <v>102</v>
      </c>
      <c r="P1693" s="83">
        <v>0</v>
      </c>
      <c r="U1693" s="83">
        <v>4</v>
      </c>
      <c r="V1693" s="83">
        <v>1</v>
      </c>
      <c r="W1693" s="83" t="s">
        <v>103</v>
      </c>
      <c r="X1693" s="83">
        <v>0</v>
      </c>
    </row>
    <row r="1694" spans="1:25" x14ac:dyDescent="0.2">
      <c r="A1694" s="83">
        <v>1</v>
      </c>
      <c r="B1694" s="84">
        <v>5701603301306</v>
      </c>
      <c r="C1694" s="83">
        <v>10</v>
      </c>
      <c r="D1694" s="84">
        <v>5980463301</v>
      </c>
      <c r="F1694" s="83" t="s">
        <v>103</v>
      </c>
      <c r="G1694" s="83">
        <v>0</v>
      </c>
      <c r="H1694" s="83">
        <v>100</v>
      </c>
      <c r="K1694" s="83">
        <v>1</v>
      </c>
      <c r="L1694" s="83" t="s">
        <v>101</v>
      </c>
      <c r="M1694" s="83" t="s">
        <v>410</v>
      </c>
      <c r="N1694" s="83" t="s">
        <v>102</v>
      </c>
      <c r="P1694" s="83">
        <v>0</v>
      </c>
      <c r="U1694" s="83">
        <v>4</v>
      </c>
      <c r="V1694" s="83">
        <v>1</v>
      </c>
      <c r="W1694" s="83" t="s">
        <v>103</v>
      </c>
      <c r="X1694" s="83">
        <v>0</v>
      </c>
      <c r="Y1694" s="83" t="str">
        <f>LEFT(D1694,6)</f>
        <v>598046</v>
      </c>
    </row>
    <row r="1695" spans="1:25" x14ac:dyDescent="0.2">
      <c r="A1695" s="83">
        <v>1</v>
      </c>
      <c r="B1695" s="84">
        <v>5701603301306</v>
      </c>
      <c r="C1695" s="83">
        <v>20</v>
      </c>
      <c r="D1695" s="84">
        <v>5980543301</v>
      </c>
      <c r="F1695" s="83" t="s">
        <v>103</v>
      </c>
      <c r="G1695" s="83">
        <v>0</v>
      </c>
      <c r="H1695" s="83">
        <v>100</v>
      </c>
      <c r="K1695" s="83">
        <v>1</v>
      </c>
      <c r="L1695" s="83" t="s">
        <v>101</v>
      </c>
      <c r="M1695" s="83" t="s">
        <v>410</v>
      </c>
      <c r="N1695" s="83" t="s">
        <v>102</v>
      </c>
      <c r="P1695" s="83">
        <v>0</v>
      </c>
      <c r="U1695" s="83">
        <v>4</v>
      </c>
      <c r="V1695" s="83">
        <v>1</v>
      </c>
      <c r="W1695" s="83" t="s">
        <v>103</v>
      </c>
      <c r="X1695" s="83">
        <v>0</v>
      </c>
    </row>
    <row r="1696" spans="1:25" x14ac:dyDescent="0.2">
      <c r="A1696" s="83">
        <v>1</v>
      </c>
      <c r="B1696" s="84">
        <v>5701603301306</v>
      </c>
      <c r="C1696" s="83">
        <v>30</v>
      </c>
      <c r="D1696" s="84">
        <v>5980623301</v>
      </c>
      <c r="F1696" s="83" t="s">
        <v>103</v>
      </c>
      <c r="G1696" s="83">
        <v>0</v>
      </c>
      <c r="H1696" s="83">
        <v>100</v>
      </c>
      <c r="K1696" s="83">
        <v>1</v>
      </c>
      <c r="L1696" s="83" t="s">
        <v>101</v>
      </c>
      <c r="M1696" s="83" t="s">
        <v>410</v>
      </c>
      <c r="N1696" s="83" t="s">
        <v>102</v>
      </c>
      <c r="P1696" s="83">
        <v>0</v>
      </c>
      <c r="U1696" s="83">
        <v>4</v>
      </c>
      <c r="V1696" s="83">
        <v>1</v>
      </c>
      <c r="W1696" s="83" t="s">
        <v>103</v>
      </c>
      <c r="X1696" s="83">
        <v>0</v>
      </c>
    </row>
    <row r="1697" spans="1:25" x14ac:dyDescent="0.2">
      <c r="A1697" s="83">
        <v>1</v>
      </c>
      <c r="B1697" s="84">
        <v>5701603301306</v>
      </c>
      <c r="C1697" s="83">
        <v>40</v>
      </c>
      <c r="D1697" s="84">
        <v>5980823301</v>
      </c>
      <c r="F1697" s="83" t="s">
        <v>103</v>
      </c>
      <c r="G1697" s="83">
        <v>0</v>
      </c>
      <c r="H1697" s="83">
        <v>100</v>
      </c>
      <c r="K1697" s="83">
        <v>1</v>
      </c>
      <c r="L1697" s="83" t="s">
        <v>101</v>
      </c>
      <c r="M1697" s="83" t="s">
        <v>410</v>
      </c>
      <c r="N1697" s="83" t="s">
        <v>102</v>
      </c>
      <c r="P1697" s="83">
        <v>0</v>
      </c>
      <c r="U1697" s="83">
        <v>4</v>
      </c>
      <c r="V1697" s="83">
        <v>1</v>
      </c>
      <c r="W1697" s="83" t="s">
        <v>103</v>
      </c>
      <c r="X1697" s="83">
        <v>0</v>
      </c>
    </row>
    <row r="1698" spans="1:25" x14ac:dyDescent="0.2">
      <c r="A1698" s="83">
        <v>1</v>
      </c>
      <c r="B1698" s="84">
        <v>5701603301306</v>
      </c>
      <c r="C1698" s="83">
        <v>50</v>
      </c>
      <c r="D1698" s="84">
        <v>5980933301</v>
      </c>
      <c r="F1698" s="83" t="s">
        <v>103</v>
      </c>
      <c r="G1698" s="83">
        <v>0</v>
      </c>
      <c r="H1698" s="83">
        <v>100</v>
      </c>
      <c r="K1698" s="83">
        <v>1</v>
      </c>
      <c r="L1698" s="83" t="s">
        <v>101</v>
      </c>
      <c r="M1698" s="83" t="s">
        <v>410</v>
      </c>
      <c r="N1698" s="83" t="s">
        <v>102</v>
      </c>
      <c r="P1698" s="83">
        <v>0</v>
      </c>
      <c r="U1698" s="83">
        <v>4</v>
      </c>
      <c r="V1698" s="83">
        <v>1</v>
      </c>
      <c r="W1698" s="83" t="s">
        <v>103</v>
      </c>
      <c r="X1698" s="83">
        <v>0</v>
      </c>
    </row>
    <row r="1699" spans="1:25" x14ac:dyDescent="0.2">
      <c r="A1699" s="83">
        <v>1</v>
      </c>
      <c r="B1699" s="84">
        <v>5701603301306</v>
      </c>
      <c r="C1699" s="83">
        <v>60</v>
      </c>
      <c r="D1699" s="84">
        <v>1010286</v>
      </c>
      <c r="F1699" s="83" t="s">
        <v>103</v>
      </c>
      <c r="G1699" s="83">
        <v>0</v>
      </c>
      <c r="H1699" s="83">
        <v>100</v>
      </c>
      <c r="K1699" s="83">
        <v>8</v>
      </c>
      <c r="L1699" s="83" t="s">
        <v>101</v>
      </c>
      <c r="M1699" s="83" t="s">
        <v>410</v>
      </c>
      <c r="N1699" s="83" t="s">
        <v>102</v>
      </c>
      <c r="P1699" s="83">
        <v>0</v>
      </c>
      <c r="U1699" s="83">
        <v>4</v>
      </c>
      <c r="V1699" s="83">
        <v>1</v>
      </c>
      <c r="W1699" s="83" t="s">
        <v>103</v>
      </c>
      <c r="X1699" s="83">
        <v>0</v>
      </c>
    </row>
    <row r="1700" spans="1:25" x14ac:dyDescent="0.2">
      <c r="A1700" s="83">
        <v>1</v>
      </c>
      <c r="B1700" s="84">
        <v>5701603301306</v>
      </c>
      <c r="C1700" s="83">
        <v>70</v>
      </c>
      <c r="D1700" s="84">
        <v>1010287</v>
      </c>
      <c r="F1700" s="83" t="s">
        <v>103</v>
      </c>
      <c r="G1700" s="83">
        <v>0</v>
      </c>
      <c r="H1700" s="83">
        <v>100</v>
      </c>
      <c r="K1700" s="83">
        <v>4</v>
      </c>
      <c r="L1700" s="83" t="s">
        <v>101</v>
      </c>
      <c r="M1700" s="83" t="s">
        <v>410</v>
      </c>
      <c r="N1700" s="83" t="s">
        <v>102</v>
      </c>
      <c r="P1700" s="83">
        <v>0</v>
      </c>
      <c r="U1700" s="83">
        <v>4</v>
      </c>
      <c r="V1700" s="83">
        <v>1</v>
      </c>
      <c r="W1700" s="83" t="s">
        <v>103</v>
      </c>
      <c r="X1700" s="83">
        <v>0</v>
      </c>
    </row>
    <row r="1701" spans="1:25" x14ac:dyDescent="0.2">
      <c r="A1701" s="83">
        <v>1</v>
      </c>
      <c r="B1701" s="84">
        <v>5701603301306</v>
      </c>
      <c r="C1701" s="83">
        <v>80</v>
      </c>
      <c r="D1701" s="84">
        <v>1020145</v>
      </c>
      <c r="F1701" s="83" t="s">
        <v>103</v>
      </c>
      <c r="G1701" s="83">
        <v>0</v>
      </c>
      <c r="H1701" s="83">
        <v>100</v>
      </c>
      <c r="K1701" s="83" t="s">
        <v>408</v>
      </c>
      <c r="L1701" s="83" t="s">
        <v>101</v>
      </c>
      <c r="M1701" s="83" t="s">
        <v>410</v>
      </c>
      <c r="N1701" s="83" t="s">
        <v>102</v>
      </c>
      <c r="P1701" s="83">
        <v>0</v>
      </c>
      <c r="U1701" s="83">
        <v>4</v>
      </c>
      <c r="V1701" s="83">
        <v>1</v>
      </c>
      <c r="W1701" s="83" t="s">
        <v>103</v>
      </c>
      <c r="X1701" s="83">
        <v>0</v>
      </c>
    </row>
    <row r="1702" spans="1:25" x14ac:dyDescent="0.2">
      <c r="A1702" s="83">
        <v>1</v>
      </c>
      <c r="B1702" s="84">
        <v>5701603301306</v>
      </c>
      <c r="C1702" s="83">
        <v>90</v>
      </c>
      <c r="D1702" s="84">
        <v>777500306</v>
      </c>
      <c r="F1702" s="83" t="s">
        <v>103</v>
      </c>
      <c r="G1702" s="83">
        <v>0</v>
      </c>
      <c r="H1702" s="83">
        <v>100</v>
      </c>
      <c r="K1702" s="83">
        <v>1</v>
      </c>
      <c r="L1702" s="83" t="s">
        <v>101</v>
      </c>
      <c r="M1702" s="83" t="s">
        <v>410</v>
      </c>
      <c r="N1702" s="83" t="s">
        <v>102</v>
      </c>
      <c r="P1702" s="83">
        <v>0</v>
      </c>
      <c r="U1702" s="83">
        <v>4</v>
      </c>
      <c r="V1702" s="83">
        <v>1</v>
      </c>
      <c r="W1702" s="83" t="s">
        <v>103</v>
      </c>
      <c r="X1702" s="83">
        <v>0</v>
      </c>
    </row>
    <row r="1703" spans="1:25" x14ac:dyDescent="0.2">
      <c r="A1703" s="83">
        <v>1</v>
      </c>
      <c r="B1703" s="84">
        <v>5701603302306</v>
      </c>
      <c r="C1703" s="83">
        <v>10</v>
      </c>
      <c r="D1703" s="84">
        <v>5980463302</v>
      </c>
      <c r="F1703" s="83" t="s">
        <v>103</v>
      </c>
      <c r="G1703" s="83">
        <v>0</v>
      </c>
      <c r="H1703" s="83">
        <v>100</v>
      </c>
      <c r="K1703" s="83">
        <v>1</v>
      </c>
      <c r="L1703" s="83" t="s">
        <v>101</v>
      </c>
      <c r="M1703" s="83" t="s">
        <v>410</v>
      </c>
      <c r="N1703" s="83" t="s">
        <v>102</v>
      </c>
      <c r="P1703" s="83">
        <v>0</v>
      </c>
      <c r="U1703" s="83">
        <v>4</v>
      </c>
      <c r="V1703" s="83">
        <v>1</v>
      </c>
      <c r="W1703" s="83" t="s">
        <v>103</v>
      </c>
      <c r="X1703" s="83">
        <v>0</v>
      </c>
      <c r="Y1703" s="83" t="str">
        <f>LEFT(D1703,6)</f>
        <v>598046</v>
      </c>
    </row>
    <row r="1704" spans="1:25" x14ac:dyDescent="0.2">
      <c r="A1704" s="83">
        <v>1</v>
      </c>
      <c r="B1704" s="84">
        <v>5701603302306</v>
      </c>
      <c r="C1704" s="83">
        <v>20</v>
      </c>
      <c r="D1704" s="84">
        <v>5980543302</v>
      </c>
      <c r="F1704" s="83" t="s">
        <v>103</v>
      </c>
      <c r="G1704" s="83">
        <v>0</v>
      </c>
      <c r="H1704" s="83">
        <v>100</v>
      </c>
      <c r="K1704" s="83">
        <v>1</v>
      </c>
      <c r="L1704" s="83" t="s">
        <v>101</v>
      </c>
      <c r="M1704" s="83" t="s">
        <v>410</v>
      </c>
      <c r="N1704" s="83" t="s">
        <v>102</v>
      </c>
      <c r="P1704" s="83">
        <v>0</v>
      </c>
      <c r="U1704" s="83">
        <v>4</v>
      </c>
      <c r="V1704" s="83">
        <v>1</v>
      </c>
      <c r="W1704" s="83" t="s">
        <v>103</v>
      </c>
      <c r="X1704" s="83">
        <v>0</v>
      </c>
    </row>
    <row r="1705" spans="1:25" x14ac:dyDescent="0.2">
      <c r="A1705" s="83">
        <v>1</v>
      </c>
      <c r="B1705" s="84">
        <v>5701603302306</v>
      </c>
      <c r="C1705" s="83">
        <v>30</v>
      </c>
      <c r="D1705" s="84">
        <v>5980623302</v>
      </c>
      <c r="F1705" s="83" t="s">
        <v>103</v>
      </c>
      <c r="G1705" s="83">
        <v>0</v>
      </c>
      <c r="H1705" s="83">
        <v>100</v>
      </c>
      <c r="K1705" s="83">
        <v>1</v>
      </c>
      <c r="L1705" s="83" t="s">
        <v>101</v>
      </c>
      <c r="M1705" s="83" t="s">
        <v>410</v>
      </c>
      <c r="N1705" s="83" t="s">
        <v>102</v>
      </c>
      <c r="P1705" s="83">
        <v>0</v>
      </c>
      <c r="U1705" s="83">
        <v>4</v>
      </c>
      <c r="V1705" s="83">
        <v>1</v>
      </c>
      <c r="W1705" s="83" t="s">
        <v>103</v>
      </c>
      <c r="X1705" s="83">
        <v>0</v>
      </c>
    </row>
    <row r="1706" spans="1:25" x14ac:dyDescent="0.2">
      <c r="A1706" s="83">
        <v>1</v>
      </c>
      <c r="B1706" s="84">
        <v>5701603302306</v>
      </c>
      <c r="C1706" s="83">
        <v>40</v>
      </c>
      <c r="D1706" s="84">
        <v>5980823302</v>
      </c>
      <c r="F1706" s="83" t="s">
        <v>103</v>
      </c>
      <c r="G1706" s="83">
        <v>0</v>
      </c>
      <c r="H1706" s="83">
        <v>100</v>
      </c>
      <c r="K1706" s="83">
        <v>1</v>
      </c>
      <c r="L1706" s="83" t="s">
        <v>101</v>
      </c>
      <c r="M1706" s="83" t="s">
        <v>410</v>
      </c>
      <c r="N1706" s="83" t="s">
        <v>102</v>
      </c>
      <c r="P1706" s="83">
        <v>0</v>
      </c>
      <c r="U1706" s="83">
        <v>4</v>
      </c>
      <c r="V1706" s="83">
        <v>1</v>
      </c>
      <c r="W1706" s="83" t="s">
        <v>103</v>
      </c>
      <c r="X1706" s="83">
        <v>0</v>
      </c>
    </row>
    <row r="1707" spans="1:25" x14ac:dyDescent="0.2">
      <c r="A1707" s="83">
        <v>1</v>
      </c>
      <c r="B1707" s="84">
        <v>5701603302306</v>
      </c>
      <c r="C1707" s="83">
        <v>50</v>
      </c>
      <c r="D1707" s="84">
        <v>5980933302</v>
      </c>
      <c r="F1707" s="83" t="s">
        <v>103</v>
      </c>
      <c r="G1707" s="83">
        <v>0</v>
      </c>
      <c r="H1707" s="83">
        <v>100</v>
      </c>
      <c r="K1707" s="83">
        <v>1</v>
      </c>
      <c r="L1707" s="83" t="s">
        <v>101</v>
      </c>
      <c r="M1707" s="83" t="s">
        <v>410</v>
      </c>
      <c r="N1707" s="83" t="s">
        <v>102</v>
      </c>
      <c r="P1707" s="83">
        <v>0</v>
      </c>
      <c r="U1707" s="83">
        <v>4</v>
      </c>
      <c r="V1707" s="83">
        <v>1</v>
      </c>
      <c r="W1707" s="83" t="s">
        <v>103</v>
      </c>
      <c r="X1707" s="83">
        <v>0</v>
      </c>
    </row>
    <row r="1708" spans="1:25" x14ac:dyDescent="0.2">
      <c r="A1708" s="83">
        <v>1</v>
      </c>
      <c r="B1708" s="84">
        <v>5701603302306</v>
      </c>
      <c r="C1708" s="83">
        <v>60</v>
      </c>
      <c r="D1708" s="84">
        <v>1010286</v>
      </c>
      <c r="F1708" s="83" t="s">
        <v>103</v>
      </c>
      <c r="G1708" s="83">
        <v>0</v>
      </c>
      <c r="H1708" s="83">
        <v>100</v>
      </c>
      <c r="K1708" s="83">
        <v>8</v>
      </c>
      <c r="L1708" s="83" t="s">
        <v>101</v>
      </c>
      <c r="M1708" s="83" t="s">
        <v>410</v>
      </c>
      <c r="N1708" s="83" t="s">
        <v>102</v>
      </c>
      <c r="P1708" s="83">
        <v>0</v>
      </c>
      <c r="U1708" s="83">
        <v>4</v>
      </c>
      <c r="V1708" s="83">
        <v>1</v>
      </c>
      <c r="W1708" s="83" t="s">
        <v>103</v>
      </c>
      <c r="X1708" s="83">
        <v>0</v>
      </c>
    </row>
    <row r="1709" spans="1:25" x14ac:dyDescent="0.2">
      <c r="A1709" s="83">
        <v>1</v>
      </c>
      <c r="B1709" s="84">
        <v>5701603302306</v>
      </c>
      <c r="C1709" s="83">
        <v>70</v>
      </c>
      <c r="D1709" s="84">
        <v>1010288</v>
      </c>
      <c r="F1709" s="83" t="s">
        <v>103</v>
      </c>
      <c r="G1709" s="83">
        <v>0</v>
      </c>
      <c r="H1709" s="83">
        <v>100</v>
      </c>
      <c r="K1709" s="83">
        <v>4</v>
      </c>
      <c r="L1709" s="83" t="s">
        <v>101</v>
      </c>
      <c r="M1709" s="83" t="s">
        <v>410</v>
      </c>
      <c r="N1709" s="83" t="s">
        <v>102</v>
      </c>
      <c r="P1709" s="83">
        <v>0</v>
      </c>
      <c r="U1709" s="83">
        <v>4</v>
      </c>
      <c r="V1709" s="83">
        <v>1</v>
      </c>
      <c r="W1709" s="83" t="s">
        <v>103</v>
      </c>
      <c r="X1709" s="83">
        <v>0</v>
      </c>
    </row>
    <row r="1710" spans="1:25" x14ac:dyDescent="0.2">
      <c r="A1710" s="83">
        <v>1</v>
      </c>
      <c r="B1710" s="84">
        <v>5701603302306</v>
      </c>
      <c r="C1710" s="83">
        <v>80</v>
      </c>
      <c r="D1710" s="84">
        <v>1020145</v>
      </c>
      <c r="F1710" s="83" t="s">
        <v>103</v>
      </c>
      <c r="G1710" s="83">
        <v>0</v>
      </c>
      <c r="H1710" s="83">
        <v>100</v>
      </c>
      <c r="K1710" s="83" t="s">
        <v>408</v>
      </c>
      <c r="L1710" s="83" t="s">
        <v>101</v>
      </c>
      <c r="M1710" s="83" t="s">
        <v>410</v>
      </c>
      <c r="N1710" s="83" t="s">
        <v>102</v>
      </c>
      <c r="P1710" s="83">
        <v>0</v>
      </c>
      <c r="U1710" s="83">
        <v>4</v>
      </c>
      <c r="V1710" s="83">
        <v>1</v>
      </c>
      <c r="W1710" s="83" t="s">
        <v>103</v>
      </c>
      <c r="X1710" s="83">
        <v>0</v>
      </c>
    </row>
    <row r="1711" spans="1:25" x14ac:dyDescent="0.2">
      <c r="A1711" s="83">
        <v>1</v>
      </c>
      <c r="B1711" s="84">
        <v>5701603302306</v>
      </c>
      <c r="C1711" s="83">
        <v>90</v>
      </c>
      <c r="D1711" s="84">
        <v>777500306</v>
      </c>
      <c r="F1711" s="83" t="s">
        <v>103</v>
      </c>
      <c r="G1711" s="83">
        <v>0</v>
      </c>
      <c r="H1711" s="83">
        <v>100</v>
      </c>
      <c r="K1711" s="83">
        <v>1</v>
      </c>
      <c r="L1711" s="83" t="s">
        <v>101</v>
      </c>
      <c r="M1711" s="83" t="s">
        <v>410</v>
      </c>
      <c r="N1711" s="83" t="s">
        <v>102</v>
      </c>
      <c r="P1711" s="83">
        <v>0</v>
      </c>
      <c r="U1711" s="83">
        <v>4</v>
      </c>
      <c r="V1711" s="83">
        <v>1</v>
      </c>
      <c r="W1711" s="83" t="s">
        <v>103</v>
      </c>
      <c r="X1711" s="83">
        <v>0</v>
      </c>
    </row>
    <row r="1712" spans="1:25" x14ac:dyDescent="0.2">
      <c r="A1712" s="83">
        <v>1</v>
      </c>
      <c r="B1712" s="84">
        <v>5701603303306</v>
      </c>
      <c r="C1712" s="83">
        <v>10</v>
      </c>
      <c r="D1712" s="84">
        <v>5980463303</v>
      </c>
      <c r="F1712" s="83" t="s">
        <v>103</v>
      </c>
      <c r="G1712" s="83">
        <v>0</v>
      </c>
      <c r="H1712" s="83">
        <v>100</v>
      </c>
      <c r="K1712" s="83">
        <v>1</v>
      </c>
      <c r="L1712" s="83" t="s">
        <v>101</v>
      </c>
      <c r="M1712" s="83" t="s">
        <v>410</v>
      </c>
      <c r="N1712" s="83" t="s">
        <v>102</v>
      </c>
      <c r="P1712" s="83">
        <v>0</v>
      </c>
      <c r="U1712" s="83">
        <v>4</v>
      </c>
      <c r="V1712" s="83">
        <v>1</v>
      </c>
      <c r="W1712" s="83" t="s">
        <v>103</v>
      </c>
      <c r="X1712" s="83">
        <v>0</v>
      </c>
      <c r="Y1712" s="83" t="str">
        <f>LEFT(D1712,6)</f>
        <v>598046</v>
      </c>
    </row>
    <row r="1713" spans="1:25" x14ac:dyDescent="0.2">
      <c r="A1713" s="83">
        <v>1</v>
      </c>
      <c r="B1713" s="84">
        <v>5701603303306</v>
      </c>
      <c r="C1713" s="83">
        <v>20</v>
      </c>
      <c r="D1713" s="84">
        <v>5980543303</v>
      </c>
      <c r="F1713" s="83" t="s">
        <v>103</v>
      </c>
      <c r="G1713" s="83">
        <v>0</v>
      </c>
      <c r="H1713" s="83">
        <v>100</v>
      </c>
      <c r="K1713" s="83">
        <v>1</v>
      </c>
      <c r="L1713" s="83" t="s">
        <v>101</v>
      </c>
      <c r="M1713" s="83" t="s">
        <v>410</v>
      </c>
      <c r="N1713" s="83" t="s">
        <v>102</v>
      </c>
      <c r="P1713" s="83">
        <v>0</v>
      </c>
      <c r="U1713" s="83">
        <v>4</v>
      </c>
      <c r="V1713" s="83">
        <v>1</v>
      </c>
      <c r="W1713" s="83" t="s">
        <v>103</v>
      </c>
      <c r="X1713" s="83">
        <v>0</v>
      </c>
    </row>
    <row r="1714" spans="1:25" x14ac:dyDescent="0.2">
      <c r="A1714" s="83">
        <v>1</v>
      </c>
      <c r="B1714" s="84">
        <v>5701603303306</v>
      </c>
      <c r="C1714" s="83">
        <v>30</v>
      </c>
      <c r="D1714" s="84">
        <v>5980623303</v>
      </c>
      <c r="F1714" s="83" t="s">
        <v>103</v>
      </c>
      <c r="G1714" s="83">
        <v>0</v>
      </c>
      <c r="H1714" s="83">
        <v>100</v>
      </c>
      <c r="K1714" s="83">
        <v>1</v>
      </c>
      <c r="L1714" s="83" t="s">
        <v>101</v>
      </c>
      <c r="M1714" s="83" t="s">
        <v>410</v>
      </c>
      <c r="N1714" s="83" t="s">
        <v>102</v>
      </c>
      <c r="P1714" s="83">
        <v>0</v>
      </c>
      <c r="U1714" s="83">
        <v>4</v>
      </c>
      <c r="V1714" s="83">
        <v>1</v>
      </c>
      <c r="W1714" s="83" t="s">
        <v>103</v>
      </c>
      <c r="X1714" s="83">
        <v>0</v>
      </c>
    </row>
    <row r="1715" spans="1:25" x14ac:dyDescent="0.2">
      <c r="A1715" s="83">
        <v>1</v>
      </c>
      <c r="B1715" s="84">
        <v>5701603303306</v>
      </c>
      <c r="C1715" s="83">
        <v>40</v>
      </c>
      <c r="D1715" s="84">
        <v>5980823303</v>
      </c>
      <c r="F1715" s="83" t="s">
        <v>103</v>
      </c>
      <c r="G1715" s="83">
        <v>0</v>
      </c>
      <c r="H1715" s="83">
        <v>100</v>
      </c>
      <c r="K1715" s="83">
        <v>1</v>
      </c>
      <c r="L1715" s="83" t="s">
        <v>101</v>
      </c>
      <c r="M1715" s="83" t="s">
        <v>410</v>
      </c>
      <c r="N1715" s="83" t="s">
        <v>102</v>
      </c>
      <c r="P1715" s="83">
        <v>0</v>
      </c>
      <c r="U1715" s="83">
        <v>4</v>
      </c>
      <c r="V1715" s="83">
        <v>1</v>
      </c>
      <c r="W1715" s="83" t="s">
        <v>103</v>
      </c>
      <c r="X1715" s="83">
        <v>0</v>
      </c>
    </row>
    <row r="1716" spans="1:25" x14ac:dyDescent="0.2">
      <c r="A1716" s="83">
        <v>1</v>
      </c>
      <c r="B1716" s="84">
        <v>5701603303306</v>
      </c>
      <c r="C1716" s="83">
        <v>50</v>
      </c>
      <c r="D1716" s="84">
        <v>5980933303</v>
      </c>
      <c r="F1716" s="83" t="s">
        <v>103</v>
      </c>
      <c r="G1716" s="83">
        <v>0</v>
      </c>
      <c r="H1716" s="83">
        <v>100</v>
      </c>
      <c r="K1716" s="83">
        <v>1</v>
      </c>
      <c r="L1716" s="83" t="s">
        <v>101</v>
      </c>
      <c r="M1716" s="83" t="s">
        <v>410</v>
      </c>
      <c r="N1716" s="83" t="s">
        <v>102</v>
      </c>
      <c r="P1716" s="83">
        <v>0</v>
      </c>
      <c r="U1716" s="83">
        <v>4</v>
      </c>
      <c r="V1716" s="83">
        <v>1</v>
      </c>
      <c r="W1716" s="83" t="s">
        <v>103</v>
      </c>
      <c r="X1716" s="83">
        <v>0</v>
      </c>
    </row>
    <row r="1717" spans="1:25" x14ac:dyDescent="0.2">
      <c r="A1717" s="83">
        <v>1</v>
      </c>
      <c r="B1717" s="84">
        <v>5701603303306</v>
      </c>
      <c r="C1717" s="83">
        <v>60</v>
      </c>
      <c r="D1717" s="84">
        <v>1010286</v>
      </c>
      <c r="F1717" s="83" t="s">
        <v>103</v>
      </c>
      <c r="G1717" s="83">
        <v>0</v>
      </c>
      <c r="H1717" s="83">
        <v>100</v>
      </c>
      <c r="K1717" s="83">
        <v>8</v>
      </c>
      <c r="L1717" s="83" t="s">
        <v>101</v>
      </c>
      <c r="M1717" s="83" t="s">
        <v>410</v>
      </c>
      <c r="N1717" s="83" t="s">
        <v>102</v>
      </c>
      <c r="P1717" s="83">
        <v>0</v>
      </c>
      <c r="U1717" s="83">
        <v>4</v>
      </c>
      <c r="V1717" s="83">
        <v>1</v>
      </c>
      <c r="W1717" s="83" t="s">
        <v>103</v>
      </c>
      <c r="X1717" s="83">
        <v>0</v>
      </c>
    </row>
    <row r="1718" spans="1:25" x14ac:dyDescent="0.2">
      <c r="A1718" s="83">
        <v>1</v>
      </c>
      <c r="B1718" s="84">
        <v>5701603303306</v>
      </c>
      <c r="C1718" s="83">
        <v>70</v>
      </c>
      <c r="D1718" s="84">
        <v>1010287</v>
      </c>
      <c r="F1718" s="83" t="s">
        <v>103</v>
      </c>
      <c r="G1718" s="83">
        <v>0</v>
      </c>
      <c r="H1718" s="83">
        <v>100</v>
      </c>
      <c r="K1718" s="83">
        <v>4</v>
      </c>
      <c r="L1718" s="83" t="s">
        <v>101</v>
      </c>
      <c r="M1718" s="83" t="s">
        <v>410</v>
      </c>
      <c r="N1718" s="83" t="s">
        <v>102</v>
      </c>
      <c r="P1718" s="83">
        <v>0</v>
      </c>
      <c r="U1718" s="83">
        <v>4</v>
      </c>
      <c r="V1718" s="83">
        <v>1</v>
      </c>
      <c r="W1718" s="83" t="s">
        <v>103</v>
      </c>
      <c r="X1718" s="83">
        <v>0</v>
      </c>
    </row>
    <row r="1719" spans="1:25" x14ac:dyDescent="0.2">
      <c r="A1719" s="83">
        <v>1</v>
      </c>
      <c r="B1719" s="84">
        <v>5701603303306</v>
      </c>
      <c r="C1719" s="83">
        <v>80</v>
      </c>
      <c r="D1719" s="84">
        <v>1020145</v>
      </c>
      <c r="F1719" s="83" t="s">
        <v>103</v>
      </c>
      <c r="G1719" s="83">
        <v>0</v>
      </c>
      <c r="H1719" s="83">
        <v>100</v>
      </c>
      <c r="K1719" s="83" t="s">
        <v>408</v>
      </c>
      <c r="L1719" s="83" t="s">
        <v>101</v>
      </c>
      <c r="M1719" s="83" t="s">
        <v>410</v>
      </c>
      <c r="N1719" s="83" t="s">
        <v>102</v>
      </c>
      <c r="P1719" s="83">
        <v>0</v>
      </c>
      <c r="U1719" s="83">
        <v>4</v>
      </c>
      <c r="V1719" s="83">
        <v>1</v>
      </c>
      <c r="W1719" s="83" t="s">
        <v>103</v>
      </c>
      <c r="X1719" s="83">
        <v>0</v>
      </c>
    </row>
    <row r="1720" spans="1:25" x14ac:dyDescent="0.2">
      <c r="A1720" s="83">
        <v>1</v>
      </c>
      <c r="B1720" s="84">
        <v>5701603303306</v>
      </c>
      <c r="C1720" s="83">
        <v>90</v>
      </c>
      <c r="D1720" s="84">
        <v>777500306</v>
      </c>
      <c r="F1720" s="83" t="s">
        <v>103</v>
      </c>
      <c r="G1720" s="83">
        <v>0</v>
      </c>
      <c r="H1720" s="83">
        <v>100</v>
      </c>
      <c r="K1720" s="83">
        <v>1</v>
      </c>
      <c r="L1720" s="83" t="s">
        <v>101</v>
      </c>
      <c r="M1720" s="83" t="s">
        <v>410</v>
      </c>
      <c r="N1720" s="83" t="s">
        <v>102</v>
      </c>
      <c r="P1720" s="83">
        <v>0</v>
      </c>
      <c r="U1720" s="83">
        <v>4</v>
      </c>
      <c r="V1720" s="83">
        <v>1</v>
      </c>
      <c r="W1720" s="83" t="s">
        <v>103</v>
      </c>
      <c r="X1720" s="83">
        <v>0</v>
      </c>
    </row>
    <row r="1721" spans="1:25" x14ac:dyDescent="0.2">
      <c r="A1721" s="83">
        <v>1</v>
      </c>
      <c r="B1721" s="84">
        <v>5701603304306</v>
      </c>
      <c r="C1721" s="83">
        <v>10</v>
      </c>
      <c r="D1721" s="84">
        <v>5980463304</v>
      </c>
      <c r="F1721" s="83" t="s">
        <v>103</v>
      </c>
      <c r="G1721" s="83">
        <v>0</v>
      </c>
      <c r="H1721" s="83">
        <v>100</v>
      </c>
      <c r="K1721" s="83">
        <v>1</v>
      </c>
      <c r="L1721" s="83" t="s">
        <v>101</v>
      </c>
      <c r="M1721" s="83" t="s">
        <v>410</v>
      </c>
      <c r="N1721" s="83" t="s">
        <v>102</v>
      </c>
      <c r="P1721" s="83">
        <v>0</v>
      </c>
      <c r="U1721" s="83">
        <v>4</v>
      </c>
      <c r="V1721" s="83">
        <v>1</v>
      </c>
      <c r="W1721" s="83" t="s">
        <v>103</v>
      </c>
      <c r="X1721" s="83">
        <v>0</v>
      </c>
      <c r="Y1721" s="83" t="str">
        <f>LEFT(D1721,6)</f>
        <v>598046</v>
      </c>
    </row>
    <row r="1722" spans="1:25" x14ac:dyDescent="0.2">
      <c r="A1722" s="83">
        <v>1</v>
      </c>
      <c r="B1722" s="84">
        <v>5701603304306</v>
      </c>
      <c r="C1722" s="83">
        <v>20</v>
      </c>
      <c r="D1722" s="84">
        <v>5980543304</v>
      </c>
      <c r="F1722" s="83" t="s">
        <v>103</v>
      </c>
      <c r="G1722" s="83">
        <v>0</v>
      </c>
      <c r="H1722" s="83">
        <v>100</v>
      </c>
      <c r="K1722" s="83">
        <v>1</v>
      </c>
      <c r="L1722" s="83" t="s">
        <v>101</v>
      </c>
      <c r="M1722" s="83" t="s">
        <v>410</v>
      </c>
      <c r="N1722" s="83" t="s">
        <v>102</v>
      </c>
      <c r="P1722" s="83">
        <v>0</v>
      </c>
      <c r="U1722" s="83">
        <v>4</v>
      </c>
      <c r="V1722" s="83">
        <v>1</v>
      </c>
      <c r="W1722" s="83" t="s">
        <v>103</v>
      </c>
      <c r="X1722" s="83">
        <v>0</v>
      </c>
    </row>
    <row r="1723" spans="1:25" x14ac:dyDescent="0.2">
      <c r="A1723" s="83">
        <v>1</v>
      </c>
      <c r="B1723" s="84">
        <v>5701603304306</v>
      </c>
      <c r="C1723" s="83">
        <v>30</v>
      </c>
      <c r="D1723" s="84">
        <v>5980623304</v>
      </c>
      <c r="F1723" s="83" t="s">
        <v>103</v>
      </c>
      <c r="G1723" s="83">
        <v>0</v>
      </c>
      <c r="H1723" s="83">
        <v>100</v>
      </c>
      <c r="K1723" s="83">
        <v>1</v>
      </c>
      <c r="L1723" s="83" t="s">
        <v>101</v>
      </c>
      <c r="M1723" s="83" t="s">
        <v>410</v>
      </c>
      <c r="N1723" s="83" t="s">
        <v>102</v>
      </c>
      <c r="P1723" s="83">
        <v>0</v>
      </c>
      <c r="U1723" s="83">
        <v>4</v>
      </c>
      <c r="V1723" s="83">
        <v>1</v>
      </c>
      <c r="W1723" s="83" t="s">
        <v>103</v>
      </c>
      <c r="X1723" s="83">
        <v>0</v>
      </c>
    </row>
    <row r="1724" spans="1:25" x14ac:dyDescent="0.2">
      <c r="A1724" s="83">
        <v>1</v>
      </c>
      <c r="B1724" s="84">
        <v>5701603304306</v>
      </c>
      <c r="C1724" s="83">
        <v>40</v>
      </c>
      <c r="D1724" s="84">
        <v>5980823304</v>
      </c>
      <c r="F1724" s="83" t="s">
        <v>103</v>
      </c>
      <c r="G1724" s="83">
        <v>0</v>
      </c>
      <c r="H1724" s="83">
        <v>100</v>
      </c>
      <c r="K1724" s="83">
        <v>1</v>
      </c>
      <c r="L1724" s="83" t="s">
        <v>101</v>
      </c>
      <c r="M1724" s="83" t="s">
        <v>410</v>
      </c>
      <c r="N1724" s="83" t="s">
        <v>102</v>
      </c>
      <c r="P1724" s="83">
        <v>0</v>
      </c>
      <c r="U1724" s="83">
        <v>4</v>
      </c>
      <c r="V1724" s="83">
        <v>1</v>
      </c>
      <c r="W1724" s="83" t="s">
        <v>103</v>
      </c>
      <c r="X1724" s="83">
        <v>0</v>
      </c>
    </row>
    <row r="1725" spans="1:25" x14ac:dyDescent="0.2">
      <c r="A1725" s="83">
        <v>1</v>
      </c>
      <c r="B1725" s="84">
        <v>5701603304306</v>
      </c>
      <c r="C1725" s="83">
        <v>50</v>
      </c>
      <c r="D1725" s="84">
        <v>5980933304</v>
      </c>
      <c r="F1725" s="83" t="s">
        <v>103</v>
      </c>
      <c r="G1725" s="83">
        <v>0</v>
      </c>
      <c r="H1725" s="83">
        <v>100</v>
      </c>
      <c r="K1725" s="83">
        <v>1</v>
      </c>
      <c r="L1725" s="83" t="s">
        <v>101</v>
      </c>
      <c r="M1725" s="83" t="s">
        <v>410</v>
      </c>
      <c r="N1725" s="83" t="s">
        <v>102</v>
      </c>
      <c r="P1725" s="83">
        <v>0</v>
      </c>
      <c r="U1725" s="83">
        <v>4</v>
      </c>
      <c r="V1725" s="83">
        <v>1</v>
      </c>
      <c r="W1725" s="83" t="s">
        <v>103</v>
      </c>
      <c r="X1725" s="83">
        <v>0</v>
      </c>
    </row>
    <row r="1726" spans="1:25" x14ac:dyDescent="0.2">
      <c r="A1726" s="83">
        <v>1</v>
      </c>
      <c r="B1726" s="84">
        <v>5701603304306</v>
      </c>
      <c r="C1726" s="83">
        <v>60</v>
      </c>
      <c r="D1726" s="84">
        <v>1010286</v>
      </c>
      <c r="F1726" s="83" t="s">
        <v>103</v>
      </c>
      <c r="G1726" s="83">
        <v>0</v>
      </c>
      <c r="H1726" s="83">
        <v>100</v>
      </c>
      <c r="K1726" s="83">
        <v>8</v>
      </c>
      <c r="L1726" s="83" t="s">
        <v>101</v>
      </c>
      <c r="M1726" s="83" t="s">
        <v>410</v>
      </c>
      <c r="N1726" s="83" t="s">
        <v>102</v>
      </c>
      <c r="P1726" s="83">
        <v>0</v>
      </c>
      <c r="U1726" s="83">
        <v>4</v>
      </c>
      <c r="V1726" s="83">
        <v>1</v>
      </c>
      <c r="W1726" s="83" t="s">
        <v>103</v>
      </c>
      <c r="X1726" s="83">
        <v>0</v>
      </c>
    </row>
    <row r="1727" spans="1:25" x14ac:dyDescent="0.2">
      <c r="A1727" s="83">
        <v>1</v>
      </c>
      <c r="B1727" s="84">
        <v>5701603304306</v>
      </c>
      <c r="C1727" s="83">
        <v>70</v>
      </c>
      <c r="D1727" s="84">
        <v>1010288</v>
      </c>
      <c r="F1727" s="83" t="s">
        <v>103</v>
      </c>
      <c r="G1727" s="83">
        <v>0</v>
      </c>
      <c r="H1727" s="83">
        <v>100</v>
      </c>
      <c r="K1727" s="83">
        <v>4</v>
      </c>
      <c r="L1727" s="83" t="s">
        <v>101</v>
      </c>
      <c r="M1727" s="83" t="s">
        <v>410</v>
      </c>
      <c r="N1727" s="83" t="s">
        <v>102</v>
      </c>
      <c r="P1727" s="83">
        <v>0</v>
      </c>
      <c r="U1727" s="83">
        <v>4</v>
      </c>
      <c r="V1727" s="83">
        <v>1</v>
      </c>
      <c r="W1727" s="83" t="s">
        <v>103</v>
      </c>
      <c r="X1727" s="83">
        <v>0</v>
      </c>
    </row>
    <row r="1728" spans="1:25" x14ac:dyDescent="0.2">
      <c r="A1728" s="83">
        <v>1</v>
      </c>
      <c r="B1728" s="84">
        <v>5701603304306</v>
      </c>
      <c r="C1728" s="83">
        <v>80</v>
      </c>
      <c r="D1728" s="84">
        <v>1020145</v>
      </c>
      <c r="F1728" s="83" t="s">
        <v>103</v>
      </c>
      <c r="G1728" s="83">
        <v>0</v>
      </c>
      <c r="H1728" s="83">
        <v>100</v>
      </c>
      <c r="K1728" s="83" t="s">
        <v>408</v>
      </c>
      <c r="L1728" s="83" t="s">
        <v>101</v>
      </c>
      <c r="M1728" s="83" t="s">
        <v>410</v>
      </c>
      <c r="N1728" s="83" t="s">
        <v>102</v>
      </c>
      <c r="P1728" s="83">
        <v>0</v>
      </c>
      <c r="U1728" s="83">
        <v>4</v>
      </c>
      <c r="V1728" s="83">
        <v>1</v>
      </c>
      <c r="W1728" s="83" t="s">
        <v>103</v>
      </c>
      <c r="X1728" s="83">
        <v>0</v>
      </c>
    </row>
    <row r="1729" spans="1:25" x14ac:dyDescent="0.2">
      <c r="A1729" s="83">
        <v>1</v>
      </c>
      <c r="B1729" s="84">
        <v>5701603304306</v>
      </c>
      <c r="C1729" s="83">
        <v>90</v>
      </c>
      <c r="D1729" s="84">
        <v>777500306</v>
      </c>
      <c r="F1729" s="83" t="s">
        <v>103</v>
      </c>
      <c r="G1729" s="83">
        <v>0</v>
      </c>
      <c r="H1729" s="83">
        <v>100</v>
      </c>
      <c r="K1729" s="83">
        <v>1</v>
      </c>
      <c r="L1729" s="83" t="s">
        <v>101</v>
      </c>
      <c r="M1729" s="83" t="s">
        <v>410</v>
      </c>
      <c r="N1729" s="83" t="s">
        <v>102</v>
      </c>
      <c r="P1729" s="83">
        <v>0</v>
      </c>
      <c r="U1729" s="83">
        <v>4</v>
      </c>
      <c r="V1729" s="83">
        <v>1</v>
      </c>
      <c r="W1729" s="83" t="s">
        <v>103</v>
      </c>
      <c r="X1729" s="83">
        <v>0</v>
      </c>
    </row>
    <row r="1730" spans="1:25" x14ac:dyDescent="0.2">
      <c r="A1730" s="83">
        <v>1</v>
      </c>
      <c r="B1730" s="84">
        <v>5701603305306</v>
      </c>
      <c r="C1730" s="83">
        <v>10</v>
      </c>
      <c r="D1730" s="84">
        <v>5980463305</v>
      </c>
      <c r="F1730" s="83" t="s">
        <v>103</v>
      </c>
      <c r="G1730" s="83">
        <v>0</v>
      </c>
      <c r="H1730" s="83">
        <v>100</v>
      </c>
      <c r="K1730" s="83">
        <v>1</v>
      </c>
      <c r="L1730" s="83" t="s">
        <v>101</v>
      </c>
      <c r="M1730" s="83" t="s">
        <v>410</v>
      </c>
      <c r="N1730" s="83" t="s">
        <v>102</v>
      </c>
      <c r="P1730" s="83">
        <v>0</v>
      </c>
      <c r="U1730" s="83">
        <v>4</v>
      </c>
      <c r="V1730" s="83">
        <v>1</v>
      </c>
      <c r="W1730" s="83" t="s">
        <v>103</v>
      </c>
      <c r="X1730" s="83">
        <v>0</v>
      </c>
      <c r="Y1730" s="83" t="str">
        <f>LEFT(D1730,6)</f>
        <v>598046</v>
      </c>
    </row>
    <row r="1731" spans="1:25" x14ac:dyDescent="0.2">
      <c r="A1731" s="83">
        <v>1</v>
      </c>
      <c r="B1731" s="84">
        <v>5701603305306</v>
      </c>
      <c r="C1731" s="83">
        <v>20</v>
      </c>
      <c r="D1731" s="84">
        <v>5980543305</v>
      </c>
      <c r="F1731" s="83" t="s">
        <v>103</v>
      </c>
      <c r="G1731" s="83">
        <v>0</v>
      </c>
      <c r="H1731" s="83">
        <v>100</v>
      </c>
      <c r="K1731" s="83">
        <v>1</v>
      </c>
      <c r="L1731" s="83" t="s">
        <v>101</v>
      </c>
      <c r="M1731" s="83" t="s">
        <v>410</v>
      </c>
      <c r="N1731" s="83" t="s">
        <v>102</v>
      </c>
      <c r="P1731" s="83">
        <v>0</v>
      </c>
      <c r="U1731" s="83">
        <v>4</v>
      </c>
      <c r="V1731" s="83">
        <v>1</v>
      </c>
      <c r="W1731" s="83" t="s">
        <v>103</v>
      </c>
      <c r="X1731" s="83">
        <v>0</v>
      </c>
    </row>
    <row r="1732" spans="1:25" x14ac:dyDescent="0.2">
      <c r="A1732" s="83">
        <v>1</v>
      </c>
      <c r="B1732" s="84">
        <v>5701603305306</v>
      </c>
      <c r="C1732" s="83">
        <v>30</v>
      </c>
      <c r="D1732" s="84">
        <v>5980623305</v>
      </c>
      <c r="F1732" s="83" t="s">
        <v>103</v>
      </c>
      <c r="G1732" s="83">
        <v>0</v>
      </c>
      <c r="H1732" s="83">
        <v>100</v>
      </c>
      <c r="K1732" s="83">
        <v>1</v>
      </c>
      <c r="L1732" s="83" t="s">
        <v>101</v>
      </c>
      <c r="M1732" s="83" t="s">
        <v>410</v>
      </c>
      <c r="N1732" s="83" t="s">
        <v>102</v>
      </c>
      <c r="P1732" s="83">
        <v>0</v>
      </c>
      <c r="U1732" s="83">
        <v>4</v>
      </c>
      <c r="V1732" s="83">
        <v>1</v>
      </c>
      <c r="W1732" s="83" t="s">
        <v>103</v>
      </c>
      <c r="X1732" s="83">
        <v>0</v>
      </c>
    </row>
    <row r="1733" spans="1:25" x14ac:dyDescent="0.2">
      <c r="A1733" s="83">
        <v>1</v>
      </c>
      <c r="B1733" s="84">
        <v>5701603305306</v>
      </c>
      <c r="C1733" s="83">
        <v>40</v>
      </c>
      <c r="D1733" s="84">
        <v>5980823305</v>
      </c>
      <c r="F1733" s="83" t="s">
        <v>103</v>
      </c>
      <c r="G1733" s="83">
        <v>0</v>
      </c>
      <c r="H1733" s="83">
        <v>100</v>
      </c>
      <c r="K1733" s="83">
        <v>1</v>
      </c>
      <c r="L1733" s="83" t="s">
        <v>101</v>
      </c>
      <c r="M1733" s="83" t="s">
        <v>410</v>
      </c>
      <c r="N1733" s="83" t="s">
        <v>102</v>
      </c>
      <c r="P1733" s="83">
        <v>0</v>
      </c>
      <c r="U1733" s="83">
        <v>4</v>
      </c>
      <c r="V1733" s="83">
        <v>1</v>
      </c>
      <c r="W1733" s="83" t="s">
        <v>103</v>
      </c>
      <c r="X1733" s="83">
        <v>0</v>
      </c>
    </row>
    <row r="1734" spans="1:25" x14ac:dyDescent="0.2">
      <c r="A1734" s="83">
        <v>1</v>
      </c>
      <c r="B1734" s="84">
        <v>5701603305306</v>
      </c>
      <c r="C1734" s="83">
        <v>50</v>
      </c>
      <c r="D1734" s="84">
        <v>5980933305</v>
      </c>
      <c r="F1734" s="83" t="s">
        <v>103</v>
      </c>
      <c r="G1734" s="83">
        <v>0</v>
      </c>
      <c r="H1734" s="83">
        <v>100</v>
      </c>
      <c r="K1734" s="83">
        <v>1</v>
      </c>
      <c r="L1734" s="83" t="s">
        <v>101</v>
      </c>
      <c r="M1734" s="83" t="s">
        <v>410</v>
      </c>
      <c r="N1734" s="83" t="s">
        <v>102</v>
      </c>
      <c r="P1734" s="83">
        <v>0</v>
      </c>
      <c r="U1734" s="83">
        <v>4</v>
      </c>
      <c r="V1734" s="83">
        <v>1</v>
      </c>
      <c r="W1734" s="83" t="s">
        <v>103</v>
      </c>
      <c r="X1734" s="83">
        <v>0</v>
      </c>
    </row>
    <row r="1735" spans="1:25" x14ac:dyDescent="0.2">
      <c r="A1735" s="83">
        <v>1</v>
      </c>
      <c r="B1735" s="84">
        <v>5701603305306</v>
      </c>
      <c r="C1735" s="83">
        <v>60</v>
      </c>
      <c r="D1735" s="84">
        <v>1010286</v>
      </c>
      <c r="F1735" s="83" t="s">
        <v>103</v>
      </c>
      <c r="G1735" s="83">
        <v>0</v>
      </c>
      <c r="H1735" s="83">
        <v>100</v>
      </c>
      <c r="K1735" s="83">
        <v>8</v>
      </c>
      <c r="L1735" s="83" t="s">
        <v>101</v>
      </c>
      <c r="M1735" s="83" t="s">
        <v>410</v>
      </c>
      <c r="N1735" s="83" t="s">
        <v>102</v>
      </c>
      <c r="P1735" s="83">
        <v>0</v>
      </c>
      <c r="U1735" s="83">
        <v>4</v>
      </c>
      <c r="V1735" s="83">
        <v>1</v>
      </c>
      <c r="W1735" s="83" t="s">
        <v>103</v>
      </c>
      <c r="X1735" s="83">
        <v>0</v>
      </c>
    </row>
    <row r="1736" spans="1:25" x14ac:dyDescent="0.2">
      <c r="A1736" s="83">
        <v>1</v>
      </c>
      <c r="B1736" s="84">
        <v>5701603305306</v>
      </c>
      <c r="C1736" s="83">
        <v>70</v>
      </c>
      <c r="D1736" s="84">
        <v>1010288</v>
      </c>
      <c r="F1736" s="83" t="s">
        <v>103</v>
      </c>
      <c r="G1736" s="83">
        <v>0</v>
      </c>
      <c r="H1736" s="83">
        <v>100</v>
      </c>
      <c r="K1736" s="83">
        <v>4</v>
      </c>
      <c r="L1736" s="83" t="s">
        <v>101</v>
      </c>
      <c r="M1736" s="83" t="s">
        <v>410</v>
      </c>
      <c r="N1736" s="83" t="s">
        <v>102</v>
      </c>
      <c r="P1736" s="83">
        <v>0</v>
      </c>
      <c r="U1736" s="83">
        <v>4</v>
      </c>
      <c r="V1736" s="83">
        <v>1</v>
      </c>
      <c r="W1736" s="83" t="s">
        <v>103</v>
      </c>
      <c r="X1736" s="83">
        <v>0</v>
      </c>
    </row>
    <row r="1737" spans="1:25" x14ac:dyDescent="0.2">
      <c r="A1737" s="83">
        <v>1</v>
      </c>
      <c r="B1737" s="84">
        <v>5701603305306</v>
      </c>
      <c r="C1737" s="83">
        <v>80</v>
      </c>
      <c r="D1737" s="84">
        <v>1020145</v>
      </c>
      <c r="F1737" s="83" t="s">
        <v>103</v>
      </c>
      <c r="G1737" s="83">
        <v>0</v>
      </c>
      <c r="H1737" s="83">
        <v>100</v>
      </c>
      <c r="K1737" s="83" t="s">
        <v>408</v>
      </c>
      <c r="L1737" s="83" t="s">
        <v>101</v>
      </c>
      <c r="M1737" s="83" t="s">
        <v>410</v>
      </c>
      <c r="N1737" s="83" t="s">
        <v>102</v>
      </c>
      <c r="P1737" s="83">
        <v>0</v>
      </c>
      <c r="U1737" s="83">
        <v>4</v>
      </c>
      <c r="V1737" s="83">
        <v>1</v>
      </c>
      <c r="W1737" s="83" t="s">
        <v>103</v>
      </c>
      <c r="X1737" s="83">
        <v>0</v>
      </c>
    </row>
    <row r="1738" spans="1:25" x14ac:dyDescent="0.2">
      <c r="A1738" s="83">
        <v>1</v>
      </c>
      <c r="B1738" s="84">
        <v>5701603305306</v>
      </c>
      <c r="C1738" s="83">
        <v>90</v>
      </c>
      <c r="D1738" s="84">
        <v>777500306</v>
      </c>
      <c r="F1738" s="83" t="s">
        <v>103</v>
      </c>
      <c r="G1738" s="83">
        <v>0</v>
      </c>
      <c r="H1738" s="83">
        <v>100</v>
      </c>
      <c r="K1738" s="83">
        <v>1</v>
      </c>
      <c r="L1738" s="83" t="s">
        <v>101</v>
      </c>
      <c r="M1738" s="83" t="s">
        <v>410</v>
      </c>
      <c r="N1738" s="83" t="s">
        <v>102</v>
      </c>
      <c r="P1738" s="83">
        <v>0</v>
      </c>
      <c r="U1738" s="83">
        <v>4</v>
      </c>
      <c r="V1738" s="83">
        <v>1</v>
      </c>
      <c r="W1738" s="83" t="s">
        <v>103</v>
      </c>
      <c r="X1738" s="83">
        <v>0</v>
      </c>
    </row>
    <row r="1739" spans="1:25" x14ac:dyDescent="0.2">
      <c r="A1739" s="83">
        <v>1</v>
      </c>
      <c r="B1739" s="84">
        <v>5701603306306</v>
      </c>
      <c r="C1739" s="83">
        <v>10</v>
      </c>
      <c r="D1739" s="84">
        <v>5980463306</v>
      </c>
      <c r="F1739" s="83" t="s">
        <v>103</v>
      </c>
      <c r="G1739" s="83">
        <v>0</v>
      </c>
      <c r="H1739" s="83">
        <v>100</v>
      </c>
      <c r="K1739" s="83">
        <v>1</v>
      </c>
      <c r="L1739" s="83" t="s">
        <v>101</v>
      </c>
      <c r="M1739" s="83" t="s">
        <v>410</v>
      </c>
      <c r="N1739" s="83" t="s">
        <v>102</v>
      </c>
      <c r="P1739" s="83">
        <v>0</v>
      </c>
      <c r="U1739" s="83">
        <v>4</v>
      </c>
      <c r="V1739" s="83">
        <v>1</v>
      </c>
      <c r="W1739" s="83" t="s">
        <v>103</v>
      </c>
      <c r="X1739" s="83">
        <v>0</v>
      </c>
      <c r="Y1739" s="83" t="str">
        <f>LEFT(D1739,6)</f>
        <v>598046</v>
      </c>
    </row>
    <row r="1740" spans="1:25" x14ac:dyDescent="0.2">
      <c r="A1740" s="83">
        <v>1</v>
      </c>
      <c r="B1740" s="84">
        <v>5701603306306</v>
      </c>
      <c r="C1740" s="83">
        <v>20</v>
      </c>
      <c r="D1740" s="84">
        <v>5980543306</v>
      </c>
      <c r="F1740" s="83" t="s">
        <v>103</v>
      </c>
      <c r="G1740" s="83">
        <v>0</v>
      </c>
      <c r="H1740" s="83">
        <v>100</v>
      </c>
      <c r="K1740" s="83">
        <v>1</v>
      </c>
      <c r="L1740" s="83" t="s">
        <v>101</v>
      </c>
      <c r="M1740" s="83" t="s">
        <v>410</v>
      </c>
      <c r="N1740" s="83" t="s">
        <v>102</v>
      </c>
      <c r="P1740" s="83">
        <v>0</v>
      </c>
      <c r="U1740" s="83">
        <v>4</v>
      </c>
      <c r="V1740" s="83">
        <v>1</v>
      </c>
      <c r="W1740" s="83" t="s">
        <v>103</v>
      </c>
      <c r="X1740" s="83">
        <v>0</v>
      </c>
    </row>
    <row r="1741" spans="1:25" x14ac:dyDescent="0.2">
      <c r="A1741" s="83">
        <v>1</v>
      </c>
      <c r="B1741" s="84">
        <v>5701603306306</v>
      </c>
      <c r="C1741" s="83">
        <v>30</v>
      </c>
      <c r="D1741" s="84">
        <v>5980623306</v>
      </c>
      <c r="F1741" s="83" t="s">
        <v>103</v>
      </c>
      <c r="G1741" s="83">
        <v>0</v>
      </c>
      <c r="H1741" s="83">
        <v>100</v>
      </c>
      <c r="K1741" s="83">
        <v>1</v>
      </c>
      <c r="L1741" s="83" t="s">
        <v>101</v>
      </c>
      <c r="M1741" s="83" t="s">
        <v>410</v>
      </c>
      <c r="N1741" s="83" t="s">
        <v>102</v>
      </c>
      <c r="P1741" s="83">
        <v>0</v>
      </c>
      <c r="U1741" s="83">
        <v>4</v>
      </c>
      <c r="V1741" s="83">
        <v>1</v>
      </c>
      <c r="W1741" s="83" t="s">
        <v>103</v>
      </c>
      <c r="X1741" s="83">
        <v>0</v>
      </c>
    </row>
    <row r="1742" spans="1:25" x14ac:dyDescent="0.2">
      <c r="A1742" s="83">
        <v>1</v>
      </c>
      <c r="B1742" s="84">
        <v>5701603306306</v>
      </c>
      <c r="C1742" s="83">
        <v>40</v>
      </c>
      <c r="D1742" s="84">
        <v>5980823306</v>
      </c>
      <c r="F1742" s="83" t="s">
        <v>103</v>
      </c>
      <c r="G1742" s="83">
        <v>0</v>
      </c>
      <c r="H1742" s="83">
        <v>100</v>
      </c>
      <c r="K1742" s="83">
        <v>1</v>
      </c>
      <c r="L1742" s="83" t="s">
        <v>101</v>
      </c>
      <c r="M1742" s="83" t="s">
        <v>410</v>
      </c>
      <c r="N1742" s="83" t="s">
        <v>102</v>
      </c>
      <c r="P1742" s="83">
        <v>0</v>
      </c>
      <c r="U1742" s="83">
        <v>4</v>
      </c>
      <c r="V1742" s="83">
        <v>1</v>
      </c>
      <c r="W1742" s="83" t="s">
        <v>103</v>
      </c>
      <c r="X1742" s="83">
        <v>0</v>
      </c>
    </row>
    <row r="1743" spans="1:25" x14ac:dyDescent="0.2">
      <c r="A1743" s="83">
        <v>1</v>
      </c>
      <c r="B1743" s="84">
        <v>5701603306306</v>
      </c>
      <c r="C1743" s="83">
        <v>50</v>
      </c>
      <c r="D1743" s="84">
        <v>5980933306</v>
      </c>
      <c r="F1743" s="83" t="s">
        <v>103</v>
      </c>
      <c r="G1743" s="83">
        <v>0</v>
      </c>
      <c r="H1743" s="83">
        <v>100</v>
      </c>
      <c r="K1743" s="83">
        <v>1</v>
      </c>
      <c r="L1743" s="83" t="s">
        <v>101</v>
      </c>
      <c r="M1743" s="83" t="s">
        <v>410</v>
      </c>
      <c r="N1743" s="83" t="s">
        <v>102</v>
      </c>
      <c r="P1743" s="83">
        <v>0</v>
      </c>
      <c r="U1743" s="83">
        <v>4</v>
      </c>
      <c r="V1743" s="83">
        <v>1</v>
      </c>
      <c r="W1743" s="83" t="s">
        <v>103</v>
      </c>
      <c r="X1743" s="83">
        <v>0</v>
      </c>
    </row>
    <row r="1744" spans="1:25" x14ac:dyDescent="0.2">
      <c r="A1744" s="83">
        <v>1</v>
      </c>
      <c r="B1744" s="84">
        <v>5701603306306</v>
      </c>
      <c r="C1744" s="83">
        <v>60</v>
      </c>
      <c r="D1744" s="84">
        <v>1010286</v>
      </c>
      <c r="F1744" s="83" t="s">
        <v>103</v>
      </c>
      <c r="G1744" s="83">
        <v>0</v>
      </c>
      <c r="H1744" s="83">
        <v>100</v>
      </c>
      <c r="K1744" s="83">
        <v>8</v>
      </c>
      <c r="L1744" s="83" t="s">
        <v>101</v>
      </c>
      <c r="M1744" s="83" t="s">
        <v>410</v>
      </c>
      <c r="N1744" s="83" t="s">
        <v>102</v>
      </c>
      <c r="P1744" s="83">
        <v>0</v>
      </c>
      <c r="U1744" s="83">
        <v>4</v>
      </c>
      <c r="V1744" s="83">
        <v>1</v>
      </c>
      <c r="W1744" s="83" t="s">
        <v>103</v>
      </c>
      <c r="X1744" s="83">
        <v>0</v>
      </c>
    </row>
    <row r="1745" spans="1:25" x14ac:dyDescent="0.2">
      <c r="A1745" s="83">
        <v>1</v>
      </c>
      <c r="B1745" s="84">
        <v>5701603306306</v>
      </c>
      <c r="C1745" s="83">
        <v>70</v>
      </c>
      <c r="D1745" s="84">
        <v>1010287</v>
      </c>
      <c r="F1745" s="83" t="s">
        <v>103</v>
      </c>
      <c r="G1745" s="83">
        <v>0</v>
      </c>
      <c r="H1745" s="83">
        <v>100</v>
      </c>
      <c r="K1745" s="83">
        <v>4</v>
      </c>
      <c r="L1745" s="83" t="s">
        <v>101</v>
      </c>
      <c r="M1745" s="83" t="s">
        <v>410</v>
      </c>
      <c r="N1745" s="83" t="s">
        <v>102</v>
      </c>
      <c r="P1745" s="83">
        <v>0</v>
      </c>
      <c r="U1745" s="83">
        <v>4</v>
      </c>
      <c r="V1745" s="83">
        <v>1</v>
      </c>
      <c r="W1745" s="83" t="s">
        <v>103</v>
      </c>
      <c r="X1745" s="83">
        <v>0</v>
      </c>
    </row>
    <row r="1746" spans="1:25" x14ac:dyDescent="0.2">
      <c r="A1746" s="83">
        <v>1</v>
      </c>
      <c r="B1746" s="84">
        <v>5701603306306</v>
      </c>
      <c r="C1746" s="83">
        <v>80</v>
      </c>
      <c r="D1746" s="84">
        <v>1020145</v>
      </c>
      <c r="F1746" s="83" t="s">
        <v>103</v>
      </c>
      <c r="G1746" s="83">
        <v>0</v>
      </c>
      <c r="H1746" s="83">
        <v>100</v>
      </c>
      <c r="K1746" s="83" t="s">
        <v>408</v>
      </c>
      <c r="L1746" s="83" t="s">
        <v>101</v>
      </c>
      <c r="M1746" s="83" t="s">
        <v>410</v>
      </c>
      <c r="N1746" s="83" t="s">
        <v>102</v>
      </c>
      <c r="P1746" s="83">
        <v>0</v>
      </c>
      <c r="U1746" s="83">
        <v>4</v>
      </c>
      <c r="V1746" s="83">
        <v>1</v>
      </c>
      <c r="W1746" s="83" t="s">
        <v>103</v>
      </c>
      <c r="X1746" s="83">
        <v>0</v>
      </c>
    </row>
    <row r="1747" spans="1:25" x14ac:dyDescent="0.2">
      <c r="A1747" s="83">
        <v>1</v>
      </c>
      <c r="B1747" s="84">
        <v>5701603306306</v>
      </c>
      <c r="C1747" s="83">
        <v>90</v>
      </c>
      <c r="D1747" s="84">
        <v>777500306</v>
      </c>
      <c r="F1747" s="83" t="s">
        <v>103</v>
      </c>
      <c r="G1747" s="83">
        <v>0</v>
      </c>
      <c r="H1747" s="83">
        <v>100</v>
      </c>
      <c r="K1747" s="83">
        <v>1</v>
      </c>
      <c r="L1747" s="83" t="s">
        <v>101</v>
      </c>
      <c r="M1747" s="83" t="s">
        <v>410</v>
      </c>
      <c r="N1747" s="83" t="s">
        <v>102</v>
      </c>
      <c r="P1747" s="83">
        <v>0</v>
      </c>
      <c r="U1747" s="83">
        <v>4</v>
      </c>
      <c r="V1747" s="83">
        <v>1</v>
      </c>
      <c r="W1747" s="83" t="s">
        <v>103</v>
      </c>
      <c r="X1747" s="83">
        <v>0</v>
      </c>
    </row>
    <row r="1748" spans="1:25" x14ac:dyDescent="0.2">
      <c r="A1748" s="83">
        <v>1</v>
      </c>
      <c r="B1748" s="84">
        <v>5701603307306</v>
      </c>
      <c r="C1748" s="83">
        <v>10</v>
      </c>
      <c r="D1748" s="84">
        <v>5980463307</v>
      </c>
      <c r="F1748" s="83" t="s">
        <v>103</v>
      </c>
      <c r="G1748" s="83">
        <v>0</v>
      </c>
      <c r="H1748" s="83">
        <v>100</v>
      </c>
      <c r="K1748" s="83">
        <v>1</v>
      </c>
      <c r="L1748" s="83" t="s">
        <v>101</v>
      </c>
      <c r="M1748" s="83" t="s">
        <v>410</v>
      </c>
      <c r="N1748" s="83" t="s">
        <v>102</v>
      </c>
      <c r="P1748" s="83">
        <v>0</v>
      </c>
      <c r="U1748" s="83">
        <v>4</v>
      </c>
      <c r="V1748" s="83">
        <v>1</v>
      </c>
      <c r="W1748" s="83" t="s">
        <v>103</v>
      </c>
      <c r="X1748" s="83">
        <v>0</v>
      </c>
      <c r="Y1748" s="83" t="str">
        <f>LEFT(D1748,6)</f>
        <v>598046</v>
      </c>
    </row>
    <row r="1749" spans="1:25" x14ac:dyDescent="0.2">
      <c r="A1749" s="83">
        <v>1</v>
      </c>
      <c r="B1749" s="84">
        <v>5701603307306</v>
      </c>
      <c r="C1749" s="83">
        <v>20</v>
      </c>
      <c r="D1749" s="84">
        <v>5980543307</v>
      </c>
      <c r="F1749" s="83" t="s">
        <v>103</v>
      </c>
      <c r="G1749" s="83">
        <v>0</v>
      </c>
      <c r="H1749" s="83">
        <v>100</v>
      </c>
      <c r="K1749" s="83">
        <v>1</v>
      </c>
      <c r="L1749" s="83" t="s">
        <v>101</v>
      </c>
      <c r="M1749" s="83" t="s">
        <v>410</v>
      </c>
      <c r="N1749" s="83" t="s">
        <v>102</v>
      </c>
      <c r="P1749" s="83">
        <v>0</v>
      </c>
      <c r="U1749" s="83">
        <v>4</v>
      </c>
      <c r="V1749" s="83">
        <v>1</v>
      </c>
      <c r="W1749" s="83" t="s">
        <v>103</v>
      </c>
      <c r="X1749" s="83">
        <v>0</v>
      </c>
    </row>
    <row r="1750" spans="1:25" x14ac:dyDescent="0.2">
      <c r="A1750" s="83">
        <v>1</v>
      </c>
      <c r="B1750" s="84">
        <v>5701603307306</v>
      </c>
      <c r="C1750" s="83">
        <v>30</v>
      </c>
      <c r="D1750" s="84">
        <v>5980623307</v>
      </c>
      <c r="F1750" s="83" t="s">
        <v>103</v>
      </c>
      <c r="G1750" s="83">
        <v>0</v>
      </c>
      <c r="H1750" s="83">
        <v>100</v>
      </c>
      <c r="K1750" s="83">
        <v>1</v>
      </c>
      <c r="L1750" s="83" t="s">
        <v>101</v>
      </c>
      <c r="M1750" s="83" t="s">
        <v>410</v>
      </c>
      <c r="N1750" s="83" t="s">
        <v>102</v>
      </c>
      <c r="P1750" s="83">
        <v>0</v>
      </c>
      <c r="U1750" s="83">
        <v>4</v>
      </c>
      <c r="V1750" s="83">
        <v>1</v>
      </c>
      <c r="W1750" s="83" t="s">
        <v>103</v>
      </c>
      <c r="X1750" s="83">
        <v>0</v>
      </c>
    </row>
    <row r="1751" spans="1:25" x14ac:dyDescent="0.2">
      <c r="A1751" s="83">
        <v>1</v>
      </c>
      <c r="B1751" s="84">
        <v>5701603307306</v>
      </c>
      <c r="C1751" s="83">
        <v>40</v>
      </c>
      <c r="D1751" s="84">
        <v>5980823307</v>
      </c>
      <c r="F1751" s="83" t="s">
        <v>103</v>
      </c>
      <c r="G1751" s="83">
        <v>0</v>
      </c>
      <c r="H1751" s="83">
        <v>100</v>
      </c>
      <c r="K1751" s="83">
        <v>1</v>
      </c>
      <c r="L1751" s="83" t="s">
        <v>101</v>
      </c>
      <c r="M1751" s="83" t="s">
        <v>410</v>
      </c>
      <c r="N1751" s="83" t="s">
        <v>102</v>
      </c>
      <c r="P1751" s="83">
        <v>0</v>
      </c>
      <c r="U1751" s="83">
        <v>4</v>
      </c>
      <c r="V1751" s="83">
        <v>1</v>
      </c>
      <c r="W1751" s="83" t="s">
        <v>103</v>
      </c>
      <c r="X1751" s="83">
        <v>0</v>
      </c>
    </row>
    <row r="1752" spans="1:25" x14ac:dyDescent="0.2">
      <c r="A1752" s="83">
        <v>1</v>
      </c>
      <c r="B1752" s="84">
        <v>5701603307306</v>
      </c>
      <c r="C1752" s="83">
        <v>50</v>
      </c>
      <c r="D1752" s="84">
        <v>5980933307</v>
      </c>
      <c r="F1752" s="83" t="s">
        <v>103</v>
      </c>
      <c r="G1752" s="83">
        <v>0</v>
      </c>
      <c r="H1752" s="83">
        <v>100</v>
      </c>
      <c r="K1752" s="83">
        <v>1</v>
      </c>
      <c r="L1752" s="83" t="s">
        <v>101</v>
      </c>
      <c r="M1752" s="83" t="s">
        <v>410</v>
      </c>
      <c r="N1752" s="83" t="s">
        <v>102</v>
      </c>
      <c r="P1752" s="83">
        <v>0</v>
      </c>
      <c r="U1752" s="83">
        <v>4</v>
      </c>
      <c r="V1752" s="83">
        <v>1</v>
      </c>
      <c r="W1752" s="83" t="s">
        <v>103</v>
      </c>
      <c r="X1752" s="83">
        <v>0</v>
      </c>
    </row>
    <row r="1753" spans="1:25" x14ac:dyDescent="0.2">
      <c r="A1753" s="83">
        <v>1</v>
      </c>
      <c r="B1753" s="84">
        <v>5701603307306</v>
      </c>
      <c r="C1753" s="83">
        <v>60</v>
      </c>
      <c r="D1753" s="84">
        <v>1010286</v>
      </c>
      <c r="F1753" s="83" t="s">
        <v>103</v>
      </c>
      <c r="G1753" s="83">
        <v>0</v>
      </c>
      <c r="H1753" s="83">
        <v>100</v>
      </c>
      <c r="K1753" s="83">
        <v>8</v>
      </c>
      <c r="L1753" s="83" t="s">
        <v>101</v>
      </c>
      <c r="M1753" s="83" t="s">
        <v>410</v>
      </c>
      <c r="N1753" s="83" t="s">
        <v>102</v>
      </c>
      <c r="P1753" s="83">
        <v>0</v>
      </c>
      <c r="U1753" s="83">
        <v>4</v>
      </c>
      <c r="V1753" s="83">
        <v>1</v>
      </c>
      <c r="W1753" s="83" t="s">
        <v>103</v>
      </c>
      <c r="X1753" s="83">
        <v>0</v>
      </c>
    </row>
    <row r="1754" spans="1:25" x14ac:dyDescent="0.2">
      <c r="A1754" s="83">
        <v>1</v>
      </c>
      <c r="B1754" s="84">
        <v>5701603307306</v>
      </c>
      <c r="C1754" s="83">
        <v>70</v>
      </c>
      <c r="D1754" s="84">
        <v>1010287</v>
      </c>
      <c r="F1754" s="83" t="s">
        <v>103</v>
      </c>
      <c r="G1754" s="83">
        <v>0</v>
      </c>
      <c r="H1754" s="83">
        <v>100</v>
      </c>
      <c r="K1754" s="83">
        <v>4</v>
      </c>
      <c r="L1754" s="83" t="s">
        <v>101</v>
      </c>
      <c r="M1754" s="83" t="s">
        <v>410</v>
      </c>
      <c r="N1754" s="83" t="s">
        <v>102</v>
      </c>
      <c r="P1754" s="83">
        <v>0</v>
      </c>
      <c r="U1754" s="83">
        <v>4</v>
      </c>
      <c r="V1754" s="83">
        <v>1</v>
      </c>
      <c r="W1754" s="83" t="s">
        <v>103</v>
      </c>
      <c r="X1754" s="83">
        <v>0</v>
      </c>
    </row>
    <row r="1755" spans="1:25" x14ac:dyDescent="0.2">
      <c r="A1755" s="83">
        <v>1</v>
      </c>
      <c r="B1755" s="84">
        <v>5701603307306</v>
      </c>
      <c r="C1755" s="83">
        <v>80</v>
      </c>
      <c r="D1755" s="84">
        <v>1020145</v>
      </c>
      <c r="F1755" s="83" t="s">
        <v>103</v>
      </c>
      <c r="G1755" s="83">
        <v>0</v>
      </c>
      <c r="H1755" s="83">
        <v>100</v>
      </c>
      <c r="K1755" s="83" t="s">
        <v>408</v>
      </c>
      <c r="L1755" s="83" t="s">
        <v>101</v>
      </c>
      <c r="M1755" s="83" t="s">
        <v>410</v>
      </c>
      <c r="N1755" s="83" t="s">
        <v>102</v>
      </c>
      <c r="P1755" s="83">
        <v>0</v>
      </c>
      <c r="U1755" s="83">
        <v>4</v>
      </c>
      <c r="V1755" s="83">
        <v>1</v>
      </c>
      <c r="W1755" s="83" t="s">
        <v>103</v>
      </c>
      <c r="X1755" s="83">
        <v>0</v>
      </c>
    </row>
    <row r="1756" spans="1:25" x14ac:dyDescent="0.2">
      <c r="A1756" s="83">
        <v>1</v>
      </c>
      <c r="B1756" s="84">
        <v>5701603307306</v>
      </c>
      <c r="C1756" s="83">
        <v>90</v>
      </c>
      <c r="D1756" s="84">
        <v>777500306</v>
      </c>
      <c r="F1756" s="83" t="s">
        <v>103</v>
      </c>
      <c r="G1756" s="83">
        <v>0</v>
      </c>
      <c r="H1756" s="83">
        <v>100</v>
      </c>
      <c r="K1756" s="83">
        <v>1</v>
      </c>
      <c r="L1756" s="83" t="s">
        <v>101</v>
      </c>
      <c r="M1756" s="83" t="s">
        <v>410</v>
      </c>
      <c r="N1756" s="83" t="s">
        <v>102</v>
      </c>
      <c r="P1756" s="83">
        <v>0</v>
      </c>
      <c r="U1756" s="83">
        <v>4</v>
      </c>
      <c r="V1756" s="83">
        <v>1</v>
      </c>
      <c r="W1756" s="83" t="s">
        <v>103</v>
      </c>
      <c r="X1756" s="83">
        <v>0</v>
      </c>
    </row>
    <row r="1757" spans="1:25" x14ac:dyDescent="0.2">
      <c r="A1757" s="83">
        <v>1</v>
      </c>
      <c r="B1757" s="84">
        <v>5701603308306</v>
      </c>
      <c r="C1757" s="83">
        <v>10</v>
      </c>
      <c r="D1757" s="84">
        <v>5980463308</v>
      </c>
      <c r="F1757" s="83" t="s">
        <v>103</v>
      </c>
      <c r="G1757" s="83">
        <v>0</v>
      </c>
      <c r="H1757" s="83">
        <v>100</v>
      </c>
      <c r="K1757" s="83">
        <v>1</v>
      </c>
      <c r="L1757" s="83" t="s">
        <v>101</v>
      </c>
      <c r="M1757" s="83" t="s">
        <v>410</v>
      </c>
      <c r="N1757" s="83" t="s">
        <v>102</v>
      </c>
      <c r="P1757" s="83">
        <v>0</v>
      </c>
      <c r="U1757" s="83">
        <v>4</v>
      </c>
      <c r="V1757" s="83">
        <v>1</v>
      </c>
      <c r="W1757" s="83" t="s">
        <v>103</v>
      </c>
      <c r="X1757" s="83">
        <v>0</v>
      </c>
      <c r="Y1757" s="83" t="str">
        <f>LEFT(D1757,6)</f>
        <v>598046</v>
      </c>
    </row>
    <row r="1758" spans="1:25" x14ac:dyDescent="0.2">
      <c r="A1758" s="83">
        <v>1</v>
      </c>
      <c r="B1758" s="84">
        <v>5701603308306</v>
      </c>
      <c r="C1758" s="83">
        <v>20</v>
      </c>
      <c r="D1758" s="84">
        <v>5980543308</v>
      </c>
      <c r="F1758" s="83" t="s">
        <v>103</v>
      </c>
      <c r="G1758" s="83">
        <v>0</v>
      </c>
      <c r="H1758" s="83">
        <v>100</v>
      </c>
      <c r="K1758" s="83">
        <v>1</v>
      </c>
      <c r="L1758" s="83" t="s">
        <v>101</v>
      </c>
      <c r="M1758" s="83" t="s">
        <v>410</v>
      </c>
      <c r="N1758" s="83" t="s">
        <v>102</v>
      </c>
      <c r="P1758" s="83">
        <v>0</v>
      </c>
      <c r="U1758" s="83">
        <v>4</v>
      </c>
      <c r="V1758" s="83">
        <v>1</v>
      </c>
      <c r="W1758" s="83" t="s">
        <v>103</v>
      </c>
      <c r="X1758" s="83">
        <v>0</v>
      </c>
    </row>
    <row r="1759" spans="1:25" x14ac:dyDescent="0.2">
      <c r="A1759" s="83">
        <v>1</v>
      </c>
      <c r="B1759" s="84">
        <v>5701603308306</v>
      </c>
      <c r="C1759" s="83">
        <v>30</v>
      </c>
      <c r="D1759" s="84">
        <v>5980623308</v>
      </c>
      <c r="F1759" s="83" t="s">
        <v>103</v>
      </c>
      <c r="G1759" s="83">
        <v>0</v>
      </c>
      <c r="H1759" s="83">
        <v>100</v>
      </c>
      <c r="K1759" s="83">
        <v>1</v>
      </c>
      <c r="L1759" s="83" t="s">
        <v>101</v>
      </c>
      <c r="M1759" s="83" t="s">
        <v>410</v>
      </c>
      <c r="N1759" s="83" t="s">
        <v>102</v>
      </c>
      <c r="P1759" s="83">
        <v>0</v>
      </c>
      <c r="U1759" s="83">
        <v>4</v>
      </c>
      <c r="V1759" s="83">
        <v>1</v>
      </c>
      <c r="W1759" s="83" t="s">
        <v>103</v>
      </c>
      <c r="X1759" s="83">
        <v>0</v>
      </c>
    </row>
    <row r="1760" spans="1:25" x14ac:dyDescent="0.2">
      <c r="A1760" s="83">
        <v>1</v>
      </c>
      <c r="B1760" s="84">
        <v>5701603308306</v>
      </c>
      <c r="C1760" s="83">
        <v>40</v>
      </c>
      <c r="D1760" s="84">
        <v>5980823308</v>
      </c>
      <c r="F1760" s="83" t="s">
        <v>103</v>
      </c>
      <c r="G1760" s="83">
        <v>0</v>
      </c>
      <c r="H1760" s="83">
        <v>100</v>
      </c>
      <c r="K1760" s="83">
        <v>1</v>
      </c>
      <c r="L1760" s="83" t="s">
        <v>101</v>
      </c>
      <c r="M1760" s="83" t="s">
        <v>410</v>
      </c>
      <c r="N1760" s="83" t="s">
        <v>102</v>
      </c>
      <c r="P1760" s="83">
        <v>0</v>
      </c>
      <c r="U1760" s="83">
        <v>4</v>
      </c>
      <c r="V1760" s="83">
        <v>1</v>
      </c>
      <c r="W1760" s="83" t="s">
        <v>103</v>
      </c>
      <c r="X1760" s="83">
        <v>0</v>
      </c>
    </row>
    <row r="1761" spans="1:25" x14ac:dyDescent="0.2">
      <c r="A1761" s="83">
        <v>1</v>
      </c>
      <c r="B1761" s="84">
        <v>5701603308306</v>
      </c>
      <c r="C1761" s="83">
        <v>50</v>
      </c>
      <c r="D1761" s="84">
        <v>5980933308</v>
      </c>
      <c r="F1761" s="83" t="s">
        <v>103</v>
      </c>
      <c r="G1761" s="83">
        <v>0</v>
      </c>
      <c r="H1761" s="83">
        <v>100</v>
      </c>
      <c r="K1761" s="83">
        <v>1</v>
      </c>
      <c r="L1761" s="83" t="s">
        <v>101</v>
      </c>
      <c r="M1761" s="83" t="s">
        <v>410</v>
      </c>
      <c r="N1761" s="83" t="s">
        <v>102</v>
      </c>
      <c r="P1761" s="83">
        <v>0</v>
      </c>
      <c r="U1761" s="83">
        <v>4</v>
      </c>
      <c r="V1761" s="83">
        <v>1</v>
      </c>
      <c r="W1761" s="83" t="s">
        <v>103</v>
      </c>
      <c r="X1761" s="83">
        <v>0</v>
      </c>
    </row>
    <row r="1762" spans="1:25" x14ac:dyDescent="0.2">
      <c r="A1762" s="83">
        <v>1</v>
      </c>
      <c r="B1762" s="84">
        <v>5701603308306</v>
      </c>
      <c r="C1762" s="83">
        <v>60</v>
      </c>
      <c r="D1762" s="84">
        <v>1010286</v>
      </c>
      <c r="F1762" s="83" t="s">
        <v>103</v>
      </c>
      <c r="G1762" s="83">
        <v>0</v>
      </c>
      <c r="H1762" s="83">
        <v>100</v>
      </c>
      <c r="K1762" s="83">
        <v>8</v>
      </c>
      <c r="L1762" s="83" t="s">
        <v>101</v>
      </c>
      <c r="M1762" s="83" t="s">
        <v>410</v>
      </c>
      <c r="N1762" s="83" t="s">
        <v>102</v>
      </c>
      <c r="P1762" s="83">
        <v>0</v>
      </c>
      <c r="U1762" s="83">
        <v>4</v>
      </c>
      <c r="V1762" s="83">
        <v>1</v>
      </c>
      <c r="W1762" s="83" t="s">
        <v>103</v>
      </c>
      <c r="X1762" s="83">
        <v>0</v>
      </c>
    </row>
    <row r="1763" spans="1:25" x14ac:dyDescent="0.2">
      <c r="A1763" s="83">
        <v>1</v>
      </c>
      <c r="B1763" s="84">
        <v>5701603308306</v>
      </c>
      <c r="C1763" s="83">
        <v>70</v>
      </c>
      <c r="D1763" s="84">
        <v>1010288</v>
      </c>
      <c r="F1763" s="83" t="s">
        <v>103</v>
      </c>
      <c r="G1763" s="83">
        <v>0</v>
      </c>
      <c r="H1763" s="83">
        <v>100</v>
      </c>
      <c r="K1763" s="83">
        <v>4</v>
      </c>
      <c r="L1763" s="83" t="s">
        <v>101</v>
      </c>
      <c r="M1763" s="83" t="s">
        <v>410</v>
      </c>
      <c r="N1763" s="83" t="s">
        <v>102</v>
      </c>
      <c r="P1763" s="83">
        <v>0</v>
      </c>
      <c r="U1763" s="83">
        <v>4</v>
      </c>
      <c r="V1763" s="83">
        <v>1</v>
      </c>
      <c r="W1763" s="83" t="s">
        <v>103</v>
      </c>
      <c r="X1763" s="83">
        <v>0</v>
      </c>
    </row>
    <row r="1764" spans="1:25" x14ac:dyDescent="0.2">
      <c r="A1764" s="83">
        <v>1</v>
      </c>
      <c r="B1764" s="84">
        <v>5701603308306</v>
      </c>
      <c r="C1764" s="83">
        <v>80</v>
      </c>
      <c r="D1764" s="84">
        <v>1020145</v>
      </c>
      <c r="F1764" s="83" t="s">
        <v>103</v>
      </c>
      <c r="G1764" s="83">
        <v>0</v>
      </c>
      <c r="H1764" s="83">
        <v>100</v>
      </c>
      <c r="K1764" s="83" t="s">
        <v>408</v>
      </c>
      <c r="L1764" s="83" t="s">
        <v>101</v>
      </c>
      <c r="M1764" s="83" t="s">
        <v>410</v>
      </c>
      <c r="N1764" s="83" t="s">
        <v>102</v>
      </c>
      <c r="P1764" s="83">
        <v>0</v>
      </c>
      <c r="U1764" s="83">
        <v>4</v>
      </c>
      <c r="V1764" s="83">
        <v>1</v>
      </c>
      <c r="W1764" s="83" t="s">
        <v>103</v>
      </c>
      <c r="X1764" s="83">
        <v>0</v>
      </c>
    </row>
    <row r="1765" spans="1:25" x14ac:dyDescent="0.2">
      <c r="A1765" s="83">
        <v>1</v>
      </c>
      <c r="B1765" s="84">
        <v>5701603308306</v>
      </c>
      <c r="C1765" s="83">
        <v>90</v>
      </c>
      <c r="D1765" s="84">
        <v>777500306</v>
      </c>
      <c r="F1765" s="83" t="s">
        <v>103</v>
      </c>
      <c r="G1765" s="83">
        <v>0</v>
      </c>
      <c r="H1765" s="83">
        <v>100</v>
      </c>
      <c r="K1765" s="83">
        <v>1</v>
      </c>
      <c r="L1765" s="83" t="s">
        <v>101</v>
      </c>
      <c r="M1765" s="83" t="s">
        <v>410</v>
      </c>
      <c r="N1765" s="83" t="s">
        <v>102</v>
      </c>
      <c r="P1765" s="83">
        <v>0</v>
      </c>
      <c r="U1765" s="83">
        <v>4</v>
      </c>
      <c r="V1765" s="83">
        <v>1</v>
      </c>
      <c r="W1765" s="83" t="s">
        <v>103</v>
      </c>
      <c r="X1765" s="83">
        <v>0</v>
      </c>
    </row>
    <row r="1766" spans="1:25" x14ac:dyDescent="0.2">
      <c r="A1766" s="83">
        <v>1</v>
      </c>
      <c r="B1766" s="84">
        <v>5701603309306</v>
      </c>
      <c r="C1766" s="83">
        <v>10</v>
      </c>
      <c r="D1766" s="84">
        <v>5980463309</v>
      </c>
      <c r="F1766" s="83" t="s">
        <v>103</v>
      </c>
      <c r="G1766" s="83">
        <v>0</v>
      </c>
      <c r="H1766" s="83">
        <v>100</v>
      </c>
      <c r="K1766" s="83">
        <v>1</v>
      </c>
      <c r="L1766" s="83" t="s">
        <v>101</v>
      </c>
      <c r="M1766" s="83" t="s">
        <v>410</v>
      </c>
      <c r="N1766" s="83" t="s">
        <v>102</v>
      </c>
      <c r="P1766" s="83">
        <v>0</v>
      </c>
      <c r="U1766" s="83">
        <v>4</v>
      </c>
      <c r="V1766" s="83">
        <v>1</v>
      </c>
      <c r="W1766" s="83" t="s">
        <v>103</v>
      </c>
      <c r="X1766" s="83">
        <v>0</v>
      </c>
      <c r="Y1766" s="83" t="str">
        <f>LEFT(D1766,6)</f>
        <v>598046</v>
      </c>
    </row>
    <row r="1767" spans="1:25" x14ac:dyDescent="0.2">
      <c r="A1767" s="83">
        <v>1</v>
      </c>
      <c r="B1767" s="84">
        <v>5701603309306</v>
      </c>
      <c r="C1767" s="83">
        <v>20</v>
      </c>
      <c r="D1767" s="84">
        <v>5980543309</v>
      </c>
      <c r="F1767" s="83" t="s">
        <v>103</v>
      </c>
      <c r="G1767" s="83">
        <v>0</v>
      </c>
      <c r="H1767" s="83">
        <v>100</v>
      </c>
      <c r="K1767" s="83">
        <v>1</v>
      </c>
      <c r="L1767" s="83" t="s">
        <v>101</v>
      </c>
      <c r="M1767" s="83" t="s">
        <v>410</v>
      </c>
      <c r="N1767" s="83" t="s">
        <v>102</v>
      </c>
      <c r="P1767" s="83">
        <v>0</v>
      </c>
      <c r="U1767" s="83">
        <v>4</v>
      </c>
      <c r="V1767" s="83">
        <v>1</v>
      </c>
      <c r="W1767" s="83" t="s">
        <v>103</v>
      </c>
      <c r="X1767" s="83">
        <v>0</v>
      </c>
    </row>
    <row r="1768" spans="1:25" x14ac:dyDescent="0.2">
      <c r="A1768" s="83">
        <v>1</v>
      </c>
      <c r="B1768" s="84">
        <v>5701603309306</v>
      </c>
      <c r="C1768" s="83">
        <v>30</v>
      </c>
      <c r="D1768" s="84">
        <v>5980623309</v>
      </c>
      <c r="F1768" s="83" t="s">
        <v>103</v>
      </c>
      <c r="G1768" s="83">
        <v>0</v>
      </c>
      <c r="H1768" s="83">
        <v>100</v>
      </c>
      <c r="K1768" s="83">
        <v>1</v>
      </c>
      <c r="L1768" s="83" t="s">
        <v>101</v>
      </c>
      <c r="M1768" s="83" t="s">
        <v>410</v>
      </c>
      <c r="N1768" s="83" t="s">
        <v>102</v>
      </c>
      <c r="P1768" s="83">
        <v>0</v>
      </c>
      <c r="U1768" s="83">
        <v>4</v>
      </c>
      <c r="V1768" s="83">
        <v>1</v>
      </c>
      <c r="W1768" s="83" t="s">
        <v>103</v>
      </c>
      <c r="X1768" s="83">
        <v>0</v>
      </c>
    </row>
    <row r="1769" spans="1:25" x14ac:dyDescent="0.2">
      <c r="A1769" s="83">
        <v>1</v>
      </c>
      <c r="B1769" s="84">
        <v>5701603309306</v>
      </c>
      <c r="C1769" s="83">
        <v>40</v>
      </c>
      <c r="D1769" s="84">
        <v>5980823309</v>
      </c>
      <c r="F1769" s="83" t="s">
        <v>103</v>
      </c>
      <c r="G1769" s="83">
        <v>0</v>
      </c>
      <c r="H1769" s="83">
        <v>100</v>
      </c>
      <c r="K1769" s="83">
        <v>1</v>
      </c>
      <c r="L1769" s="83" t="s">
        <v>101</v>
      </c>
      <c r="M1769" s="83" t="s">
        <v>410</v>
      </c>
      <c r="N1769" s="83" t="s">
        <v>102</v>
      </c>
      <c r="P1769" s="83">
        <v>0</v>
      </c>
      <c r="U1769" s="83">
        <v>4</v>
      </c>
      <c r="V1769" s="83">
        <v>1</v>
      </c>
      <c r="W1769" s="83" t="s">
        <v>103</v>
      </c>
      <c r="X1769" s="83">
        <v>0</v>
      </c>
    </row>
    <row r="1770" spans="1:25" x14ac:dyDescent="0.2">
      <c r="A1770" s="83">
        <v>1</v>
      </c>
      <c r="B1770" s="84">
        <v>5701603309306</v>
      </c>
      <c r="C1770" s="83">
        <v>50</v>
      </c>
      <c r="D1770" s="84">
        <v>5980933309</v>
      </c>
      <c r="F1770" s="83" t="s">
        <v>103</v>
      </c>
      <c r="G1770" s="83">
        <v>0</v>
      </c>
      <c r="H1770" s="83">
        <v>100</v>
      </c>
      <c r="K1770" s="83">
        <v>1</v>
      </c>
      <c r="L1770" s="83" t="s">
        <v>101</v>
      </c>
      <c r="M1770" s="83" t="s">
        <v>410</v>
      </c>
      <c r="N1770" s="83" t="s">
        <v>102</v>
      </c>
      <c r="P1770" s="83">
        <v>0</v>
      </c>
      <c r="U1770" s="83">
        <v>4</v>
      </c>
      <c r="V1770" s="83">
        <v>1</v>
      </c>
      <c r="W1770" s="83" t="s">
        <v>103</v>
      </c>
      <c r="X1770" s="83">
        <v>0</v>
      </c>
    </row>
    <row r="1771" spans="1:25" x14ac:dyDescent="0.2">
      <c r="A1771" s="83">
        <v>1</v>
      </c>
      <c r="B1771" s="84">
        <v>5701603309306</v>
      </c>
      <c r="C1771" s="83">
        <v>60</v>
      </c>
      <c r="D1771" s="84">
        <v>1010286</v>
      </c>
      <c r="F1771" s="83" t="s">
        <v>103</v>
      </c>
      <c r="G1771" s="83">
        <v>0</v>
      </c>
      <c r="H1771" s="83">
        <v>100</v>
      </c>
      <c r="K1771" s="83">
        <v>8</v>
      </c>
      <c r="L1771" s="83" t="s">
        <v>101</v>
      </c>
      <c r="M1771" s="83" t="s">
        <v>410</v>
      </c>
      <c r="N1771" s="83" t="s">
        <v>102</v>
      </c>
      <c r="P1771" s="83">
        <v>0</v>
      </c>
      <c r="U1771" s="83">
        <v>4</v>
      </c>
      <c r="V1771" s="83">
        <v>1</v>
      </c>
      <c r="W1771" s="83" t="s">
        <v>103</v>
      </c>
      <c r="X1771" s="83">
        <v>0</v>
      </c>
    </row>
    <row r="1772" spans="1:25" x14ac:dyDescent="0.2">
      <c r="A1772" s="83">
        <v>1</v>
      </c>
      <c r="B1772" s="84">
        <v>5701603309306</v>
      </c>
      <c r="C1772" s="83">
        <v>70</v>
      </c>
      <c r="D1772" s="84">
        <v>1010287</v>
      </c>
      <c r="F1772" s="83" t="s">
        <v>103</v>
      </c>
      <c r="G1772" s="83">
        <v>0</v>
      </c>
      <c r="H1772" s="83">
        <v>100</v>
      </c>
      <c r="K1772" s="83">
        <v>4</v>
      </c>
      <c r="L1772" s="83" t="s">
        <v>101</v>
      </c>
      <c r="M1772" s="83" t="s">
        <v>410</v>
      </c>
      <c r="N1772" s="83" t="s">
        <v>102</v>
      </c>
      <c r="P1772" s="83">
        <v>0</v>
      </c>
      <c r="U1772" s="83">
        <v>4</v>
      </c>
      <c r="V1772" s="83">
        <v>1</v>
      </c>
      <c r="W1772" s="83" t="s">
        <v>103</v>
      </c>
      <c r="X1772" s="83">
        <v>0</v>
      </c>
    </row>
    <row r="1773" spans="1:25" x14ac:dyDescent="0.2">
      <c r="A1773" s="83">
        <v>1</v>
      </c>
      <c r="B1773" s="84">
        <v>5701603309306</v>
      </c>
      <c r="C1773" s="83">
        <v>80</v>
      </c>
      <c r="D1773" s="84">
        <v>1020145</v>
      </c>
      <c r="F1773" s="83" t="s">
        <v>103</v>
      </c>
      <c r="G1773" s="83">
        <v>0</v>
      </c>
      <c r="H1773" s="83">
        <v>100</v>
      </c>
      <c r="K1773" s="83" t="s">
        <v>408</v>
      </c>
      <c r="L1773" s="83" t="s">
        <v>101</v>
      </c>
      <c r="M1773" s="83" t="s">
        <v>410</v>
      </c>
      <c r="N1773" s="83" t="s">
        <v>102</v>
      </c>
      <c r="P1773" s="83">
        <v>0</v>
      </c>
      <c r="U1773" s="83">
        <v>4</v>
      </c>
      <c r="V1773" s="83">
        <v>1</v>
      </c>
      <c r="W1773" s="83" t="s">
        <v>103</v>
      </c>
      <c r="X1773" s="83">
        <v>0</v>
      </c>
    </row>
    <row r="1774" spans="1:25" x14ac:dyDescent="0.2">
      <c r="A1774" s="83">
        <v>1</v>
      </c>
      <c r="B1774" s="84">
        <v>5701603309306</v>
      </c>
      <c r="C1774" s="83">
        <v>90</v>
      </c>
      <c r="D1774" s="84">
        <v>777500306</v>
      </c>
      <c r="F1774" s="83" t="s">
        <v>103</v>
      </c>
      <c r="G1774" s="83">
        <v>0</v>
      </c>
      <c r="H1774" s="83">
        <v>100</v>
      </c>
      <c r="K1774" s="83">
        <v>1</v>
      </c>
      <c r="L1774" s="83" t="s">
        <v>101</v>
      </c>
      <c r="M1774" s="83" t="s">
        <v>410</v>
      </c>
      <c r="N1774" s="83" t="s">
        <v>102</v>
      </c>
      <c r="P1774" s="83">
        <v>0</v>
      </c>
      <c r="U1774" s="83">
        <v>4</v>
      </c>
      <c r="V1774" s="83">
        <v>1</v>
      </c>
      <c r="W1774" s="83" t="s">
        <v>103</v>
      </c>
      <c r="X1774" s="83">
        <v>0</v>
      </c>
    </row>
    <row r="1775" spans="1:25" x14ac:dyDescent="0.2">
      <c r="A1775" s="83">
        <v>1</v>
      </c>
      <c r="B1775" s="84">
        <v>5701603310306</v>
      </c>
      <c r="C1775" s="83">
        <v>10</v>
      </c>
      <c r="D1775" s="84">
        <v>5980463310</v>
      </c>
      <c r="F1775" s="83" t="s">
        <v>103</v>
      </c>
      <c r="G1775" s="83">
        <v>0</v>
      </c>
      <c r="H1775" s="83">
        <v>100</v>
      </c>
      <c r="K1775" s="83">
        <v>1</v>
      </c>
      <c r="L1775" s="83" t="s">
        <v>101</v>
      </c>
      <c r="M1775" s="83" t="s">
        <v>410</v>
      </c>
      <c r="N1775" s="83" t="s">
        <v>102</v>
      </c>
      <c r="P1775" s="83">
        <v>0</v>
      </c>
      <c r="U1775" s="83">
        <v>4</v>
      </c>
      <c r="V1775" s="83">
        <v>1</v>
      </c>
      <c r="W1775" s="83" t="s">
        <v>103</v>
      </c>
      <c r="X1775" s="83">
        <v>0</v>
      </c>
      <c r="Y1775" s="83" t="str">
        <f>LEFT(D1775,6)</f>
        <v>598046</v>
      </c>
    </row>
    <row r="1776" spans="1:25" x14ac:dyDescent="0.2">
      <c r="A1776" s="83">
        <v>1</v>
      </c>
      <c r="B1776" s="84">
        <v>5701603310306</v>
      </c>
      <c r="C1776" s="83">
        <v>20</v>
      </c>
      <c r="D1776" s="84">
        <v>5980543310</v>
      </c>
      <c r="F1776" s="83" t="s">
        <v>103</v>
      </c>
      <c r="G1776" s="83">
        <v>0</v>
      </c>
      <c r="H1776" s="83">
        <v>100</v>
      </c>
      <c r="K1776" s="83">
        <v>1</v>
      </c>
      <c r="L1776" s="83" t="s">
        <v>101</v>
      </c>
      <c r="M1776" s="83" t="s">
        <v>410</v>
      </c>
      <c r="N1776" s="83" t="s">
        <v>102</v>
      </c>
      <c r="P1776" s="83">
        <v>0</v>
      </c>
      <c r="U1776" s="83">
        <v>4</v>
      </c>
      <c r="V1776" s="83">
        <v>1</v>
      </c>
      <c r="W1776" s="83" t="s">
        <v>103</v>
      </c>
      <c r="X1776" s="83">
        <v>0</v>
      </c>
    </row>
    <row r="1777" spans="1:25" x14ac:dyDescent="0.2">
      <c r="A1777" s="83">
        <v>1</v>
      </c>
      <c r="B1777" s="84">
        <v>5701603310306</v>
      </c>
      <c r="C1777" s="83">
        <v>30</v>
      </c>
      <c r="D1777" s="84">
        <v>5980623310</v>
      </c>
      <c r="F1777" s="83" t="s">
        <v>103</v>
      </c>
      <c r="G1777" s="83">
        <v>0</v>
      </c>
      <c r="H1777" s="83">
        <v>100</v>
      </c>
      <c r="K1777" s="83">
        <v>1</v>
      </c>
      <c r="L1777" s="83" t="s">
        <v>101</v>
      </c>
      <c r="M1777" s="83" t="s">
        <v>410</v>
      </c>
      <c r="N1777" s="83" t="s">
        <v>102</v>
      </c>
      <c r="P1777" s="83">
        <v>0</v>
      </c>
      <c r="U1777" s="83">
        <v>4</v>
      </c>
      <c r="V1777" s="83">
        <v>1</v>
      </c>
      <c r="W1777" s="83" t="s">
        <v>103</v>
      </c>
      <c r="X1777" s="83">
        <v>0</v>
      </c>
    </row>
    <row r="1778" spans="1:25" x14ac:dyDescent="0.2">
      <c r="A1778" s="83">
        <v>1</v>
      </c>
      <c r="B1778" s="84">
        <v>5701603310306</v>
      </c>
      <c r="C1778" s="83">
        <v>40</v>
      </c>
      <c r="D1778" s="84">
        <v>5980823310</v>
      </c>
      <c r="F1778" s="83" t="s">
        <v>103</v>
      </c>
      <c r="G1778" s="83">
        <v>0</v>
      </c>
      <c r="H1778" s="83">
        <v>100</v>
      </c>
      <c r="K1778" s="83">
        <v>1</v>
      </c>
      <c r="L1778" s="83" t="s">
        <v>101</v>
      </c>
      <c r="M1778" s="83" t="s">
        <v>410</v>
      </c>
      <c r="N1778" s="83" t="s">
        <v>102</v>
      </c>
      <c r="P1778" s="83">
        <v>0</v>
      </c>
      <c r="U1778" s="83">
        <v>4</v>
      </c>
      <c r="V1778" s="83">
        <v>1</v>
      </c>
      <c r="W1778" s="83" t="s">
        <v>103</v>
      </c>
      <c r="X1778" s="83">
        <v>0</v>
      </c>
    </row>
    <row r="1779" spans="1:25" x14ac:dyDescent="0.2">
      <c r="A1779" s="83">
        <v>1</v>
      </c>
      <c r="B1779" s="84">
        <v>5701603310306</v>
      </c>
      <c r="C1779" s="83">
        <v>50</v>
      </c>
      <c r="D1779" s="84">
        <v>5980933310</v>
      </c>
      <c r="F1779" s="83" t="s">
        <v>103</v>
      </c>
      <c r="G1779" s="83">
        <v>0</v>
      </c>
      <c r="H1779" s="83">
        <v>100</v>
      </c>
      <c r="K1779" s="83">
        <v>1</v>
      </c>
      <c r="L1779" s="83" t="s">
        <v>101</v>
      </c>
      <c r="M1779" s="83" t="s">
        <v>410</v>
      </c>
      <c r="N1779" s="83" t="s">
        <v>102</v>
      </c>
      <c r="P1779" s="83">
        <v>0</v>
      </c>
      <c r="U1779" s="83">
        <v>4</v>
      </c>
      <c r="V1779" s="83">
        <v>1</v>
      </c>
      <c r="W1779" s="83" t="s">
        <v>103</v>
      </c>
      <c r="X1779" s="83">
        <v>0</v>
      </c>
    </row>
    <row r="1780" spans="1:25" x14ac:dyDescent="0.2">
      <c r="A1780" s="83">
        <v>1</v>
      </c>
      <c r="B1780" s="84">
        <v>5701603310306</v>
      </c>
      <c r="C1780" s="83">
        <v>60</v>
      </c>
      <c r="D1780" s="84">
        <v>1010286</v>
      </c>
      <c r="F1780" s="83" t="s">
        <v>103</v>
      </c>
      <c r="G1780" s="83">
        <v>0</v>
      </c>
      <c r="H1780" s="83">
        <v>100</v>
      </c>
      <c r="K1780" s="83">
        <v>8</v>
      </c>
      <c r="L1780" s="83" t="s">
        <v>101</v>
      </c>
      <c r="M1780" s="83" t="s">
        <v>410</v>
      </c>
      <c r="N1780" s="83" t="s">
        <v>102</v>
      </c>
      <c r="P1780" s="83">
        <v>0</v>
      </c>
      <c r="U1780" s="83">
        <v>4</v>
      </c>
      <c r="V1780" s="83">
        <v>1</v>
      </c>
      <c r="W1780" s="83" t="s">
        <v>103</v>
      </c>
      <c r="X1780" s="83">
        <v>0</v>
      </c>
    </row>
    <row r="1781" spans="1:25" x14ac:dyDescent="0.2">
      <c r="A1781" s="83">
        <v>1</v>
      </c>
      <c r="B1781" s="84">
        <v>5701603310306</v>
      </c>
      <c r="C1781" s="83">
        <v>70</v>
      </c>
      <c r="D1781" s="84">
        <v>1010287</v>
      </c>
      <c r="F1781" s="83" t="s">
        <v>103</v>
      </c>
      <c r="G1781" s="83">
        <v>0</v>
      </c>
      <c r="H1781" s="83">
        <v>100</v>
      </c>
      <c r="K1781" s="83">
        <v>4</v>
      </c>
      <c r="L1781" s="83" t="s">
        <v>101</v>
      </c>
      <c r="M1781" s="83" t="s">
        <v>410</v>
      </c>
      <c r="N1781" s="83" t="s">
        <v>102</v>
      </c>
      <c r="P1781" s="83">
        <v>0</v>
      </c>
      <c r="U1781" s="83">
        <v>4</v>
      </c>
      <c r="V1781" s="83">
        <v>1</v>
      </c>
      <c r="W1781" s="83" t="s">
        <v>103</v>
      </c>
      <c r="X1781" s="83">
        <v>0</v>
      </c>
    </row>
    <row r="1782" spans="1:25" x14ac:dyDescent="0.2">
      <c r="A1782" s="83">
        <v>1</v>
      </c>
      <c r="B1782" s="84">
        <v>5701603310306</v>
      </c>
      <c r="C1782" s="83">
        <v>80</v>
      </c>
      <c r="D1782" s="84">
        <v>1020145</v>
      </c>
      <c r="F1782" s="83" t="s">
        <v>103</v>
      </c>
      <c r="G1782" s="83">
        <v>0</v>
      </c>
      <c r="H1782" s="83">
        <v>100</v>
      </c>
      <c r="K1782" s="83" t="s">
        <v>408</v>
      </c>
      <c r="L1782" s="83" t="s">
        <v>101</v>
      </c>
      <c r="M1782" s="83" t="s">
        <v>410</v>
      </c>
      <c r="N1782" s="83" t="s">
        <v>102</v>
      </c>
      <c r="P1782" s="83">
        <v>0</v>
      </c>
      <c r="U1782" s="83">
        <v>4</v>
      </c>
      <c r="V1782" s="83">
        <v>1</v>
      </c>
      <c r="W1782" s="83" t="s">
        <v>103</v>
      </c>
      <c r="X1782" s="83">
        <v>0</v>
      </c>
    </row>
    <row r="1783" spans="1:25" x14ac:dyDescent="0.2">
      <c r="A1783" s="83">
        <v>1</v>
      </c>
      <c r="B1783" s="84">
        <v>5701603310306</v>
      </c>
      <c r="C1783" s="83">
        <v>90</v>
      </c>
      <c r="D1783" s="84">
        <v>777500306</v>
      </c>
      <c r="F1783" s="83" t="s">
        <v>103</v>
      </c>
      <c r="G1783" s="83">
        <v>0</v>
      </c>
      <c r="H1783" s="83">
        <v>100</v>
      </c>
      <c r="K1783" s="83">
        <v>1</v>
      </c>
      <c r="L1783" s="83" t="s">
        <v>101</v>
      </c>
      <c r="M1783" s="83" t="s">
        <v>410</v>
      </c>
      <c r="N1783" s="83" t="s">
        <v>102</v>
      </c>
      <c r="P1783" s="83">
        <v>0</v>
      </c>
      <c r="U1783" s="83">
        <v>4</v>
      </c>
      <c r="V1783" s="83">
        <v>1</v>
      </c>
      <c r="W1783" s="83" t="s">
        <v>103</v>
      </c>
      <c r="X1783" s="83">
        <v>0</v>
      </c>
    </row>
    <row r="1784" spans="1:25" x14ac:dyDescent="0.2">
      <c r="A1784" s="83">
        <v>1</v>
      </c>
      <c r="B1784" s="84">
        <v>5701603300730</v>
      </c>
      <c r="C1784" s="83">
        <v>10</v>
      </c>
      <c r="D1784" s="84">
        <v>5980463399</v>
      </c>
      <c r="F1784" s="83" t="s">
        <v>103</v>
      </c>
      <c r="G1784" s="83">
        <v>0</v>
      </c>
      <c r="H1784" s="83">
        <v>100</v>
      </c>
      <c r="K1784" s="83">
        <v>1</v>
      </c>
      <c r="L1784" s="83" t="s">
        <v>101</v>
      </c>
      <c r="M1784" s="83" t="s">
        <v>410</v>
      </c>
      <c r="N1784" s="83" t="s">
        <v>102</v>
      </c>
      <c r="P1784" s="83">
        <v>0</v>
      </c>
      <c r="U1784" s="83">
        <v>4</v>
      </c>
      <c r="V1784" s="83">
        <v>1</v>
      </c>
      <c r="W1784" s="83" t="s">
        <v>103</v>
      </c>
      <c r="X1784" s="83">
        <v>0</v>
      </c>
      <c r="Y1784" s="83" t="str">
        <f>LEFT(D1784,6)</f>
        <v>598046</v>
      </c>
    </row>
    <row r="1785" spans="1:25" x14ac:dyDescent="0.2">
      <c r="A1785" s="83">
        <v>1</v>
      </c>
      <c r="B1785" s="84">
        <v>5701603300730</v>
      </c>
      <c r="C1785" s="83">
        <v>20</v>
      </c>
      <c r="D1785" s="84">
        <v>5980543399</v>
      </c>
      <c r="F1785" s="83" t="s">
        <v>103</v>
      </c>
      <c r="G1785" s="83">
        <v>0</v>
      </c>
      <c r="H1785" s="83">
        <v>100</v>
      </c>
      <c r="K1785" s="83">
        <v>1</v>
      </c>
      <c r="L1785" s="83" t="s">
        <v>101</v>
      </c>
      <c r="M1785" s="83" t="s">
        <v>410</v>
      </c>
      <c r="N1785" s="83" t="s">
        <v>102</v>
      </c>
      <c r="P1785" s="83">
        <v>0</v>
      </c>
      <c r="U1785" s="83">
        <v>4</v>
      </c>
      <c r="V1785" s="83">
        <v>1</v>
      </c>
      <c r="W1785" s="83" t="s">
        <v>103</v>
      </c>
      <c r="X1785" s="83">
        <v>0</v>
      </c>
    </row>
    <row r="1786" spans="1:25" x14ac:dyDescent="0.2">
      <c r="A1786" s="83">
        <v>1</v>
      </c>
      <c r="B1786" s="84">
        <v>5701603300730</v>
      </c>
      <c r="C1786" s="83">
        <v>30</v>
      </c>
      <c r="D1786" s="84">
        <v>5980623399</v>
      </c>
      <c r="F1786" s="83" t="s">
        <v>103</v>
      </c>
      <c r="G1786" s="83">
        <v>0</v>
      </c>
      <c r="H1786" s="83">
        <v>100</v>
      </c>
      <c r="K1786" s="83">
        <v>1</v>
      </c>
      <c r="L1786" s="83" t="s">
        <v>101</v>
      </c>
      <c r="M1786" s="83" t="s">
        <v>410</v>
      </c>
      <c r="N1786" s="83" t="s">
        <v>102</v>
      </c>
      <c r="P1786" s="83">
        <v>0</v>
      </c>
      <c r="U1786" s="83">
        <v>4</v>
      </c>
      <c r="V1786" s="83">
        <v>1</v>
      </c>
      <c r="W1786" s="83" t="s">
        <v>103</v>
      </c>
      <c r="X1786" s="83">
        <v>0</v>
      </c>
    </row>
    <row r="1787" spans="1:25" x14ac:dyDescent="0.2">
      <c r="A1787" s="83">
        <v>1</v>
      </c>
      <c r="B1787" s="84">
        <v>5701603300730</v>
      </c>
      <c r="C1787" s="83">
        <v>40</v>
      </c>
      <c r="D1787" s="84">
        <v>5980823399</v>
      </c>
      <c r="F1787" s="83" t="s">
        <v>103</v>
      </c>
      <c r="G1787" s="83">
        <v>0</v>
      </c>
      <c r="H1787" s="83">
        <v>100</v>
      </c>
      <c r="K1787" s="83">
        <v>1</v>
      </c>
      <c r="L1787" s="83" t="s">
        <v>101</v>
      </c>
      <c r="M1787" s="83" t="s">
        <v>410</v>
      </c>
      <c r="N1787" s="83" t="s">
        <v>102</v>
      </c>
      <c r="P1787" s="83">
        <v>0</v>
      </c>
      <c r="U1787" s="83">
        <v>4</v>
      </c>
      <c r="V1787" s="83">
        <v>1</v>
      </c>
      <c r="W1787" s="83" t="s">
        <v>103</v>
      </c>
      <c r="X1787" s="83">
        <v>0</v>
      </c>
    </row>
    <row r="1788" spans="1:25" x14ac:dyDescent="0.2">
      <c r="A1788" s="83">
        <v>1</v>
      </c>
      <c r="B1788" s="84">
        <v>5701603300730</v>
      </c>
      <c r="C1788" s="83">
        <v>50</v>
      </c>
      <c r="D1788" s="85">
        <v>1010277</v>
      </c>
      <c r="F1788" s="83" t="s">
        <v>103</v>
      </c>
      <c r="G1788" s="83">
        <v>0</v>
      </c>
      <c r="H1788" s="83">
        <v>100</v>
      </c>
      <c r="K1788" s="83">
        <v>1</v>
      </c>
      <c r="L1788" s="83" t="s">
        <v>101</v>
      </c>
      <c r="M1788" s="83" t="s">
        <v>410</v>
      </c>
      <c r="N1788" s="83" t="s">
        <v>102</v>
      </c>
      <c r="P1788" s="83">
        <v>0</v>
      </c>
      <c r="U1788" s="83">
        <v>4</v>
      </c>
      <c r="V1788" s="83">
        <v>1</v>
      </c>
      <c r="W1788" s="83" t="s">
        <v>103</v>
      </c>
      <c r="X1788" s="83">
        <v>0</v>
      </c>
    </row>
    <row r="1789" spans="1:25" x14ac:dyDescent="0.2">
      <c r="A1789" s="83">
        <v>1</v>
      </c>
      <c r="B1789" s="84">
        <v>5701603300730</v>
      </c>
      <c r="C1789" s="83">
        <v>60</v>
      </c>
      <c r="D1789" s="84">
        <v>1010286</v>
      </c>
      <c r="F1789" s="83" t="s">
        <v>103</v>
      </c>
      <c r="G1789" s="83">
        <v>0</v>
      </c>
      <c r="H1789" s="83">
        <v>100</v>
      </c>
      <c r="K1789" s="83">
        <v>8</v>
      </c>
      <c r="L1789" s="83" t="s">
        <v>101</v>
      </c>
      <c r="M1789" s="83" t="s">
        <v>410</v>
      </c>
      <c r="N1789" s="83" t="s">
        <v>102</v>
      </c>
      <c r="P1789" s="83">
        <v>0</v>
      </c>
      <c r="U1789" s="83">
        <v>4</v>
      </c>
      <c r="V1789" s="83">
        <v>1</v>
      </c>
      <c r="W1789" s="83" t="s">
        <v>103</v>
      </c>
      <c r="X1789" s="83">
        <v>0</v>
      </c>
    </row>
    <row r="1790" spans="1:25" x14ac:dyDescent="0.2">
      <c r="A1790" s="83">
        <v>1</v>
      </c>
      <c r="B1790" s="84">
        <v>5701603300730</v>
      </c>
      <c r="C1790" s="83">
        <v>70</v>
      </c>
      <c r="D1790" s="84">
        <v>1010287</v>
      </c>
      <c r="F1790" s="83" t="s">
        <v>103</v>
      </c>
      <c r="G1790" s="83">
        <v>0</v>
      </c>
      <c r="H1790" s="83">
        <v>100</v>
      </c>
      <c r="K1790" s="83">
        <v>4</v>
      </c>
      <c r="L1790" s="83" t="s">
        <v>101</v>
      </c>
      <c r="M1790" s="83" t="s">
        <v>410</v>
      </c>
      <c r="N1790" s="83" t="s">
        <v>102</v>
      </c>
      <c r="P1790" s="83">
        <v>0</v>
      </c>
      <c r="U1790" s="83">
        <v>4</v>
      </c>
      <c r="V1790" s="83">
        <v>1</v>
      </c>
      <c r="W1790" s="83" t="s">
        <v>103</v>
      </c>
      <c r="X1790" s="83">
        <v>0</v>
      </c>
    </row>
    <row r="1791" spans="1:25" x14ac:dyDescent="0.2">
      <c r="A1791" s="83">
        <v>1</v>
      </c>
      <c r="B1791" s="84">
        <v>5701603300730</v>
      </c>
      <c r="C1791" s="83">
        <v>80</v>
      </c>
      <c r="D1791" s="84">
        <v>1020145</v>
      </c>
      <c r="F1791" s="83" t="s">
        <v>103</v>
      </c>
      <c r="G1791" s="83">
        <v>0</v>
      </c>
      <c r="H1791" s="83">
        <v>100</v>
      </c>
      <c r="K1791" s="83" t="s">
        <v>408</v>
      </c>
      <c r="L1791" s="83" t="s">
        <v>101</v>
      </c>
      <c r="M1791" s="83" t="s">
        <v>410</v>
      </c>
      <c r="N1791" s="83" t="s">
        <v>102</v>
      </c>
      <c r="P1791" s="83">
        <v>0</v>
      </c>
      <c r="U1791" s="83">
        <v>4</v>
      </c>
      <c r="V1791" s="83">
        <v>1</v>
      </c>
      <c r="W1791" s="83" t="s">
        <v>103</v>
      </c>
      <c r="X1791" s="83">
        <v>0</v>
      </c>
    </row>
    <row r="1792" spans="1:25" x14ac:dyDescent="0.2">
      <c r="A1792" s="83">
        <v>1</v>
      </c>
      <c r="B1792" s="84">
        <v>5701603300730</v>
      </c>
      <c r="C1792" s="83">
        <v>90</v>
      </c>
      <c r="D1792" s="84">
        <v>777500730</v>
      </c>
      <c r="F1792" s="83" t="s">
        <v>103</v>
      </c>
      <c r="G1792" s="83">
        <v>0</v>
      </c>
      <c r="H1792" s="83">
        <v>100</v>
      </c>
      <c r="K1792" s="83">
        <v>1</v>
      </c>
      <c r="L1792" s="83" t="s">
        <v>101</v>
      </c>
      <c r="M1792" s="83" t="s">
        <v>410</v>
      </c>
      <c r="N1792" s="83" t="s">
        <v>102</v>
      </c>
      <c r="P1792" s="83">
        <v>0</v>
      </c>
      <c r="U1792" s="83">
        <v>4</v>
      </c>
      <c r="V1792" s="83">
        <v>1</v>
      </c>
      <c r="W1792" s="83" t="s">
        <v>103</v>
      </c>
      <c r="X1792" s="83">
        <v>0</v>
      </c>
    </row>
    <row r="1793" spans="1:25" x14ac:dyDescent="0.2">
      <c r="A1793" s="83">
        <v>1</v>
      </c>
      <c r="B1793" s="84">
        <v>5701603301730</v>
      </c>
      <c r="C1793" s="83">
        <v>10</v>
      </c>
      <c r="D1793" s="84">
        <v>5980463301</v>
      </c>
      <c r="F1793" s="83" t="s">
        <v>103</v>
      </c>
      <c r="G1793" s="83">
        <v>0</v>
      </c>
      <c r="H1793" s="83">
        <v>100</v>
      </c>
      <c r="K1793" s="83">
        <v>1</v>
      </c>
      <c r="L1793" s="83" t="s">
        <v>101</v>
      </c>
      <c r="M1793" s="83" t="s">
        <v>410</v>
      </c>
      <c r="N1793" s="83" t="s">
        <v>102</v>
      </c>
      <c r="P1793" s="83">
        <v>0</v>
      </c>
      <c r="U1793" s="83">
        <v>4</v>
      </c>
      <c r="V1793" s="83">
        <v>1</v>
      </c>
      <c r="W1793" s="83" t="s">
        <v>103</v>
      </c>
      <c r="X1793" s="83">
        <v>0</v>
      </c>
      <c r="Y1793" s="83" t="str">
        <f>LEFT(D1793,6)</f>
        <v>598046</v>
      </c>
    </row>
    <row r="1794" spans="1:25" x14ac:dyDescent="0.2">
      <c r="A1794" s="83">
        <v>1</v>
      </c>
      <c r="B1794" s="84">
        <v>5701603301730</v>
      </c>
      <c r="C1794" s="83">
        <v>20</v>
      </c>
      <c r="D1794" s="84">
        <v>5980543301</v>
      </c>
      <c r="F1794" s="83" t="s">
        <v>103</v>
      </c>
      <c r="G1794" s="83">
        <v>0</v>
      </c>
      <c r="H1794" s="83">
        <v>100</v>
      </c>
      <c r="K1794" s="83">
        <v>1</v>
      </c>
      <c r="L1794" s="83" t="s">
        <v>101</v>
      </c>
      <c r="M1794" s="83" t="s">
        <v>410</v>
      </c>
      <c r="N1794" s="83" t="s">
        <v>102</v>
      </c>
      <c r="P1794" s="83">
        <v>0</v>
      </c>
      <c r="U1794" s="83">
        <v>4</v>
      </c>
      <c r="V1794" s="83">
        <v>1</v>
      </c>
      <c r="W1794" s="83" t="s">
        <v>103</v>
      </c>
      <c r="X1794" s="83">
        <v>0</v>
      </c>
    </row>
    <row r="1795" spans="1:25" x14ac:dyDescent="0.2">
      <c r="A1795" s="83">
        <v>1</v>
      </c>
      <c r="B1795" s="84">
        <v>5701603301730</v>
      </c>
      <c r="C1795" s="83">
        <v>30</v>
      </c>
      <c r="D1795" s="84">
        <v>5980623301</v>
      </c>
      <c r="F1795" s="83" t="s">
        <v>103</v>
      </c>
      <c r="G1795" s="83">
        <v>0</v>
      </c>
      <c r="H1795" s="83">
        <v>100</v>
      </c>
      <c r="K1795" s="83">
        <v>1</v>
      </c>
      <c r="L1795" s="83" t="s">
        <v>101</v>
      </c>
      <c r="M1795" s="83" t="s">
        <v>410</v>
      </c>
      <c r="N1795" s="83" t="s">
        <v>102</v>
      </c>
      <c r="P1795" s="83">
        <v>0</v>
      </c>
      <c r="U1795" s="83">
        <v>4</v>
      </c>
      <c r="V1795" s="83">
        <v>1</v>
      </c>
      <c r="W1795" s="83" t="s">
        <v>103</v>
      </c>
      <c r="X1795" s="83">
        <v>0</v>
      </c>
    </row>
    <row r="1796" spans="1:25" x14ac:dyDescent="0.2">
      <c r="A1796" s="83">
        <v>1</v>
      </c>
      <c r="B1796" s="84">
        <v>5701603301730</v>
      </c>
      <c r="C1796" s="83">
        <v>40</v>
      </c>
      <c r="D1796" s="84">
        <v>5980823301</v>
      </c>
      <c r="F1796" s="83" t="s">
        <v>103</v>
      </c>
      <c r="G1796" s="83">
        <v>0</v>
      </c>
      <c r="H1796" s="83">
        <v>100</v>
      </c>
      <c r="K1796" s="83">
        <v>1</v>
      </c>
      <c r="L1796" s="83" t="s">
        <v>101</v>
      </c>
      <c r="M1796" s="83" t="s">
        <v>410</v>
      </c>
      <c r="N1796" s="83" t="s">
        <v>102</v>
      </c>
      <c r="P1796" s="83">
        <v>0</v>
      </c>
      <c r="U1796" s="83">
        <v>4</v>
      </c>
      <c r="V1796" s="83">
        <v>1</v>
      </c>
      <c r="W1796" s="83" t="s">
        <v>103</v>
      </c>
      <c r="X1796" s="83">
        <v>0</v>
      </c>
    </row>
    <row r="1797" spans="1:25" x14ac:dyDescent="0.2">
      <c r="A1797" s="83">
        <v>1</v>
      </c>
      <c r="B1797" s="84">
        <v>5701603301730</v>
      </c>
      <c r="C1797" s="83">
        <v>50</v>
      </c>
      <c r="D1797" s="84">
        <v>5980933301</v>
      </c>
      <c r="F1797" s="83" t="s">
        <v>103</v>
      </c>
      <c r="G1797" s="83">
        <v>0</v>
      </c>
      <c r="H1797" s="83">
        <v>100</v>
      </c>
      <c r="K1797" s="83">
        <v>1</v>
      </c>
      <c r="L1797" s="83" t="s">
        <v>101</v>
      </c>
      <c r="M1797" s="83" t="s">
        <v>410</v>
      </c>
      <c r="N1797" s="83" t="s">
        <v>102</v>
      </c>
      <c r="P1797" s="83">
        <v>0</v>
      </c>
      <c r="U1797" s="83">
        <v>4</v>
      </c>
      <c r="V1797" s="83">
        <v>1</v>
      </c>
      <c r="W1797" s="83" t="s">
        <v>103</v>
      </c>
      <c r="X1797" s="83">
        <v>0</v>
      </c>
    </row>
    <row r="1798" spans="1:25" x14ac:dyDescent="0.2">
      <c r="A1798" s="83">
        <v>1</v>
      </c>
      <c r="B1798" s="84">
        <v>5701603301730</v>
      </c>
      <c r="C1798" s="83">
        <v>60</v>
      </c>
      <c r="D1798" s="84">
        <v>1010286</v>
      </c>
      <c r="F1798" s="83" t="s">
        <v>103</v>
      </c>
      <c r="G1798" s="83">
        <v>0</v>
      </c>
      <c r="H1798" s="83">
        <v>100</v>
      </c>
      <c r="K1798" s="83">
        <v>8</v>
      </c>
      <c r="L1798" s="83" t="s">
        <v>101</v>
      </c>
      <c r="M1798" s="83" t="s">
        <v>410</v>
      </c>
      <c r="N1798" s="83" t="s">
        <v>102</v>
      </c>
      <c r="P1798" s="83">
        <v>0</v>
      </c>
      <c r="U1798" s="83">
        <v>4</v>
      </c>
      <c r="V1798" s="83">
        <v>1</v>
      </c>
      <c r="W1798" s="83" t="s">
        <v>103</v>
      </c>
      <c r="X1798" s="83">
        <v>0</v>
      </c>
    </row>
    <row r="1799" spans="1:25" x14ac:dyDescent="0.2">
      <c r="A1799" s="83">
        <v>1</v>
      </c>
      <c r="B1799" s="84">
        <v>5701603301730</v>
      </c>
      <c r="C1799" s="83">
        <v>70</v>
      </c>
      <c r="D1799" s="84">
        <v>1010287</v>
      </c>
      <c r="F1799" s="83" t="s">
        <v>103</v>
      </c>
      <c r="G1799" s="83">
        <v>0</v>
      </c>
      <c r="H1799" s="83">
        <v>100</v>
      </c>
      <c r="K1799" s="83">
        <v>4</v>
      </c>
      <c r="L1799" s="83" t="s">
        <v>101</v>
      </c>
      <c r="M1799" s="83" t="s">
        <v>410</v>
      </c>
      <c r="N1799" s="83" t="s">
        <v>102</v>
      </c>
      <c r="P1799" s="83">
        <v>0</v>
      </c>
      <c r="U1799" s="83">
        <v>4</v>
      </c>
      <c r="V1799" s="83">
        <v>1</v>
      </c>
      <c r="W1799" s="83" t="s">
        <v>103</v>
      </c>
      <c r="X1799" s="83">
        <v>0</v>
      </c>
    </row>
    <row r="1800" spans="1:25" x14ac:dyDescent="0.2">
      <c r="A1800" s="83">
        <v>1</v>
      </c>
      <c r="B1800" s="84">
        <v>5701603301730</v>
      </c>
      <c r="C1800" s="83">
        <v>80</v>
      </c>
      <c r="D1800" s="84">
        <v>1020145</v>
      </c>
      <c r="F1800" s="83" t="s">
        <v>103</v>
      </c>
      <c r="G1800" s="83">
        <v>0</v>
      </c>
      <c r="H1800" s="83">
        <v>100</v>
      </c>
      <c r="K1800" s="83" t="s">
        <v>408</v>
      </c>
      <c r="L1800" s="83" t="s">
        <v>101</v>
      </c>
      <c r="M1800" s="83" t="s">
        <v>410</v>
      </c>
      <c r="N1800" s="83" t="s">
        <v>102</v>
      </c>
      <c r="P1800" s="83">
        <v>0</v>
      </c>
      <c r="U1800" s="83">
        <v>4</v>
      </c>
      <c r="V1800" s="83">
        <v>1</v>
      </c>
      <c r="W1800" s="83" t="s">
        <v>103</v>
      </c>
      <c r="X1800" s="83">
        <v>0</v>
      </c>
    </row>
    <row r="1801" spans="1:25" x14ac:dyDescent="0.2">
      <c r="A1801" s="83">
        <v>1</v>
      </c>
      <c r="B1801" s="84">
        <v>5701603301730</v>
      </c>
      <c r="C1801" s="83">
        <v>90</v>
      </c>
      <c r="D1801" s="84">
        <v>777500730</v>
      </c>
      <c r="F1801" s="83" t="s">
        <v>103</v>
      </c>
      <c r="G1801" s="83">
        <v>0</v>
      </c>
      <c r="H1801" s="83">
        <v>100</v>
      </c>
      <c r="K1801" s="83">
        <v>1</v>
      </c>
      <c r="L1801" s="83" t="s">
        <v>101</v>
      </c>
      <c r="M1801" s="83" t="s">
        <v>410</v>
      </c>
      <c r="N1801" s="83" t="s">
        <v>102</v>
      </c>
      <c r="P1801" s="83">
        <v>0</v>
      </c>
      <c r="U1801" s="83">
        <v>4</v>
      </c>
      <c r="V1801" s="83">
        <v>1</v>
      </c>
      <c r="W1801" s="83" t="s">
        <v>103</v>
      </c>
      <c r="X1801" s="83">
        <v>0</v>
      </c>
    </row>
    <row r="1802" spans="1:25" x14ac:dyDescent="0.2">
      <c r="A1802" s="83">
        <v>1</v>
      </c>
      <c r="B1802" s="84">
        <v>5701603302730</v>
      </c>
      <c r="C1802" s="83">
        <v>10</v>
      </c>
      <c r="D1802" s="84">
        <v>5980463302</v>
      </c>
      <c r="F1802" s="83" t="s">
        <v>103</v>
      </c>
      <c r="G1802" s="83">
        <v>0</v>
      </c>
      <c r="H1802" s="83">
        <v>100</v>
      </c>
      <c r="K1802" s="83">
        <v>1</v>
      </c>
      <c r="L1802" s="83" t="s">
        <v>101</v>
      </c>
      <c r="M1802" s="83" t="s">
        <v>410</v>
      </c>
      <c r="N1802" s="83" t="s">
        <v>102</v>
      </c>
      <c r="P1802" s="83">
        <v>0</v>
      </c>
      <c r="U1802" s="83">
        <v>4</v>
      </c>
      <c r="V1802" s="83">
        <v>1</v>
      </c>
      <c r="W1802" s="83" t="s">
        <v>103</v>
      </c>
      <c r="X1802" s="83">
        <v>0</v>
      </c>
      <c r="Y1802" s="83" t="str">
        <f>LEFT(D1802,6)</f>
        <v>598046</v>
      </c>
    </row>
    <row r="1803" spans="1:25" x14ac:dyDescent="0.2">
      <c r="A1803" s="83">
        <v>1</v>
      </c>
      <c r="B1803" s="84">
        <v>5701603302730</v>
      </c>
      <c r="C1803" s="83">
        <v>20</v>
      </c>
      <c r="D1803" s="84">
        <v>5980543302</v>
      </c>
      <c r="F1803" s="83" t="s">
        <v>103</v>
      </c>
      <c r="G1803" s="83">
        <v>0</v>
      </c>
      <c r="H1803" s="83">
        <v>100</v>
      </c>
      <c r="K1803" s="83">
        <v>1</v>
      </c>
      <c r="L1803" s="83" t="s">
        <v>101</v>
      </c>
      <c r="M1803" s="83" t="s">
        <v>410</v>
      </c>
      <c r="N1803" s="83" t="s">
        <v>102</v>
      </c>
      <c r="P1803" s="83">
        <v>0</v>
      </c>
      <c r="U1803" s="83">
        <v>4</v>
      </c>
      <c r="V1803" s="83">
        <v>1</v>
      </c>
      <c r="W1803" s="83" t="s">
        <v>103</v>
      </c>
      <c r="X1803" s="83">
        <v>0</v>
      </c>
    </row>
    <row r="1804" spans="1:25" x14ac:dyDescent="0.2">
      <c r="A1804" s="83">
        <v>1</v>
      </c>
      <c r="B1804" s="84">
        <v>5701603302730</v>
      </c>
      <c r="C1804" s="83">
        <v>30</v>
      </c>
      <c r="D1804" s="84">
        <v>5980623302</v>
      </c>
      <c r="F1804" s="83" t="s">
        <v>103</v>
      </c>
      <c r="G1804" s="83">
        <v>0</v>
      </c>
      <c r="H1804" s="83">
        <v>100</v>
      </c>
      <c r="K1804" s="83">
        <v>1</v>
      </c>
      <c r="L1804" s="83" t="s">
        <v>101</v>
      </c>
      <c r="M1804" s="83" t="s">
        <v>410</v>
      </c>
      <c r="N1804" s="83" t="s">
        <v>102</v>
      </c>
      <c r="P1804" s="83">
        <v>0</v>
      </c>
      <c r="U1804" s="83">
        <v>4</v>
      </c>
      <c r="V1804" s="83">
        <v>1</v>
      </c>
      <c r="W1804" s="83" t="s">
        <v>103</v>
      </c>
      <c r="X1804" s="83">
        <v>0</v>
      </c>
    </row>
    <row r="1805" spans="1:25" x14ac:dyDescent="0.2">
      <c r="A1805" s="83">
        <v>1</v>
      </c>
      <c r="B1805" s="84">
        <v>5701603302730</v>
      </c>
      <c r="C1805" s="83">
        <v>40</v>
      </c>
      <c r="D1805" s="84">
        <v>5980823302</v>
      </c>
      <c r="F1805" s="83" t="s">
        <v>103</v>
      </c>
      <c r="G1805" s="83">
        <v>0</v>
      </c>
      <c r="H1805" s="83">
        <v>100</v>
      </c>
      <c r="K1805" s="83">
        <v>1</v>
      </c>
      <c r="L1805" s="83" t="s">
        <v>101</v>
      </c>
      <c r="M1805" s="83" t="s">
        <v>410</v>
      </c>
      <c r="N1805" s="83" t="s">
        <v>102</v>
      </c>
      <c r="P1805" s="83">
        <v>0</v>
      </c>
      <c r="U1805" s="83">
        <v>4</v>
      </c>
      <c r="V1805" s="83">
        <v>1</v>
      </c>
      <c r="W1805" s="83" t="s">
        <v>103</v>
      </c>
      <c r="X1805" s="83">
        <v>0</v>
      </c>
    </row>
    <row r="1806" spans="1:25" x14ac:dyDescent="0.2">
      <c r="A1806" s="83">
        <v>1</v>
      </c>
      <c r="B1806" s="84">
        <v>5701603302730</v>
      </c>
      <c r="C1806" s="83">
        <v>50</v>
      </c>
      <c r="D1806" s="84">
        <v>5980933302</v>
      </c>
      <c r="F1806" s="83" t="s">
        <v>103</v>
      </c>
      <c r="G1806" s="83">
        <v>0</v>
      </c>
      <c r="H1806" s="83">
        <v>100</v>
      </c>
      <c r="K1806" s="83">
        <v>1</v>
      </c>
      <c r="L1806" s="83" t="s">
        <v>101</v>
      </c>
      <c r="M1806" s="83" t="s">
        <v>410</v>
      </c>
      <c r="N1806" s="83" t="s">
        <v>102</v>
      </c>
      <c r="P1806" s="83">
        <v>0</v>
      </c>
      <c r="U1806" s="83">
        <v>4</v>
      </c>
      <c r="V1806" s="83">
        <v>1</v>
      </c>
      <c r="W1806" s="83" t="s">
        <v>103</v>
      </c>
      <c r="X1806" s="83">
        <v>0</v>
      </c>
    </row>
    <row r="1807" spans="1:25" x14ac:dyDescent="0.2">
      <c r="A1807" s="83">
        <v>1</v>
      </c>
      <c r="B1807" s="84">
        <v>5701603302730</v>
      </c>
      <c r="C1807" s="83">
        <v>60</v>
      </c>
      <c r="D1807" s="84">
        <v>1010286</v>
      </c>
      <c r="F1807" s="83" t="s">
        <v>103</v>
      </c>
      <c r="G1807" s="83">
        <v>0</v>
      </c>
      <c r="H1807" s="83">
        <v>100</v>
      </c>
      <c r="K1807" s="83">
        <v>8</v>
      </c>
      <c r="L1807" s="83" t="s">
        <v>101</v>
      </c>
      <c r="M1807" s="83" t="s">
        <v>410</v>
      </c>
      <c r="N1807" s="83" t="s">
        <v>102</v>
      </c>
      <c r="P1807" s="83">
        <v>0</v>
      </c>
      <c r="U1807" s="83">
        <v>4</v>
      </c>
      <c r="V1807" s="83">
        <v>1</v>
      </c>
      <c r="W1807" s="83" t="s">
        <v>103</v>
      </c>
      <c r="X1807" s="83">
        <v>0</v>
      </c>
    </row>
    <row r="1808" spans="1:25" x14ac:dyDescent="0.2">
      <c r="A1808" s="83">
        <v>1</v>
      </c>
      <c r="B1808" s="84">
        <v>5701603302730</v>
      </c>
      <c r="C1808" s="83">
        <v>70</v>
      </c>
      <c r="D1808" s="84">
        <v>1010288</v>
      </c>
      <c r="F1808" s="83" t="s">
        <v>103</v>
      </c>
      <c r="G1808" s="83">
        <v>0</v>
      </c>
      <c r="H1808" s="83">
        <v>100</v>
      </c>
      <c r="K1808" s="83">
        <v>4</v>
      </c>
      <c r="L1808" s="83" t="s">
        <v>101</v>
      </c>
      <c r="M1808" s="83" t="s">
        <v>410</v>
      </c>
      <c r="N1808" s="83" t="s">
        <v>102</v>
      </c>
      <c r="P1808" s="83">
        <v>0</v>
      </c>
      <c r="U1808" s="83">
        <v>4</v>
      </c>
      <c r="V1808" s="83">
        <v>1</v>
      </c>
      <c r="W1808" s="83" t="s">
        <v>103</v>
      </c>
      <c r="X1808" s="83">
        <v>0</v>
      </c>
    </row>
    <row r="1809" spans="1:25" x14ac:dyDescent="0.2">
      <c r="A1809" s="83">
        <v>1</v>
      </c>
      <c r="B1809" s="84">
        <v>5701603302730</v>
      </c>
      <c r="C1809" s="83">
        <v>80</v>
      </c>
      <c r="D1809" s="84">
        <v>1020145</v>
      </c>
      <c r="F1809" s="83" t="s">
        <v>103</v>
      </c>
      <c r="G1809" s="83">
        <v>0</v>
      </c>
      <c r="H1809" s="83">
        <v>100</v>
      </c>
      <c r="K1809" s="83" t="s">
        <v>408</v>
      </c>
      <c r="L1809" s="83" t="s">
        <v>101</v>
      </c>
      <c r="M1809" s="83" t="s">
        <v>410</v>
      </c>
      <c r="N1809" s="83" t="s">
        <v>102</v>
      </c>
      <c r="P1809" s="83">
        <v>0</v>
      </c>
      <c r="U1809" s="83">
        <v>4</v>
      </c>
      <c r="V1809" s="83">
        <v>1</v>
      </c>
      <c r="W1809" s="83" t="s">
        <v>103</v>
      </c>
      <c r="X1809" s="83">
        <v>0</v>
      </c>
    </row>
    <row r="1810" spans="1:25" x14ac:dyDescent="0.2">
      <c r="A1810" s="83">
        <v>1</v>
      </c>
      <c r="B1810" s="84">
        <v>5701603302730</v>
      </c>
      <c r="C1810" s="83">
        <v>90</v>
      </c>
      <c r="D1810" s="84">
        <v>777500730</v>
      </c>
      <c r="F1810" s="83" t="s">
        <v>103</v>
      </c>
      <c r="G1810" s="83">
        <v>0</v>
      </c>
      <c r="H1810" s="83">
        <v>100</v>
      </c>
      <c r="K1810" s="83">
        <v>1</v>
      </c>
      <c r="L1810" s="83" t="s">
        <v>101</v>
      </c>
      <c r="M1810" s="83" t="s">
        <v>410</v>
      </c>
      <c r="N1810" s="83" t="s">
        <v>102</v>
      </c>
      <c r="P1810" s="83">
        <v>0</v>
      </c>
      <c r="U1810" s="83">
        <v>4</v>
      </c>
      <c r="V1810" s="83">
        <v>1</v>
      </c>
      <c r="W1810" s="83" t="s">
        <v>103</v>
      </c>
      <c r="X1810" s="83">
        <v>0</v>
      </c>
    </row>
    <row r="1811" spans="1:25" x14ac:dyDescent="0.2">
      <c r="A1811" s="83">
        <v>1</v>
      </c>
      <c r="B1811" s="84">
        <v>5701603303730</v>
      </c>
      <c r="C1811" s="83">
        <v>10</v>
      </c>
      <c r="D1811" s="84">
        <v>5980463303</v>
      </c>
      <c r="F1811" s="83" t="s">
        <v>103</v>
      </c>
      <c r="G1811" s="83">
        <v>0</v>
      </c>
      <c r="H1811" s="83">
        <v>100</v>
      </c>
      <c r="K1811" s="83">
        <v>1</v>
      </c>
      <c r="L1811" s="83" t="s">
        <v>101</v>
      </c>
      <c r="M1811" s="83" t="s">
        <v>410</v>
      </c>
      <c r="N1811" s="83" t="s">
        <v>102</v>
      </c>
      <c r="P1811" s="83">
        <v>0</v>
      </c>
      <c r="U1811" s="83">
        <v>4</v>
      </c>
      <c r="V1811" s="83">
        <v>1</v>
      </c>
      <c r="W1811" s="83" t="s">
        <v>103</v>
      </c>
      <c r="X1811" s="83">
        <v>0</v>
      </c>
      <c r="Y1811" s="83" t="str">
        <f>LEFT(D1811,6)</f>
        <v>598046</v>
      </c>
    </row>
    <row r="1812" spans="1:25" x14ac:dyDescent="0.2">
      <c r="A1812" s="83">
        <v>1</v>
      </c>
      <c r="B1812" s="84">
        <v>5701603303730</v>
      </c>
      <c r="C1812" s="83">
        <v>20</v>
      </c>
      <c r="D1812" s="84">
        <v>5980543303</v>
      </c>
      <c r="F1812" s="83" t="s">
        <v>103</v>
      </c>
      <c r="G1812" s="83">
        <v>0</v>
      </c>
      <c r="H1812" s="83">
        <v>100</v>
      </c>
      <c r="K1812" s="83">
        <v>1</v>
      </c>
      <c r="L1812" s="83" t="s">
        <v>101</v>
      </c>
      <c r="M1812" s="83" t="s">
        <v>410</v>
      </c>
      <c r="N1812" s="83" t="s">
        <v>102</v>
      </c>
      <c r="P1812" s="83">
        <v>0</v>
      </c>
      <c r="U1812" s="83">
        <v>4</v>
      </c>
      <c r="V1812" s="83">
        <v>1</v>
      </c>
      <c r="W1812" s="83" t="s">
        <v>103</v>
      </c>
      <c r="X1812" s="83">
        <v>0</v>
      </c>
    </row>
    <row r="1813" spans="1:25" x14ac:dyDescent="0.2">
      <c r="A1813" s="83">
        <v>1</v>
      </c>
      <c r="B1813" s="84">
        <v>5701603303730</v>
      </c>
      <c r="C1813" s="83">
        <v>30</v>
      </c>
      <c r="D1813" s="84">
        <v>5980623303</v>
      </c>
      <c r="F1813" s="83" t="s">
        <v>103</v>
      </c>
      <c r="G1813" s="83">
        <v>0</v>
      </c>
      <c r="H1813" s="83">
        <v>100</v>
      </c>
      <c r="K1813" s="83">
        <v>1</v>
      </c>
      <c r="L1813" s="83" t="s">
        <v>101</v>
      </c>
      <c r="M1813" s="83" t="s">
        <v>410</v>
      </c>
      <c r="N1813" s="83" t="s">
        <v>102</v>
      </c>
      <c r="P1813" s="83">
        <v>0</v>
      </c>
      <c r="U1813" s="83">
        <v>4</v>
      </c>
      <c r="V1813" s="83">
        <v>1</v>
      </c>
      <c r="W1813" s="83" t="s">
        <v>103</v>
      </c>
      <c r="X1813" s="83">
        <v>0</v>
      </c>
    </row>
    <row r="1814" spans="1:25" x14ac:dyDescent="0.2">
      <c r="A1814" s="83">
        <v>1</v>
      </c>
      <c r="B1814" s="84">
        <v>5701603303730</v>
      </c>
      <c r="C1814" s="83">
        <v>40</v>
      </c>
      <c r="D1814" s="84">
        <v>5980823303</v>
      </c>
      <c r="F1814" s="83" t="s">
        <v>103</v>
      </c>
      <c r="G1814" s="83">
        <v>0</v>
      </c>
      <c r="H1814" s="83">
        <v>100</v>
      </c>
      <c r="K1814" s="83">
        <v>1</v>
      </c>
      <c r="L1814" s="83" t="s">
        <v>101</v>
      </c>
      <c r="M1814" s="83" t="s">
        <v>410</v>
      </c>
      <c r="N1814" s="83" t="s">
        <v>102</v>
      </c>
      <c r="P1814" s="83">
        <v>0</v>
      </c>
      <c r="U1814" s="83">
        <v>4</v>
      </c>
      <c r="V1814" s="83">
        <v>1</v>
      </c>
      <c r="W1814" s="83" t="s">
        <v>103</v>
      </c>
      <c r="X1814" s="83">
        <v>0</v>
      </c>
    </row>
    <row r="1815" spans="1:25" x14ac:dyDescent="0.2">
      <c r="A1815" s="83">
        <v>1</v>
      </c>
      <c r="B1815" s="84">
        <v>5701603303730</v>
      </c>
      <c r="C1815" s="83">
        <v>50</v>
      </c>
      <c r="D1815" s="84">
        <v>5980933303</v>
      </c>
      <c r="F1815" s="83" t="s">
        <v>103</v>
      </c>
      <c r="G1815" s="83">
        <v>0</v>
      </c>
      <c r="H1815" s="83">
        <v>100</v>
      </c>
      <c r="K1815" s="83">
        <v>1</v>
      </c>
      <c r="L1815" s="83" t="s">
        <v>101</v>
      </c>
      <c r="M1815" s="83" t="s">
        <v>410</v>
      </c>
      <c r="N1815" s="83" t="s">
        <v>102</v>
      </c>
      <c r="P1815" s="83">
        <v>0</v>
      </c>
      <c r="U1815" s="83">
        <v>4</v>
      </c>
      <c r="V1815" s="83">
        <v>1</v>
      </c>
      <c r="W1815" s="83" t="s">
        <v>103</v>
      </c>
      <c r="X1815" s="83">
        <v>0</v>
      </c>
    </row>
    <row r="1816" spans="1:25" x14ac:dyDescent="0.2">
      <c r="A1816" s="83">
        <v>1</v>
      </c>
      <c r="B1816" s="84">
        <v>5701603303730</v>
      </c>
      <c r="C1816" s="83">
        <v>60</v>
      </c>
      <c r="D1816" s="84">
        <v>1010286</v>
      </c>
      <c r="F1816" s="83" t="s">
        <v>103</v>
      </c>
      <c r="G1816" s="83">
        <v>0</v>
      </c>
      <c r="H1816" s="83">
        <v>100</v>
      </c>
      <c r="K1816" s="83">
        <v>8</v>
      </c>
      <c r="L1816" s="83" t="s">
        <v>101</v>
      </c>
      <c r="M1816" s="83" t="s">
        <v>410</v>
      </c>
      <c r="N1816" s="83" t="s">
        <v>102</v>
      </c>
      <c r="P1816" s="83">
        <v>0</v>
      </c>
      <c r="U1816" s="83">
        <v>4</v>
      </c>
      <c r="V1816" s="83">
        <v>1</v>
      </c>
      <c r="W1816" s="83" t="s">
        <v>103</v>
      </c>
      <c r="X1816" s="83">
        <v>0</v>
      </c>
    </row>
    <row r="1817" spans="1:25" x14ac:dyDescent="0.2">
      <c r="A1817" s="83">
        <v>1</v>
      </c>
      <c r="B1817" s="84">
        <v>5701603303730</v>
      </c>
      <c r="C1817" s="83">
        <v>70</v>
      </c>
      <c r="D1817" s="84">
        <v>1010287</v>
      </c>
      <c r="F1817" s="83" t="s">
        <v>103</v>
      </c>
      <c r="G1817" s="83">
        <v>0</v>
      </c>
      <c r="H1817" s="83">
        <v>100</v>
      </c>
      <c r="K1817" s="83">
        <v>4</v>
      </c>
      <c r="L1817" s="83" t="s">
        <v>101</v>
      </c>
      <c r="M1817" s="83" t="s">
        <v>410</v>
      </c>
      <c r="N1817" s="83" t="s">
        <v>102</v>
      </c>
      <c r="P1817" s="83">
        <v>0</v>
      </c>
      <c r="U1817" s="83">
        <v>4</v>
      </c>
      <c r="V1817" s="83">
        <v>1</v>
      </c>
      <c r="W1817" s="83" t="s">
        <v>103</v>
      </c>
      <c r="X1817" s="83">
        <v>0</v>
      </c>
    </row>
    <row r="1818" spans="1:25" x14ac:dyDescent="0.2">
      <c r="A1818" s="83">
        <v>1</v>
      </c>
      <c r="B1818" s="84">
        <v>5701603303730</v>
      </c>
      <c r="C1818" s="83">
        <v>80</v>
      </c>
      <c r="D1818" s="84">
        <v>1020145</v>
      </c>
      <c r="F1818" s="83" t="s">
        <v>103</v>
      </c>
      <c r="G1818" s="83">
        <v>0</v>
      </c>
      <c r="H1818" s="83">
        <v>100</v>
      </c>
      <c r="K1818" s="83" t="s">
        <v>408</v>
      </c>
      <c r="L1818" s="83" t="s">
        <v>101</v>
      </c>
      <c r="M1818" s="83" t="s">
        <v>410</v>
      </c>
      <c r="N1818" s="83" t="s">
        <v>102</v>
      </c>
      <c r="P1818" s="83">
        <v>0</v>
      </c>
      <c r="U1818" s="83">
        <v>4</v>
      </c>
      <c r="V1818" s="83">
        <v>1</v>
      </c>
      <c r="W1818" s="83" t="s">
        <v>103</v>
      </c>
      <c r="X1818" s="83">
        <v>0</v>
      </c>
    </row>
    <row r="1819" spans="1:25" x14ac:dyDescent="0.2">
      <c r="A1819" s="83">
        <v>1</v>
      </c>
      <c r="B1819" s="84">
        <v>5701603303730</v>
      </c>
      <c r="C1819" s="83">
        <v>90</v>
      </c>
      <c r="D1819" s="84">
        <v>777500730</v>
      </c>
      <c r="F1819" s="83" t="s">
        <v>103</v>
      </c>
      <c r="G1819" s="83">
        <v>0</v>
      </c>
      <c r="H1819" s="83">
        <v>100</v>
      </c>
      <c r="K1819" s="83">
        <v>1</v>
      </c>
      <c r="L1819" s="83" t="s">
        <v>101</v>
      </c>
      <c r="M1819" s="83" t="s">
        <v>410</v>
      </c>
      <c r="N1819" s="83" t="s">
        <v>102</v>
      </c>
      <c r="P1819" s="83">
        <v>0</v>
      </c>
      <c r="U1819" s="83">
        <v>4</v>
      </c>
      <c r="V1819" s="83">
        <v>1</v>
      </c>
      <c r="W1819" s="83" t="s">
        <v>103</v>
      </c>
      <c r="X1819" s="83">
        <v>0</v>
      </c>
    </row>
    <row r="1820" spans="1:25" x14ac:dyDescent="0.2">
      <c r="A1820" s="83">
        <v>1</v>
      </c>
      <c r="B1820" s="84">
        <v>5701603304730</v>
      </c>
      <c r="C1820" s="83">
        <v>10</v>
      </c>
      <c r="D1820" s="84">
        <v>5980463304</v>
      </c>
      <c r="F1820" s="83" t="s">
        <v>103</v>
      </c>
      <c r="G1820" s="83">
        <v>0</v>
      </c>
      <c r="H1820" s="83">
        <v>100</v>
      </c>
      <c r="K1820" s="83">
        <v>1</v>
      </c>
      <c r="L1820" s="83" t="s">
        <v>101</v>
      </c>
      <c r="M1820" s="83" t="s">
        <v>410</v>
      </c>
      <c r="N1820" s="83" t="s">
        <v>102</v>
      </c>
      <c r="P1820" s="83">
        <v>0</v>
      </c>
      <c r="U1820" s="83">
        <v>4</v>
      </c>
      <c r="V1820" s="83">
        <v>1</v>
      </c>
      <c r="W1820" s="83" t="s">
        <v>103</v>
      </c>
      <c r="X1820" s="83">
        <v>0</v>
      </c>
      <c r="Y1820" s="83" t="str">
        <f>LEFT(D1820,6)</f>
        <v>598046</v>
      </c>
    </row>
    <row r="1821" spans="1:25" x14ac:dyDescent="0.2">
      <c r="A1821" s="83">
        <v>1</v>
      </c>
      <c r="B1821" s="84">
        <v>5701603304730</v>
      </c>
      <c r="C1821" s="83">
        <v>20</v>
      </c>
      <c r="D1821" s="84">
        <v>5980543304</v>
      </c>
      <c r="F1821" s="83" t="s">
        <v>103</v>
      </c>
      <c r="G1821" s="83">
        <v>0</v>
      </c>
      <c r="H1821" s="83">
        <v>100</v>
      </c>
      <c r="K1821" s="83">
        <v>1</v>
      </c>
      <c r="L1821" s="83" t="s">
        <v>101</v>
      </c>
      <c r="M1821" s="83" t="s">
        <v>410</v>
      </c>
      <c r="N1821" s="83" t="s">
        <v>102</v>
      </c>
      <c r="P1821" s="83">
        <v>0</v>
      </c>
      <c r="U1821" s="83">
        <v>4</v>
      </c>
      <c r="V1821" s="83">
        <v>1</v>
      </c>
      <c r="W1821" s="83" t="s">
        <v>103</v>
      </c>
      <c r="X1821" s="83">
        <v>0</v>
      </c>
    </row>
    <row r="1822" spans="1:25" x14ac:dyDescent="0.2">
      <c r="A1822" s="83">
        <v>1</v>
      </c>
      <c r="B1822" s="84">
        <v>5701603304730</v>
      </c>
      <c r="C1822" s="83">
        <v>30</v>
      </c>
      <c r="D1822" s="84">
        <v>5980623304</v>
      </c>
      <c r="F1822" s="83" t="s">
        <v>103</v>
      </c>
      <c r="G1822" s="83">
        <v>0</v>
      </c>
      <c r="H1822" s="83">
        <v>100</v>
      </c>
      <c r="K1822" s="83">
        <v>1</v>
      </c>
      <c r="L1822" s="83" t="s">
        <v>101</v>
      </c>
      <c r="M1822" s="83" t="s">
        <v>410</v>
      </c>
      <c r="N1822" s="83" t="s">
        <v>102</v>
      </c>
      <c r="P1822" s="83">
        <v>0</v>
      </c>
      <c r="U1822" s="83">
        <v>4</v>
      </c>
      <c r="V1822" s="83">
        <v>1</v>
      </c>
      <c r="W1822" s="83" t="s">
        <v>103</v>
      </c>
      <c r="X1822" s="83">
        <v>0</v>
      </c>
    </row>
    <row r="1823" spans="1:25" x14ac:dyDescent="0.2">
      <c r="A1823" s="83">
        <v>1</v>
      </c>
      <c r="B1823" s="84">
        <v>5701603304730</v>
      </c>
      <c r="C1823" s="83">
        <v>40</v>
      </c>
      <c r="D1823" s="84">
        <v>5980823304</v>
      </c>
      <c r="F1823" s="83" t="s">
        <v>103</v>
      </c>
      <c r="G1823" s="83">
        <v>0</v>
      </c>
      <c r="H1823" s="83">
        <v>100</v>
      </c>
      <c r="K1823" s="83">
        <v>1</v>
      </c>
      <c r="L1823" s="83" t="s">
        <v>101</v>
      </c>
      <c r="M1823" s="83" t="s">
        <v>410</v>
      </c>
      <c r="N1823" s="83" t="s">
        <v>102</v>
      </c>
      <c r="P1823" s="83">
        <v>0</v>
      </c>
      <c r="U1823" s="83">
        <v>4</v>
      </c>
      <c r="V1823" s="83">
        <v>1</v>
      </c>
      <c r="W1823" s="83" t="s">
        <v>103</v>
      </c>
      <c r="X1823" s="83">
        <v>0</v>
      </c>
    </row>
    <row r="1824" spans="1:25" x14ac:dyDescent="0.2">
      <c r="A1824" s="83">
        <v>1</v>
      </c>
      <c r="B1824" s="84">
        <v>5701603304730</v>
      </c>
      <c r="C1824" s="83">
        <v>50</v>
      </c>
      <c r="D1824" s="84">
        <v>5980933304</v>
      </c>
      <c r="F1824" s="83" t="s">
        <v>103</v>
      </c>
      <c r="G1824" s="83">
        <v>0</v>
      </c>
      <c r="H1824" s="83">
        <v>100</v>
      </c>
      <c r="K1824" s="83">
        <v>1</v>
      </c>
      <c r="L1824" s="83" t="s">
        <v>101</v>
      </c>
      <c r="M1824" s="83" t="s">
        <v>410</v>
      </c>
      <c r="N1824" s="83" t="s">
        <v>102</v>
      </c>
      <c r="P1824" s="83">
        <v>0</v>
      </c>
      <c r="U1824" s="83">
        <v>4</v>
      </c>
      <c r="V1824" s="83">
        <v>1</v>
      </c>
      <c r="W1824" s="83" t="s">
        <v>103</v>
      </c>
      <c r="X1824" s="83">
        <v>0</v>
      </c>
    </row>
    <row r="1825" spans="1:25" x14ac:dyDescent="0.2">
      <c r="A1825" s="83">
        <v>1</v>
      </c>
      <c r="B1825" s="84">
        <v>5701603304730</v>
      </c>
      <c r="C1825" s="83">
        <v>60</v>
      </c>
      <c r="D1825" s="84">
        <v>1010286</v>
      </c>
      <c r="F1825" s="83" t="s">
        <v>103</v>
      </c>
      <c r="G1825" s="83">
        <v>0</v>
      </c>
      <c r="H1825" s="83">
        <v>100</v>
      </c>
      <c r="K1825" s="83">
        <v>8</v>
      </c>
      <c r="L1825" s="83" t="s">
        <v>101</v>
      </c>
      <c r="M1825" s="83" t="s">
        <v>410</v>
      </c>
      <c r="N1825" s="83" t="s">
        <v>102</v>
      </c>
      <c r="P1825" s="83">
        <v>0</v>
      </c>
      <c r="U1825" s="83">
        <v>4</v>
      </c>
      <c r="V1825" s="83">
        <v>1</v>
      </c>
      <c r="W1825" s="83" t="s">
        <v>103</v>
      </c>
      <c r="X1825" s="83">
        <v>0</v>
      </c>
    </row>
    <row r="1826" spans="1:25" x14ac:dyDescent="0.2">
      <c r="A1826" s="83">
        <v>1</v>
      </c>
      <c r="B1826" s="84">
        <v>5701603304730</v>
      </c>
      <c r="C1826" s="83">
        <v>70</v>
      </c>
      <c r="D1826" s="84">
        <v>1010288</v>
      </c>
      <c r="F1826" s="83" t="s">
        <v>103</v>
      </c>
      <c r="G1826" s="83">
        <v>0</v>
      </c>
      <c r="H1826" s="83">
        <v>100</v>
      </c>
      <c r="K1826" s="83">
        <v>4</v>
      </c>
      <c r="L1826" s="83" t="s">
        <v>101</v>
      </c>
      <c r="M1826" s="83" t="s">
        <v>410</v>
      </c>
      <c r="N1826" s="83" t="s">
        <v>102</v>
      </c>
      <c r="P1826" s="83">
        <v>0</v>
      </c>
      <c r="U1826" s="83">
        <v>4</v>
      </c>
      <c r="V1826" s="83">
        <v>1</v>
      </c>
      <c r="W1826" s="83" t="s">
        <v>103</v>
      </c>
      <c r="X1826" s="83">
        <v>0</v>
      </c>
    </row>
    <row r="1827" spans="1:25" x14ac:dyDescent="0.2">
      <c r="A1827" s="83">
        <v>1</v>
      </c>
      <c r="B1827" s="84">
        <v>5701603304730</v>
      </c>
      <c r="C1827" s="83">
        <v>80</v>
      </c>
      <c r="D1827" s="84">
        <v>1020145</v>
      </c>
      <c r="F1827" s="83" t="s">
        <v>103</v>
      </c>
      <c r="G1827" s="83">
        <v>0</v>
      </c>
      <c r="H1827" s="83">
        <v>100</v>
      </c>
      <c r="K1827" s="83" t="s">
        <v>408</v>
      </c>
      <c r="L1827" s="83" t="s">
        <v>101</v>
      </c>
      <c r="M1827" s="83" t="s">
        <v>410</v>
      </c>
      <c r="N1827" s="83" t="s">
        <v>102</v>
      </c>
      <c r="P1827" s="83">
        <v>0</v>
      </c>
      <c r="U1827" s="83">
        <v>4</v>
      </c>
      <c r="V1827" s="83">
        <v>1</v>
      </c>
      <c r="W1827" s="83" t="s">
        <v>103</v>
      </c>
      <c r="X1827" s="83">
        <v>0</v>
      </c>
    </row>
    <row r="1828" spans="1:25" x14ac:dyDescent="0.2">
      <c r="A1828" s="83">
        <v>1</v>
      </c>
      <c r="B1828" s="84">
        <v>5701603304730</v>
      </c>
      <c r="C1828" s="83">
        <v>90</v>
      </c>
      <c r="D1828" s="84">
        <v>777500730</v>
      </c>
      <c r="F1828" s="83" t="s">
        <v>103</v>
      </c>
      <c r="G1828" s="83">
        <v>0</v>
      </c>
      <c r="H1828" s="83">
        <v>100</v>
      </c>
      <c r="K1828" s="83">
        <v>1</v>
      </c>
      <c r="L1828" s="83" t="s">
        <v>101</v>
      </c>
      <c r="M1828" s="83" t="s">
        <v>410</v>
      </c>
      <c r="N1828" s="83" t="s">
        <v>102</v>
      </c>
      <c r="P1828" s="83">
        <v>0</v>
      </c>
      <c r="U1828" s="83">
        <v>4</v>
      </c>
      <c r="V1828" s="83">
        <v>1</v>
      </c>
      <c r="W1828" s="83" t="s">
        <v>103</v>
      </c>
      <c r="X1828" s="83">
        <v>0</v>
      </c>
    </row>
    <row r="1829" spans="1:25" x14ac:dyDescent="0.2">
      <c r="A1829" s="83">
        <v>1</v>
      </c>
      <c r="B1829" s="84">
        <v>5701603305730</v>
      </c>
      <c r="C1829" s="83">
        <v>10</v>
      </c>
      <c r="D1829" s="84">
        <v>5980463305</v>
      </c>
      <c r="F1829" s="83" t="s">
        <v>103</v>
      </c>
      <c r="G1829" s="83">
        <v>0</v>
      </c>
      <c r="H1829" s="83">
        <v>100</v>
      </c>
      <c r="K1829" s="83">
        <v>1</v>
      </c>
      <c r="L1829" s="83" t="s">
        <v>101</v>
      </c>
      <c r="M1829" s="83" t="s">
        <v>410</v>
      </c>
      <c r="N1829" s="83" t="s">
        <v>102</v>
      </c>
      <c r="P1829" s="83">
        <v>0</v>
      </c>
      <c r="U1829" s="83">
        <v>4</v>
      </c>
      <c r="V1829" s="83">
        <v>1</v>
      </c>
      <c r="W1829" s="83" t="s">
        <v>103</v>
      </c>
      <c r="X1829" s="83">
        <v>0</v>
      </c>
      <c r="Y1829" s="83" t="str">
        <f>LEFT(D1829,6)</f>
        <v>598046</v>
      </c>
    </row>
    <row r="1830" spans="1:25" x14ac:dyDescent="0.2">
      <c r="A1830" s="83">
        <v>1</v>
      </c>
      <c r="B1830" s="84">
        <v>5701603305730</v>
      </c>
      <c r="C1830" s="83">
        <v>20</v>
      </c>
      <c r="D1830" s="84">
        <v>5980543305</v>
      </c>
      <c r="F1830" s="83" t="s">
        <v>103</v>
      </c>
      <c r="G1830" s="83">
        <v>0</v>
      </c>
      <c r="H1830" s="83">
        <v>100</v>
      </c>
      <c r="K1830" s="83">
        <v>1</v>
      </c>
      <c r="L1830" s="83" t="s">
        <v>101</v>
      </c>
      <c r="M1830" s="83" t="s">
        <v>410</v>
      </c>
      <c r="N1830" s="83" t="s">
        <v>102</v>
      </c>
      <c r="P1830" s="83">
        <v>0</v>
      </c>
      <c r="U1830" s="83">
        <v>4</v>
      </c>
      <c r="V1830" s="83">
        <v>1</v>
      </c>
      <c r="W1830" s="83" t="s">
        <v>103</v>
      </c>
      <c r="X1830" s="83">
        <v>0</v>
      </c>
    </row>
    <row r="1831" spans="1:25" x14ac:dyDescent="0.2">
      <c r="A1831" s="83">
        <v>1</v>
      </c>
      <c r="B1831" s="84">
        <v>5701603305730</v>
      </c>
      <c r="C1831" s="83">
        <v>30</v>
      </c>
      <c r="D1831" s="84">
        <v>5980623305</v>
      </c>
      <c r="F1831" s="83" t="s">
        <v>103</v>
      </c>
      <c r="G1831" s="83">
        <v>0</v>
      </c>
      <c r="H1831" s="83">
        <v>100</v>
      </c>
      <c r="K1831" s="83">
        <v>1</v>
      </c>
      <c r="L1831" s="83" t="s">
        <v>101</v>
      </c>
      <c r="M1831" s="83" t="s">
        <v>410</v>
      </c>
      <c r="N1831" s="83" t="s">
        <v>102</v>
      </c>
      <c r="P1831" s="83">
        <v>0</v>
      </c>
      <c r="U1831" s="83">
        <v>4</v>
      </c>
      <c r="V1831" s="83">
        <v>1</v>
      </c>
      <c r="W1831" s="83" t="s">
        <v>103</v>
      </c>
      <c r="X1831" s="83">
        <v>0</v>
      </c>
    </row>
    <row r="1832" spans="1:25" x14ac:dyDescent="0.2">
      <c r="A1832" s="83">
        <v>1</v>
      </c>
      <c r="B1832" s="84">
        <v>5701603305730</v>
      </c>
      <c r="C1832" s="83">
        <v>40</v>
      </c>
      <c r="D1832" s="84">
        <v>5980823305</v>
      </c>
      <c r="F1832" s="83" t="s">
        <v>103</v>
      </c>
      <c r="G1832" s="83">
        <v>0</v>
      </c>
      <c r="H1832" s="83">
        <v>100</v>
      </c>
      <c r="K1832" s="83">
        <v>1</v>
      </c>
      <c r="L1832" s="83" t="s">
        <v>101</v>
      </c>
      <c r="M1832" s="83" t="s">
        <v>410</v>
      </c>
      <c r="N1832" s="83" t="s">
        <v>102</v>
      </c>
      <c r="P1832" s="83">
        <v>0</v>
      </c>
      <c r="U1832" s="83">
        <v>4</v>
      </c>
      <c r="V1832" s="83">
        <v>1</v>
      </c>
      <c r="W1832" s="83" t="s">
        <v>103</v>
      </c>
      <c r="X1832" s="83">
        <v>0</v>
      </c>
    </row>
    <row r="1833" spans="1:25" x14ac:dyDescent="0.2">
      <c r="A1833" s="83">
        <v>1</v>
      </c>
      <c r="B1833" s="84">
        <v>5701603305730</v>
      </c>
      <c r="C1833" s="83">
        <v>50</v>
      </c>
      <c r="D1833" s="84">
        <v>5980933305</v>
      </c>
      <c r="F1833" s="83" t="s">
        <v>103</v>
      </c>
      <c r="G1833" s="83">
        <v>0</v>
      </c>
      <c r="H1833" s="83">
        <v>100</v>
      </c>
      <c r="K1833" s="83">
        <v>1</v>
      </c>
      <c r="L1833" s="83" t="s">
        <v>101</v>
      </c>
      <c r="M1833" s="83" t="s">
        <v>410</v>
      </c>
      <c r="N1833" s="83" t="s">
        <v>102</v>
      </c>
      <c r="P1833" s="83">
        <v>0</v>
      </c>
      <c r="U1833" s="83">
        <v>4</v>
      </c>
      <c r="V1833" s="83">
        <v>1</v>
      </c>
      <c r="W1833" s="83" t="s">
        <v>103</v>
      </c>
      <c r="X1833" s="83">
        <v>0</v>
      </c>
    </row>
    <row r="1834" spans="1:25" x14ac:dyDescent="0.2">
      <c r="A1834" s="83">
        <v>1</v>
      </c>
      <c r="B1834" s="84">
        <v>5701603305730</v>
      </c>
      <c r="C1834" s="83">
        <v>60</v>
      </c>
      <c r="D1834" s="84">
        <v>1010286</v>
      </c>
      <c r="F1834" s="83" t="s">
        <v>103</v>
      </c>
      <c r="G1834" s="83">
        <v>0</v>
      </c>
      <c r="H1834" s="83">
        <v>100</v>
      </c>
      <c r="K1834" s="83">
        <v>8</v>
      </c>
      <c r="L1834" s="83" t="s">
        <v>101</v>
      </c>
      <c r="M1834" s="83" t="s">
        <v>410</v>
      </c>
      <c r="N1834" s="83" t="s">
        <v>102</v>
      </c>
      <c r="P1834" s="83">
        <v>0</v>
      </c>
      <c r="U1834" s="83">
        <v>4</v>
      </c>
      <c r="V1834" s="83">
        <v>1</v>
      </c>
      <c r="W1834" s="83" t="s">
        <v>103</v>
      </c>
      <c r="X1834" s="83">
        <v>0</v>
      </c>
    </row>
    <row r="1835" spans="1:25" x14ac:dyDescent="0.2">
      <c r="A1835" s="83">
        <v>1</v>
      </c>
      <c r="B1835" s="84">
        <v>5701603305730</v>
      </c>
      <c r="C1835" s="83">
        <v>70</v>
      </c>
      <c r="D1835" s="84">
        <v>1010288</v>
      </c>
      <c r="F1835" s="83" t="s">
        <v>103</v>
      </c>
      <c r="G1835" s="83">
        <v>0</v>
      </c>
      <c r="H1835" s="83">
        <v>100</v>
      </c>
      <c r="K1835" s="83">
        <v>4</v>
      </c>
      <c r="L1835" s="83" t="s">
        <v>101</v>
      </c>
      <c r="M1835" s="83" t="s">
        <v>410</v>
      </c>
      <c r="N1835" s="83" t="s">
        <v>102</v>
      </c>
      <c r="P1835" s="83">
        <v>0</v>
      </c>
      <c r="U1835" s="83">
        <v>4</v>
      </c>
      <c r="V1835" s="83">
        <v>1</v>
      </c>
      <c r="W1835" s="83" t="s">
        <v>103</v>
      </c>
      <c r="X1835" s="83">
        <v>0</v>
      </c>
    </row>
    <row r="1836" spans="1:25" x14ac:dyDescent="0.2">
      <c r="A1836" s="83">
        <v>1</v>
      </c>
      <c r="B1836" s="84">
        <v>5701603305730</v>
      </c>
      <c r="C1836" s="83">
        <v>80</v>
      </c>
      <c r="D1836" s="84">
        <v>1020145</v>
      </c>
      <c r="F1836" s="83" t="s">
        <v>103</v>
      </c>
      <c r="G1836" s="83">
        <v>0</v>
      </c>
      <c r="H1836" s="83">
        <v>100</v>
      </c>
      <c r="K1836" s="83" t="s">
        <v>408</v>
      </c>
      <c r="L1836" s="83" t="s">
        <v>101</v>
      </c>
      <c r="M1836" s="83" t="s">
        <v>410</v>
      </c>
      <c r="N1836" s="83" t="s">
        <v>102</v>
      </c>
      <c r="P1836" s="83">
        <v>0</v>
      </c>
      <c r="U1836" s="83">
        <v>4</v>
      </c>
      <c r="V1836" s="83">
        <v>1</v>
      </c>
      <c r="W1836" s="83" t="s">
        <v>103</v>
      </c>
      <c r="X1836" s="83">
        <v>0</v>
      </c>
    </row>
    <row r="1837" spans="1:25" x14ac:dyDescent="0.2">
      <c r="A1837" s="83">
        <v>1</v>
      </c>
      <c r="B1837" s="84">
        <v>5701603305730</v>
      </c>
      <c r="C1837" s="83">
        <v>90</v>
      </c>
      <c r="D1837" s="84">
        <v>777500730</v>
      </c>
      <c r="F1837" s="83" t="s">
        <v>103</v>
      </c>
      <c r="G1837" s="83">
        <v>0</v>
      </c>
      <c r="H1837" s="83">
        <v>100</v>
      </c>
      <c r="K1837" s="83">
        <v>1</v>
      </c>
      <c r="L1837" s="83" t="s">
        <v>101</v>
      </c>
      <c r="M1837" s="83" t="s">
        <v>410</v>
      </c>
      <c r="N1837" s="83" t="s">
        <v>102</v>
      </c>
      <c r="P1837" s="83">
        <v>0</v>
      </c>
      <c r="U1837" s="83">
        <v>4</v>
      </c>
      <c r="V1837" s="83">
        <v>1</v>
      </c>
      <c r="W1837" s="83" t="s">
        <v>103</v>
      </c>
      <c r="X1837" s="83">
        <v>0</v>
      </c>
    </row>
    <row r="1838" spans="1:25" x14ac:dyDescent="0.2">
      <c r="A1838" s="83">
        <v>1</v>
      </c>
      <c r="B1838" s="84">
        <v>5701603306730</v>
      </c>
      <c r="C1838" s="83">
        <v>10</v>
      </c>
      <c r="D1838" s="84">
        <v>5980463306</v>
      </c>
      <c r="F1838" s="83" t="s">
        <v>103</v>
      </c>
      <c r="G1838" s="83">
        <v>0</v>
      </c>
      <c r="H1838" s="83">
        <v>100</v>
      </c>
      <c r="K1838" s="83">
        <v>1</v>
      </c>
      <c r="L1838" s="83" t="s">
        <v>101</v>
      </c>
      <c r="M1838" s="83" t="s">
        <v>410</v>
      </c>
      <c r="N1838" s="83" t="s">
        <v>102</v>
      </c>
      <c r="P1838" s="83">
        <v>0</v>
      </c>
      <c r="U1838" s="83">
        <v>4</v>
      </c>
      <c r="V1838" s="83">
        <v>1</v>
      </c>
      <c r="W1838" s="83" t="s">
        <v>103</v>
      </c>
      <c r="X1838" s="83">
        <v>0</v>
      </c>
      <c r="Y1838" s="83" t="str">
        <f>LEFT(D1838,6)</f>
        <v>598046</v>
      </c>
    </row>
    <row r="1839" spans="1:25" x14ac:dyDescent="0.2">
      <c r="A1839" s="83">
        <v>1</v>
      </c>
      <c r="B1839" s="84">
        <v>5701603306730</v>
      </c>
      <c r="C1839" s="83">
        <v>20</v>
      </c>
      <c r="D1839" s="84">
        <v>5980543306</v>
      </c>
      <c r="F1839" s="83" t="s">
        <v>103</v>
      </c>
      <c r="G1839" s="83">
        <v>0</v>
      </c>
      <c r="H1839" s="83">
        <v>100</v>
      </c>
      <c r="K1839" s="83">
        <v>1</v>
      </c>
      <c r="L1839" s="83" t="s">
        <v>101</v>
      </c>
      <c r="M1839" s="83" t="s">
        <v>410</v>
      </c>
      <c r="N1839" s="83" t="s">
        <v>102</v>
      </c>
      <c r="P1839" s="83">
        <v>0</v>
      </c>
      <c r="U1839" s="83">
        <v>4</v>
      </c>
      <c r="V1839" s="83">
        <v>1</v>
      </c>
      <c r="W1839" s="83" t="s">
        <v>103</v>
      </c>
      <c r="X1839" s="83">
        <v>0</v>
      </c>
    </row>
    <row r="1840" spans="1:25" x14ac:dyDescent="0.2">
      <c r="A1840" s="83">
        <v>1</v>
      </c>
      <c r="B1840" s="84">
        <v>5701603306730</v>
      </c>
      <c r="C1840" s="83">
        <v>30</v>
      </c>
      <c r="D1840" s="84">
        <v>5980623306</v>
      </c>
      <c r="F1840" s="83" t="s">
        <v>103</v>
      </c>
      <c r="G1840" s="83">
        <v>0</v>
      </c>
      <c r="H1840" s="83">
        <v>100</v>
      </c>
      <c r="K1840" s="83">
        <v>1</v>
      </c>
      <c r="L1840" s="83" t="s">
        <v>101</v>
      </c>
      <c r="M1840" s="83" t="s">
        <v>410</v>
      </c>
      <c r="N1840" s="83" t="s">
        <v>102</v>
      </c>
      <c r="P1840" s="83">
        <v>0</v>
      </c>
      <c r="U1840" s="83">
        <v>4</v>
      </c>
      <c r="V1840" s="83">
        <v>1</v>
      </c>
      <c r="W1840" s="83" t="s">
        <v>103</v>
      </c>
      <c r="X1840" s="83">
        <v>0</v>
      </c>
    </row>
    <row r="1841" spans="1:25" x14ac:dyDescent="0.2">
      <c r="A1841" s="83">
        <v>1</v>
      </c>
      <c r="B1841" s="84">
        <v>5701603306730</v>
      </c>
      <c r="C1841" s="83">
        <v>40</v>
      </c>
      <c r="D1841" s="84">
        <v>5980823306</v>
      </c>
      <c r="F1841" s="83" t="s">
        <v>103</v>
      </c>
      <c r="G1841" s="83">
        <v>0</v>
      </c>
      <c r="H1841" s="83">
        <v>100</v>
      </c>
      <c r="K1841" s="83">
        <v>1</v>
      </c>
      <c r="L1841" s="83" t="s">
        <v>101</v>
      </c>
      <c r="M1841" s="83" t="s">
        <v>410</v>
      </c>
      <c r="N1841" s="83" t="s">
        <v>102</v>
      </c>
      <c r="P1841" s="83">
        <v>0</v>
      </c>
      <c r="U1841" s="83">
        <v>4</v>
      </c>
      <c r="V1841" s="83">
        <v>1</v>
      </c>
      <c r="W1841" s="83" t="s">
        <v>103</v>
      </c>
      <c r="X1841" s="83">
        <v>0</v>
      </c>
    </row>
    <row r="1842" spans="1:25" x14ac:dyDescent="0.2">
      <c r="A1842" s="83">
        <v>1</v>
      </c>
      <c r="B1842" s="84">
        <v>5701603306730</v>
      </c>
      <c r="C1842" s="83">
        <v>50</v>
      </c>
      <c r="D1842" s="84">
        <v>5980933306</v>
      </c>
      <c r="F1842" s="83" t="s">
        <v>103</v>
      </c>
      <c r="G1842" s="83">
        <v>0</v>
      </c>
      <c r="H1842" s="83">
        <v>100</v>
      </c>
      <c r="K1842" s="83">
        <v>1</v>
      </c>
      <c r="L1842" s="83" t="s">
        <v>101</v>
      </c>
      <c r="M1842" s="83" t="s">
        <v>410</v>
      </c>
      <c r="N1842" s="83" t="s">
        <v>102</v>
      </c>
      <c r="P1842" s="83">
        <v>0</v>
      </c>
      <c r="U1842" s="83">
        <v>4</v>
      </c>
      <c r="V1842" s="83">
        <v>1</v>
      </c>
      <c r="W1842" s="83" t="s">
        <v>103</v>
      </c>
      <c r="X1842" s="83">
        <v>0</v>
      </c>
    </row>
    <row r="1843" spans="1:25" x14ac:dyDescent="0.2">
      <c r="A1843" s="83">
        <v>1</v>
      </c>
      <c r="B1843" s="84">
        <v>5701603306730</v>
      </c>
      <c r="C1843" s="83">
        <v>60</v>
      </c>
      <c r="D1843" s="84">
        <v>1010286</v>
      </c>
      <c r="F1843" s="83" t="s">
        <v>103</v>
      </c>
      <c r="G1843" s="83">
        <v>0</v>
      </c>
      <c r="H1843" s="83">
        <v>100</v>
      </c>
      <c r="K1843" s="83">
        <v>8</v>
      </c>
      <c r="L1843" s="83" t="s">
        <v>101</v>
      </c>
      <c r="M1843" s="83" t="s">
        <v>410</v>
      </c>
      <c r="N1843" s="83" t="s">
        <v>102</v>
      </c>
      <c r="P1843" s="83">
        <v>0</v>
      </c>
      <c r="U1843" s="83">
        <v>4</v>
      </c>
      <c r="V1843" s="83">
        <v>1</v>
      </c>
      <c r="W1843" s="83" t="s">
        <v>103</v>
      </c>
      <c r="X1843" s="83">
        <v>0</v>
      </c>
    </row>
    <row r="1844" spans="1:25" x14ac:dyDescent="0.2">
      <c r="A1844" s="83">
        <v>1</v>
      </c>
      <c r="B1844" s="84">
        <v>5701603306730</v>
      </c>
      <c r="C1844" s="83">
        <v>70</v>
      </c>
      <c r="D1844" s="84">
        <v>1010287</v>
      </c>
      <c r="F1844" s="83" t="s">
        <v>103</v>
      </c>
      <c r="G1844" s="83">
        <v>0</v>
      </c>
      <c r="H1844" s="83">
        <v>100</v>
      </c>
      <c r="K1844" s="83">
        <v>4</v>
      </c>
      <c r="L1844" s="83" t="s">
        <v>101</v>
      </c>
      <c r="M1844" s="83" t="s">
        <v>410</v>
      </c>
      <c r="N1844" s="83" t="s">
        <v>102</v>
      </c>
      <c r="P1844" s="83">
        <v>0</v>
      </c>
      <c r="U1844" s="83">
        <v>4</v>
      </c>
      <c r="V1844" s="83">
        <v>1</v>
      </c>
      <c r="W1844" s="83" t="s">
        <v>103</v>
      </c>
      <c r="X1844" s="83">
        <v>0</v>
      </c>
    </row>
    <row r="1845" spans="1:25" x14ac:dyDescent="0.2">
      <c r="A1845" s="83">
        <v>1</v>
      </c>
      <c r="B1845" s="84">
        <v>5701603306730</v>
      </c>
      <c r="C1845" s="83">
        <v>80</v>
      </c>
      <c r="D1845" s="84">
        <v>1020145</v>
      </c>
      <c r="F1845" s="83" t="s">
        <v>103</v>
      </c>
      <c r="G1845" s="83">
        <v>0</v>
      </c>
      <c r="H1845" s="83">
        <v>100</v>
      </c>
      <c r="K1845" s="83" t="s">
        <v>408</v>
      </c>
      <c r="L1845" s="83" t="s">
        <v>101</v>
      </c>
      <c r="M1845" s="83" t="s">
        <v>410</v>
      </c>
      <c r="N1845" s="83" t="s">
        <v>102</v>
      </c>
      <c r="P1845" s="83">
        <v>0</v>
      </c>
      <c r="U1845" s="83">
        <v>4</v>
      </c>
      <c r="V1845" s="83">
        <v>1</v>
      </c>
      <c r="W1845" s="83" t="s">
        <v>103</v>
      </c>
      <c r="X1845" s="83">
        <v>0</v>
      </c>
    </row>
    <row r="1846" spans="1:25" x14ac:dyDescent="0.2">
      <c r="A1846" s="83">
        <v>1</v>
      </c>
      <c r="B1846" s="84">
        <v>5701603306730</v>
      </c>
      <c r="C1846" s="83">
        <v>90</v>
      </c>
      <c r="D1846" s="84">
        <v>777500730</v>
      </c>
      <c r="F1846" s="83" t="s">
        <v>103</v>
      </c>
      <c r="G1846" s="83">
        <v>0</v>
      </c>
      <c r="H1846" s="83">
        <v>100</v>
      </c>
      <c r="K1846" s="83">
        <v>1</v>
      </c>
      <c r="L1846" s="83" t="s">
        <v>101</v>
      </c>
      <c r="M1846" s="83" t="s">
        <v>410</v>
      </c>
      <c r="N1846" s="83" t="s">
        <v>102</v>
      </c>
      <c r="P1846" s="83">
        <v>0</v>
      </c>
      <c r="U1846" s="83">
        <v>4</v>
      </c>
      <c r="V1846" s="83">
        <v>1</v>
      </c>
      <c r="W1846" s="83" t="s">
        <v>103</v>
      </c>
      <c r="X1846" s="83">
        <v>0</v>
      </c>
    </row>
    <row r="1847" spans="1:25" x14ac:dyDescent="0.2">
      <c r="A1847" s="83">
        <v>1</v>
      </c>
      <c r="B1847" s="84">
        <v>5701603307730</v>
      </c>
      <c r="C1847" s="83">
        <v>10</v>
      </c>
      <c r="D1847" s="84">
        <v>5980463307</v>
      </c>
      <c r="F1847" s="83" t="s">
        <v>103</v>
      </c>
      <c r="G1847" s="83">
        <v>0</v>
      </c>
      <c r="H1847" s="83">
        <v>100</v>
      </c>
      <c r="K1847" s="83">
        <v>1</v>
      </c>
      <c r="L1847" s="83" t="s">
        <v>101</v>
      </c>
      <c r="M1847" s="83" t="s">
        <v>410</v>
      </c>
      <c r="N1847" s="83" t="s">
        <v>102</v>
      </c>
      <c r="P1847" s="83">
        <v>0</v>
      </c>
      <c r="U1847" s="83">
        <v>4</v>
      </c>
      <c r="V1847" s="83">
        <v>1</v>
      </c>
      <c r="W1847" s="83" t="s">
        <v>103</v>
      </c>
      <c r="X1847" s="83">
        <v>0</v>
      </c>
      <c r="Y1847" s="83" t="str">
        <f>LEFT(D1847,6)</f>
        <v>598046</v>
      </c>
    </row>
    <row r="1848" spans="1:25" x14ac:dyDescent="0.2">
      <c r="A1848" s="83">
        <v>1</v>
      </c>
      <c r="B1848" s="84">
        <v>5701603307730</v>
      </c>
      <c r="C1848" s="83">
        <v>20</v>
      </c>
      <c r="D1848" s="84">
        <v>5980543307</v>
      </c>
      <c r="F1848" s="83" t="s">
        <v>103</v>
      </c>
      <c r="G1848" s="83">
        <v>0</v>
      </c>
      <c r="H1848" s="83">
        <v>100</v>
      </c>
      <c r="K1848" s="83">
        <v>1</v>
      </c>
      <c r="L1848" s="83" t="s">
        <v>101</v>
      </c>
      <c r="M1848" s="83" t="s">
        <v>410</v>
      </c>
      <c r="N1848" s="83" t="s">
        <v>102</v>
      </c>
      <c r="P1848" s="83">
        <v>0</v>
      </c>
      <c r="U1848" s="83">
        <v>4</v>
      </c>
      <c r="V1848" s="83">
        <v>1</v>
      </c>
      <c r="W1848" s="83" t="s">
        <v>103</v>
      </c>
      <c r="X1848" s="83">
        <v>0</v>
      </c>
    </row>
    <row r="1849" spans="1:25" x14ac:dyDescent="0.2">
      <c r="A1849" s="83">
        <v>1</v>
      </c>
      <c r="B1849" s="84">
        <v>5701603307730</v>
      </c>
      <c r="C1849" s="83">
        <v>30</v>
      </c>
      <c r="D1849" s="84">
        <v>5980623307</v>
      </c>
      <c r="F1849" s="83" t="s">
        <v>103</v>
      </c>
      <c r="G1849" s="83">
        <v>0</v>
      </c>
      <c r="H1849" s="83">
        <v>100</v>
      </c>
      <c r="K1849" s="83">
        <v>1</v>
      </c>
      <c r="L1849" s="83" t="s">
        <v>101</v>
      </c>
      <c r="M1849" s="83" t="s">
        <v>410</v>
      </c>
      <c r="N1849" s="83" t="s">
        <v>102</v>
      </c>
      <c r="P1849" s="83">
        <v>0</v>
      </c>
      <c r="U1849" s="83">
        <v>4</v>
      </c>
      <c r="V1849" s="83">
        <v>1</v>
      </c>
      <c r="W1849" s="83" t="s">
        <v>103</v>
      </c>
      <c r="X1849" s="83">
        <v>0</v>
      </c>
    </row>
    <row r="1850" spans="1:25" x14ac:dyDescent="0.2">
      <c r="A1850" s="83">
        <v>1</v>
      </c>
      <c r="B1850" s="84">
        <v>5701603307730</v>
      </c>
      <c r="C1850" s="83">
        <v>40</v>
      </c>
      <c r="D1850" s="84">
        <v>5980823307</v>
      </c>
      <c r="F1850" s="83" t="s">
        <v>103</v>
      </c>
      <c r="G1850" s="83">
        <v>0</v>
      </c>
      <c r="H1850" s="83">
        <v>100</v>
      </c>
      <c r="K1850" s="83">
        <v>1</v>
      </c>
      <c r="L1850" s="83" t="s">
        <v>101</v>
      </c>
      <c r="M1850" s="83" t="s">
        <v>410</v>
      </c>
      <c r="N1850" s="83" t="s">
        <v>102</v>
      </c>
      <c r="P1850" s="83">
        <v>0</v>
      </c>
      <c r="U1850" s="83">
        <v>4</v>
      </c>
      <c r="V1850" s="83">
        <v>1</v>
      </c>
      <c r="W1850" s="83" t="s">
        <v>103</v>
      </c>
      <c r="X1850" s="83">
        <v>0</v>
      </c>
    </row>
    <row r="1851" spans="1:25" x14ac:dyDescent="0.2">
      <c r="A1851" s="83">
        <v>1</v>
      </c>
      <c r="B1851" s="84">
        <v>5701603307730</v>
      </c>
      <c r="C1851" s="83">
        <v>50</v>
      </c>
      <c r="D1851" s="84">
        <v>5980933307</v>
      </c>
      <c r="F1851" s="83" t="s">
        <v>103</v>
      </c>
      <c r="G1851" s="83">
        <v>0</v>
      </c>
      <c r="H1851" s="83">
        <v>100</v>
      </c>
      <c r="K1851" s="83">
        <v>1</v>
      </c>
      <c r="L1851" s="83" t="s">
        <v>101</v>
      </c>
      <c r="M1851" s="83" t="s">
        <v>410</v>
      </c>
      <c r="N1851" s="83" t="s">
        <v>102</v>
      </c>
      <c r="P1851" s="83">
        <v>0</v>
      </c>
      <c r="U1851" s="83">
        <v>4</v>
      </c>
      <c r="V1851" s="83">
        <v>1</v>
      </c>
      <c r="W1851" s="83" t="s">
        <v>103</v>
      </c>
      <c r="X1851" s="83">
        <v>0</v>
      </c>
    </row>
    <row r="1852" spans="1:25" x14ac:dyDescent="0.2">
      <c r="A1852" s="83">
        <v>1</v>
      </c>
      <c r="B1852" s="84">
        <v>5701603307730</v>
      </c>
      <c r="C1852" s="83">
        <v>60</v>
      </c>
      <c r="D1852" s="84">
        <v>1010286</v>
      </c>
      <c r="F1852" s="83" t="s">
        <v>103</v>
      </c>
      <c r="G1852" s="83">
        <v>0</v>
      </c>
      <c r="H1852" s="83">
        <v>100</v>
      </c>
      <c r="K1852" s="83">
        <v>8</v>
      </c>
      <c r="L1852" s="83" t="s">
        <v>101</v>
      </c>
      <c r="M1852" s="83" t="s">
        <v>410</v>
      </c>
      <c r="N1852" s="83" t="s">
        <v>102</v>
      </c>
      <c r="P1852" s="83">
        <v>0</v>
      </c>
      <c r="U1852" s="83">
        <v>4</v>
      </c>
      <c r="V1852" s="83">
        <v>1</v>
      </c>
      <c r="W1852" s="83" t="s">
        <v>103</v>
      </c>
      <c r="X1852" s="83">
        <v>0</v>
      </c>
    </row>
    <row r="1853" spans="1:25" x14ac:dyDescent="0.2">
      <c r="A1853" s="83">
        <v>1</v>
      </c>
      <c r="B1853" s="84">
        <v>5701603307730</v>
      </c>
      <c r="C1853" s="83">
        <v>70</v>
      </c>
      <c r="D1853" s="84">
        <v>1010287</v>
      </c>
      <c r="F1853" s="83" t="s">
        <v>103</v>
      </c>
      <c r="G1853" s="83">
        <v>0</v>
      </c>
      <c r="H1853" s="83">
        <v>100</v>
      </c>
      <c r="K1853" s="83">
        <v>4</v>
      </c>
      <c r="L1853" s="83" t="s">
        <v>101</v>
      </c>
      <c r="M1853" s="83" t="s">
        <v>410</v>
      </c>
      <c r="N1853" s="83" t="s">
        <v>102</v>
      </c>
      <c r="P1853" s="83">
        <v>0</v>
      </c>
      <c r="U1853" s="83">
        <v>4</v>
      </c>
      <c r="V1853" s="83">
        <v>1</v>
      </c>
      <c r="W1853" s="83" t="s">
        <v>103</v>
      </c>
      <c r="X1853" s="83">
        <v>0</v>
      </c>
    </row>
    <row r="1854" spans="1:25" x14ac:dyDescent="0.2">
      <c r="A1854" s="83">
        <v>1</v>
      </c>
      <c r="B1854" s="84">
        <v>5701603307730</v>
      </c>
      <c r="C1854" s="83">
        <v>80</v>
      </c>
      <c r="D1854" s="84">
        <v>1020145</v>
      </c>
      <c r="F1854" s="83" t="s">
        <v>103</v>
      </c>
      <c r="G1854" s="83">
        <v>0</v>
      </c>
      <c r="H1854" s="83">
        <v>100</v>
      </c>
      <c r="K1854" s="83" t="s">
        <v>408</v>
      </c>
      <c r="L1854" s="83" t="s">
        <v>101</v>
      </c>
      <c r="M1854" s="83" t="s">
        <v>410</v>
      </c>
      <c r="N1854" s="83" t="s">
        <v>102</v>
      </c>
      <c r="P1854" s="83">
        <v>0</v>
      </c>
      <c r="U1854" s="83">
        <v>4</v>
      </c>
      <c r="V1854" s="83">
        <v>1</v>
      </c>
      <c r="W1854" s="83" t="s">
        <v>103</v>
      </c>
      <c r="X1854" s="83">
        <v>0</v>
      </c>
    </row>
    <row r="1855" spans="1:25" x14ac:dyDescent="0.2">
      <c r="A1855" s="83">
        <v>1</v>
      </c>
      <c r="B1855" s="84">
        <v>5701603307730</v>
      </c>
      <c r="C1855" s="83">
        <v>90</v>
      </c>
      <c r="D1855" s="84">
        <v>777500730</v>
      </c>
      <c r="F1855" s="83" t="s">
        <v>103</v>
      </c>
      <c r="G1855" s="83">
        <v>0</v>
      </c>
      <c r="H1855" s="83">
        <v>100</v>
      </c>
      <c r="K1855" s="83">
        <v>1</v>
      </c>
      <c r="L1855" s="83" t="s">
        <v>101</v>
      </c>
      <c r="M1855" s="83" t="s">
        <v>410</v>
      </c>
      <c r="N1855" s="83" t="s">
        <v>102</v>
      </c>
      <c r="P1855" s="83">
        <v>0</v>
      </c>
      <c r="U1855" s="83">
        <v>4</v>
      </c>
      <c r="V1855" s="83">
        <v>1</v>
      </c>
      <c r="W1855" s="83" t="s">
        <v>103</v>
      </c>
      <c r="X1855" s="83">
        <v>0</v>
      </c>
    </row>
    <row r="1856" spans="1:25" x14ac:dyDescent="0.2">
      <c r="A1856" s="83">
        <v>1</v>
      </c>
      <c r="B1856" s="84">
        <v>5701603308730</v>
      </c>
      <c r="C1856" s="83">
        <v>10</v>
      </c>
      <c r="D1856" s="84">
        <v>5980463308</v>
      </c>
      <c r="F1856" s="83" t="s">
        <v>103</v>
      </c>
      <c r="G1856" s="83">
        <v>0</v>
      </c>
      <c r="H1856" s="83">
        <v>100</v>
      </c>
      <c r="K1856" s="83">
        <v>1</v>
      </c>
      <c r="L1856" s="83" t="s">
        <v>101</v>
      </c>
      <c r="M1856" s="83" t="s">
        <v>410</v>
      </c>
      <c r="N1856" s="83" t="s">
        <v>102</v>
      </c>
      <c r="P1856" s="83">
        <v>0</v>
      </c>
      <c r="U1856" s="83">
        <v>4</v>
      </c>
      <c r="V1856" s="83">
        <v>1</v>
      </c>
      <c r="W1856" s="83" t="s">
        <v>103</v>
      </c>
      <c r="X1856" s="83">
        <v>0</v>
      </c>
      <c r="Y1856" s="83" t="str">
        <f>LEFT(D1856,6)</f>
        <v>598046</v>
      </c>
    </row>
    <row r="1857" spans="1:25" x14ac:dyDescent="0.2">
      <c r="A1857" s="83">
        <v>1</v>
      </c>
      <c r="B1857" s="84">
        <v>5701603308730</v>
      </c>
      <c r="C1857" s="83">
        <v>20</v>
      </c>
      <c r="D1857" s="84">
        <v>5980543308</v>
      </c>
      <c r="F1857" s="83" t="s">
        <v>103</v>
      </c>
      <c r="G1857" s="83">
        <v>0</v>
      </c>
      <c r="H1857" s="83">
        <v>100</v>
      </c>
      <c r="K1857" s="83">
        <v>1</v>
      </c>
      <c r="L1857" s="83" t="s">
        <v>101</v>
      </c>
      <c r="M1857" s="83" t="s">
        <v>410</v>
      </c>
      <c r="N1857" s="83" t="s">
        <v>102</v>
      </c>
      <c r="P1857" s="83">
        <v>0</v>
      </c>
      <c r="U1857" s="83">
        <v>4</v>
      </c>
      <c r="V1857" s="83">
        <v>1</v>
      </c>
      <c r="W1857" s="83" t="s">
        <v>103</v>
      </c>
      <c r="X1857" s="83">
        <v>0</v>
      </c>
    </row>
    <row r="1858" spans="1:25" x14ac:dyDescent="0.2">
      <c r="A1858" s="83">
        <v>1</v>
      </c>
      <c r="B1858" s="84">
        <v>5701603308730</v>
      </c>
      <c r="C1858" s="83">
        <v>30</v>
      </c>
      <c r="D1858" s="84">
        <v>5980623308</v>
      </c>
      <c r="F1858" s="83" t="s">
        <v>103</v>
      </c>
      <c r="G1858" s="83">
        <v>0</v>
      </c>
      <c r="H1858" s="83">
        <v>100</v>
      </c>
      <c r="K1858" s="83">
        <v>1</v>
      </c>
      <c r="L1858" s="83" t="s">
        <v>101</v>
      </c>
      <c r="M1858" s="83" t="s">
        <v>410</v>
      </c>
      <c r="N1858" s="83" t="s">
        <v>102</v>
      </c>
      <c r="P1858" s="83">
        <v>0</v>
      </c>
      <c r="U1858" s="83">
        <v>4</v>
      </c>
      <c r="V1858" s="83">
        <v>1</v>
      </c>
      <c r="W1858" s="83" t="s">
        <v>103</v>
      </c>
      <c r="X1858" s="83">
        <v>0</v>
      </c>
    </row>
    <row r="1859" spans="1:25" x14ac:dyDescent="0.2">
      <c r="A1859" s="83">
        <v>1</v>
      </c>
      <c r="B1859" s="84">
        <v>5701603308730</v>
      </c>
      <c r="C1859" s="83">
        <v>40</v>
      </c>
      <c r="D1859" s="84">
        <v>5980823308</v>
      </c>
      <c r="F1859" s="83" t="s">
        <v>103</v>
      </c>
      <c r="G1859" s="83">
        <v>0</v>
      </c>
      <c r="H1859" s="83">
        <v>100</v>
      </c>
      <c r="K1859" s="83">
        <v>1</v>
      </c>
      <c r="L1859" s="83" t="s">
        <v>101</v>
      </c>
      <c r="M1859" s="83" t="s">
        <v>410</v>
      </c>
      <c r="N1859" s="83" t="s">
        <v>102</v>
      </c>
      <c r="P1859" s="83">
        <v>0</v>
      </c>
      <c r="U1859" s="83">
        <v>4</v>
      </c>
      <c r="V1859" s="83">
        <v>1</v>
      </c>
      <c r="W1859" s="83" t="s">
        <v>103</v>
      </c>
      <c r="X1859" s="83">
        <v>0</v>
      </c>
    </row>
    <row r="1860" spans="1:25" x14ac:dyDescent="0.2">
      <c r="A1860" s="83">
        <v>1</v>
      </c>
      <c r="B1860" s="84">
        <v>5701603308730</v>
      </c>
      <c r="C1860" s="83">
        <v>50</v>
      </c>
      <c r="D1860" s="84">
        <v>5980933308</v>
      </c>
      <c r="F1860" s="83" t="s">
        <v>103</v>
      </c>
      <c r="G1860" s="83">
        <v>0</v>
      </c>
      <c r="H1860" s="83">
        <v>100</v>
      </c>
      <c r="K1860" s="83">
        <v>1</v>
      </c>
      <c r="L1860" s="83" t="s">
        <v>101</v>
      </c>
      <c r="M1860" s="83" t="s">
        <v>410</v>
      </c>
      <c r="N1860" s="83" t="s">
        <v>102</v>
      </c>
      <c r="P1860" s="83">
        <v>0</v>
      </c>
      <c r="U1860" s="83">
        <v>4</v>
      </c>
      <c r="V1860" s="83">
        <v>1</v>
      </c>
      <c r="W1860" s="83" t="s">
        <v>103</v>
      </c>
      <c r="X1860" s="83">
        <v>0</v>
      </c>
    </row>
    <row r="1861" spans="1:25" x14ac:dyDescent="0.2">
      <c r="A1861" s="83">
        <v>1</v>
      </c>
      <c r="B1861" s="84">
        <v>5701603308730</v>
      </c>
      <c r="C1861" s="83">
        <v>60</v>
      </c>
      <c r="D1861" s="84">
        <v>1010286</v>
      </c>
      <c r="F1861" s="83" t="s">
        <v>103</v>
      </c>
      <c r="G1861" s="83">
        <v>0</v>
      </c>
      <c r="H1861" s="83">
        <v>100</v>
      </c>
      <c r="K1861" s="83">
        <v>8</v>
      </c>
      <c r="L1861" s="83" t="s">
        <v>101</v>
      </c>
      <c r="M1861" s="83" t="s">
        <v>410</v>
      </c>
      <c r="N1861" s="83" t="s">
        <v>102</v>
      </c>
      <c r="P1861" s="83">
        <v>0</v>
      </c>
      <c r="U1861" s="83">
        <v>4</v>
      </c>
      <c r="V1861" s="83">
        <v>1</v>
      </c>
      <c r="W1861" s="83" t="s">
        <v>103</v>
      </c>
      <c r="X1861" s="83">
        <v>0</v>
      </c>
    </row>
    <row r="1862" spans="1:25" x14ac:dyDescent="0.2">
      <c r="A1862" s="83">
        <v>1</v>
      </c>
      <c r="B1862" s="84">
        <v>5701603308730</v>
      </c>
      <c r="C1862" s="83">
        <v>70</v>
      </c>
      <c r="D1862" s="84">
        <v>1010288</v>
      </c>
      <c r="F1862" s="83" t="s">
        <v>103</v>
      </c>
      <c r="G1862" s="83">
        <v>0</v>
      </c>
      <c r="H1862" s="83">
        <v>100</v>
      </c>
      <c r="K1862" s="83">
        <v>4</v>
      </c>
      <c r="L1862" s="83" t="s">
        <v>101</v>
      </c>
      <c r="M1862" s="83" t="s">
        <v>410</v>
      </c>
      <c r="N1862" s="83" t="s">
        <v>102</v>
      </c>
      <c r="P1862" s="83">
        <v>0</v>
      </c>
      <c r="U1862" s="83">
        <v>4</v>
      </c>
      <c r="V1862" s="83">
        <v>1</v>
      </c>
      <c r="W1862" s="83" t="s">
        <v>103</v>
      </c>
      <c r="X1862" s="83">
        <v>0</v>
      </c>
    </row>
    <row r="1863" spans="1:25" x14ac:dyDescent="0.2">
      <c r="A1863" s="83">
        <v>1</v>
      </c>
      <c r="B1863" s="84">
        <v>5701603308730</v>
      </c>
      <c r="C1863" s="83">
        <v>80</v>
      </c>
      <c r="D1863" s="84">
        <v>1020145</v>
      </c>
      <c r="F1863" s="83" t="s">
        <v>103</v>
      </c>
      <c r="G1863" s="83">
        <v>0</v>
      </c>
      <c r="H1863" s="83">
        <v>100</v>
      </c>
      <c r="K1863" s="83" t="s">
        <v>408</v>
      </c>
      <c r="L1863" s="83" t="s">
        <v>101</v>
      </c>
      <c r="M1863" s="83" t="s">
        <v>410</v>
      </c>
      <c r="N1863" s="83" t="s">
        <v>102</v>
      </c>
      <c r="P1863" s="83">
        <v>0</v>
      </c>
      <c r="U1863" s="83">
        <v>4</v>
      </c>
      <c r="V1863" s="83">
        <v>1</v>
      </c>
      <c r="W1863" s="83" t="s">
        <v>103</v>
      </c>
      <c r="X1863" s="83">
        <v>0</v>
      </c>
    </row>
    <row r="1864" spans="1:25" x14ac:dyDescent="0.2">
      <c r="A1864" s="83">
        <v>1</v>
      </c>
      <c r="B1864" s="84">
        <v>5701603308730</v>
      </c>
      <c r="C1864" s="83">
        <v>90</v>
      </c>
      <c r="D1864" s="84">
        <v>777500730</v>
      </c>
      <c r="F1864" s="83" t="s">
        <v>103</v>
      </c>
      <c r="G1864" s="83">
        <v>0</v>
      </c>
      <c r="H1864" s="83">
        <v>100</v>
      </c>
      <c r="K1864" s="83">
        <v>1</v>
      </c>
      <c r="L1864" s="83" t="s">
        <v>101</v>
      </c>
      <c r="M1864" s="83" t="s">
        <v>410</v>
      </c>
      <c r="N1864" s="83" t="s">
        <v>102</v>
      </c>
      <c r="P1864" s="83">
        <v>0</v>
      </c>
      <c r="U1864" s="83">
        <v>4</v>
      </c>
      <c r="V1864" s="83">
        <v>1</v>
      </c>
      <c r="W1864" s="83" t="s">
        <v>103</v>
      </c>
      <c r="X1864" s="83">
        <v>0</v>
      </c>
    </row>
    <row r="1865" spans="1:25" x14ac:dyDescent="0.2">
      <c r="A1865" s="83">
        <v>1</v>
      </c>
      <c r="B1865" s="84">
        <v>5701603309730</v>
      </c>
      <c r="C1865" s="83">
        <v>10</v>
      </c>
      <c r="D1865" s="84">
        <v>5980463309</v>
      </c>
      <c r="F1865" s="83" t="s">
        <v>103</v>
      </c>
      <c r="G1865" s="83">
        <v>0</v>
      </c>
      <c r="H1865" s="83">
        <v>100</v>
      </c>
      <c r="K1865" s="83">
        <v>1</v>
      </c>
      <c r="L1865" s="83" t="s">
        <v>101</v>
      </c>
      <c r="M1865" s="83" t="s">
        <v>410</v>
      </c>
      <c r="N1865" s="83" t="s">
        <v>102</v>
      </c>
      <c r="P1865" s="83">
        <v>0</v>
      </c>
      <c r="U1865" s="83">
        <v>4</v>
      </c>
      <c r="V1865" s="83">
        <v>1</v>
      </c>
      <c r="W1865" s="83" t="s">
        <v>103</v>
      </c>
      <c r="X1865" s="83">
        <v>0</v>
      </c>
      <c r="Y1865" s="83" t="str">
        <f>LEFT(D1865,6)</f>
        <v>598046</v>
      </c>
    </row>
    <row r="1866" spans="1:25" x14ac:dyDescent="0.2">
      <c r="A1866" s="83">
        <v>1</v>
      </c>
      <c r="B1866" s="84">
        <v>5701603309730</v>
      </c>
      <c r="C1866" s="83">
        <v>20</v>
      </c>
      <c r="D1866" s="84">
        <v>5980543309</v>
      </c>
      <c r="F1866" s="83" t="s">
        <v>103</v>
      </c>
      <c r="G1866" s="83">
        <v>0</v>
      </c>
      <c r="H1866" s="83">
        <v>100</v>
      </c>
      <c r="K1866" s="83">
        <v>1</v>
      </c>
      <c r="L1866" s="83" t="s">
        <v>101</v>
      </c>
      <c r="M1866" s="83" t="s">
        <v>410</v>
      </c>
      <c r="N1866" s="83" t="s">
        <v>102</v>
      </c>
      <c r="P1866" s="83">
        <v>0</v>
      </c>
      <c r="U1866" s="83">
        <v>4</v>
      </c>
      <c r="V1866" s="83">
        <v>1</v>
      </c>
      <c r="W1866" s="83" t="s">
        <v>103</v>
      </c>
      <c r="X1866" s="83">
        <v>0</v>
      </c>
    </row>
    <row r="1867" spans="1:25" x14ac:dyDescent="0.2">
      <c r="A1867" s="83">
        <v>1</v>
      </c>
      <c r="B1867" s="84">
        <v>5701603309730</v>
      </c>
      <c r="C1867" s="83">
        <v>30</v>
      </c>
      <c r="D1867" s="84">
        <v>5980623309</v>
      </c>
      <c r="F1867" s="83" t="s">
        <v>103</v>
      </c>
      <c r="G1867" s="83">
        <v>0</v>
      </c>
      <c r="H1867" s="83">
        <v>100</v>
      </c>
      <c r="K1867" s="83">
        <v>1</v>
      </c>
      <c r="L1867" s="83" t="s">
        <v>101</v>
      </c>
      <c r="M1867" s="83" t="s">
        <v>410</v>
      </c>
      <c r="N1867" s="83" t="s">
        <v>102</v>
      </c>
      <c r="P1867" s="83">
        <v>0</v>
      </c>
      <c r="U1867" s="83">
        <v>4</v>
      </c>
      <c r="V1867" s="83">
        <v>1</v>
      </c>
      <c r="W1867" s="83" t="s">
        <v>103</v>
      </c>
      <c r="X1867" s="83">
        <v>0</v>
      </c>
    </row>
    <row r="1868" spans="1:25" x14ac:dyDescent="0.2">
      <c r="A1868" s="83">
        <v>1</v>
      </c>
      <c r="B1868" s="84">
        <v>5701603309730</v>
      </c>
      <c r="C1868" s="83">
        <v>40</v>
      </c>
      <c r="D1868" s="84">
        <v>5980823309</v>
      </c>
      <c r="F1868" s="83" t="s">
        <v>103</v>
      </c>
      <c r="G1868" s="83">
        <v>0</v>
      </c>
      <c r="H1868" s="83">
        <v>100</v>
      </c>
      <c r="K1868" s="83">
        <v>1</v>
      </c>
      <c r="L1868" s="83" t="s">
        <v>101</v>
      </c>
      <c r="M1868" s="83" t="s">
        <v>410</v>
      </c>
      <c r="N1868" s="83" t="s">
        <v>102</v>
      </c>
      <c r="P1868" s="83">
        <v>0</v>
      </c>
      <c r="U1868" s="83">
        <v>4</v>
      </c>
      <c r="V1868" s="83">
        <v>1</v>
      </c>
      <c r="W1868" s="83" t="s">
        <v>103</v>
      </c>
      <c r="X1868" s="83">
        <v>0</v>
      </c>
    </row>
    <row r="1869" spans="1:25" x14ac:dyDescent="0.2">
      <c r="A1869" s="83">
        <v>1</v>
      </c>
      <c r="B1869" s="84">
        <v>5701603309730</v>
      </c>
      <c r="C1869" s="83">
        <v>50</v>
      </c>
      <c r="D1869" s="84">
        <v>5980933309</v>
      </c>
      <c r="F1869" s="83" t="s">
        <v>103</v>
      </c>
      <c r="G1869" s="83">
        <v>0</v>
      </c>
      <c r="H1869" s="83">
        <v>100</v>
      </c>
      <c r="K1869" s="83">
        <v>1</v>
      </c>
      <c r="L1869" s="83" t="s">
        <v>101</v>
      </c>
      <c r="M1869" s="83" t="s">
        <v>410</v>
      </c>
      <c r="N1869" s="83" t="s">
        <v>102</v>
      </c>
      <c r="P1869" s="83">
        <v>0</v>
      </c>
      <c r="U1869" s="83">
        <v>4</v>
      </c>
      <c r="V1869" s="83">
        <v>1</v>
      </c>
      <c r="W1869" s="83" t="s">
        <v>103</v>
      </c>
      <c r="X1869" s="83">
        <v>0</v>
      </c>
    </row>
    <row r="1870" spans="1:25" x14ac:dyDescent="0.2">
      <c r="A1870" s="83">
        <v>1</v>
      </c>
      <c r="B1870" s="84">
        <v>5701603309730</v>
      </c>
      <c r="C1870" s="83">
        <v>60</v>
      </c>
      <c r="D1870" s="84">
        <v>1010286</v>
      </c>
      <c r="F1870" s="83" t="s">
        <v>103</v>
      </c>
      <c r="G1870" s="83">
        <v>0</v>
      </c>
      <c r="H1870" s="83">
        <v>100</v>
      </c>
      <c r="K1870" s="83">
        <v>8</v>
      </c>
      <c r="L1870" s="83" t="s">
        <v>101</v>
      </c>
      <c r="M1870" s="83" t="s">
        <v>410</v>
      </c>
      <c r="N1870" s="83" t="s">
        <v>102</v>
      </c>
      <c r="P1870" s="83">
        <v>0</v>
      </c>
      <c r="U1870" s="83">
        <v>4</v>
      </c>
      <c r="V1870" s="83">
        <v>1</v>
      </c>
      <c r="W1870" s="83" t="s">
        <v>103</v>
      </c>
      <c r="X1870" s="83">
        <v>0</v>
      </c>
    </row>
    <row r="1871" spans="1:25" x14ac:dyDescent="0.2">
      <c r="A1871" s="83">
        <v>1</v>
      </c>
      <c r="B1871" s="84">
        <v>5701603309730</v>
      </c>
      <c r="C1871" s="83">
        <v>70</v>
      </c>
      <c r="D1871" s="84">
        <v>1010287</v>
      </c>
      <c r="F1871" s="83" t="s">
        <v>103</v>
      </c>
      <c r="G1871" s="83">
        <v>0</v>
      </c>
      <c r="H1871" s="83">
        <v>100</v>
      </c>
      <c r="K1871" s="83">
        <v>4</v>
      </c>
      <c r="L1871" s="83" t="s">
        <v>101</v>
      </c>
      <c r="M1871" s="83" t="s">
        <v>410</v>
      </c>
      <c r="N1871" s="83" t="s">
        <v>102</v>
      </c>
      <c r="P1871" s="83">
        <v>0</v>
      </c>
      <c r="U1871" s="83">
        <v>4</v>
      </c>
      <c r="V1871" s="83">
        <v>1</v>
      </c>
      <c r="W1871" s="83" t="s">
        <v>103</v>
      </c>
      <c r="X1871" s="83">
        <v>0</v>
      </c>
    </row>
    <row r="1872" spans="1:25" x14ac:dyDescent="0.2">
      <c r="A1872" s="83">
        <v>1</v>
      </c>
      <c r="B1872" s="84">
        <v>5701603309730</v>
      </c>
      <c r="C1872" s="83">
        <v>80</v>
      </c>
      <c r="D1872" s="84">
        <v>1020145</v>
      </c>
      <c r="F1872" s="83" t="s">
        <v>103</v>
      </c>
      <c r="G1872" s="83">
        <v>0</v>
      </c>
      <c r="H1872" s="83">
        <v>100</v>
      </c>
      <c r="K1872" s="83" t="s">
        <v>408</v>
      </c>
      <c r="L1872" s="83" t="s">
        <v>101</v>
      </c>
      <c r="M1872" s="83" t="s">
        <v>410</v>
      </c>
      <c r="N1872" s="83" t="s">
        <v>102</v>
      </c>
      <c r="P1872" s="83">
        <v>0</v>
      </c>
      <c r="U1872" s="83">
        <v>4</v>
      </c>
      <c r="V1872" s="83">
        <v>1</v>
      </c>
      <c r="W1872" s="83" t="s">
        <v>103</v>
      </c>
      <c r="X1872" s="83">
        <v>0</v>
      </c>
    </row>
    <row r="1873" spans="1:25" x14ac:dyDescent="0.2">
      <c r="A1873" s="83">
        <v>1</v>
      </c>
      <c r="B1873" s="84">
        <v>5701603309730</v>
      </c>
      <c r="C1873" s="83">
        <v>90</v>
      </c>
      <c r="D1873" s="84">
        <v>777500730</v>
      </c>
      <c r="F1873" s="83" t="s">
        <v>103</v>
      </c>
      <c r="G1873" s="83">
        <v>0</v>
      </c>
      <c r="H1873" s="83">
        <v>100</v>
      </c>
      <c r="K1873" s="83">
        <v>1</v>
      </c>
      <c r="L1873" s="83" t="s">
        <v>101</v>
      </c>
      <c r="M1873" s="83" t="s">
        <v>410</v>
      </c>
      <c r="N1873" s="83" t="s">
        <v>102</v>
      </c>
      <c r="P1873" s="83">
        <v>0</v>
      </c>
      <c r="U1873" s="83">
        <v>4</v>
      </c>
      <c r="V1873" s="83">
        <v>1</v>
      </c>
      <c r="W1873" s="83" t="s">
        <v>103</v>
      </c>
      <c r="X1873" s="83">
        <v>0</v>
      </c>
    </row>
    <row r="1874" spans="1:25" x14ac:dyDescent="0.2">
      <c r="A1874" s="83">
        <v>1</v>
      </c>
      <c r="B1874" s="84">
        <v>5701603310730</v>
      </c>
      <c r="C1874" s="83">
        <v>10</v>
      </c>
      <c r="D1874" s="84">
        <v>5980463310</v>
      </c>
      <c r="F1874" s="83" t="s">
        <v>103</v>
      </c>
      <c r="G1874" s="83">
        <v>0</v>
      </c>
      <c r="H1874" s="83">
        <v>100</v>
      </c>
      <c r="K1874" s="83">
        <v>1</v>
      </c>
      <c r="L1874" s="83" t="s">
        <v>101</v>
      </c>
      <c r="M1874" s="83" t="s">
        <v>410</v>
      </c>
      <c r="N1874" s="83" t="s">
        <v>102</v>
      </c>
      <c r="P1874" s="83">
        <v>0</v>
      </c>
      <c r="U1874" s="83">
        <v>4</v>
      </c>
      <c r="V1874" s="83">
        <v>1</v>
      </c>
      <c r="W1874" s="83" t="s">
        <v>103</v>
      </c>
      <c r="X1874" s="83">
        <v>0</v>
      </c>
      <c r="Y1874" s="83" t="str">
        <f>LEFT(D1874,6)</f>
        <v>598046</v>
      </c>
    </row>
    <row r="1875" spans="1:25" x14ac:dyDescent="0.2">
      <c r="A1875" s="83">
        <v>1</v>
      </c>
      <c r="B1875" s="84">
        <v>5701603310730</v>
      </c>
      <c r="C1875" s="83">
        <v>20</v>
      </c>
      <c r="D1875" s="84">
        <v>5980543310</v>
      </c>
      <c r="F1875" s="83" t="s">
        <v>103</v>
      </c>
      <c r="G1875" s="83">
        <v>0</v>
      </c>
      <c r="H1875" s="83">
        <v>100</v>
      </c>
      <c r="K1875" s="83">
        <v>1</v>
      </c>
      <c r="L1875" s="83" t="s">
        <v>101</v>
      </c>
      <c r="M1875" s="83" t="s">
        <v>410</v>
      </c>
      <c r="N1875" s="83" t="s">
        <v>102</v>
      </c>
      <c r="P1875" s="83">
        <v>0</v>
      </c>
      <c r="U1875" s="83">
        <v>4</v>
      </c>
      <c r="V1875" s="83">
        <v>1</v>
      </c>
      <c r="W1875" s="83" t="s">
        <v>103</v>
      </c>
      <c r="X1875" s="83">
        <v>0</v>
      </c>
    </row>
    <row r="1876" spans="1:25" x14ac:dyDescent="0.2">
      <c r="A1876" s="83">
        <v>1</v>
      </c>
      <c r="B1876" s="84">
        <v>5701603310730</v>
      </c>
      <c r="C1876" s="83">
        <v>30</v>
      </c>
      <c r="D1876" s="84">
        <v>5980623310</v>
      </c>
      <c r="F1876" s="83" t="s">
        <v>103</v>
      </c>
      <c r="G1876" s="83">
        <v>0</v>
      </c>
      <c r="H1876" s="83">
        <v>100</v>
      </c>
      <c r="K1876" s="83">
        <v>1</v>
      </c>
      <c r="L1876" s="83" t="s">
        <v>101</v>
      </c>
      <c r="M1876" s="83" t="s">
        <v>410</v>
      </c>
      <c r="N1876" s="83" t="s">
        <v>102</v>
      </c>
      <c r="P1876" s="83">
        <v>0</v>
      </c>
      <c r="U1876" s="83">
        <v>4</v>
      </c>
      <c r="V1876" s="83">
        <v>1</v>
      </c>
      <c r="W1876" s="83" t="s">
        <v>103</v>
      </c>
      <c r="X1876" s="83">
        <v>0</v>
      </c>
    </row>
    <row r="1877" spans="1:25" x14ac:dyDescent="0.2">
      <c r="A1877" s="83">
        <v>1</v>
      </c>
      <c r="B1877" s="84">
        <v>5701603310730</v>
      </c>
      <c r="C1877" s="83">
        <v>40</v>
      </c>
      <c r="D1877" s="84">
        <v>5980823310</v>
      </c>
      <c r="F1877" s="83" t="s">
        <v>103</v>
      </c>
      <c r="G1877" s="83">
        <v>0</v>
      </c>
      <c r="H1877" s="83">
        <v>100</v>
      </c>
      <c r="K1877" s="83">
        <v>1</v>
      </c>
      <c r="L1877" s="83" t="s">
        <v>101</v>
      </c>
      <c r="M1877" s="83" t="s">
        <v>410</v>
      </c>
      <c r="N1877" s="83" t="s">
        <v>102</v>
      </c>
      <c r="P1877" s="83">
        <v>0</v>
      </c>
      <c r="U1877" s="83">
        <v>4</v>
      </c>
      <c r="V1877" s="83">
        <v>1</v>
      </c>
      <c r="W1877" s="83" t="s">
        <v>103</v>
      </c>
      <c r="X1877" s="83">
        <v>0</v>
      </c>
    </row>
    <row r="1878" spans="1:25" x14ac:dyDescent="0.2">
      <c r="A1878" s="83">
        <v>1</v>
      </c>
      <c r="B1878" s="84">
        <v>5701603310730</v>
      </c>
      <c r="C1878" s="83">
        <v>50</v>
      </c>
      <c r="D1878" s="84">
        <v>5980933310</v>
      </c>
      <c r="F1878" s="83" t="s">
        <v>103</v>
      </c>
      <c r="G1878" s="83">
        <v>0</v>
      </c>
      <c r="H1878" s="83">
        <v>100</v>
      </c>
      <c r="K1878" s="83">
        <v>1</v>
      </c>
      <c r="L1878" s="83" t="s">
        <v>101</v>
      </c>
      <c r="M1878" s="83" t="s">
        <v>410</v>
      </c>
      <c r="N1878" s="83" t="s">
        <v>102</v>
      </c>
      <c r="P1878" s="83">
        <v>0</v>
      </c>
      <c r="U1878" s="83">
        <v>4</v>
      </c>
      <c r="V1878" s="83">
        <v>1</v>
      </c>
      <c r="W1878" s="83" t="s">
        <v>103</v>
      </c>
      <c r="X1878" s="83">
        <v>0</v>
      </c>
    </row>
    <row r="1879" spans="1:25" x14ac:dyDescent="0.2">
      <c r="A1879" s="83">
        <v>1</v>
      </c>
      <c r="B1879" s="84">
        <v>5701603310730</v>
      </c>
      <c r="C1879" s="83">
        <v>60</v>
      </c>
      <c r="D1879" s="84">
        <v>1010286</v>
      </c>
      <c r="F1879" s="83" t="s">
        <v>103</v>
      </c>
      <c r="G1879" s="83">
        <v>0</v>
      </c>
      <c r="H1879" s="83">
        <v>100</v>
      </c>
      <c r="K1879" s="83">
        <v>8</v>
      </c>
      <c r="L1879" s="83" t="s">
        <v>101</v>
      </c>
      <c r="M1879" s="83" t="s">
        <v>410</v>
      </c>
      <c r="N1879" s="83" t="s">
        <v>102</v>
      </c>
      <c r="P1879" s="83">
        <v>0</v>
      </c>
      <c r="U1879" s="83">
        <v>4</v>
      </c>
      <c r="V1879" s="83">
        <v>1</v>
      </c>
      <c r="W1879" s="83" t="s">
        <v>103</v>
      </c>
      <c r="X1879" s="83">
        <v>0</v>
      </c>
    </row>
    <row r="1880" spans="1:25" x14ac:dyDescent="0.2">
      <c r="A1880" s="83">
        <v>1</v>
      </c>
      <c r="B1880" s="84">
        <v>5701603310730</v>
      </c>
      <c r="C1880" s="83">
        <v>70</v>
      </c>
      <c r="D1880" s="84">
        <v>1010287</v>
      </c>
      <c r="F1880" s="83" t="s">
        <v>103</v>
      </c>
      <c r="G1880" s="83">
        <v>0</v>
      </c>
      <c r="H1880" s="83">
        <v>100</v>
      </c>
      <c r="K1880" s="83">
        <v>4</v>
      </c>
      <c r="L1880" s="83" t="s">
        <v>101</v>
      </c>
      <c r="M1880" s="83" t="s">
        <v>410</v>
      </c>
      <c r="N1880" s="83" t="s">
        <v>102</v>
      </c>
      <c r="P1880" s="83">
        <v>0</v>
      </c>
      <c r="U1880" s="83">
        <v>4</v>
      </c>
      <c r="V1880" s="83">
        <v>1</v>
      </c>
      <c r="W1880" s="83" t="s">
        <v>103</v>
      </c>
      <c r="X1880" s="83">
        <v>0</v>
      </c>
    </row>
    <row r="1881" spans="1:25" x14ac:dyDescent="0.2">
      <c r="A1881" s="83">
        <v>1</v>
      </c>
      <c r="B1881" s="84">
        <v>5701603310730</v>
      </c>
      <c r="C1881" s="83">
        <v>80</v>
      </c>
      <c r="D1881" s="84">
        <v>1020145</v>
      </c>
      <c r="F1881" s="83" t="s">
        <v>103</v>
      </c>
      <c r="G1881" s="83">
        <v>0</v>
      </c>
      <c r="H1881" s="83">
        <v>100</v>
      </c>
      <c r="K1881" s="83" t="s">
        <v>408</v>
      </c>
      <c r="L1881" s="83" t="s">
        <v>101</v>
      </c>
      <c r="M1881" s="83" t="s">
        <v>410</v>
      </c>
      <c r="N1881" s="83" t="s">
        <v>102</v>
      </c>
      <c r="P1881" s="83">
        <v>0</v>
      </c>
      <c r="U1881" s="83">
        <v>4</v>
      </c>
      <c r="V1881" s="83">
        <v>1</v>
      </c>
      <c r="W1881" s="83" t="s">
        <v>103</v>
      </c>
      <c r="X1881" s="83">
        <v>0</v>
      </c>
    </row>
    <row r="1882" spans="1:25" x14ac:dyDescent="0.2">
      <c r="A1882" s="83">
        <v>1</v>
      </c>
      <c r="B1882" s="84">
        <v>5701603310730</v>
      </c>
      <c r="C1882" s="83">
        <v>90</v>
      </c>
      <c r="D1882" s="84">
        <v>777500730</v>
      </c>
      <c r="F1882" s="83" t="s">
        <v>103</v>
      </c>
      <c r="G1882" s="83">
        <v>0</v>
      </c>
      <c r="H1882" s="83">
        <v>100</v>
      </c>
      <c r="K1882" s="83">
        <v>1</v>
      </c>
      <c r="L1882" s="83" t="s">
        <v>101</v>
      </c>
      <c r="M1882" s="83" t="s">
        <v>410</v>
      </c>
      <c r="N1882" s="83" t="s">
        <v>102</v>
      </c>
      <c r="P1882" s="83">
        <v>0</v>
      </c>
      <c r="U1882" s="83">
        <v>4</v>
      </c>
      <c r="V1882" s="83">
        <v>1</v>
      </c>
      <c r="W1882" s="83" t="s">
        <v>103</v>
      </c>
      <c r="X1882" s="83">
        <v>0</v>
      </c>
    </row>
    <row r="1883" spans="1:25" x14ac:dyDescent="0.2">
      <c r="A1883" s="83">
        <v>1</v>
      </c>
      <c r="B1883" s="84">
        <v>5701603300748</v>
      </c>
      <c r="C1883" s="83">
        <v>10</v>
      </c>
      <c r="D1883" s="84">
        <v>5980463399</v>
      </c>
      <c r="F1883" s="83" t="s">
        <v>103</v>
      </c>
      <c r="G1883" s="83">
        <v>0</v>
      </c>
      <c r="H1883" s="83">
        <v>100</v>
      </c>
      <c r="K1883" s="83">
        <v>1</v>
      </c>
      <c r="L1883" s="83" t="s">
        <v>101</v>
      </c>
      <c r="M1883" s="83" t="s">
        <v>410</v>
      </c>
      <c r="N1883" s="83" t="s">
        <v>102</v>
      </c>
      <c r="P1883" s="83">
        <v>0</v>
      </c>
      <c r="U1883" s="83">
        <v>4</v>
      </c>
      <c r="V1883" s="83">
        <v>1</v>
      </c>
      <c r="W1883" s="83" t="s">
        <v>103</v>
      </c>
      <c r="X1883" s="83">
        <v>0</v>
      </c>
      <c r="Y1883" s="83" t="str">
        <f>LEFT(D1883,6)</f>
        <v>598046</v>
      </c>
    </row>
    <row r="1884" spans="1:25" x14ac:dyDescent="0.2">
      <c r="A1884" s="83">
        <v>1</v>
      </c>
      <c r="B1884" s="84">
        <v>5701603300748</v>
      </c>
      <c r="C1884" s="83">
        <v>20</v>
      </c>
      <c r="D1884" s="84">
        <v>5980543399</v>
      </c>
      <c r="F1884" s="83" t="s">
        <v>103</v>
      </c>
      <c r="G1884" s="83">
        <v>0</v>
      </c>
      <c r="H1884" s="83">
        <v>100</v>
      </c>
      <c r="K1884" s="83">
        <v>1</v>
      </c>
      <c r="L1884" s="83" t="s">
        <v>101</v>
      </c>
      <c r="M1884" s="83" t="s">
        <v>410</v>
      </c>
      <c r="N1884" s="83" t="s">
        <v>102</v>
      </c>
      <c r="P1884" s="83">
        <v>0</v>
      </c>
      <c r="U1884" s="83">
        <v>4</v>
      </c>
      <c r="V1884" s="83">
        <v>1</v>
      </c>
      <c r="W1884" s="83" t="s">
        <v>103</v>
      </c>
      <c r="X1884" s="83">
        <v>0</v>
      </c>
    </row>
    <row r="1885" spans="1:25" x14ac:dyDescent="0.2">
      <c r="A1885" s="83">
        <v>1</v>
      </c>
      <c r="B1885" s="84">
        <v>5701603300748</v>
      </c>
      <c r="C1885" s="83">
        <v>30</v>
      </c>
      <c r="D1885" s="84">
        <v>5980623399</v>
      </c>
      <c r="F1885" s="83" t="s">
        <v>103</v>
      </c>
      <c r="G1885" s="83">
        <v>0</v>
      </c>
      <c r="H1885" s="83">
        <v>100</v>
      </c>
      <c r="K1885" s="83">
        <v>1</v>
      </c>
      <c r="L1885" s="83" t="s">
        <v>101</v>
      </c>
      <c r="M1885" s="83" t="s">
        <v>410</v>
      </c>
      <c r="N1885" s="83" t="s">
        <v>102</v>
      </c>
      <c r="P1885" s="83">
        <v>0</v>
      </c>
      <c r="U1885" s="83">
        <v>4</v>
      </c>
      <c r="V1885" s="83">
        <v>1</v>
      </c>
      <c r="W1885" s="83" t="s">
        <v>103</v>
      </c>
      <c r="X1885" s="83">
        <v>0</v>
      </c>
    </row>
    <row r="1886" spans="1:25" x14ac:dyDescent="0.2">
      <c r="A1886" s="83">
        <v>1</v>
      </c>
      <c r="B1886" s="84">
        <v>5701603300748</v>
      </c>
      <c r="C1886" s="83">
        <v>40</v>
      </c>
      <c r="D1886" s="84">
        <v>5980823399</v>
      </c>
      <c r="F1886" s="83" t="s">
        <v>103</v>
      </c>
      <c r="G1886" s="83">
        <v>0</v>
      </c>
      <c r="H1886" s="83">
        <v>100</v>
      </c>
      <c r="K1886" s="83">
        <v>1</v>
      </c>
      <c r="L1886" s="83" t="s">
        <v>101</v>
      </c>
      <c r="M1886" s="83" t="s">
        <v>410</v>
      </c>
      <c r="N1886" s="83" t="s">
        <v>102</v>
      </c>
      <c r="P1886" s="83">
        <v>0</v>
      </c>
      <c r="U1886" s="83">
        <v>4</v>
      </c>
      <c r="V1886" s="83">
        <v>1</v>
      </c>
      <c r="W1886" s="83" t="s">
        <v>103</v>
      </c>
      <c r="X1886" s="83">
        <v>0</v>
      </c>
    </row>
    <row r="1887" spans="1:25" x14ac:dyDescent="0.2">
      <c r="A1887" s="83">
        <v>1</v>
      </c>
      <c r="B1887" s="84">
        <v>5701603300748</v>
      </c>
      <c r="C1887" s="83">
        <v>50</v>
      </c>
      <c r="D1887" s="85">
        <v>1010277</v>
      </c>
      <c r="F1887" s="83" t="s">
        <v>103</v>
      </c>
      <c r="G1887" s="83">
        <v>0</v>
      </c>
      <c r="H1887" s="83">
        <v>100</v>
      </c>
      <c r="K1887" s="83">
        <v>1</v>
      </c>
      <c r="L1887" s="83" t="s">
        <v>101</v>
      </c>
      <c r="M1887" s="83" t="s">
        <v>410</v>
      </c>
      <c r="N1887" s="83" t="s">
        <v>102</v>
      </c>
      <c r="P1887" s="83">
        <v>0</v>
      </c>
      <c r="U1887" s="83">
        <v>4</v>
      </c>
      <c r="V1887" s="83">
        <v>1</v>
      </c>
      <c r="W1887" s="83" t="s">
        <v>103</v>
      </c>
      <c r="X1887" s="83">
        <v>0</v>
      </c>
    </row>
    <row r="1888" spans="1:25" x14ac:dyDescent="0.2">
      <c r="A1888" s="83">
        <v>1</v>
      </c>
      <c r="B1888" s="84">
        <v>5701603300748</v>
      </c>
      <c r="C1888" s="83">
        <v>60</v>
      </c>
      <c r="D1888" s="84">
        <v>1010286</v>
      </c>
      <c r="F1888" s="83" t="s">
        <v>103</v>
      </c>
      <c r="G1888" s="83">
        <v>0</v>
      </c>
      <c r="H1888" s="83">
        <v>100</v>
      </c>
      <c r="K1888" s="83">
        <v>8</v>
      </c>
      <c r="L1888" s="83" t="s">
        <v>101</v>
      </c>
      <c r="M1888" s="83" t="s">
        <v>410</v>
      </c>
      <c r="N1888" s="83" t="s">
        <v>102</v>
      </c>
      <c r="P1888" s="83">
        <v>0</v>
      </c>
      <c r="U1888" s="83">
        <v>4</v>
      </c>
      <c r="V1888" s="83">
        <v>1</v>
      </c>
      <c r="W1888" s="83" t="s">
        <v>103</v>
      </c>
      <c r="X1888" s="83">
        <v>0</v>
      </c>
    </row>
    <row r="1889" spans="1:25" x14ac:dyDescent="0.2">
      <c r="A1889" s="83">
        <v>1</v>
      </c>
      <c r="B1889" s="84">
        <v>5701603300748</v>
      </c>
      <c r="C1889" s="83">
        <v>70</v>
      </c>
      <c r="D1889" s="84">
        <v>1010287</v>
      </c>
      <c r="F1889" s="83" t="s">
        <v>103</v>
      </c>
      <c r="G1889" s="83">
        <v>0</v>
      </c>
      <c r="H1889" s="83">
        <v>100</v>
      </c>
      <c r="K1889" s="83">
        <v>4</v>
      </c>
      <c r="L1889" s="83" t="s">
        <v>101</v>
      </c>
      <c r="M1889" s="83" t="s">
        <v>410</v>
      </c>
      <c r="N1889" s="83" t="s">
        <v>102</v>
      </c>
      <c r="P1889" s="83">
        <v>0</v>
      </c>
      <c r="U1889" s="83">
        <v>4</v>
      </c>
      <c r="V1889" s="83">
        <v>1</v>
      </c>
      <c r="W1889" s="83" t="s">
        <v>103</v>
      </c>
      <c r="X1889" s="83">
        <v>0</v>
      </c>
    </row>
    <row r="1890" spans="1:25" x14ac:dyDescent="0.2">
      <c r="A1890" s="83">
        <v>1</v>
      </c>
      <c r="B1890" s="84">
        <v>5701603300748</v>
      </c>
      <c r="C1890" s="83">
        <v>80</v>
      </c>
      <c r="D1890" s="84">
        <v>1020145</v>
      </c>
      <c r="F1890" s="83" t="s">
        <v>103</v>
      </c>
      <c r="G1890" s="83">
        <v>0</v>
      </c>
      <c r="H1890" s="83">
        <v>100</v>
      </c>
      <c r="K1890" s="83" t="s">
        <v>408</v>
      </c>
      <c r="L1890" s="83" t="s">
        <v>101</v>
      </c>
      <c r="M1890" s="83" t="s">
        <v>410</v>
      </c>
      <c r="N1890" s="83" t="s">
        <v>102</v>
      </c>
      <c r="P1890" s="83">
        <v>0</v>
      </c>
      <c r="U1890" s="83">
        <v>4</v>
      </c>
      <c r="V1890" s="83">
        <v>1</v>
      </c>
      <c r="W1890" s="83" t="s">
        <v>103</v>
      </c>
      <c r="X1890" s="83">
        <v>0</v>
      </c>
    </row>
    <row r="1891" spans="1:25" x14ac:dyDescent="0.2">
      <c r="A1891" s="83">
        <v>1</v>
      </c>
      <c r="B1891" s="84">
        <v>5701603300748</v>
      </c>
      <c r="C1891" s="83">
        <v>90</v>
      </c>
      <c r="D1891" s="84">
        <v>777500748</v>
      </c>
      <c r="F1891" s="83" t="s">
        <v>103</v>
      </c>
      <c r="G1891" s="83">
        <v>0</v>
      </c>
      <c r="H1891" s="83">
        <v>100</v>
      </c>
      <c r="K1891" s="83">
        <v>1</v>
      </c>
      <c r="L1891" s="83" t="s">
        <v>101</v>
      </c>
      <c r="M1891" s="83" t="s">
        <v>410</v>
      </c>
      <c r="N1891" s="83" t="s">
        <v>102</v>
      </c>
      <c r="P1891" s="83">
        <v>0</v>
      </c>
      <c r="U1891" s="83">
        <v>4</v>
      </c>
      <c r="V1891" s="83">
        <v>1</v>
      </c>
      <c r="W1891" s="83" t="s">
        <v>103</v>
      </c>
      <c r="X1891" s="83">
        <v>0</v>
      </c>
    </row>
    <row r="1892" spans="1:25" x14ac:dyDescent="0.2">
      <c r="A1892" s="83">
        <v>1</v>
      </c>
      <c r="B1892" s="84">
        <v>5701603301748</v>
      </c>
      <c r="C1892" s="83">
        <v>10</v>
      </c>
      <c r="D1892" s="84">
        <v>5980463301</v>
      </c>
      <c r="F1892" s="83" t="s">
        <v>103</v>
      </c>
      <c r="G1892" s="83">
        <v>0</v>
      </c>
      <c r="H1892" s="83">
        <v>100</v>
      </c>
      <c r="K1892" s="83">
        <v>1</v>
      </c>
      <c r="L1892" s="83" t="s">
        <v>101</v>
      </c>
      <c r="M1892" s="83" t="s">
        <v>410</v>
      </c>
      <c r="N1892" s="83" t="s">
        <v>102</v>
      </c>
      <c r="P1892" s="83">
        <v>0</v>
      </c>
      <c r="U1892" s="83">
        <v>4</v>
      </c>
      <c r="V1892" s="83">
        <v>1</v>
      </c>
      <c r="W1892" s="83" t="s">
        <v>103</v>
      </c>
      <c r="X1892" s="83">
        <v>0</v>
      </c>
      <c r="Y1892" s="83" t="str">
        <f>LEFT(D1892,6)</f>
        <v>598046</v>
      </c>
    </row>
    <row r="1893" spans="1:25" x14ac:dyDescent="0.2">
      <c r="A1893" s="83">
        <v>1</v>
      </c>
      <c r="B1893" s="84">
        <v>5701603301748</v>
      </c>
      <c r="C1893" s="83">
        <v>20</v>
      </c>
      <c r="D1893" s="84">
        <v>5980543301</v>
      </c>
      <c r="F1893" s="83" t="s">
        <v>103</v>
      </c>
      <c r="G1893" s="83">
        <v>0</v>
      </c>
      <c r="H1893" s="83">
        <v>100</v>
      </c>
      <c r="K1893" s="83">
        <v>1</v>
      </c>
      <c r="L1893" s="83" t="s">
        <v>101</v>
      </c>
      <c r="M1893" s="83" t="s">
        <v>410</v>
      </c>
      <c r="N1893" s="83" t="s">
        <v>102</v>
      </c>
      <c r="P1893" s="83">
        <v>0</v>
      </c>
      <c r="U1893" s="83">
        <v>4</v>
      </c>
      <c r="V1893" s="83">
        <v>1</v>
      </c>
      <c r="W1893" s="83" t="s">
        <v>103</v>
      </c>
      <c r="X1893" s="83">
        <v>0</v>
      </c>
    </row>
    <row r="1894" spans="1:25" x14ac:dyDescent="0.2">
      <c r="A1894" s="83">
        <v>1</v>
      </c>
      <c r="B1894" s="84">
        <v>5701603301748</v>
      </c>
      <c r="C1894" s="83">
        <v>30</v>
      </c>
      <c r="D1894" s="84">
        <v>5980623301</v>
      </c>
      <c r="F1894" s="83" t="s">
        <v>103</v>
      </c>
      <c r="G1894" s="83">
        <v>0</v>
      </c>
      <c r="H1894" s="83">
        <v>100</v>
      </c>
      <c r="K1894" s="83">
        <v>1</v>
      </c>
      <c r="L1894" s="83" t="s">
        <v>101</v>
      </c>
      <c r="M1894" s="83" t="s">
        <v>410</v>
      </c>
      <c r="N1894" s="83" t="s">
        <v>102</v>
      </c>
      <c r="P1894" s="83">
        <v>0</v>
      </c>
      <c r="U1894" s="83">
        <v>4</v>
      </c>
      <c r="V1894" s="83">
        <v>1</v>
      </c>
      <c r="W1894" s="83" t="s">
        <v>103</v>
      </c>
      <c r="X1894" s="83">
        <v>0</v>
      </c>
    </row>
    <row r="1895" spans="1:25" x14ac:dyDescent="0.2">
      <c r="A1895" s="83">
        <v>1</v>
      </c>
      <c r="B1895" s="84">
        <v>5701603301748</v>
      </c>
      <c r="C1895" s="83">
        <v>40</v>
      </c>
      <c r="D1895" s="84">
        <v>5980823301</v>
      </c>
      <c r="F1895" s="83" t="s">
        <v>103</v>
      </c>
      <c r="G1895" s="83">
        <v>0</v>
      </c>
      <c r="H1895" s="83">
        <v>100</v>
      </c>
      <c r="K1895" s="83">
        <v>1</v>
      </c>
      <c r="L1895" s="83" t="s">
        <v>101</v>
      </c>
      <c r="M1895" s="83" t="s">
        <v>410</v>
      </c>
      <c r="N1895" s="83" t="s">
        <v>102</v>
      </c>
      <c r="P1895" s="83">
        <v>0</v>
      </c>
      <c r="U1895" s="83">
        <v>4</v>
      </c>
      <c r="V1895" s="83">
        <v>1</v>
      </c>
      <c r="W1895" s="83" t="s">
        <v>103</v>
      </c>
      <c r="X1895" s="83">
        <v>0</v>
      </c>
    </row>
    <row r="1896" spans="1:25" x14ac:dyDescent="0.2">
      <c r="A1896" s="83">
        <v>1</v>
      </c>
      <c r="B1896" s="84">
        <v>5701603301748</v>
      </c>
      <c r="C1896" s="83">
        <v>50</v>
      </c>
      <c r="D1896" s="84">
        <v>5980933301</v>
      </c>
      <c r="F1896" s="83" t="s">
        <v>103</v>
      </c>
      <c r="G1896" s="83">
        <v>0</v>
      </c>
      <c r="H1896" s="83">
        <v>100</v>
      </c>
      <c r="K1896" s="83">
        <v>1</v>
      </c>
      <c r="L1896" s="83" t="s">
        <v>101</v>
      </c>
      <c r="M1896" s="83" t="s">
        <v>410</v>
      </c>
      <c r="N1896" s="83" t="s">
        <v>102</v>
      </c>
      <c r="P1896" s="83">
        <v>0</v>
      </c>
      <c r="U1896" s="83">
        <v>4</v>
      </c>
      <c r="V1896" s="83">
        <v>1</v>
      </c>
      <c r="W1896" s="83" t="s">
        <v>103</v>
      </c>
      <c r="X1896" s="83">
        <v>0</v>
      </c>
    </row>
    <row r="1897" spans="1:25" x14ac:dyDescent="0.2">
      <c r="A1897" s="83">
        <v>1</v>
      </c>
      <c r="B1897" s="84">
        <v>5701603301748</v>
      </c>
      <c r="C1897" s="83">
        <v>60</v>
      </c>
      <c r="D1897" s="84">
        <v>1010286</v>
      </c>
      <c r="F1897" s="83" t="s">
        <v>103</v>
      </c>
      <c r="G1897" s="83">
        <v>0</v>
      </c>
      <c r="H1897" s="83">
        <v>100</v>
      </c>
      <c r="K1897" s="83">
        <v>8</v>
      </c>
      <c r="L1897" s="83" t="s">
        <v>101</v>
      </c>
      <c r="M1897" s="83" t="s">
        <v>410</v>
      </c>
      <c r="N1897" s="83" t="s">
        <v>102</v>
      </c>
      <c r="P1897" s="83">
        <v>0</v>
      </c>
      <c r="U1897" s="83">
        <v>4</v>
      </c>
      <c r="V1897" s="83">
        <v>1</v>
      </c>
      <c r="W1897" s="83" t="s">
        <v>103</v>
      </c>
      <c r="X1897" s="83">
        <v>0</v>
      </c>
    </row>
    <row r="1898" spans="1:25" x14ac:dyDescent="0.2">
      <c r="A1898" s="83">
        <v>1</v>
      </c>
      <c r="B1898" s="84">
        <v>5701603301748</v>
      </c>
      <c r="C1898" s="83">
        <v>70</v>
      </c>
      <c r="D1898" s="84">
        <v>1010287</v>
      </c>
      <c r="F1898" s="83" t="s">
        <v>103</v>
      </c>
      <c r="G1898" s="83">
        <v>0</v>
      </c>
      <c r="H1898" s="83">
        <v>100</v>
      </c>
      <c r="K1898" s="83">
        <v>4</v>
      </c>
      <c r="L1898" s="83" t="s">
        <v>101</v>
      </c>
      <c r="M1898" s="83" t="s">
        <v>410</v>
      </c>
      <c r="N1898" s="83" t="s">
        <v>102</v>
      </c>
      <c r="P1898" s="83">
        <v>0</v>
      </c>
      <c r="U1898" s="83">
        <v>4</v>
      </c>
      <c r="V1898" s="83">
        <v>1</v>
      </c>
      <c r="W1898" s="83" t="s">
        <v>103</v>
      </c>
      <c r="X1898" s="83">
        <v>0</v>
      </c>
    </row>
    <row r="1899" spans="1:25" x14ac:dyDescent="0.2">
      <c r="A1899" s="83">
        <v>1</v>
      </c>
      <c r="B1899" s="84">
        <v>5701603301748</v>
      </c>
      <c r="C1899" s="83">
        <v>80</v>
      </c>
      <c r="D1899" s="84">
        <v>1020145</v>
      </c>
      <c r="F1899" s="83" t="s">
        <v>103</v>
      </c>
      <c r="G1899" s="83">
        <v>0</v>
      </c>
      <c r="H1899" s="83">
        <v>100</v>
      </c>
      <c r="K1899" s="83" t="s">
        <v>408</v>
      </c>
      <c r="L1899" s="83" t="s">
        <v>101</v>
      </c>
      <c r="M1899" s="83" t="s">
        <v>410</v>
      </c>
      <c r="N1899" s="83" t="s">
        <v>102</v>
      </c>
      <c r="P1899" s="83">
        <v>0</v>
      </c>
      <c r="U1899" s="83">
        <v>4</v>
      </c>
      <c r="V1899" s="83">
        <v>1</v>
      </c>
      <c r="W1899" s="83" t="s">
        <v>103</v>
      </c>
      <c r="X1899" s="83">
        <v>0</v>
      </c>
    </row>
    <row r="1900" spans="1:25" x14ac:dyDescent="0.2">
      <c r="A1900" s="83">
        <v>1</v>
      </c>
      <c r="B1900" s="84">
        <v>5701603301748</v>
      </c>
      <c r="C1900" s="83">
        <v>90</v>
      </c>
      <c r="D1900" s="84">
        <v>777500748</v>
      </c>
      <c r="F1900" s="83" t="s">
        <v>103</v>
      </c>
      <c r="G1900" s="83">
        <v>0</v>
      </c>
      <c r="H1900" s="83">
        <v>100</v>
      </c>
      <c r="K1900" s="83">
        <v>1</v>
      </c>
      <c r="L1900" s="83" t="s">
        <v>101</v>
      </c>
      <c r="M1900" s="83" t="s">
        <v>410</v>
      </c>
      <c r="N1900" s="83" t="s">
        <v>102</v>
      </c>
      <c r="P1900" s="83">
        <v>0</v>
      </c>
      <c r="U1900" s="83">
        <v>4</v>
      </c>
      <c r="V1900" s="83">
        <v>1</v>
      </c>
      <c r="W1900" s="83" t="s">
        <v>103</v>
      </c>
      <c r="X1900" s="83">
        <v>0</v>
      </c>
    </row>
    <row r="1901" spans="1:25" x14ac:dyDescent="0.2">
      <c r="A1901" s="83">
        <v>1</v>
      </c>
      <c r="B1901" s="84">
        <v>5701603302748</v>
      </c>
      <c r="C1901" s="83">
        <v>10</v>
      </c>
      <c r="D1901" s="84">
        <v>5980463302</v>
      </c>
      <c r="F1901" s="83" t="s">
        <v>103</v>
      </c>
      <c r="G1901" s="83">
        <v>0</v>
      </c>
      <c r="H1901" s="83">
        <v>100</v>
      </c>
      <c r="K1901" s="83">
        <v>1</v>
      </c>
      <c r="L1901" s="83" t="s">
        <v>101</v>
      </c>
      <c r="M1901" s="83" t="s">
        <v>410</v>
      </c>
      <c r="N1901" s="83" t="s">
        <v>102</v>
      </c>
      <c r="P1901" s="83">
        <v>0</v>
      </c>
      <c r="U1901" s="83">
        <v>4</v>
      </c>
      <c r="V1901" s="83">
        <v>1</v>
      </c>
      <c r="W1901" s="83" t="s">
        <v>103</v>
      </c>
      <c r="X1901" s="83">
        <v>0</v>
      </c>
      <c r="Y1901" s="83" t="str">
        <f>LEFT(D1901,6)</f>
        <v>598046</v>
      </c>
    </row>
    <row r="1902" spans="1:25" x14ac:dyDescent="0.2">
      <c r="A1902" s="83">
        <v>1</v>
      </c>
      <c r="B1902" s="84">
        <v>5701603302748</v>
      </c>
      <c r="C1902" s="83">
        <v>20</v>
      </c>
      <c r="D1902" s="84">
        <v>5980543302</v>
      </c>
      <c r="F1902" s="83" t="s">
        <v>103</v>
      </c>
      <c r="G1902" s="83">
        <v>0</v>
      </c>
      <c r="H1902" s="83">
        <v>100</v>
      </c>
      <c r="K1902" s="83">
        <v>1</v>
      </c>
      <c r="L1902" s="83" t="s">
        <v>101</v>
      </c>
      <c r="M1902" s="83" t="s">
        <v>410</v>
      </c>
      <c r="N1902" s="83" t="s">
        <v>102</v>
      </c>
      <c r="P1902" s="83">
        <v>0</v>
      </c>
      <c r="U1902" s="83">
        <v>4</v>
      </c>
      <c r="V1902" s="83">
        <v>1</v>
      </c>
      <c r="W1902" s="83" t="s">
        <v>103</v>
      </c>
      <c r="X1902" s="83">
        <v>0</v>
      </c>
    </row>
    <row r="1903" spans="1:25" x14ac:dyDescent="0.2">
      <c r="A1903" s="83">
        <v>1</v>
      </c>
      <c r="B1903" s="84">
        <v>5701603302748</v>
      </c>
      <c r="C1903" s="83">
        <v>30</v>
      </c>
      <c r="D1903" s="84">
        <v>5980623302</v>
      </c>
      <c r="F1903" s="83" t="s">
        <v>103</v>
      </c>
      <c r="G1903" s="83">
        <v>0</v>
      </c>
      <c r="H1903" s="83">
        <v>100</v>
      </c>
      <c r="K1903" s="83">
        <v>1</v>
      </c>
      <c r="L1903" s="83" t="s">
        <v>101</v>
      </c>
      <c r="M1903" s="83" t="s">
        <v>410</v>
      </c>
      <c r="N1903" s="83" t="s">
        <v>102</v>
      </c>
      <c r="P1903" s="83">
        <v>0</v>
      </c>
      <c r="U1903" s="83">
        <v>4</v>
      </c>
      <c r="V1903" s="83">
        <v>1</v>
      </c>
      <c r="W1903" s="83" t="s">
        <v>103</v>
      </c>
      <c r="X1903" s="83">
        <v>0</v>
      </c>
    </row>
    <row r="1904" spans="1:25" x14ac:dyDescent="0.2">
      <c r="A1904" s="83">
        <v>1</v>
      </c>
      <c r="B1904" s="84">
        <v>5701603302748</v>
      </c>
      <c r="C1904" s="83">
        <v>40</v>
      </c>
      <c r="D1904" s="84">
        <v>5980823302</v>
      </c>
      <c r="F1904" s="83" t="s">
        <v>103</v>
      </c>
      <c r="G1904" s="83">
        <v>0</v>
      </c>
      <c r="H1904" s="83">
        <v>100</v>
      </c>
      <c r="K1904" s="83">
        <v>1</v>
      </c>
      <c r="L1904" s="83" t="s">
        <v>101</v>
      </c>
      <c r="M1904" s="83" t="s">
        <v>410</v>
      </c>
      <c r="N1904" s="83" t="s">
        <v>102</v>
      </c>
      <c r="P1904" s="83">
        <v>0</v>
      </c>
      <c r="U1904" s="83">
        <v>4</v>
      </c>
      <c r="V1904" s="83">
        <v>1</v>
      </c>
      <c r="W1904" s="83" t="s">
        <v>103</v>
      </c>
      <c r="X1904" s="83">
        <v>0</v>
      </c>
    </row>
    <row r="1905" spans="1:25" x14ac:dyDescent="0.2">
      <c r="A1905" s="83">
        <v>1</v>
      </c>
      <c r="B1905" s="84">
        <v>5701603302748</v>
      </c>
      <c r="C1905" s="83">
        <v>50</v>
      </c>
      <c r="D1905" s="84">
        <v>5980933302</v>
      </c>
      <c r="F1905" s="83" t="s">
        <v>103</v>
      </c>
      <c r="G1905" s="83">
        <v>0</v>
      </c>
      <c r="H1905" s="83">
        <v>100</v>
      </c>
      <c r="K1905" s="83">
        <v>1</v>
      </c>
      <c r="L1905" s="83" t="s">
        <v>101</v>
      </c>
      <c r="M1905" s="83" t="s">
        <v>410</v>
      </c>
      <c r="N1905" s="83" t="s">
        <v>102</v>
      </c>
      <c r="P1905" s="83">
        <v>0</v>
      </c>
      <c r="U1905" s="83">
        <v>4</v>
      </c>
      <c r="V1905" s="83">
        <v>1</v>
      </c>
      <c r="W1905" s="83" t="s">
        <v>103</v>
      </c>
      <c r="X1905" s="83">
        <v>0</v>
      </c>
    </row>
    <row r="1906" spans="1:25" x14ac:dyDescent="0.2">
      <c r="A1906" s="83">
        <v>1</v>
      </c>
      <c r="B1906" s="84">
        <v>5701603302748</v>
      </c>
      <c r="C1906" s="83">
        <v>60</v>
      </c>
      <c r="D1906" s="84">
        <v>1010286</v>
      </c>
      <c r="F1906" s="83" t="s">
        <v>103</v>
      </c>
      <c r="G1906" s="83">
        <v>0</v>
      </c>
      <c r="H1906" s="83">
        <v>100</v>
      </c>
      <c r="K1906" s="83">
        <v>8</v>
      </c>
      <c r="L1906" s="83" t="s">
        <v>101</v>
      </c>
      <c r="M1906" s="83" t="s">
        <v>410</v>
      </c>
      <c r="N1906" s="83" t="s">
        <v>102</v>
      </c>
      <c r="P1906" s="83">
        <v>0</v>
      </c>
      <c r="U1906" s="83">
        <v>4</v>
      </c>
      <c r="V1906" s="83">
        <v>1</v>
      </c>
      <c r="W1906" s="83" t="s">
        <v>103</v>
      </c>
      <c r="X1906" s="83">
        <v>0</v>
      </c>
    </row>
    <row r="1907" spans="1:25" x14ac:dyDescent="0.2">
      <c r="A1907" s="83">
        <v>1</v>
      </c>
      <c r="B1907" s="84">
        <v>5701603302748</v>
      </c>
      <c r="C1907" s="83">
        <v>70</v>
      </c>
      <c r="D1907" s="84">
        <v>1010288</v>
      </c>
      <c r="F1907" s="83" t="s">
        <v>103</v>
      </c>
      <c r="G1907" s="83">
        <v>0</v>
      </c>
      <c r="H1907" s="83">
        <v>100</v>
      </c>
      <c r="K1907" s="83">
        <v>4</v>
      </c>
      <c r="L1907" s="83" t="s">
        <v>101</v>
      </c>
      <c r="M1907" s="83" t="s">
        <v>410</v>
      </c>
      <c r="N1907" s="83" t="s">
        <v>102</v>
      </c>
      <c r="P1907" s="83">
        <v>0</v>
      </c>
      <c r="U1907" s="83">
        <v>4</v>
      </c>
      <c r="V1907" s="83">
        <v>1</v>
      </c>
      <c r="W1907" s="83" t="s">
        <v>103</v>
      </c>
      <c r="X1907" s="83">
        <v>0</v>
      </c>
    </row>
    <row r="1908" spans="1:25" x14ac:dyDescent="0.2">
      <c r="A1908" s="83">
        <v>1</v>
      </c>
      <c r="B1908" s="84">
        <v>5701603302748</v>
      </c>
      <c r="C1908" s="83">
        <v>80</v>
      </c>
      <c r="D1908" s="84">
        <v>1020145</v>
      </c>
      <c r="F1908" s="83" t="s">
        <v>103</v>
      </c>
      <c r="G1908" s="83">
        <v>0</v>
      </c>
      <c r="H1908" s="83">
        <v>100</v>
      </c>
      <c r="K1908" s="83" t="s">
        <v>408</v>
      </c>
      <c r="L1908" s="83" t="s">
        <v>101</v>
      </c>
      <c r="M1908" s="83" t="s">
        <v>410</v>
      </c>
      <c r="N1908" s="83" t="s">
        <v>102</v>
      </c>
      <c r="P1908" s="83">
        <v>0</v>
      </c>
      <c r="U1908" s="83">
        <v>4</v>
      </c>
      <c r="V1908" s="83">
        <v>1</v>
      </c>
      <c r="W1908" s="83" t="s">
        <v>103</v>
      </c>
      <c r="X1908" s="83">
        <v>0</v>
      </c>
    </row>
    <row r="1909" spans="1:25" x14ac:dyDescent="0.2">
      <c r="A1909" s="83">
        <v>1</v>
      </c>
      <c r="B1909" s="84">
        <v>5701603302748</v>
      </c>
      <c r="C1909" s="83">
        <v>90</v>
      </c>
      <c r="D1909" s="84">
        <v>777500748</v>
      </c>
      <c r="F1909" s="83" t="s">
        <v>103</v>
      </c>
      <c r="G1909" s="83">
        <v>0</v>
      </c>
      <c r="H1909" s="83">
        <v>100</v>
      </c>
      <c r="K1909" s="83">
        <v>1</v>
      </c>
      <c r="L1909" s="83" t="s">
        <v>101</v>
      </c>
      <c r="M1909" s="83" t="s">
        <v>410</v>
      </c>
      <c r="N1909" s="83" t="s">
        <v>102</v>
      </c>
      <c r="P1909" s="83">
        <v>0</v>
      </c>
      <c r="U1909" s="83">
        <v>4</v>
      </c>
      <c r="V1909" s="83">
        <v>1</v>
      </c>
      <c r="W1909" s="83" t="s">
        <v>103</v>
      </c>
      <c r="X1909" s="83">
        <v>0</v>
      </c>
    </row>
    <row r="1910" spans="1:25" x14ac:dyDescent="0.2">
      <c r="A1910" s="83">
        <v>1</v>
      </c>
      <c r="B1910" s="84">
        <v>5701603303748</v>
      </c>
      <c r="C1910" s="83">
        <v>10</v>
      </c>
      <c r="D1910" s="84">
        <v>5980463303</v>
      </c>
      <c r="F1910" s="83" t="s">
        <v>103</v>
      </c>
      <c r="G1910" s="83">
        <v>0</v>
      </c>
      <c r="H1910" s="83">
        <v>100</v>
      </c>
      <c r="K1910" s="83">
        <v>1</v>
      </c>
      <c r="L1910" s="83" t="s">
        <v>101</v>
      </c>
      <c r="M1910" s="83" t="s">
        <v>410</v>
      </c>
      <c r="N1910" s="83" t="s">
        <v>102</v>
      </c>
      <c r="P1910" s="83">
        <v>0</v>
      </c>
      <c r="U1910" s="83">
        <v>4</v>
      </c>
      <c r="V1910" s="83">
        <v>1</v>
      </c>
      <c r="W1910" s="83" t="s">
        <v>103</v>
      </c>
      <c r="X1910" s="83">
        <v>0</v>
      </c>
      <c r="Y1910" s="83" t="str">
        <f>LEFT(D1910,6)</f>
        <v>598046</v>
      </c>
    </row>
    <row r="1911" spans="1:25" x14ac:dyDescent="0.2">
      <c r="A1911" s="83">
        <v>1</v>
      </c>
      <c r="B1911" s="84">
        <v>5701603303748</v>
      </c>
      <c r="C1911" s="83">
        <v>20</v>
      </c>
      <c r="D1911" s="84">
        <v>5980543303</v>
      </c>
      <c r="F1911" s="83" t="s">
        <v>103</v>
      </c>
      <c r="G1911" s="83">
        <v>0</v>
      </c>
      <c r="H1911" s="83">
        <v>100</v>
      </c>
      <c r="K1911" s="83">
        <v>1</v>
      </c>
      <c r="L1911" s="83" t="s">
        <v>101</v>
      </c>
      <c r="M1911" s="83" t="s">
        <v>410</v>
      </c>
      <c r="N1911" s="83" t="s">
        <v>102</v>
      </c>
      <c r="P1911" s="83">
        <v>0</v>
      </c>
      <c r="U1911" s="83">
        <v>4</v>
      </c>
      <c r="V1911" s="83">
        <v>1</v>
      </c>
      <c r="W1911" s="83" t="s">
        <v>103</v>
      </c>
      <c r="X1911" s="83">
        <v>0</v>
      </c>
    </row>
    <row r="1912" spans="1:25" x14ac:dyDescent="0.2">
      <c r="A1912" s="83">
        <v>1</v>
      </c>
      <c r="B1912" s="84">
        <v>5701603303748</v>
      </c>
      <c r="C1912" s="83">
        <v>30</v>
      </c>
      <c r="D1912" s="84">
        <v>5980623303</v>
      </c>
      <c r="F1912" s="83" t="s">
        <v>103</v>
      </c>
      <c r="G1912" s="83">
        <v>0</v>
      </c>
      <c r="H1912" s="83">
        <v>100</v>
      </c>
      <c r="K1912" s="83">
        <v>1</v>
      </c>
      <c r="L1912" s="83" t="s">
        <v>101</v>
      </c>
      <c r="M1912" s="83" t="s">
        <v>410</v>
      </c>
      <c r="N1912" s="83" t="s">
        <v>102</v>
      </c>
      <c r="P1912" s="83">
        <v>0</v>
      </c>
      <c r="U1912" s="83">
        <v>4</v>
      </c>
      <c r="V1912" s="83">
        <v>1</v>
      </c>
      <c r="W1912" s="83" t="s">
        <v>103</v>
      </c>
      <c r="X1912" s="83">
        <v>0</v>
      </c>
    </row>
    <row r="1913" spans="1:25" x14ac:dyDescent="0.2">
      <c r="A1913" s="83">
        <v>1</v>
      </c>
      <c r="B1913" s="84">
        <v>5701603303748</v>
      </c>
      <c r="C1913" s="83">
        <v>40</v>
      </c>
      <c r="D1913" s="84">
        <v>5980823303</v>
      </c>
      <c r="F1913" s="83" t="s">
        <v>103</v>
      </c>
      <c r="G1913" s="83">
        <v>0</v>
      </c>
      <c r="H1913" s="83">
        <v>100</v>
      </c>
      <c r="K1913" s="83">
        <v>1</v>
      </c>
      <c r="L1913" s="83" t="s">
        <v>101</v>
      </c>
      <c r="M1913" s="83" t="s">
        <v>410</v>
      </c>
      <c r="N1913" s="83" t="s">
        <v>102</v>
      </c>
      <c r="P1913" s="83">
        <v>0</v>
      </c>
      <c r="U1913" s="83">
        <v>4</v>
      </c>
      <c r="V1913" s="83">
        <v>1</v>
      </c>
      <c r="W1913" s="83" t="s">
        <v>103</v>
      </c>
      <c r="X1913" s="83">
        <v>0</v>
      </c>
    </row>
    <row r="1914" spans="1:25" x14ac:dyDescent="0.2">
      <c r="A1914" s="83">
        <v>1</v>
      </c>
      <c r="B1914" s="84">
        <v>5701603303748</v>
      </c>
      <c r="C1914" s="83">
        <v>50</v>
      </c>
      <c r="D1914" s="84">
        <v>5980933303</v>
      </c>
      <c r="F1914" s="83" t="s">
        <v>103</v>
      </c>
      <c r="G1914" s="83">
        <v>0</v>
      </c>
      <c r="H1914" s="83">
        <v>100</v>
      </c>
      <c r="K1914" s="83">
        <v>1</v>
      </c>
      <c r="L1914" s="83" t="s">
        <v>101</v>
      </c>
      <c r="M1914" s="83" t="s">
        <v>410</v>
      </c>
      <c r="N1914" s="83" t="s">
        <v>102</v>
      </c>
      <c r="P1914" s="83">
        <v>0</v>
      </c>
      <c r="U1914" s="83">
        <v>4</v>
      </c>
      <c r="V1914" s="83">
        <v>1</v>
      </c>
      <c r="W1914" s="83" t="s">
        <v>103</v>
      </c>
      <c r="X1914" s="83">
        <v>0</v>
      </c>
    </row>
    <row r="1915" spans="1:25" x14ac:dyDescent="0.2">
      <c r="A1915" s="83">
        <v>1</v>
      </c>
      <c r="B1915" s="84">
        <v>5701603303748</v>
      </c>
      <c r="C1915" s="83">
        <v>60</v>
      </c>
      <c r="D1915" s="84">
        <v>1010286</v>
      </c>
      <c r="F1915" s="83" t="s">
        <v>103</v>
      </c>
      <c r="G1915" s="83">
        <v>0</v>
      </c>
      <c r="H1915" s="83">
        <v>100</v>
      </c>
      <c r="K1915" s="83">
        <v>8</v>
      </c>
      <c r="L1915" s="83" t="s">
        <v>101</v>
      </c>
      <c r="M1915" s="83" t="s">
        <v>410</v>
      </c>
      <c r="N1915" s="83" t="s">
        <v>102</v>
      </c>
      <c r="P1915" s="83">
        <v>0</v>
      </c>
      <c r="U1915" s="83">
        <v>4</v>
      </c>
      <c r="V1915" s="83">
        <v>1</v>
      </c>
      <c r="W1915" s="83" t="s">
        <v>103</v>
      </c>
      <c r="X1915" s="83">
        <v>0</v>
      </c>
    </row>
    <row r="1916" spans="1:25" x14ac:dyDescent="0.2">
      <c r="A1916" s="83">
        <v>1</v>
      </c>
      <c r="B1916" s="84">
        <v>5701603303748</v>
      </c>
      <c r="C1916" s="83">
        <v>70</v>
      </c>
      <c r="D1916" s="84">
        <v>1010287</v>
      </c>
      <c r="F1916" s="83" t="s">
        <v>103</v>
      </c>
      <c r="G1916" s="83">
        <v>0</v>
      </c>
      <c r="H1916" s="83">
        <v>100</v>
      </c>
      <c r="K1916" s="83">
        <v>4</v>
      </c>
      <c r="L1916" s="83" t="s">
        <v>101</v>
      </c>
      <c r="M1916" s="83" t="s">
        <v>410</v>
      </c>
      <c r="N1916" s="83" t="s">
        <v>102</v>
      </c>
      <c r="P1916" s="83">
        <v>0</v>
      </c>
      <c r="U1916" s="83">
        <v>4</v>
      </c>
      <c r="V1916" s="83">
        <v>1</v>
      </c>
      <c r="W1916" s="83" t="s">
        <v>103</v>
      </c>
      <c r="X1916" s="83">
        <v>0</v>
      </c>
    </row>
    <row r="1917" spans="1:25" x14ac:dyDescent="0.2">
      <c r="A1917" s="83">
        <v>1</v>
      </c>
      <c r="B1917" s="84">
        <v>5701603303748</v>
      </c>
      <c r="C1917" s="83">
        <v>80</v>
      </c>
      <c r="D1917" s="84">
        <v>1020145</v>
      </c>
      <c r="F1917" s="83" t="s">
        <v>103</v>
      </c>
      <c r="G1917" s="83">
        <v>0</v>
      </c>
      <c r="H1917" s="83">
        <v>100</v>
      </c>
      <c r="K1917" s="83" t="s">
        <v>408</v>
      </c>
      <c r="L1917" s="83" t="s">
        <v>101</v>
      </c>
      <c r="M1917" s="83" t="s">
        <v>410</v>
      </c>
      <c r="N1917" s="83" t="s">
        <v>102</v>
      </c>
      <c r="P1917" s="83">
        <v>0</v>
      </c>
      <c r="U1917" s="83">
        <v>4</v>
      </c>
      <c r="V1917" s="83">
        <v>1</v>
      </c>
      <c r="W1917" s="83" t="s">
        <v>103</v>
      </c>
      <c r="X1917" s="83">
        <v>0</v>
      </c>
    </row>
    <row r="1918" spans="1:25" x14ac:dyDescent="0.2">
      <c r="A1918" s="83">
        <v>1</v>
      </c>
      <c r="B1918" s="84">
        <v>5701603303748</v>
      </c>
      <c r="C1918" s="83">
        <v>90</v>
      </c>
      <c r="D1918" s="84">
        <v>777500748</v>
      </c>
      <c r="F1918" s="83" t="s">
        <v>103</v>
      </c>
      <c r="G1918" s="83">
        <v>0</v>
      </c>
      <c r="H1918" s="83">
        <v>100</v>
      </c>
      <c r="K1918" s="83">
        <v>1</v>
      </c>
      <c r="L1918" s="83" t="s">
        <v>101</v>
      </c>
      <c r="M1918" s="83" t="s">
        <v>410</v>
      </c>
      <c r="N1918" s="83" t="s">
        <v>102</v>
      </c>
      <c r="P1918" s="83">
        <v>0</v>
      </c>
      <c r="U1918" s="83">
        <v>4</v>
      </c>
      <c r="V1918" s="83">
        <v>1</v>
      </c>
      <c r="W1918" s="83" t="s">
        <v>103</v>
      </c>
      <c r="X1918" s="83">
        <v>0</v>
      </c>
    </row>
    <row r="1919" spans="1:25" x14ac:dyDescent="0.2">
      <c r="A1919" s="83">
        <v>1</v>
      </c>
      <c r="B1919" s="84">
        <v>5701603304748</v>
      </c>
      <c r="C1919" s="83">
        <v>10</v>
      </c>
      <c r="D1919" s="84">
        <v>5980463304</v>
      </c>
      <c r="F1919" s="83" t="s">
        <v>103</v>
      </c>
      <c r="G1919" s="83">
        <v>0</v>
      </c>
      <c r="H1919" s="83">
        <v>100</v>
      </c>
      <c r="K1919" s="83">
        <v>1</v>
      </c>
      <c r="L1919" s="83" t="s">
        <v>101</v>
      </c>
      <c r="M1919" s="83" t="s">
        <v>410</v>
      </c>
      <c r="N1919" s="83" t="s">
        <v>102</v>
      </c>
      <c r="P1919" s="83">
        <v>0</v>
      </c>
      <c r="U1919" s="83">
        <v>4</v>
      </c>
      <c r="V1919" s="83">
        <v>1</v>
      </c>
      <c r="W1919" s="83" t="s">
        <v>103</v>
      </c>
      <c r="X1919" s="83">
        <v>0</v>
      </c>
      <c r="Y1919" s="83" t="str">
        <f>LEFT(D1919,6)</f>
        <v>598046</v>
      </c>
    </row>
    <row r="1920" spans="1:25" x14ac:dyDescent="0.2">
      <c r="A1920" s="83">
        <v>1</v>
      </c>
      <c r="B1920" s="84">
        <v>5701603304748</v>
      </c>
      <c r="C1920" s="83">
        <v>20</v>
      </c>
      <c r="D1920" s="84">
        <v>5980543304</v>
      </c>
      <c r="F1920" s="83" t="s">
        <v>103</v>
      </c>
      <c r="G1920" s="83">
        <v>0</v>
      </c>
      <c r="H1920" s="83">
        <v>100</v>
      </c>
      <c r="K1920" s="83">
        <v>1</v>
      </c>
      <c r="L1920" s="83" t="s">
        <v>101</v>
      </c>
      <c r="M1920" s="83" t="s">
        <v>410</v>
      </c>
      <c r="N1920" s="83" t="s">
        <v>102</v>
      </c>
      <c r="P1920" s="83">
        <v>0</v>
      </c>
      <c r="U1920" s="83">
        <v>4</v>
      </c>
      <c r="V1920" s="83">
        <v>1</v>
      </c>
      <c r="W1920" s="83" t="s">
        <v>103</v>
      </c>
      <c r="X1920" s="83">
        <v>0</v>
      </c>
    </row>
    <row r="1921" spans="1:25" x14ac:dyDescent="0.2">
      <c r="A1921" s="83">
        <v>1</v>
      </c>
      <c r="B1921" s="84">
        <v>5701603304748</v>
      </c>
      <c r="C1921" s="83">
        <v>30</v>
      </c>
      <c r="D1921" s="84">
        <v>5980623304</v>
      </c>
      <c r="F1921" s="83" t="s">
        <v>103</v>
      </c>
      <c r="G1921" s="83">
        <v>0</v>
      </c>
      <c r="H1921" s="83">
        <v>100</v>
      </c>
      <c r="K1921" s="83">
        <v>1</v>
      </c>
      <c r="L1921" s="83" t="s">
        <v>101</v>
      </c>
      <c r="M1921" s="83" t="s">
        <v>410</v>
      </c>
      <c r="N1921" s="83" t="s">
        <v>102</v>
      </c>
      <c r="P1921" s="83">
        <v>0</v>
      </c>
      <c r="U1921" s="83">
        <v>4</v>
      </c>
      <c r="V1921" s="83">
        <v>1</v>
      </c>
      <c r="W1921" s="83" t="s">
        <v>103</v>
      </c>
      <c r="X1921" s="83">
        <v>0</v>
      </c>
    </row>
    <row r="1922" spans="1:25" x14ac:dyDescent="0.2">
      <c r="A1922" s="83">
        <v>1</v>
      </c>
      <c r="B1922" s="84">
        <v>5701603304748</v>
      </c>
      <c r="C1922" s="83">
        <v>40</v>
      </c>
      <c r="D1922" s="84">
        <v>5980823304</v>
      </c>
      <c r="F1922" s="83" t="s">
        <v>103</v>
      </c>
      <c r="G1922" s="83">
        <v>0</v>
      </c>
      <c r="H1922" s="83">
        <v>100</v>
      </c>
      <c r="K1922" s="83">
        <v>1</v>
      </c>
      <c r="L1922" s="83" t="s">
        <v>101</v>
      </c>
      <c r="M1922" s="83" t="s">
        <v>410</v>
      </c>
      <c r="N1922" s="83" t="s">
        <v>102</v>
      </c>
      <c r="P1922" s="83">
        <v>0</v>
      </c>
      <c r="U1922" s="83">
        <v>4</v>
      </c>
      <c r="V1922" s="83">
        <v>1</v>
      </c>
      <c r="W1922" s="83" t="s">
        <v>103</v>
      </c>
      <c r="X1922" s="83">
        <v>0</v>
      </c>
    </row>
    <row r="1923" spans="1:25" x14ac:dyDescent="0.2">
      <c r="A1923" s="83">
        <v>1</v>
      </c>
      <c r="B1923" s="84">
        <v>5701603304748</v>
      </c>
      <c r="C1923" s="83">
        <v>50</v>
      </c>
      <c r="D1923" s="84">
        <v>5980933304</v>
      </c>
      <c r="F1923" s="83" t="s">
        <v>103</v>
      </c>
      <c r="G1923" s="83">
        <v>0</v>
      </c>
      <c r="H1923" s="83">
        <v>100</v>
      </c>
      <c r="K1923" s="83">
        <v>1</v>
      </c>
      <c r="L1923" s="83" t="s">
        <v>101</v>
      </c>
      <c r="M1923" s="83" t="s">
        <v>410</v>
      </c>
      <c r="N1923" s="83" t="s">
        <v>102</v>
      </c>
      <c r="P1923" s="83">
        <v>0</v>
      </c>
      <c r="U1923" s="83">
        <v>4</v>
      </c>
      <c r="V1923" s="83">
        <v>1</v>
      </c>
      <c r="W1923" s="83" t="s">
        <v>103</v>
      </c>
      <c r="X1923" s="83">
        <v>0</v>
      </c>
    </row>
    <row r="1924" spans="1:25" x14ac:dyDescent="0.2">
      <c r="A1924" s="83">
        <v>1</v>
      </c>
      <c r="B1924" s="84">
        <v>5701603304748</v>
      </c>
      <c r="C1924" s="83">
        <v>60</v>
      </c>
      <c r="D1924" s="84">
        <v>1010286</v>
      </c>
      <c r="F1924" s="83" t="s">
        <v>103</v>
      </c>
      <c r="G1924" s="83">
        <v>0</v>
      </c>
      <c r="H1924" s="83">
        <v>100</v>
      </c>
      <c r="K1924" s="83">
        <v>8</v>
      </c>
      <c r="L1924" s="83" t="s">
        <v>101</v>
      </c>
      <c r="M1924" s="83" t="s">
        <v>410</v>
      </c>
      <c r="N1924" s="83" t="s">
        <v>102</v>
      </c>
      <c r="P1924" s="83">
        <v>0</v>
      </c>
      <c r="U1924" s="83">
        <v>4</v>
      </c>
      <c r="V1924" s="83">
        <v>1</v>
      </c>
      <c r="W1924" s="83" t="s">
        <v>103</v>
      </c>
      <c r="X1924" s="83">
        <v>0</v>
      </c>
    </row>
    <row r="1925" spans="1:25" x14ac:dyDescent="0.2">
      <c r="A1925" s="83">
        <v>1</v>
      </c>
      <c r="B1925" s="84">
        <v>5701603304748</v>
      </c>
      <c r="C1925" s="83">
        <v>70</v>
      </c>
      <c r="D1925" s="84">
        <v>1010288</v>
      </c>
      <c r="F1925" s="83" t="s">
        <v>103</v>
      </c>
      <c r="G1925" s="83">
        <v>0</v>
      </c>
      <c r="H1925" s="83">
        <v>100</v>
      </c>
      <c r="K1925" s="83">
        <v>4</v>
      </c>
      <c r="L1925" s="83" t="s">
        <v>101</v>
      </c>
      <c r="M1925" s="83" t="s">
        <v>410</v>
      </c>
      <c r="N1925" s="83" t="s">
        <v>102</v>
      </c>
      <c r="P1925" s="83">
        <v>0</v>
      </c>
      <c r="U1925" s="83">
        <v>4</v>
      </c>
      <c r="V1925" s="83">
        <v>1</v>
      </c>
      <c r="W1925" s="83" t="s">
        <v>103</v>
      </c>
      <c r="X1925" s="83">
        <v>0</v>
      </c>
    </row>
    <row r="1926" spans="1:25" x14ac:dyDescent="0.2">
      <c r="A1926" s="83">
        <v>1</v>
      </c>
      <c r="B1926" s="84">
        <v>5701603304748</v>
      </c>
      <c r="C1926" s="83">
        <v>80</v>
      </c>
      <c r="D1926" s="84">
        <v>1020145</v>
      </c>
      <c r="F1926" s="83" t="s">
        <v>103</v>
      </c>
      <c r="G1926" s="83">
        <v>0</v>
      </c>
      <c r="H1926" s="83">
        <v>100</v>
      </c>
      <c r="K1926" s="83" t="s">
        <v>408</v>
      </c>
      <c r="L1926" s="83" t="s">
        <v>101</v>
      </c>
      <c r="M1926" s="83" t="s">
        <v>410</v>
      </c>
      <c r="N1926" s="83" t="s">
        <v>102</v>
      </c>
      <c r="P1926" s="83">
        <v>0</v>
      </c>
      <c r="U1926" s="83">
        <v>4</v>
      </c>
      <c r="V1926" s="83">
        <v>1</v>
      </c>
      <c r="W1926" s="83" t="s">
        <v>103</v>
      </c>
      <c r="X1926" s="83">
        <v>0</v>
      </c>
    </row>
    <row r="1927" spans="1:25" x14ac:dyDescent="0.2">
      <c r="A1927" s="83">
        <v>1</v>
      </c>
      <c r="B1927" s="84">
        <v>5701603304748</v>
      </c>
      <c r="C1927" s="83">
        <v>90</v>
      </c>
      <c r="D1927" s="84">
        <v>777500748</v>
      </c>
      <c r="F1927" s="83" t="s">
        <v>103</v>
      </c>
      <c r="G1927" s="83">
        <v>0</v>
      </c>
      <c r="H1927" s="83">
        <v>100</v>
      </c>
      <c r="K1927" s="83">
        <v>1</v>
      </c>
      <c r="L1927" s="83" t="s">
        <v>101</v>
      </c>
      <c r="M1927" s="83" t="s">
        <v>410</v>
      </c>
      <c r="N1927" s="83" t="s">
        <v>102</v>
      </c>
      <c r="P1927" s="83">
        <v>0</v>
      </c>
      <c r="U1927" s="83">
        <v>4</v>
      </c>
      <c r="V1927" s="83">
        <v>1</v>
      </c>
      <c r="W1927" s="83" t="s">
        <v>103</v>
      </c>
      <c r="X1927" s="83">
        <v>0</v>
      </c>
    </row>
    <row r="1928" spans="1:25" x14ac:dyDescent="0.2">
      <c r="A1928" s="83">
        <v>1</v>
      </c>
      <c r="B1928" s="84">
        <v>5701603305748</v>
      </c>
      <c r="C1928" s="83">
        <v>10</v>
      </c>
      <c r="D1928" s="84">
        <v>5980463305</v>
      </c>
      <c r="F1928" s="83" t="s">
        <v>103</v>
      </c>
      <c r="G1928" s="83">
        <v>0</v>
      </c>
      <c r="H1928" s="83">
        <v>100</v>
      </c>
      <c r="K1928" s="83">
        <v>1</v>
      </c>
      <c r="L1928" s="83" t="s">
        <v>101</v>
      </c>
      <c r="M1928" s="83" t="s">
        <v>410</v>
      </c>
      <c r="N1928" s="83" t="s">
        <v>102</v>
      </c>
      <c r="P1928" s="83">
        <v>0</v>
      </c>
      <c r="U1928" s="83">
        <v>4</v>
      </c>
      <c r="V1928" s="83">
        <v>1</v>
      </c>
      <c r="W1928" s="83" t="s">
        <v>103</v>
      </c>
      <c r="X1928" s="83">
        <v>0</v>
      </c>
      <c r="Y1928" s="83" t="str">
        <f>LEFT(D1928,6)</f>
        <v>598046</v>
      </c>
    </row>
    <row r="1929" spans="1:25" x14ac:dyDescent="0.2">
      <c r="A1929" s="83">
        <v>1</v>
      </c>
      <c r="B1929" s="84">
        <v>5701603305748</v>
      </c>
      <c r="C1929" s="83">
        <v>20</v>
      </c>
      <c r="D1929" s="84">
        <v>5980543305</v>
      </c>
      <c r="F1929" s="83" t="s">
        <v>103</v>
      </c>
      <c r="G1929" s="83">
        <v>0</v>
      </c>
      <c r="H1929" s="83">
        <v>100</v>
      </c>
      <c r="K1929" s="83">
        <v>1</v>
      </c>
      <c r="L1929" s="83" t="s">
        <v>101</v>
      </c>
      <c r="M1929" s="83" t="s">
        <v>410</v>
      </c>
      <c r="N1929" s="83" t="s">
        <v>102</v>
      </c>
      <c r="P1929" s="83">
        <v>0</v>
      </c>
      <c r="U1929" s="83">
        <v>4</v>
      </c>
      <c r="V1929" s="83">
        <v>1</v>
      </c>
      <c r="W1929" s="83" t="s">
        <v>103</v>
      </c>
      <c r="X1929" s="83">
        <v>0</v>
      </c>
    </row>
    <row r="1930" spans="1:25" x14ac:dyDescent="0.2">
      <c r="A1930" s="83">
        <v>1</v>
      </c>
      <c r="B1930" s="84">
        <v>5701603305748</v>
      </c>
      <c r="C1930" s="83">
        <v>30</v>
      </c>
      <c r="D1930" s="84">
        <v>5980623305</v>
      </c>
      <c r="F1930" s="83" t="s">
        <v>103</v>
      </c>
      <c r="G1930" s="83">
        <v>0</v>
      </c>
      <c r="H1930" s="83">
        <v>100</v>
      </c>
      <c r="K1930" s="83">
        <v>1</v>
      </c>
      <c r="L1930" s="83" t="s">
        <v>101</v>
      </c>
      <c r="M1930" s="83" t="s">
        <v>410</v>
      </c>
      <c r="N1930" s="83" t="s">
        <v>102</v>
      </c>
      <c r="P1930" s="83">
        <v>0</v>
      </c>
      <c r="U1930" s="83">
        <v>4</v>
      </c>
      <c r="V1930" s="83">
        <v>1</v>
      </c>
      <c r="W1930" s="83" t="s">
        <v>103</v>
      </c>
      <c r="X1930" s="83">
        <v>0</v>
      </c>
    </row>
    <row r="1931" spans="1:25" x14ac:dyDescent="0.2">
      <c r="A1931" s="83">
        <v>1</v>
      </c>
      <c r="B1931" s="84">
        <v>5701603305748</v>
      </c>
      <c r="C1931" s="83">
        <v>40</v>
      </c>
      <c r="D1931" s="84">
        <v>5980823305</v>
      </c>
      <c r="F1931" s="83" t="s">
        <v>103</v>
      </c>
      <c r="G1931" s="83">
        <v>0</v>
      </c>
      <c r="H1931" s="83">
        <v>100</v>
      </c>
      <c r="K1931" s="83">
        <v>1</v>
      </c>
      <c r="L1931" s="83" t="s">
        <v>101</v>
      </c>
      <c r="M1931" s="83" t="s">
        <v>410</v>
      </c>
      <c r="N1931" s="83" t="s">
        <v>102</v>
      </c>
      <c r="P1931" s="83">
        <v>0</v>
      </c>
      <c r="U1931" s="83">
        <v>4</v>
      </c>
      <c r="V1931" s="83">
        <v>1</v>
      </c>
      <c r="W1931" s="83" t="s">
        <v>103</v>
      </c>
      <c r="X1931" s="83">
        <v>0</v>
      </c>
    </row>
    <row r="1932" spans="1:25" x14ac:dyDescent="0.2">
      <c r="A1932" s="83">
        <v>1</v>
      </c>
      <c r="B1932" s="84">
        <v>5701603305748</v>
      </c>
      <c r="C1932" s="83">
        <v>50</v>
      </c>
      <c r="D1932" s="84">
        <v>5980933305</v>
      </c>
      <c r="F1932" s="83" t="s">
        <v>103</v>
      </c>
      <c r="G1932" s="83">
        <v>0</v>
      </c>
      <c r="H1932" s="83">
        <v>100</v>
      </c>
      <c r="K1932" s="83">
        <v>1</v>
      </c>
      <c r="L1932" s="83" t="s">
        <v>101</v>
      </c>
      <c r="M1932" s="83" t="s">
        <v>410</v>
      </c>
      <c r="N1932" s="83" t="s">
        <v>102</v>
      </c>
      <c r="P1932" s="83">
        <v>0</v>
      </c>
      <c r="U1932" s="83">
        <v>4</v>
      </c>
      <c r="V1932" s="83">
        <v>1</v>
      </c>
      <c r="W1932" s="83" t="s">
        <v>103</v>
      </c>
      <c r="X1932" s="83">
        <v>0</v>
      </c>
    </row>
    <row r="1933" spans="1:25" x14ac:dyDescent="0.2">
      <c r="A1933" s="83">
        <v>1</v>
      </c>
      <c r="B1933" s="84">
        <v>5701603305748</v>
      </c>
      <c r="C1933" s="83">
        <v>60</v>
      </c>
      <c r="D1933" s="84">
        <v>1010286</v>
      </c>
      <c r="F1933" s="83" t="s">
        <v>103</v>
      </c>
      <c r="G1933" s="83">
        <v>0</v>
      </c>
      <c r="H1933" s="83">
        <v>100</v>
      </c>
      <c r="K1933" s="83">
        <v>8</v>
      </c>
      <c r="L1933" s="83" t="s">
        <v>101</v>
      </c>
      <c r="M1933" s="83" t="s">
        <v>410</v>
      </c>
      <c r="N1933" s="83" t="s">
        <v>102</v>
      </c>
      <c r="P1933" s="83">
        <v>0</v>
      </c>
      <c r="U1933" s="83">
        <v>4</v>
      </c>
      <c r="V1933" s="83">
        <v>1</v>
      </c>
      <c r="W1933" s="83" t="s">
        <v>103</v>
      </c>
      <c r="X1933" s="83">
        <v>0</v>
      </c>
    </row>
    <row r="1934" spans="1:25" x14ac:dyDescent="0.2">
      <c r="A1934" s="83">
        <v>1</v>
      </c>
      <c r="B1934" s="84">
        <v>5701603305748</v>
      </c>
      <c r="C1934" s="83">
        <v>70</v>
      </c>
      <c r="D1934" s="84">
        <v>1010288</v>
      </c>
      <c r="F1934" s="83" t="s">
        <v>103</v>
      </c>
      <c r="G1934" s="83">
        <v>0</v>
      </c>
      <c r="H1934" s="83">
        <v>100</v>
      </c>
      <c r="K1934" s="83">
        <v>4</v>
      </c>
      <c r="L1934" s="83" t="s">
        <v>101</v>
      </c>
      <c r="M1934" s="83" t="s">
        <v>410</v>
      </c>
      <c r="N1934" s="83" t="s">
        <v>102</v>
      </c>
      <c r="P1934" s="83">
        <v>0</v>
      </c>
      <c r="U1934" s="83">
        <v>4</v>
      </c>
      <c r="V1934" s="83">
        <v>1</v>
      </c>
      <c r="W1934" s="83" t="s">
        <v>103</v>
      </c>
      <c r="X1934" s="83">
        <v>0</v>
      </c>
    </row>
    <row r="1935" spans="1:25" x14ac:dyDescent="0.2">
      <c r="A1935" s="83">
        <v>1</v>
      </c>
      <c r="B1935" s="84">
        <v>5701603305748</v>
      </c>
      <c r="C1935" s="83">
        <v>80</v>
      </c>
      <c r="D1935" s="84">
        <v>1020145</v>
      </c>
      <c r="F1935" s="83" t="s">
        <v>103</v>
      </c>
      <c r="G1935" s="83">
        <v>0</v>
      </c>
      <c r="H1935" s="83">
        <v>100</v>
      </c>
      <c r="K1935" s="83" t="s">
        <v>408</v>
      </c>
      <c r="L1935" s="83" t="s">
        <v>101</v>
      </c>
      <c r="M1935" s="83" t="s">
        <v>410</v>
      </c>
      <c r="N1935" s="83" t="s">
        <v>102</v>
      </c>
      <c r="P1935" s="83">
        <v>0</v>
      </c>
      <c r="U1935" s="83">
        <v>4</v>
      </c>
      <c r="V1935" s="83">
        <v>1</v>
      </c>
      <c r="W1935" s="83" t="s">
        <v>103</v>
      </c>
      <c r="X1935" s="83">
        <v>0</v>
      </c>
    </row>
    <row r="1936" spans="1:25" x14ac:dyDescent="0.2">
      <c r="A1936" s="83">
        <v>1</v>
      </c>
      <c r="B1936" s="84">
        <v>5701603305748</v>
      </c>
      <c r="C1936" s="83">
        <v>90</v>
      </c>
      <c r="D1936" s="84">
        <v>777500748</v>
      </c>
      <c r="F1936" s="83" t="s">
        <v>103</v>
      </c>
      <c r="G1936" s="83">
        <v>0</v>
      </c>
      <c r="H1936" s="83">
        <v>100</v>
      </c>
      <c r="K1936" s="83">
        <v>1</v>
      </c>
      <c r="L1936" s="83" t="s">
        <v>101</v>
      </c>
      <c r="M1936" s="83" t="s">
        <v>410</v>
      </c>
      <c r="N1936" s="83" t="s">
        <v>102</v>
      </c>
      <c r="P1936" s="83">
        <v>0</v>
      </c>
      <c r="U1936" s="83">
        <v>4</v>
      </c>
      <c r="V1936" s="83">
        <v>1</v>
      </c>
      <c r="W1936" s="83" t="s">
        <v>103</v>
      </c>
      <c r="X1936" s="83">
        <v>0</v>
      </c>
    </row>
    <row r="1937" spans="1:25" x14ac:dyDescent="0.2">
      <c r="A1937" s="83">
        <v>1</v>
      </c>
      <c r="B1937" s="84">
        <v>5701603306748</v>
      </c>
      <c r="C1937" s="83">
        <v>10</v>
      </c>
      <c r="D1937" s="84">
        <v>5980463306</v>
      </c>
      <c r="F1937" s="83" t="s">
        <v>103</v>
      </c>
      <c r="G1937" s="83">
        <v>0</v>
      </c>
      <c r="H1937" s="83">
        <v>100</v>
      </c>
      <c r="K1937" s="83">
        <v>1</v>
      </c>
      <c r="L1937" s="83" t="s">
        <v>101</v>
      </c>
      <c r="M1937" s="83" t="s">
        <v>410</v>
      </c>
      <c r="N1937" s="83" t="s">
        <v>102</v>
      </c>
      <c r="P1937" s="83">
        <v>0</v>
      </c>
      <c r="U1937" s="83">
        <v>4</v>
      </c>
      <c r="V1937" s="83">
        <v>1</v>
      </c>
      <c r="W1937" s="83" t="s">
        <v>103</v>
      </c>
      <c r="X1937" s="83">
        <v>0</v>
      </c>
      <c r="Y1937" s="83" t="str">
        <f>LEFT(D1937,6)</f>
        <v>598046</v>
      </c>
    </row>
    <row r="1938" spans="1:25" x14ac:dyDescent="0.2">
      <c r="A1938" s="83">
        <v>1</v>
      </c>
      <c r="B1938" s="84">
        <v>5701603306748</v>
      </c>
      <c r="C1938" s="83">
        <v>20</v>
      </c>
      <c r="D1938" s="84">
        <v>5980543306</v>
      </c>
      <c r="F1938" s="83" t="s">
        <v>103</v>
      </c>
      <c r="G1938" s="83">
        <v>0</v>
      </c>
      <c r="H1938" s="83">
        <v>100</v>
      </c>
      <c r="K1938" s="83">
        <v>1</v>
      </c>
      <c r="L1938" s="83" t="s">
        <v>101</v>
      </c>
      <c r="M1938" s="83" t="s">
        <v>410</v>
      </c>
      <c r="N1938" s="83" t="s">
        <v>102</v>
      </c>
      <c r="P1938" s="83">
        <v>0</v>
      </c>
      <c r="U1938" s="83">
        <v>4</v>
      </c>
      <c r="V1938" s="83">
        <v>1</v>
      </c>
      <c r="W1938" s="83" t="s">
        <v>103</v>
      </c>
      <c r="X1938" s="83">
        <v>0</v>
      </c>
    </row>
    <row r="1939" spans="1:25" x14ac:dyDescent="0.2">
      <c r="A1939" s="83">
        <v>1</v>
      </c>
      <c r="B1939" s="84">
        <v>5701603306748</v>
      </c>
      <c r="C1939" s="83">
        <v>30</v>
      </c>
      <c r="D1939" s="84">
        <v>5980623306</v>
      </c>
      <c r="F1939" s="83" t="s">
        <v>103</v>
      </c>
      <c r="G1939" s="83">
        <v>0</v>
      </c>
      <c r="H1939" s="83">
        <v>100</v>
      </c>
      <c r="K1939" s="83">
        <v>1</v>
      </c>
      <c r="L1939" s="83" t="s">
        <v>101</v>
      </c>
      <c r="M1939" s="83" t="s">
        <v>410</v>
      </c>
      <c r="N1939" s="83" t="s">
        <v>102</v>
      </c>
      <c r="P1939" s="83">
        <v>0</v>
      </c>
      <c r="U1939" s="83">
        <v>4</v>
      </c>
      <c r="V1939" s="83">
        <v>1</v>
      </c>
      <c r="W1939" s="83" t="s">
        <v>103</v>
      </c>
      <c r="X1939" s="83">
        <v>0</v>
      </c>
    </row>
    <row r="1940" spans="1:25" x14ac:dyDescent="0.2">
      <c r="A1940" s="83">
        <v>1</v>
      </c>
      <c r="B1940" s="84">
        <v>5701603306748</v>
      </c>
      <c r="C1940" s="83">
        <v>40</v>
      </c>
      <c r="D1940" s="84">
        <v>5980823306</v>
      </c>
      <c r="F1940" s="83" t="s">
        <v>103</v>
      </c>
      <c r="G1940" s="83">
        <v>0</v>
      </c>
      <c r="H1940" s="83">
        <v>100</v>
      </c>
      <c r="K1940" s="83">
        <v>1</v>
      </c>
      <c r="L1940" s="83" t="s">
        <v>101</v>
      </c>
      <c r="M1940" s="83" t="s">
        <v>410</v>
      </c>
      <c r="N1940" s="83" t="s">
        <v>102</v>
      </c>
      <c r="P1940" s="83">
        <v>0</v>
      </c>
      <c r="U1940" s="83">
        <v>4</v>
      </c>
      <c r="V1940" s="83">
        <v>1</v>
      </c>
      <c r="W1940" s="83" t="s">
        <v>103</v>
      </c>
      <c r="X1940" s="83">
        <v>0</v>
      </c>
    </row>
    <row r="1941" spans="1:25" x14ac:dyDescent="0.2">
      <c r="A1941" s="83">
        <v>1</v>
      </c>
      <c r="B1941" s="84">
        <v>5701603306748</v>
      </c>
      <c r="C1941" s="83">
        <v>50</v>
      </c>
      <c r="D1941" s="84">
        <v>5980933306</v>
      </c>
      <c r="F1941" s="83" t="s">
        <v>103</v>
      </c>
      <c r="G1941" s="83">
        <v>0</v>
      </c>
      <c r="H1941" s="83">
        <v>100</v>
      </c>
      <c r="K1941" s="83">
        <v>1</v>
      </c>
      <c r="L1941" s="83" t="s">
        <v>101</v>
      </c>
      <c r="M1941" s="83" t="s">
        <v>410</v>
      </c>
      <c r="N1941" s="83" t="s">
        <v>102</v>
      </c>
      <c r="P1941" s="83">
        <v>0</v>
      </c>
      <c r="U1941" s="83">
        <v>4</v>
      </c>
      <c r="V1941" s="83">
        <v>1</v>
      </c>
      <c r="W1941" s="83" t="s">
        <v>103</v>
      </c>
      <c r="X1941" s="83">
        <v>0</v>
      </c>
    </row>
    <row r="1942" spans="1:25" x14ac:dyDescent="0.2">
      <c r="A1942" s="83">
        <v>1</v>
      </c>
      <c r="B1942" s="84">
        <v>5701603306748</v>
      </c>
      <c r="C1942" s="83">
        <v>60</v>
      </c>
      <c r="D1942" s="84">
        <v>1010286</v>
      </c>
      <c r="F1942" s="83" t="s">
        <v>103</v>
      </c>
      <c r="G1942" s="83">
        <v>0</v>
      </c>
      <c r="H1942" s="83">
        <v>100</v>
      </c>
      <c r="K1942" s="83">
        <v>8</v>
      </c>
      <c r="L1942" s="83" t="s">
        <v>101</v>
      </c>
      <c r="M1942" s="83" t="s">
        <v>410</v>
      </c>
      <c r="N1942" s="83" t="s">
        <v>102</v>
      </c>
      <c r="P1942" s="83">
        <v>0</v>
      </c>
      <c r="U1942" s="83">
        <v>4</v>
      </c>
      <c r="V1942" s="83">
        <v>1</v>
      </c>
      <c r="W1942" s="83" t="s">
        <v>103</v>
      </c>
      <c r="X1942" s="83">
        <v>0</v>
      </c>
    </row>
    <row r="1943" spans="1:25" x14ac:dyDescent="0.2">
      <c r="A1943" s="83">
        <v>1</v>
      </c>
      <c r="B1943" s="84">
        <v>5701603306748</v>
      </c>
      <c r="C1943" s="83">
        <v>70</v>
      </c>
      <c r="D1943" s="84">
        <v>1010287</v>
      </c>
      <c r="F1943" s="83" t="s">
        <v>103</v>
      </c>
      <c r="G1943" s="83">
        <v>0</v>
      </c>
      <c r="H1943" s="83">
        <v>100</v>
      </c>
      <c r="K1943" s="83">
        <v>4</v>
      </c>
      <c r="L1943" s="83" t="s">
        <v>101</v>
      </c>
      <c r="M1943" s="83" t="s">
        <v>410</v>
      </c>
      <c r="N1943" s="83" t="s">
        <v>102</v>
      </c>
      <c r="P1943" s="83">
        <v>0</v>
      </c>
      <c r="U1943" s="83">
        <v>4</v>
      </c>
      <c r="V1943" s="83">
        <v>1</v>
      </c>
      <c r="W1943" s="83" t="s">
        <v>103</v>
      </c>
      <c r="X1943" s="83">
        <v>0</v>
      </c>
    </row>
    <row r="1944" spans="1:25" x14ac:dyDescent="0.2">
      <c r="A1944" s="83">
        <v>1</v>
      </c>
      <c r="B1944" s="84">
        <v>5701603306748</v>
      </c>
      <c r="C1944" s="83">
        <v>80</v>
      </c>
      <c r="D1944" s="84">
        <v>1020145</v>
      </c>
      <c r="F1944" s="83" t="s">
        <v>103</v>
      </c>
      <c r="G1944" s="83">
        <v>0</v>
      </c>
      <c r="H1944" s="83">
        <v>100</v>
      </c>
      <c r="K1944" s="83" t="s">
        <v>408</v>
      </c>
      <c r="L1944" s="83" t="s">
        <v>101</v>
      </c>
      <c r="M1944" s="83" t="s">
        <v>410</v>
      </c>
      <c r="N1944" s="83" t="s">
        <v>102</v>
      </c>
      <c r="P1944" s="83">
        <v>0</v>
      </c>
      <c r="U1944" s="83">
        <v>4</v>
      </c>
      <c r="V1944" s="83">
        <v>1</v>
      </c>
      <c r="W1944" s="83" t="s">
        <v>103</v>
      </c>
      <c r="X1944" s="83">
        <v>0</v>
      </c>
    </row>
    <row r="1945" spans="1:25" x14ac:dyDescent="0.2">
      <c r="A1945" s="83">
        <v>1</v>
      </c>
      <c r="B1945" s="84">
        <v>5701603306748</v>
      </c>
      <c r="C1945" s="83">
        <v>90</v>
      </c>
      <c r="D1945" s="84">
        <v>777500748</v>
      </c>
      <c r="F1945" s="83" t="s">
        <v>103</v>
      </c>
      <c r="G1945" s="83">
        <v>0</v>
      </c>
      <c r="H1945" s="83">
        <v>100</v>
      </c>
      <c r="K1945" s="83">
        <v>1</v>
      </c>
      <c r="L1945" s="83" t="s">
        <v>101</v>
      </c>
      <c r="M1945" s="83" t="s">
        <v>410</v>
      </c>
      <c r="N1945" s="83" t="s">
        <v>102</v>
      </c>
      <c r="P1945" s="83">
        <v>0</v>
      </c>
      <c r="U1945" s="83">
        <v>4</v>
      </c>
      <c r="V1945" s="83">
        <v>1</v>
      </c>
      <c r="W1945" s="83" t="s">
        <v>103</v>
      </c>
      <c r="X1945" s="83">
        <v>0</v>
      </c>
    </row>
    <row r="1946" spans="1:25" x14ac:dyDescent="0.2">
      <c r="A1946" s="83">
        <v>1</v>
      </c>
      <c r="B1946" s="84">
        <v>5701603307748</v>
      </c>
      <c r="C1946" s="83">
        <v>10</v>
      </c>
      <c r="D1946" s="84">
        <v>5980463307</v>
      </c>
      <c r="F1946" s="83" t="s">
        <v>103</v>
      </c>
      <c r="G1946" s="83">
        <v>0</v>
      </c>
      <c r="H1946" s="83">
        <v>100</v>
      </c>
      <c r="K1946" s="83">
        <v>1</v>
      </c>
      <c r="L1946" s="83" t="s">
        <v>101</v>
      </c>
      <c r="M1946" s="83" t="s">
        <v>410</v>
      </c>
      <c r="N1946" s="83" t="s">
        <v>102</v>
      </c>
      <c r="P1946" s="83">
        <v>0</v>
      </c>
      <c r="U1946" s="83">
        <v>4</v>
      </c>
      <c r="V1946" s="83">
        <v>1</v>
      </c>
      <c r="W1946" s="83" t="s">
        <v>103</v>
      </c>
      <c r="X1946" s="83">
        <v>0</v>
      </c>
      <c r="Y1946" s="83" t="str">
        <f>LEFT(D1946,6)</f>
        <v>598046</v>
      </c>
    </row>
    <row r="1947" spans="1:25" x14ac:dyDescent="0.2">
      <c r="A1947" s="83">
        <v>1</v>
      </c>
      <c r="B1947" s="84">
        <v>5701603307748</v>
      </c>
      <c r="C1947" s="83">
        <v>20</v>
      </c>
      <c r="D1947" s="84">
        <v>5980543307</v>
      </c>
      <c r="F1947" s="83" t="s">
        <v>103</v>
      </c>
      <c r="G1947" s="83">
        <v>0</v>
      </c>
      <c r="H1947" s="83">
        <v>100</v>
      </c>
      <c r="K1947" s="83">
        <v>1</v>
      </c>
      <c r="L1947" s="83" t="s">
        <v>101</v>
      </c>
      <c r="M1947" s="83" t="s">
        <v>410</v>
      </c>
      <c r="N1947" s="83" t="s">
        <v>102</v>
      </c>
      <c r="P1947" s="83">
        <v>0</v>
      </c>
      <c r="U1947" s="83">
        <v>4</v>
      </c>
      <c r="V1947" s="83">
        <v>1</v>
      </c>
      <c r="W1947" s="83" t="s">
        <v>103</v>
      </c>
      <c r="X1947" s="83">
        <v>0</v>
      </c>
    </row>
    <row r="1948" spans="1:25" x14ac:dyDescent="0.2">
      <c r="A1948" s="83">
        <v>1</v>
      </c>
      <c r="B1948" s="84">
        <v>5701603307748</v>
      </c>
      <c r="C1948" s="83">
        <v>30</v>
      </c>
      <c r="D1948" s="84">
        <v>5980623307</v>
      </c>
      <c r="F1948" s="83" t="s">
        <v>103</v>
      </c>
      <c r="G1948" s="83">
        <v>0</v>
      </c>
      <c r="H1948" s="83">
        <v>100</v>
      </c>
      <c r="K1948" s="83">
        <v>1</v>
      </c>
      <c r="L1948" s="83" t="s">
        <v>101</v>
      </c>
      <c r="M1948" s="83" t="s">
        <v>410</v>
      </c>
      <c r="N1948" s="83" t="s">
        <v>102</v>
      </c>
      <c r="P1948" s="83">
        <v>0</v>
      </c>
      <c r="U1948" s="83">
        <v>4</v>
      </c>
      <c r="V1948" s="83">
        <v>1</v>
      </c>
      <c r="W1948" s="83" t="s">
        <v>103</v>
      </c>
      <c r="X1948" s="83">
        <v>0</v>
      </c>
    </row>
    <row r="1949" spans="1:25" x14ac:dyDescent="0.2">
      <c r="A1949" s="83">
        <v>1</v>
      </c>
      <c r="B1949" s="84">
        <v>5701603307748</v>
      </c>
      <c r="C1949" s="83">
        <v>40</v>
      </c>
      <c r="D1949" s="84">
        <v>5980823307</v>
      </c>
      <c r="F1949" s="83" t="s">
        <v>103</v>
      </c>
      <c r="G1949" s="83">
        <v>0</v>
      </c>
      <c r="H1949" s="83">
        <v>100</v>
      </c>
      <c r="K1949" s="83">
        <v>1</v>
      </c>
      <c r="L1949" s="83" t="s">
        <v>101</v>
      </c>
      <c r="M1949" s="83" t="s">
        <v>410</v>
      </c>
      <c r="N1949" s="83" t="s">
        <v>102</v>
      </c>
      <c r="P1949" s="83">
        <v>0</v>
      </c>
      <c r="U1949" s="83">
        <v>4</v>
      </c>
      <c r="V1949" s="83">
        <v>1</v>
      </c>
      <c r="W1949" s="83" t="s">
        <v>103</v>
      </c>
      <c r="X1949" s="83">
        <v>0</v>
      </c>
    </row>
    <row r="1950" spans="1:25" x14ac:dyDescent="0.2">
      <c r="A1950" s="83">
        <v>1</v>
      </c>
      <c r="B1950" s="84">
        <v>5701603307748</v>
      </c>
      <c r="C1950" s="83">
        <v>50</v>
      </c>
      <c r="D1950" s="84">
        <v>5980933307</v>
      </c>
      <c r="F1950" s="83" t="s">
        <v>103</v>
      </c>
      <c r="G1950" s="83">
        <v>0</v>
      </c>
      <c r="H1950" s="83">
        <v>100</v>
      </c>
      <c r="K1950" s="83">
        <v>1</v>
      </c>
      <c r="L1950" s="83" t="s">
        <v>101</v>
      </c>
      <c r="M1950" s="83" t="s">
        <v>410</v>
      </c>
      <c r="N1950" s="83" t="s">
        <v>102</v>
      </c>
      <c r="P1950" s="83">
        <v>0</v>
      </c>
      <c r="U1950" s="83">
        <v>4</v>
      </c>
      <c r="V1950" s="83">
        <v>1</v>
      </c>
      <c r="W1950" s="83" t="s">
        <v>103</v>
      </c>
      <c r="X1950" s="83">
        <v>0</v>
      </c>
    </row>
    <row r="1951" spans="1:25" x14ac:dyDescent="0.2">
      <c r="A1951" s="83">
        <v>1</v>
      </c>
      <c r="B1951" s="84">
        <v>5701603307748</v>
      </c>
      <c r="C1951" s="83">
        <v>60</v>
      </c>
      <c r="D1951" s="84">
        <v>1010286</v>
      </c>
      <c r="F1951" s="83" t="s">
        <v>103</v>
      </c>
      <c r="G1951" s="83">
        <v>0</v>
      </c>
      <c r="H1951" s="83">
        <v>100</v>
      </c>
      <c r="K1951" s="83">
        <v>8</v>
      </c>
      <c r="L1951" s="83" t="s">
        <v>101</v>
      </c>
      <c r="M1951" s="83" t="s">
        <v>410</v>
      </c>
      <c r="N1951" s="83" t="s">
        <v>102</v>
      </c>
      <c r="P1951" s="83">
        <v>0</v>
      </c>
      <c r="U1951" s="83">
        <v>4</v>
      </c>
      <c r="V1951" s="83">
        <v>1</v>
      </c>
      <c r="W1951" s="83" t="s">
        <v>103</v>
      </c>
      <c r="X1951" s="83">
        <v>0</v>
      </c>
    </row>
    <row r="1952" spans="1:25" x14ac:dyDescent="0.2">
      <c r="A1952" s="83">
        <v>1</v>
      </c>
      <c r="B1952" s="84">
        <v>5701603307748</v>
      </c>
      <c r="C1952" s="83">
        <v>70</v>
      </c>
      <c r="D1952" s="84">
        <v>1010287</v>
      </c>
      <c r="F1952" s="83" t="s">
        <v>103</v>
      </c>
      <c r="G1952" s="83">
        <v>0</v>
      </c>
      <c r="H1952" s="83">
        <v>100</v>
      </c>
      <c r="K1952" s="83">
        <v>4</v>
      </c>
      <c r="L1952" s="83" t="s">
        <v>101</v>
      </c>
      <c r="M1952" s="83" t="s">
        <v>410</v>
      </c>
      <c r="N1952" s="83" t="s">
        <v>102</v>
      </c>
      <c r="P1952" s="83">
        <v>0</v>
      </c>
      <c r="U1952" s="83">
        <v>4</v>
      </c>
      <c r="V1952" s="83">
        <v>1</v>
      </c>
      <c r="W1952" s="83" t="s">
        <v>103</v>
      </c>
      <c r="X1952" s="83">
        <v>0</v>
      </c>
    </row>
    <row r="1953" spans="1:25" x14ac:dyDescent="0.2">
      <c r="A1953" s="83">
        <v>1</v>
      </c>
      <c r="B1953" s="84">
        <v>5701603307748</v>
      </c>
      <c r="C1953" s="83">
        <v>80</v>
      </c>
      <c r="D1953" s="84">
        <v>1020145</v>
      </c>
      <c r="F1953" s="83" t="s">
        <v>103</v>
      </c>
      <c r="G1953" s="83">
        <v>0</v>
      </c>
      <c r="H1953" s="83">
        <v>100</v>
      </c>
      <c r="K1953" s="83" t="s">
        <v>408</v>
      </c>
      <c r="L1953" s="83" t="s">
        <v>101</v>
      </c>
      <c r="M1953" s="83" t="s">
        <v>410</v>
      </c>
      <c r="N1953" s="83" t="s">
        <v>102</v>
      </c>
      <c r="P1953" s="83">
        <v>0</v>
      </c>
      <c r="U1953" s="83">
        <v>4</v>
      </c>
      <c r="V1953" s="83">
        <v>1</v>
      </c>
      <c r="W1953" s="83" t="s">
        <v>103</v>
      </c>
      <c r="X1953" s="83">
        <v>0</v>
      </c>
    </row>
    <row r="1954" spans="1:25" x14ac:dyDescent="0.2">
      <c r="A1954" s="83">
        <v>1</v>
      </c>
      <c r="B1954" s="84">
        <v>5701603307748</v>
      </c>
      <c r="C1954" s="83">
        <v>90</v>
      </c>
      <c r="D1954" s="84">
        <v>777500748</v>
      </c>
      <c r="F1954" s="83" t="s">
        <v>103</v>
      </c>
      <c r="G1954" s="83">
        <v>0</v>
      </c>
      <c r="H1954" s="83">
        <v>100</v>
      </c>
      <c r="K1954" s="83">
        <v>1</v>
      </c>
      <c r="L1954" s="83" t="s">
        <v>101</v>
      </c>
      <c r="M1954" s="83" t="s">
        <v>410</v>
      </c>
      <c r="N1954" s="83" t="s">
        <v>102</v>
      </c>
      <c r="P1954" s="83">
        <v>0</v>
      </c>
      <c r="U1954" s="83">
        <v>4</v>
      </c>
      <c r="V1954" s="83">
        <v>1</v>
      </c>
      <c r="W1954" s="83" t="s">
        <v>103</v>
      </c>
      <c r="X1954" s="83">
        <v>0</v>
      </c>
    </row>
    <row r="1955" spans="1:25" x14ac:dyDescent="0.2">
      <c r="A1955" s="83">
        <v>1</v>
      </c>
      <c r="B1955" s="84">
        <v>5701603308748</v>
      </c>
      <c r="C1955" s="83">
        <v>10</v>
      </c>
      <c r="D1955" s="84">
        <v>5980463308</v>
      </c>
      <c r="F1955" s="83" t="s">
        <v>103</v>
      </c>
      <c r="G1955" s="83">
        <v>0</v>
      </c>
      <c r="H1955" s="83">
        <v>100</v>
      </c>
      <c r="K1955" s="83">
        <v>1</v>
      </c>
      <c r="L1955" s="83" t="s">
        <v>101</v>
      </c>
      <c r="M1955" s="83" t="s">
        <v>410</v>
      </c>
      <c r="N1955" s="83" t="s">
        <v>102</v>
      </c>
      <c r="P1955" s="83">
        <v>0</v>
      </c>
      <c r="U1955" s="83">
        <v>4</v>
      </c>
      <c r="V1955" s="83">
        <v>1</v>
      </c>
      <c r="W1955" s="83" t="s">
        <v>103</v>
      </c>
      <c r="X1955" s="83">
        <v>0</v>
      </c>
      <c r="Y1955" s="83" t="str">
        <f>LEFT(D1955,6)</f>
        <v>598046</v>
      </c>
    </row>
    <row r="1956" spans="1:25" x14ac:dyDescent="0.2">
      <c r="A1956" s="83">
        <v>1</v>
      </c>
      <c r="B1956" s="84">
        <v>5701603308748</v>
      </c>
      <c r="C1956" s="83">
        <v>20</v>
      </c>
      <c r="D1956" s="84">
        <v>5980543308</v>
      </c>
      <c r="F1956" s="83" t="s">
        <v>103</v>
      </c>
      <c r="G1956" s="83">
        <v>0</v>
      </c>
      <c r="H1956" s="83">
        <v>100</v>
      </c>
      <c r="K1956" s="83">
        <v>1</v>
      </c>
      <c r="L1956" s="83" t="s">
        <v>101</v>
      </c>
      <c r="M1956" s="83" t="s">
        <v>410</v>
      </c>
      <c r="N1956" s="83" t="s">
        <v>102</v>
      </c>
      <c r="P1956" s="83">
        <v>0</v>
      </c>
      <c r="U1956" s="83">
        <v>4</v>
      </c>
      <c r="V1956" s="83">
        <v>1</v>
      </c>
      <c r="W1956" s="83" t="s">
        <v>103</v>
      </c>
      <c r="X1956" s="83">
        <v>0</v>
      </c>
    </row>
    <row r="1957" spans="1:25" x14ac:dyDescent="0.2">
      <c r="A1957" s="83">
        <v>1</v>
      </c>
      <c r="B1957" s="84">
        <v>5701603308748</v>
      </c>
      <c r="C1957" s="83">
        <v>30</v>
      </c>
      <c r="D1957" s="84">
        <v>5980623308</v>
      </c>
      <c r="F1957" s="83" t="s">
        <v>103</v>
      </c>
      <c r="G1957" s="83">
        <v>0</v>
      </c>
      <c r="H1957" s="83">
        <v>100</v>
      </c>
      <c r="K1957" s="83">
        <v>1</v>
      </c>
      <c r="L1957" s="83" t="s">
        <v>101</v>
      </c>
      <c r="M1957" s="83" t="s">
        <v>410</v>
      </c>
      <c r="N1957" s="83" t="s">
        <v>102</v>
      </c>
      <c r="P1957" s="83">
        <v>0</v>
      </c>
      <c r="U1957" s="83">
        <v>4</v>
      </c>
      <c r="V1957" s="83">
        <v>1</v>
      </c>
      <c r="W1957" s="83" t="s">
        <v>103</v>
      </c>
      <c r="X1957" s="83">
        <v>0</v>
      </c>
    </row>
    <row r="1958" spans="1:25" x14ac:dyDescent="0.2">
      <c r="A1958" s="83">
        <v>1</v>
      </c>
      <c r="B1958" s="84">
        <v>5701603308748</v>
      </c>
      <c r="C1958" s="83">
        <v>40</v>
      </c>
      <c r="D1958" s="84">
        <v>5980823308</v>
      </c>
      <c r="F1958" s="83" t="s">
        <v>103</v>
      </c>
      <c r="G1958" s="83">
        <v>0</v>
      </c>
      <c r="H1958" s="83">
        <v>100</v>
      </c>
      <c r="K1958" s="83">
        <v>1</v>
      </c>
      <c r="L1958" s="83" t="s">
        <v>101</v>
      </c>
      <c r="M1958" s="83" t="s">
        <v>410</v>
      </c>
      <c r="N1958" s="83" t="s">
        <v>102</v>
      </c>
      <c r="P1958" s="83">
        <v>0</v>
      </c>
      <c r="U1958" s="83">
        <v>4</v>
      </c>
      <c r="V1958" s="83">
        <v>1</v>
      </c>
      <c r="W1958" s="83" t="s">
        <v>103</v>
      </c>
      <c r="X1958" s="83">
        <v>0</v>
      </c>
    </row>
    <row r="1959" spans="1:25" x14ac:dyDescent="0.2">
      <c r="A1959" s="83">
        <v>1</v>
      </c>
      <c r="B1959" s="84">
        <v>5701603308748</v>
      </c>
      <c r="C1959" s="83">
        <v>50</v>
      </c>
      <c r="D1959" s="84">
        <v>5980933308</v>
      </c>
      <c r="F1959" s="83" t="s">
        <v>103</v>
      </c>
      <c r="G1959" s="83">
        <v>0</v>
      </c>
      <c r="H1959" s="83">
        <v>100</v>
      </c>
      <c r="K1959" s="83">
        <v>1</v>
      </c>
      <c r="L1959" s="83" t="s">
        <v>101</v>
      </c>
      <c r="M1959" s="83" t="s">
        <v>410</v>
      </c>
      <c r="N1959" s="83" t="s">
        <v>102</v>
      </c>
      <c r="P1959" s="83">
        <v>0</v>
      </c>
      <c r="U1959" s="83">
        <v>4</v>
      </c>
      <c r="V1959" s="83">
        <v>1</v>
      </c>
      <c r="W1959" s="83" t="s">
        <v>103</v>
      </c>
      <c r="X1959" s="83">
        <v>0</v>
      </c>
    </row>
    <row r="1960" spans="1:25" x14ac:dyDescent="0.2">
      <c r="A1960" s="83">
        <v>1</v>
      </c>
      <c r="B1960" s="84">
        <v>5701603308748</v>
      </c>
      <c r="C1960" s="83">
        <v>60</v>
      </c>
      <c r="D1960" s="84">
        <v>1010286</v>
      </c>
      <c r="F1960" s="83" t="s">
        <v>103</v>
      </c>
      <c r="G1960" s="83">
        <v>0</v>
      </c>
      <c r="H1960" s="83">
        <v>100</v>
      </c>
      <c r="K1960" s="83">
        <v>8</v>
      </c>
      <c r="L1960" s="83" t="s">
        <v>101</v>
      </c>
      <c r="M1960" s="83" t="s">
        <v>410</v>
      </c>
      <c r="N1960" s="83" t="s">
        <v>102</v>
      </c>
      <c r="P1960" s="83">
        <v>0</v>
      </c>
      <c r="U1960" s="83">
        <v>4</v>
      </c>
      <c r="V1960" s="83">
        <v>1</v>
      </c>
      <c r="W1960" s="83" t="s">
        <v>103</v>
      </c>
      <c r="X1960" s="83">
        <v>0</v>
      </c>
    </row>
    <row r="1961" spans="1:25" x14ac:dyDescent="0.2">
      <c r="A1961" s="83">
        <v>1</v>
      </c>
      <c r="B1961" s="84">
        <v>5701603308748</v>
      </c>
      <c r="C1961" s="83">
        <v>70</v>
      </c>
      <c r="D1961" s="84">
        <v>1010288</v>
      </c>
      <c r="F1961" s="83" t="s">
        <v>103</v>
      </c>
      <c r="G1961" s="83">
        <v>0</v>
      </c>
      <c r="H1961" s="83">
        <v>100</v>
      </c>
      <c r="K1961" s="83">
        <v>4</v>
      </c>
      <c r="L1961" s="83" t="s">
        <v>101</v>
      </c>
      <c r="M1961" s="83" t="s">
        <v>410</v>
      </c>
      <c r="N1961" s="83" t="s">
        <v>102</v>
      </c>
      <c r="P1961" s="83">
        <v>0</v>
      </c>
      <c r="U1961" s="83">
        <v>4</v>
      </c>
      <c r="V1961" s="83">
        <v>1</v>
      </c>
      <c r="W1961" s="83" t="s">
        <v>103</v>
      </c>
      <c r="X1961" s="83">
        <v>0</v>
      </c>
    </row>
    <row r="1962" spans="1:25" x14ac:dyDescent="0.2">
      <c r="A1962" s="83">
        <v>1</v>
      </c>
      <c r="B1962" s="84">
        <v>5701603308748</v>
      </c>
      <c r="C1962" s="83">
        <v>80</v>
      </c>
      <c r="D1962" s="84">
        <v>1020145</v>
      </c>
      <c r="F1962" s="83" t="s">
        <v>103</v>
      </c>
      <c r="G1962" s="83">
        <v>0</v>
      </c>
      <c r="H1962" s="83">
        <v>100</v>
      </c>
      <c r="K1962" s="83" t="s">
        <v>408</v>
      </c>
      <c r="L1962" s="83" t="s">
        <v>101</v>
      </c>
      <c r="M1962" s="83" t="s">
        <v>410</v>
      </c>
      <c r="N1962" s="83" t="s">
        <v>102</v>
      </c>
      <c r="P1962" s="83">
        <v>0</v>
      </c>
      <c r="U1962" s="83">
        <v>4</v>
      </c>
      <c r="V1962" s="83">
        <v>1</v>
      </c>
      <c r="W1962" s="83" t="s">
        <v>103</v>
      </c>
      <c r="X1962" s="83">
        <v>0</v>
      </c>
    </row>
    <row r="1963" spans="1:25" x14ac:dyDescent="0.2">
      <c r="A1963" s="83">
        <v>1</v>
      </c>
      <c r="B1963" s="84">
        <v>5701603308748</v>
      </c>
      <c r="C1963" s="83">
        <v>90</v>
      </c>
      <c r="D1963" s="84">
        <v>777500748</v>
      </c>
      <c r="F1963" s="83" t="s">
        <v>103</v>
      </c>
      <c r="G1963" s="83">
        <v>0</v>
      </c>
      <c r="H1963" s="83">
        <v>100</v>
      </c>
      <c r="K1963" s="83">
        <v>1</v>
      </c>
      <c r="L1963" s="83" t="s">
        <v>101</v>
      </c>
      <c r="M1963" s="83" t="s">
        <v>410</v>
      </c>
      <c r="N1963" s="83" t="s">
        <v>102</v>
      </c>
      <c r="P1963" s="83">
        <v>0</v>
      </c>
      <c r="U1963" s="83">
        <v>4</v>
      </c>
      <c r="V1963" s="83">
        <v>1</v>
      </c>
      <c r="W1963" s="83" t="s">
        <v>103</v>
      </c>
      <c r="X1963" s="83">
        <v>0</v>
      </c>
    </row>
    <row r="1964" spans="1:25" x14ac:dyDescent="0.2">
      <c r="A1964" s="83">
        <v>1</v>
      </c>
      <c r="B1964" s="84">
        <v>5701603309748</v>
      </c>
      <c r="C1964" s="83">
        <v>10</v>
      </c>
      <c r="D1964" s="84">
        <v>5980463309</v>
      </c>
      <c r="F1964" s="83" t="s">
        <v>103</v>
      </c>
      <c r="G1964" s="83">
        <v>0</v>
      </c>
      <c r="H1964" s="83">
        <v>100</v>
      </c>
      <c r="K1964" s="83">
        <v>1</v>
      </c>
      <c r="L1964" s="83" t="s">
        <v>101</v>
      </c>
      <c r="M1964" s="83" t="s">
        <v>410</v>
      </c>
      <c r="N1964" s="83" t="s">
        <v>102</v>
      </c>
      <c r="P1964" s="83">
        <v>0</v>
      </c>
      <c r="U1964" s="83">
        <v>4</v>
      </c>
      <c r="V1964" s="83">
        <v>1</v>
      </c>
      <c r="W1964" s="83" t="s">
        <v>103</v>
      </c>
      <c r="X1964" s="83">
        <v>0</v>
      </c>
      <c r="Y1964" s="83" t="str">
        <f>LEFT(D1964,6)</f>
        <v>598046</v>
      </c>
    </row>
    <row r="1965" spans="1:25" x14ac:dyDescent="0.2">
      <c r="A1965" s="83">
        <v>1</v>
      </c>
      <c r="B1965" s="84">
        <v>5701603309748</v>
      </c>
      <c r="C1965" s="83">
        <v>20</v>
      </c>
      <c r="D1965" s="84">
        <v>5980543309</v>
      </c>
      <c r="F1965" s="83" t="s">
        <v>103</v>
      </c>
      <c r="G1965" s="83">
        <v>0</v>
      </c>
      <c r="H1965" s="83">
        <v>100</v>
      </c>
      <c r="K1965" s="83">
        <v>1</v>
      </c>
      <c r="L1965" s="83" t="s">
        <v>101</v>
      </c>
      <c r="M1965" s="83" t="s">
        <v>410</v>
      </c>
      <c r="N1965" s="83" t="s">
        <v>102</v>
      </c>
      <c r="P1965" s="83">
        <v>0</v>
      </c>
      <c r="U1965" s="83">
        <v>4</v>
      </c>
      <c r="V1965" s="83">
        <v>1</v>
      </c>
      <c r="W1965" s="83" t="s">
        <v>103</v>
      </c>
      <c r="X1965" s="83">
        <v>0</v>
      </c>
    </row>
    <row r="1966" spans="1:25" x14ac:dyDescent="0.2">
      <c r="A1966" s="83">
        <v>1</v>
      </c>
      <c r="B1966" s="84">
        <v>5701603309748</v>
      </c>
      <c r="C1966" s="83">
        <v>30</v>
      </c>
      <c r="D1966" s="84">
        <v>5980623309</v>
      </c>
      <c r="F1966" s="83" t="s">
        <v>103</v>
      </c>
      <c r="G1966" s="83">
        <v>0</v>
      </c>
      <c r="H1966" s="83">
        <v>100</v>
      </c>
      <c r="K1966" s="83">
        <v>1</v>
      </c>
      <c r="L1966" s="83" t="s">
        <v>101</v>
      </c>
      <c r="M1966" s="83" t="s">
        <v>410</v>
      </c>
      <c r="N1966" s="83" t="s">
        <v>102</v>
      </c>
      <c r="P1966" s="83">
        <v>0</v>
      </c>
      <c r="U1966" s="83">
        <v>4</v>
      </c>
      <c r="V1966" s="83">
        <v>1</v>
      </c>
      <c r="W1966" s="83" t="s">
        <v>103</v>
      </c>
      <c r="X1966" s="83">
        <v>0</v>
      </c>
    </row>
    <row r="1967" spans="1:25" x14ac:dyDescent="0.2">
      <c r="A1967" s="83">
        <v>1</v>
      </c>
      <c r="B1967" s="84">
        <v>5701603309748</v>
      </c>
      <c r="C1967" s="83">
        <v>40</v>
      </c>
      <c r="D1967" s="84">
        <v>5980823309</v>
      </c>
      <c r="F1967" s="83" t="s">
        <v>103</v>
      </c>
      <c r="G1967" s="83">
        <v>0</v>
      </c>
      <c r="H1967" s="83">
        <v>100</v>
      </c>
      <c r="K1967" s="83">
        <v>1</v>
      </c>
      <c r="L1967" s="83" t="s">
        <v>101</v>
      </c>
      <c r="M1967" s="83" t="s">
        <v>410</v>
      </c>
      <c r="N1967" s="83" t="s">
        <v>102</v>
      </c>
      <c r="P1967" s="83">
        <v>0</v>
      </c>
      <c r="U1967" s="83">
        <v>4</v>
      </c>
      <c r="V1967" s="83">
        <v>1</v>
      </c>
      <c r="W1967" s="83" t="s">
        <v>103</v>
      </c>
      <c r="X1967" s="83">
        <v>0</v>
      </c>
    </row>
    <row r="1968" spans="1:25" x14ac:dyDescent="0.2">
      <c r="A1968" s="83">
        <v>1</v>
      </c>
      <c r="B1968" s="84">
        <v>5701603309748</v>
      </c>
      <c r="C1968" s="83">
        <v>50</v>
      </c>
      <c r="D1968" s="84">
        <v>5980933309</v>
      </c>
      <c r="F1968" s="83" t="s">
        <v>103</v>
      </c>
      <c r="G1968" s="83">
        <v>0</v>
      </c>
      <c r="H1968" s="83">
        <v>100</v>
      </c>
      <c r="K1968" s="83">
        <v>1</v>
      </c>
      <c r="L1968" s="83" t="s">
        <v>101</v>
      </c>
      <c r="M1968" s="83" t="s">
        <v>410</v>
      </c>
      <c r="N1968" s="83" t="s">
        <v>102</v>
      </c>
      <c r="P1968" s="83">
        <v>0</v>
      </c>
      <c r="U1968" s="83">
        <v>4</v>
      </c>
      <c r="V1968" s="83">
        <v>1</v>
      </c>
      <c r="W1968" s="83" t="s">
        <v>103</v>
      </c>
      <c r="X1968" s="83">
        <v>0</v>
      </c>
    </row>
    <row r="1969" spans="1:25" x14ac:dyDescent="0.2">
      <c r="A1969" s="83">
        <v>1</v>
      </c>
      <c r="B1969" s="84">
        <v>5701603309748</v>
      </c>
      <c r="C1969" s="83">
        <v>60</v>
      </c>
      <c r="D1969" s="84">
        <v>1010286</v>
      </c>
      <c r="F1969" s="83" t="s">
        <v>103</v>
      </c>
      <c r="G1969" s="83">
        <v>0</v>
      </c>
      <c r="H1969" s="83">
        <v>100</v>
      </c>
      <c r="K1969" s="83">
        <v>8</v>
      </c>
      <c r="L1969" s="83" t="s">
        <v>101</v>
      </c>
      <c r="M1969" s="83" t="s">
        <v>410</v>
      </c>
      <c r="N1969" s="83" t="s">
        <v>102</v>
      </c>
      <c r="P1969" s="83">
        <v>0</v>
      </c>
      <c r="U1969" s="83">
        <v>4</v>
      </c>
      <c r="V1969" s="83">
        <v>1</v>
      </c>
      <c r="W1969" s="83" t="s">
        <v>103</v>
      </c>
      <c r="X1969" s="83">
        <v>0</v>
      </c>
    </row>
    <row r="1970" spans="1:25" x14ac:dyDescent="0.2">
      <c r="A1970" s="83">
        <v>1</v>
      </c>
      <c r="B1970" s="84">
        <v>5701603309748</v>
      </c>
      <c r="C1970" s="83">
        <v>70</v>
      </c>
      <c r="D1970" s="84">
        <v>1010287</v>
      </c>
      <c r="F1970" s="83" t="s">
        <v>103</v>
      </c>
      <c r="G1970" s="83">
        <v>0</v>
      </c>
      <c r="H1970" s="83">
        <v>100</v>
      </c>
      <c r="K1970" s="83">
        <v>4</v>
      </c>
      <c r="L1970" s="83" t="s">
        <v>101</v>
      </c>
      <c r="M1970" s="83" t="s">
        <v>410</v>
      </c>
      <c r="N1970" s="83" t="s">
        <v>102</v>
      </c>
      <c r="P1970" s="83">
        <v>0</v>
      </c>
      <c r="U1970" s="83">
        <v>4</v>
      </c>
      <c r="V1970" s="83">
        <v>1</v>
      </c>
      <c r="W1970" s="83" t="s">
        <v>103</v>
      </c>
      <c r="X1970" s="83">
        <v>0</v>
      </c>
    </row>
    <row r="1971" spans="1:25" x14ac:dyDescent="0.2">
      <c r="A1971" s="83">
        <v>1</v>
      </c>
      <c r="B1971" s="84">
        <v>5701603309748</v>
      </c>
      <c r="C1971" s="83">
        <v>80</v>
      </c>
      <c r="D1971" s="84">
        <v>1020145</v>
      </c>
      <c r="F1971" s="83" t="s">
        <v>103</v>
      </c>
      <c r="G1971" s="83">
        <v>0</v>
      </c>
      <c r="H1971" s="83">
        <v>100</v>
      </c>
      <c r="K1971" s="83" t="s">
        <v>408</v>
      </c>
      <c r="L1971" s="83" t="s">
        <v>101</v>
      </c>
      <c r="M1971" s="83" t="s">
        <v>410</v>
      </c>
      <c r="N1971" s="83" t="s">
        <v>102</v>
      </c>
      <c r="P1971" s="83">
        <v>0</v>
      </c>
      <c r="U1971" s="83">
        <v>4</v>
      </c>
      <c r="V1971" s="83">
        <v>1</v>
      </c>
      <c r="W1971" s="83" t="s">
        <v>103</v>
      </c>
      <c r="X1971" s="83">
        <v>0</v>
      </c>
    </row>
    <row r="1972" spans="1:25" x14ac:dyDescent="0.2">
      <c r="A1972" s="83">
        <v>1</v>
      </c>
      <c r="B1972" s="84">
        <v>5701603309748</v>
      </c>
      <c r="C1972" s="83">
        <v>90</v>
      </c>
      <c r="D1972" s="84">
        <v>777500748</v>
      </c>
      <c r="F1972" s="83" t="s">
        <v>103</v>
      </c>
      <c r="G1972" s="83">
        <v>0</v>
      </c>
      <c r="H1972" s="83">
        <v>100</v>
      </c>
      <c r="K1972" s="83">
        <v>1</v>
      </c>
      <c r="L1972" s="83" t="s">
        <v>101</v>
      </c>
      <c r="M1972" s="83" t="s">
        <v>410</v>
      </c>
      <c r="N1972" s="83" t="s">
        <v>102</v>
      </c>
      <c r="P1972" s="83">
        <v>0</v>
      </c>
      <c r="U1972" s="83">
        <v>4</v>
      </c>
      <c r="V1972" s="83">
        <v>1</v>
      </c>
      <c r="W1972" s="83" t="s">
        <v>103</v>
      </c>
      <c r="X1972" s="83">
        <v>0</v>
      </c>
    </row>
    <row r="1973" spans="1:25" x14ac:dyDescent="0.2">
      <c r="A1973" s="83">
        <v>1</v>
      </c>
      <c r="B1973" s="84">
        <v>5701603310748</v>
      </c>
      <c r="C1973" s="83">
        <v>10</v>
      </c>
      <c r="D1973" s="84">
        <v>5980463310</v>
      </c>
      <c r="F1973" s="83" t="s">
        <v>103</v>
      </c>
      <c r="G1973" s="83">
        <v>0</v>
      </c>
      <c r="H1973" s="83">
        <v>100</v>
      </c>
      <c r="K1973" s="83">
        <v>1</v>
      </c>
      <c r="L1973" s="83" t="s">
        <v>101</v>
      </c>
      <c r="M1973" s="83" t="s">
        <v>410</v>
      </c>
      <c r="N1973" s="83" t="s">
        <v>102</v>
      </c>
      <c r="P1973" s="83">
        <v>0</v>
      </c>
      <c r="U1973" s="83">
        <v>4</v>
      </c>
      <c r="V1973" s="83">
        <v>1</v>
      </c>
      <c r="W1973" s="83" t="s">
        <v>103</v>
      </c>
      <c r="X1973" s="83">
        <v>0</v>
      </c>
      <c r="Y1973" s="83" t="str">
        <f>LEFT(D1973,6)</f>
        <v>598046</v>
      </c>
    </row>
    <row r="1974" spans="1:25" x14ac:dyDescent="0.2">
      <c r="A1974" s="83">
        <v>1</v>
      </c>
      <c r="B1974" s="84">
        <v>5701603310748</v>
      </c>
      <c r="C1974" s="83">
        <v>20</v>
      </c>
      <c r="D1974" s="84">
        <v>5980543310</v>
      </c>
      <c r="F1974" s="83" t="s">
        <v>103</v>
      </c>
      <c r="G1974" s="83">
        <v>0</v>
      </c>
      <c r="H1974" s="83">
        <v>100</v>
      </c>
      <c r="K1974" s="83">
        <v>1</v>
      </c>
      <c r="L1974" s="83" t="s">
        <v>101</v>
      </c>
      <c r="M1974" s="83" t="s">
        <v>410</v>
      </c>
      <c r="N1974" s="83" t="s">
        <v>102</v>
      </c>
      <c r="P1974" s="83">
        <v>0</v>
      </c>
      <c r="U1974" s="83">
        <v>4</v>
      </c>
      <c r="V1974" s="83">
        <v>1</v>
      </c>
      <c r="W1974" s="83" t="s">
        <v>103</v>
      </c>
      <c r="X1974" s="83">
        <v>0</v>
      </c>
    </row>
    <row r="1975" spans="1:25" x14ac:dyDescent="0.2">
      <c r="A1975" s="83">
        <v>1</v>
      </c>
      <c r="B1975" s="84">
        <v>5701603310748</v>
      </c>
      <c r="C1975" s="83">
        <v>30</v>
      </c>
      <c r="D1975" s="84">
        <v>5980623310</v>
      </c>
      <c r="F1975" s="83" t="s">
        <v>103</v>
      </c>
      <c r="G1975" s="83">
        <v>0</v>
      </c>
      <c r="H1975" s="83">
        <v>100</v>
      </c>
      <c r="K1975" s="83">
        <v>1</v>
      </c>
      <c r="L1975" s="83" t="s">
        <v>101</v>
      </c>
      <c r="M1975" s="83" t="s">
        <v>410</v>
      </c>
      <c r="N1975" s="83" t="s">
        <v>102</v>
      </c>
      <c r="P1975" s="83">
        <v>0</v>
      </c>
      <c r="U1975" s="83">
        <v>4</v>
      </c>
      <c r="V1975" s="83">
        <v>1</v>
      </c>
      <c r="W1975" s="83" t="s">
        <v>103</v>
      </c>
      <c r="X1975" s="83">
        <v>0</v>
      </c>
    </row>
    <row r="1976" spans="1:25" x14ac:dyDescent="0.2">
      <c r="A1976" s="83">
        <v>1</v>
      </c>
      <c r="B1976" s="84">
        <v>5701603310748</v>
      </c>
      <c r="C1976" s="83">
        <v>40</v>
      </c>
      <c r="D1976" s="84">
        <v>5980823310</v>
      </c>
      <c r="F1976" s="83" t="s">
        <v>103</v>
      </c>
      <c r="G1976" s="83">
        <v>0</v>
      </c>
      <c r="H1976" s="83">
        <v>100</v>
      </c>
      <c r="K1976" s="83">
        <v>1</v>
      </c>
      <c r="L1976" s="83" t="s">
        <v>101</v>
      </c>
      <c r="M1976" s="83" t="s">
        <v>410</v>
      </c>
      <c r="N1976" s="83" t="s">
        <v>102</v>
      </c>
      <c r="P1976" s="83">
        <v>0</v>
      </c>
      <c r="U1976" s="83">
        <v>4</v>
      </c>
      <c r="V1976" s="83">
        <v>1</v>
      </c>
      <c r="W1976" s="83" t="s">
        <v>103</v>
      </c>
      <c r="X1976" s="83">
        <v>0</v>
      </c>
    </row>
    <row r="1977" spans="1:25" x14ac:dyDescent="0.2">
      <c r="A1977" s="83">
        <v>1</v>
      </c>
      <c r="B1977" s="84">
        <v>5701603310748</v>
      </c>
      <c r="C1977" s="83">
        <v>50</v>
      </c>
      <c r="D1977" s="84">
        <v>5980933310</v>
      </c>
      <c r="F1977" s="83" t="s">
        <v>103</v>
      </c>
      <c r="G1977" s="83">
        <v>0</v>
      </c>
      <c r="H1977" s="83">
        <v>100</v>
      </c>
      <c r="K1977" s="83">
        <v>1</v>
      </c>
      <c r="L1977" s="83" t="s">
        <v>101</v>
      </c>
      <c r="M1977" s="83" t="s">
        <v>410</v>
      </c>
      <c r="N1977" s="83" t="s">
        <v>102</v>
      </c>
      <c r="P1977" s="83">
        <v>0</v>
      </c>
      <c r="U1977" s="83">
        <v>4</v>
      </c>
      <c r="V1977" s="83">
        <v>1</v>
      </c>
      <c r="W1977" s="83" t="s">
        <v>103</v>
      </c>
      <c r="X1977" s="83">
        <v>0</v>
      </c>
    </row>
    <row r="1978" spans="1:25" x14ac:dyDescent="0.2">
      <c r="A1978" s="83">
        <v>1</v>
      </c>
      <c r="B1978" s="84">
        <v>5701603310748</v>
      </c>
      <c r="C1978" s="83">
        <v>60</v>
      </c>
      <c r="D1978" s="84">
        <v>1010286</v>
      </c>
      <c r="F1978" s="83" t="s">
        <v>103</v>
      </c>
      <c r="G1978" s="83">
        <v>0</v>
      </c>
      <c r="H1978" s="83">
        <v>100</v>
      </c>
      <c r="K1978" s="83">
        <v>8</v>
      </c>
      <c r="L1978" s="83" t="s">
        <v>101</v>
      </c>
      <c r="M1978" s="83" t="s">
        <v>410</v>
      </c>
      <c r="N1978" s="83" t="s">
        <v>102</v>
      </c>
      <c r="P1978" s="83">
        <v>0</v>
      </c>
      <c r="U1978" s="83">
        <v>4</v>
      </c>
      <c r="V1978" s="83">
        <v>1</v>
      </c>
      <c r="W1978" s="83" t="s">
        <v>103</v>
      </c>
      <c r="X1978" s="83">
        <v>0</v>
      </c>
    </row>
    <row r="1979" spans="1:25" x14ac:dyDescent="0.2">
      <c r="A1979" s="83">
        <v>1</v>
      </c>
      <c r="B1979" s="84">
        <v>5701603310748</v>
      </c>
      <c r="C1979" s="83">
        <v>70</v>
      </c>
      <c r="D1979" s="84">
        <v>1010287</v>
      </c>
      <c r="F1979" s="83" t="s">
        <v>103</v>
      </c>
      <c r="G1979" s="83">
        <v>0</v>
      </c>
      <c r="H1979" s="83">
        <v>100</v>
      </c>
      <c r="K1979" s="83">
        <v>4</v>
      </c>
      <c r="L1979" s="83" t="s">
        <v>101</v>
      </c>
      <c r="M1979" s="83" t="s">
        <v>410</v>
      </c>
      <c r="N1979" s="83" t="s">
        <v>102</v>
      </c>
      <c r="P1979" s="83">
        <v>0</v>
      </c>
      <c r="U1979" s="83">
        <v>4</v>
      </c>
      <c r="V1979" s="83">
        <v>1</v>
      </c>
      <c r="W1979" s="83" t="s">
        <v>103</v>
      </c>
      <c r="X1979" s="83">
        <v>0</v>
      </c>
    </row>
    <row r="1980" spans="1:25" x14ac:dyDescent="0.2">
      <c r="A1980" s="83">
        <v>1</v>
      </c>
      <c r="B1980" s="84">
        <v>5701603310748</v>
      </c>
      <c r="C1980" s="83">
        <v>80</v>
      </c>
      <c r="D1980" s="84">
        <v>1020145</v>
      </c>
      <c r="F1980" s="83" t="s">
        <v>103</v>
      </c>
      <c r="G1980" s="83">
        <v>0</v>
      </c>
      <c r="H1980" s="83">
        <v>100</v>
      </c>
      <c r="K1980" s="83" t="s">
        <v>408</v>
      </c>
      <c r="L1980" s="83" t="s">
        <v>101</v>
      </c>
      <c r="M1980" s="83" t="s">
        <v>410</v>
      </c>
      <c r="N1980" s="83" t="s">
        <v>102</v>
      </c>
      <c r="P1980" s="83">
        <v>0</v>
      </c>
      <c r="U1980" s="83">
        <v>4</v>
      </c>
      <c r="V1980" s="83">
        <v>1</v>
      </c>
      <c r="W1980" s="83" t="s">
        <v>103</v>
      </c>
      <c r="X1980" s="83">
        <v>0</v>
      </c>
    </row>
    <row r="1981" spans="1:25" x14ac:dyDescent="0.2">
      <c r="A1981" s="83">
        <v>1</v>
      </c>
      <c r="B1981" s="84">
        <v>5701603310748</v>
      </c>
      <c r="C1981" s="83">
        <v>90</v>
      </c>
      <c r="D1981" s="84">
        <v>777500748</v>
      </c>
      <c r="F1981" s="83" t="s">
        <v>103</v>
      </c>
      <c r="G1981" s="83">
        <v>0</v>
      </c>
      <c r="H1981" s="83">
        <v>100</v>
      </c>
      <c r="K1981" s="83">
        <v>1</v>
      </c>
      <c r="L1981" s="83" t="s">
        <v>101</v>
      </c>
      <c r="M1981" s="83" t="s">
        <v>410</v>
      </c>
      <c r="N1981" s="83" t="s">
        <v>102</v>
      </c>
      <c r="P1981" s="83">
        <v>0</v>
      </c>
      <c r="U1981" s="83">
        <v>4</v>
      </c>
      <c r="V1981" s="83">
        <v>1</v>
      </c>
      <c r="W1981" s="83" t="s">
        <v>103</v>
      </c>
      <c r="X1981" s="83">
        <v>0</v>
      </c>
    </row>
    <row r="1982" spans="1:25" x14ac:dyDescent="0.2">
      <c r="A1982" s="83">
        <v>1</v>
      </c>
      <c r="B1982" s="84">
        <v>5701603300722</v>
      </c>
      <c r="C1982" s="83">
        <v>10</v>
      </c>
      <c r="D1982" s="84">
        <v>5980463399</v>
      </c>
      <c r="F1982" s="83" t="s">
        <v>103</v>
      </c>
      <c r="G1982" s="83">
        <v>0</v>
      </c>
      <c r="H1982" s="83">
        <v>100</v>
      </c>
      <c r="K1982" s="83">
        <v>1</v>
      </c>
      <c r="L1982" s="83" t="s">
        <v>101</v>
      </c>
      <c r="M1982" s="83" t="s">
        <v>410</v>
      </c>
      <c r="N1982" s="83" t="s">
        <v>102</v>
      </c>
      <c r="P1982" s="83">
        <v>0</v>
      </c>
      <c r="U1982" s="83">
        <v>4</v>
      </c>
      <c r="V1982" s="83">
        <v>1</v>
      </c>
      <c r="W1982" s="83" t="s">
        <v>103</v>
      </c>
      <c r="X1982" s="83">
        <v>0</v>
      </c>
      <c r="Y1982" s="83" t="str">
        <f>LEFT(D1982,6)</f>
        <v>598046</v>
      </c>
    </row>
    <row r="1983" spans="1:25" x14ac:dyDescent="0.2">
      <c r="A1983" s="83">
        <v>1</v>
      </c>
      <c r="B1983" s="84">
        <v>5701603300722</v>
      </c>
      <c r="C1983" s="83">
        <v>20</v>
      </c>
      <c r="D1983" s="84">
        <v>5980543399</v>
      </c>
      <c r="F1983" s="83" t="s">
        <v>103</v>
      </c>
      <c r="G1983" s="83">
        <v>0</v>
      </c>
      <c r="H1983" s="83">
        <v>100</v>
      </c>
      <c r="K1983" s="83">
        <v>1</v>
      </c>
      <c r="L1983" s="83" t="s">
        <v>101</v>
      </c>
      <c r="M1983" s="83" t="s">
        <v>410</v>
      </c>
      <c r="N1983" s="83" t="s">
        <v>102</v>
      </c>
      <c r="P1983" s="83">
        <v>0</v>
      </c>
      <c r="U1983" s="83">
        <v>4</v>
      </c>
      <c r="V1983" s="83">
        <v>1</v>
      </c>
      <c r="W1983" s="83" t="s">
        <v>103</v>
      </c>
      <c r="X1983" s="83">
        <v>0</v>
      </c>
    </row>
    <row r="1984" spans="1:25" x14ac:dyDescent="0.2">
      <c r="A1984" s="83">
        <v>1</v>
      </c>
      <c r="B1984" s="84">
        <v>5701603300722</v>
      </c>
      <c r="C1984" s="83">
        <v>30</v>
      </c>
      <c r="D1984" s="84">
        <v>5980623399</v>
      </c>
      <c r="F1984" s="83" t="s">
        <v>103</v>
      </c>
      <c r="G1984" s="83">
        <v>0</v>
      </c>
      <c r="H1984" s="83">
        <v>100</v>
      </c>
      <c r="K1984" s="83">
        <v>1</v>
      </c>
      <c r="L1984" s="83" t="s">
        <v>101</v>
      </c>
      <c r="M1984" s="83" t="s">
        <v>410</v>
      </c>
      <c r="N1984" s="83" t="s">
        <v>102</v>
      </c>
      <c r="P1984" s="83">
        <v>0</v>
      </c>
      <c r="U1984" s="83">
        <v>4</v>
      </c>
      <c r="V1984" s="83">
        <v>1</v>
      </c>
      <c r="W1984" s="83" t="s">
        <v>103</v>
      </c>
      <c r="X1984" s="83">
        <v>0</v>
      </c>
    </row>
    <row r="1985" spans="1:25" x14ac:dyDescent="0.2">
      <c r="A1985" s="83">
        <v>1</v>
      </c>
      <c r="B1985" s="84">
        <v>5701603300722</v>
      </c>
      <c r="C1985" s="83">
        <v>40</v>
      </c>
      <c r="D1985" s="84">
        <v>5980823399</v>
      </c>
      <c r="F1985" s="83" t="s">
        <v>103</v>
      </c>
      <c r="G1985" s="83">
        <v>0</v>
      </c>
      <c r="H1985" s="83">
        <v>100</v>
      </c>
      <c r="K1985" s="83">
        <v>1</v>
      </c>
      <c r="L1985" s="83" t="s">
        <v>101</v>
      </c>
      <c r="M1985" s="83" t="s">
        <v>410</v>
      </c>
      <c r="N1985" s="83" t="s">
        <v>102</v>
      </c>
      <c r="P1985" s="83">
        <v>0</v>
      </c>
      <c r="U1985" s="83">
        <v>4</v>
      </c>
      <c r="V1985" s="83">
        <v>1</v>
      </c>
      <c r="W1985" s="83" t="s">
        <v>103</v>
      </c>
      <c r="X1985" s="83">
        <v>0</v>
      </c>
    </row>
    <row r="1986" spans="1:25" x14ac:dyDescent="0.2">
      <c r="A1986" s="83">
        <v>1</v>
      </c>
      <c r="B1986" s="84">
        <v>5701603300722</v>
      </c>
      <c r="C1986" s="83">
        <v>50</v>
      </c>
      <c r="D1986" s="85">
        <v>1010277</v>
      </c>
      <c r="F1986" s="83" t="s">
        <v>103</v>
      </c>
      <c r="G1986" s="83">
        <v>0</v>
      </c>
      <c r="H1986" s="83">
        <v>100</v>
      </c>
      <c r="K1986" s="83">
        <v>1</v>
      </c>
      <c r="L1986" s="83" t="s">
        <v>101</v>
      </c>
      <c r="M1986" s="83" t="s">
        <v>410</v>
      </c>
      <c r="N1986" s="83" t="s">
        <v>102</v>
      </c>
      <c r="P1986" s="83">
        <v>0</v>
      </c>
      <c r="U1986" s="83">
        <v>4</v>
      </c>
      <c r="V1986" s="83">
        <v>1</v>
      </c>
      <c r="W1986" s="83" t="s">
        <v>103</v>
      </c>
      <c r="X1986" s="83">
        <v>0</v>
      </c>
    </row>
    <row r="1987" spans="1:25" x14ac:dyDescent="0.2">
      <c r="A1987" s="83">
        <v>1</v>
      </c>
      <c r="B1987" s="84">
        <v>5701603300722</v>
      </c>
      <c r="C1987" s="83">
        <v>60</v>
      </c>
      <c r="D1987" s="84">
        <v>1010286</v>
      </c>
      <c r="F1987" s="83" t="s">
        <v>103</v>
      </c>
      <c r="G1987" s="83">
        <v>0</v>
      </c>
      <c r="H1987" s="83">
        <v>100</v>
      </c>
      <c r="K1987" s="83">
        <v>8</v>
      </c>
      <c r="L1987" s="83" t="s">
        <v>101</v>
      </c>
      <c r="M1987" s="83" t="s">
        <v>410</v>
      </c>
      <c r="N1987" s="83" t="s">
        <v>102</v>
      </c>
      <c r="P1987" s="83">
        <v>0</v>
      </c>
      <c r="U1987" s="83">
        <v>4</v>
      </c>
      <c r="V1987" s="83">
        <v>1</v>
      </c>
      <c r="W1987" s="83" t="s">
        <v>103</v>
      </c>
      <c r="X1987" s="83">
        <v>0</v>
      </c>
    </row>
    <row r="1988" spans="1:25" x14ac:dyDescent="0.2">
      <c r="A1988" s="83">
        <v>1</v>
      </c>
      <c r="B1988" s="84">
        <v>5701603300722</v>
      </c>
      <c r="C1988" s="83">
        <v>70</v>
      </c>
      <c r="D1988" s="84">
        <v>1010287</v>
      </c>
      <c r="F1988" s="83" t="s">
        <v>103</v>
      </c>
      <c r="G1988" s="83">
        <v>0</v>
      </c>
      <c r="H1988" s="83">
        <v>100</v>
      </c>
      <c r="K1988" s="83">
        <v>4</v>
      </c>
      <c r="L1988" s="83" t="s">
        <v>101</v>
      </c>
      <c r="M1988" s="83" t="s">
        <v>410</v>
      </c>
      <c r="N1988" s="83" t="s">
        <v>102</v>
      </c>
      <c r="P1988" s="83">
        <v>0</v>
      </c>
      <c r="U1988" s="83">
        <v>4</v>
      </c>
      <c r="V1988" s="83">
        <v>1</v>
      </c>
      <c r="W1988" s="83" t="s">
        <v>103</v>
      </c>
      <c r="X1988" s="83">
        <v>0</v>
      </c>
    </row>
    <row r="1989" spans="1:25" x14ac:dyDescent="0.2">
      <c r="A1989" s="83">
        <v>1</v>
      </c>
      <c r="B1989" s="84">
        <v>5701603300722</v>
      </c>
      <c r="C1989" s="83">
        <v>80</v>
      </c>
      <c r="D1989" s="84">
        <v>1020145</v>
      </c>
      <c r="F1989" s="83" t="s">
        <v>103</v>
      </c>
      <c r="G1989" s="83">
        <v>0</v>
      </c>
      <c r="H1989" s="83">
        <v>100</v>
      </c>
      <c r="K1989" s="83" t="s">
        <v>408</v>
      </c>
      <c r="L1989" s="83" t="s">
        <v>101</v>
      </c>
      <c r="M1989" s="83" t="s">
        <v>410</v>
      </c>
      <c r="N1989" s="83" t="s">
        <v>102</v>
      </c>
      <c r="P1989" s="83">
        <v>0</v>
      </c>
      <c r="U1989" s="83">
        <v>4</v>
      </c>
      <c r="V1989" s="83">
        <v>1</v>
      </c>
      <c r="W1989" s="83" t="s">
        <v>103</v>
      </c>
      <c r="X1989" s="83">
        <v>0</v>
      </c>
    </row>
    <row r="1990" spans="1:25" x14ac:dyDescent="0.2">
      <c r="A1990" s="83">
        <v>1</v>
      </c>
      <c r="B1990" s="84">
        <v>5701603300722</v>
      </c>
      <c r="C1990" s="83">
        <v>90</v>
      </c>
      <c r="D1990" s="84">
        <v>777500722</v>
      </c>
      <c r="F1990" s="83" t="s">
        <v>103</v>
      </c>
      <c r="G1990" s="83">
        <v>0</v>
      </c>
      <c r="H1990" s="83">
        <v>100</v>
      </c>
      <c r="K1990" s="83">
        <v>1</v>
      </c>
      <c r="L1990" s="83" t="s">
        <v>101</v>
      </c>
      <c r="M1990" s="83" t="s">
        <v>410</v>
      </c>
      <c r="N1990" s="83" t="s">
        <v>102</v>
      </c>
      <c r="P1990" s="83">
        <v>0</v>
      </c>
      <c r="U1990" s="83">
        <v>4</v>
      </c>
      <c r="V1990" s="83">
        <v>1</v>
      </c>
      <c r="W1990" s="83" t="s">
        <v>103</v>
      </c>
      <c r="X1990" s="83">
        <v>0</v>
      </c>
    </row>
    <row r="1991" spans="1:25" x14ac:dyDescent="0.2">
      <c r="A1991" s="83">
        <v>1</v>
      </c>
      <c r="B1991" s="84">
        <v>5701603301722</v>
      </c>
      <c r="C1991" s="83">
        <v>10</v>
      </c>
      <c r="D1991" s="84">
        <v>5980463301</v>
      </c>
      <c r="F1991" s="83" t="s">
        <v>103</v>
      </c>
      <c r="G1991" s="83">
        <v>0</v>
      </c>
      <c r="H1991" s="83">
        <v>100</v>
      </c>
      <c r="K1991" s="83">
        <v>1</v>
      </c>
      <c r="L1991" s="83" t="s">
        <v>101</v>
      </c>
      <c r="M1991" s="83" t="s">
        <v>410</v>
      </c>
      <c r="N1991" s="83" t="s">
        <v>102</v>
      </c>
      <c r="P1991" s="83">
        <v>0</v>
      </c>
      <c r="U1991" s="83">
        <v>4</v>
      </c>
      <c r="V1991" s="83">
        <v>1</v>
      </c>
      <c r="W1991" s="83" t="s">
        <v>103</v>
      </c>
      <c r="X1991" s="83">
        <v>0</v>
      </c>
      <c r="Y1991" s="83" t="str">
        <f>LEFT(D1991,6)</f>
        <v>598046</v>
      </c>
    </row>
    <row r="1992" spans="1:25" x14ac:dyDescent="0.2">
      <c r="A1992" s="83">
        <v>1</v>
      </c>
      <c r="B1992" s="84">
        <v>5701603301722</v>
      </c>
      <c r="C1992" s="83">
        <v>20</v>
      </c>
      <c r="D1992" s="84">
        <v>5980543301</v>
      </c>
      <c r="F1992" s="83" t="s">
        <v>103</v>
      </c>
      <c r="G1992" s="83">
        <v>0</v>
      </c>
      <c r="H1992" s="83">
        <v>100</v>
      </c>
      <c r="K1992" s="83">
        <v>1</v>
      </c>
      <c r="L1992" s="83" t="s">
        <v>101</v>
      </c>
      <c r="M1992" s="83" t="s">
        <v>410</v>
      </c>
      <c r="N1992" s="83" t="s">
        <v>102</v>
      </c>
      <c r="P1992" s="83">
        <v>0</v>
      </c>
      <c r="U1992" s="83">
        <v>4</v>
      </c>
      <c r="V1992" s="83">
        <v>1</v>
      </c>
      <c r="W1992" s="83" t="s">
        <v>103</v>
      </c>
      <c r="X1992" s="83">
        <v>0</v>
      </c>
    </row>
    <row r="1993" spans="1:25" x14ac:dyDescent="0.2">
      <c r="A1993" s="83">
        <v>1</v>
      </c>
      <c r="B1993" s="84">
        <v>5701603301722</v>
      </c>
      <c r="C1993" s="83">
        <v>30</v>
      </c>
      <c r="D1993" s="84">
        <v>5980623301</v>
      </c>
      <c r="F1993" s="83" t="s">
        <v>103</v>
      </c>
      <c r="G1993" s="83">
        <v>0</v>
      </c>
      <c r="H1993" s="83">
        <v>100</v>
      </c>
      <c r="K1993" s="83">
        <v>1</v>
      </c>
      <c r="L1993" s="83" t="s">
        <v>101</v>
      </c>
      <c r="M1993" s="83" t="s">
        <v>410</v>
      </c>
      <c r="N1993" s="83" t="s">
        <v>102</v>
      </c>
      <c r="P1993" s="83">
        <v>0</v>
      </c>
      <c r="U1993" s="83">
        <v>4</v>
      </c>
      <c r="V1993" s="83">
        <v>1</v>
      </c>
      <c r="W1993" s="83" t="s">
        <v>103</v>
      </c>
      <c r="X1993" s="83">
        <v>0</v>
      </c>
    </row>
    <row r="1994" spans="1:25" x14ac:dyDescent="0.2">
      <c r="A1994" s="83">
        <v>1</v>
      </c>
      <c r="B1994" s="84">
        <v>5701603301722</v>
      </c>
      <c r="C1994" s="83">
        <v>40</v>
      </c>
      <c r="D1994" s="84">
        <v>5980823301</v>
      </c>
      <c r="F1994" s="83" t="s">
        <v>103</v>
      </c>
      <c r="G1994" s="83">
        <v>0</v>
      </c>
      <c r="H1994" s="83">
        <v>100</v>
      </c>
      <c r="K1994" s="83">
        <v>1</v>
      </c>
      <c r="L1994" s="83" t="s">
        <v>101</v>
      </c>
      <c r="M1994" s="83" t="s">
        <v>410</v>
      </c>
      <c r="N1994" s="83" t="s">
        <v>102</v>
      </c>
      <c r="P1994" s="83">
        <v>0</v>
      </c>
      <c r="U1994" s="83">
        <v>4</v>
      </c>
      <c r="V1994" s="83">
        <v>1</v>
      </c>
      <c r="W1994" s="83" t="s">
        <v>103</v>
      </c>
      <c r="X1994" s="83">
        <v>0</v>
      </c>
    </row>
    <row r="1995" spans="1:25" x14ac:dyDescent="0.2">
      <c r="A1995" s="83">
        <v>1</v>
      </c>
      <c r="B1995" s="84">
        <v>5701603301722</v>
      </c>
      <c r="C1995" s="83">
        <v>50</v>
      </c>
      <c r="D1995" s="84">
        <v>5980933301</v>
      </c>
      <c r="F1995" s="83" t="s">
        <v>103</v>
      </c>
      <c r="G1995" s="83">
        <v>0</v>
      </c>
      <c r="H1995" s="83">
        <v>100</v>
      </c>
      <c r="K1995" s="83">
        <v>1</v>
      </c>
      <c r="L1995" s="83" t="s">
        <v>101</v>
      </c>
      <c r="M1995" s="83" t="s">
        <v>410</v>
      </c>
      <c r="N1995" s="83" t="s">
        <v>102</v>
      </c>
      <c r="P1995" s="83">
        <v>0</v>
      </c>
      <c r="U1995" s="83">
        <v>4</v>
      </c>
      <c r="V1995" s="83">
        <v>1</v>
      </c>
      <c r="W1995" s="83" t="s">
        <v>103</v>
      </c>
      <c r="X1995" s="83">
        <v>0</v>
      </c>
    </row>
    <row r="1996" spans="1:25" x14ac:dyDescent="0.2">
      <c r="A1996" s="83">
        <v>1</v>
      </c>
      <c r="B1996" s="84">
        <v>5701603301722</v>
      </c>
      <c r="C1996" s="83">
        <v>60</v>
      </c>
      <c r="D1996" s="84">
        <v>1010286</v>
      </c>
      <c r="F1996" s="83" t="s">
        <v>103</v>
      </c>
      <c r="G1996" s="83">
        <v>0</v>
      </c>
      <c r="H1996" s="83">
        <v>100</v>
      </c>
      <c r="K1996" s="83">
        <v>8</v>
      </c>
      <c r="L1996" s="83" t="s">
        <v>101</v>
      </c>
      <c r="M1996" s="83" t="s">
        <v>410</v>
      </c>
      <c r="N1996" s="83" t="s">
        <v>102</v>
      </c>
      <c r="P1996" s="83">
        <v>0</v>
      </c>
      <c r="U1996" s="83">
        <v>4</v>
      </c>
      <c r="V1996" s="83">
        <v>1</v>
      </c>
      <c r="W1996" s="83" t="s">
        <v>103</v>
      </c>
      <c r="X1996" s="83">
        <v>0</v>
      </c>
    </row>
    <row r="1997" spans="1:25" x14ac:dyDescent="0.2">
      <c r="A1997" s="83">
        <v>1</v>
      </c>
      <c r="B1997" s="84">
        <v>5701603301722</v>
      </c>
      <c r="C1997" s="83">
        <v>70</v>
      </c>
      <c r="D1997" s="84">
        <v>1010287</v>
      </c>
      <c r="F1997" s="83" t="s">
        <v>103</v>
      </c>
      <c r="G1997" s="83">
        <v>0</v>
      </c>
      <c r="H1997" s="83">
        <v>100</v>
      </c>
      <c r="K1997" s="83">
        <v>4</v>
      </c>
      <c r="L1997" s="83" t="s">
        <v>101</v>
      </c>
      <c r="M1997" s="83" t="s">
        <v>410</v>
      </c>
      <c r="N1997" s="83" t="s">
        <v>102</v>
      </c>
      <c r="P1997" s="83">
        <v>0</v>
      </c>
      <c r="U1997" s="83">
        <v>4</v>
      </c>
      <c r="V1997" s="83">
        <v>1</v>
      </c>
      <c r="W1997" s="83" t="s">
        <v>103</v>
      </c>
      <c r="X1997" s="83">
        <v>0</v>
      </c>
    </row>
    <row r="1998" spans="1:25" x14ac:dyDescent="0.2">
      <c r="A1998" s="83">
        <v>1</v>
      </c>
      <c r="B1998" s="84">
        <v>5701603301722</v>
      </c>
      <c r="C1998" s="83">
        <v>80</v>
      </c>
      <c r="D1998" s="84">
        <v>1020145</v>
      </c>
      <c r="F1998" s="83" t="s">
        <v>103</v>
      </c>
      <c r="G1998" s="83">
        <v>0</v>
      </c>
      <c r="H1998" s="83">
        <v>100</v>
      </c>
      <c r="K1998" s="83" t="s">
        <v>408</v>
      </c>
      <c r="L1998" s="83" t="s">
        <v>101</v>
      </c>
      <c r="M1998" s="83" t="s">
        <v>410</v>
      </c>
      <c r="N1998" s="83" t="s">
        <v>102</v>
      </c>
      <c r="P1998" s="83">
        <v>0</v>
      </c>
      <c r="U1998" s="83">
        <v>4</v>
      </c>
      <c r="V1998" s="83">
        <v>1</v>
      </c>
      <c r="W1998" s="83" t="s">
        <v>103</v>
      </c>
      <c r="X1998" s="83">
        <v>0</v>
      </c>
    </row>
    <row r="1999" spans="1:25" x14ac:dyDescent="0.2">
      <c r="A1999" s="83">
        <v>1</v>
      </c>
      <c r="B1999" s="84">
        <v>5701603301722</v>
      </c>
      <c r="C1999" s="83">
        <v>90</v>
      </c>
      <c r="D1999" s="84">
        <v>777500722</v>
      </c>
      <c r="F1999" s="83" t="s">
        <v>103</v>
      </c>
      <c r="G1999" s="83">
        <v>0</v>
      </c>
      <c r="H1999" s="83">
        <v>100</v>
      </c>
      <c r="K1999" s="83">
        <v>1</v>
      </c>
      <c r="L1999" s="83" t="s">
        <v>101</v>
      </c>
      <c r="M1999" s="83" t="s">
        <v>410</v>
      </c>
      <c r="N1999" s="83" t="s">
        <v>102</v>
      </c>
      <c r="P1999" s="83">
        <v>0</v>
      </c>
      <c r="U1999" s="83">
        <v>4</v>
      </c>
      <c r="V1999" s="83">
        <v>1</v>
      </c>
      <c r="W1999" s="83" t="s">
        <v>103</v>
      </c>
      <c r="X1999" s="83">
        <v>0</v>
      </c>
    </row>
    <row r="2000" spans="1:25" x14ac:dyDescent="0.2">
      <c r="A2000" s="83">
        <v>1</v>
      </c>
      <c r="B2000" s="84">
        <v>5701603302722</v>
      </c>
      <c r="C2000" s="83">
        <v>10</v>
      </c>
      <c r="D2000" s="84">
        <v>5980463302</v>
      </c>
      <c r="F2000" s="83" t="s">
        <v>103</v>
      </c>
      <c r="G2000" s="83">
        <v>0</v>
      </c>
      <c r="H2000" s="83">
        <v>100</v>
      </c>
      <c r="K2000" s="83">
        <v>1</v>
      </c>
      <c r="L2000" s="83" t="s">
        <v>101</v>
      </c>
      <c r="M2000" s="83" t="s">
        <v>410</v>
      </c>
      <c r="N2000" s="83" t="s">
        <v>102</v>
      </c>
      <c r="P2000" s="83">
        <v>0</v>
      </c>
      <c r="U2000" s="83">
        <v>4</v>
      </c>
      <c r="V2000" s="83">
        <v>1</v>
      </c>
      <c r="W2000" s="83" t="s">
        <v>103</v>
      </c>
      <c r="X2000" s="83">
        <v>0</v>
      </c>
      <c r="Y2000" s="83" t="str">
        <f>LEFT(D2000,6)</f>
        <v>598046</v>
      </c>
    </row>
    <row r="2001" spans="1:25" x14ac:dyDescent="0.2">
      <c r="A2001" s="83">
        <v>1</v>
      </c>
      <c r="B2001" s="84">
        <v>5701603302722</v>
      </c>
      <c r="C2001" s="83">
        <v>20</v>
      </c>
      <c r="D2001" s="84">
        <v>5980543302</v>
      </c>
      <c r="F2001" s="83" t="s">
        <v>103</v>
      </c>
      <c r="G2001" s="83">
        <v>0</v>
      </c>
      <c r="H2001" s="83">
        <v>100</v>
      </c>
      <c r="K2001" s="83">
        <v>1</v>
      </c>
      <c r="L2001" s="83" t="s">
        <v>101</v>
      </c>
      <c r="M2001" s="83" t="s">
        <v>410</v>
      </c>
      <c r="N2001" s="83" t="s">
        <v>102</v>
      </c>
      <c r="P2001" s="83">
        <v>0</v>
      </c>
      <c r="U2001" s="83">
        <v>4</v>
      </c>
      <c r="V2001" s="83">
        <v>1</v>
      </c>
      <c r="W2001" s="83" t="s">
        <v>103</v>
      </c>
      <c r="X2001" s="83">
        <v>0</v>
      </c>
    </row>
    <row r="2002" spans="1:25" x14ac:dyDescent="0.2">
      <c r="A2002" s="83">
        <v>1</v>
      </c>
      <c r="B2002" s="84">
        <v>5701603302722</v>
      </c>
      <c r="C2002" s="83">
        <v>30</v>
      </c>
      <c r="D2002" s="84">
        <v>5980623302</v>
      </c>
      <c r="F2002" s="83" t="s">
        <v>103</v>
      </c>
      <c r="G2002" s="83">
        <v>0</v>
      </c>
      <c r="H2002" s="83">
        <v>100</v>
      </c>
      <c r="K2002" s="83">
        <v>1</v>
      </c>
      <c r="L2002" s="83" t="s">
        <v>101</v>
      </c>
      <c r="M2002" s="83" t="s">
        <v>410</v>
      </c>
      <c r="N2002" s="83" t="s">
        <v>102</v>
      </c>
      <c r="P2002" s="83">
        <v>0</v>
      </c>
      <c r="U2002" s="83">
        <v>4</v>
      </c>
      <c r="V2002" s="83">
        <v>1</v>
      </c>
      <c r="W2002" s="83" t="s">
        <v>103</v>
      </c>
      <c r="X2002" s="83">
        <v>0</v>
      </c>
    </row>
    <row r="2003" spans="1:25" x14ac:dyDescent="0.2">
      <c r="A2003" s="83">
        <v>1</v>
      </c>
      <c r="B2003" s="84">
        <v>5701603302722</v>
      </c>
      <c r="C2003" s="83">
        <v>40</v>
      </c>
      <c r="D2003" s="84">
        <v>5980823302</v>
      </c>
      <c r="F2003" s="83" t="s">
        <v>103</v>
      </c>
      <c r="G2003" s="83">
        <v>0</v>
      </c>
      <c r="H2003" s="83">
        <v>100</v>
      </c>
      <c r="K2003" s="83">
        <v>1</v>
      </c>
      <c r="L2003" s="83" t="s">
        <v>101</v>
      </c>
      <c r="M2003" s="83" t="s">
        <v>410</v>
      </c>
      <c r="N2003" s="83" t="s">
        <v>102</v>
      </c>
      <c r="P2003" s="83">
        <v>0</v>
      </c>
      <c r="U2003" s="83">
        <v>4</v>
      </c>
      <c r="V2003" s="83">
        <v>1</v>
      </c>
      <c r="W2003" s="83" t="s">
        <v>103</v>
      </c>
      <c r="X2003" s="83">
        <v>0</v>
      </c>
    </row>
    <row r="2004" spans="1:25" x14ac:dyDescent="0.2">
      <c r="A2004" s="83">
        <v>1</v>
      </c>
      <c r="B2004" s="84">
        <v>5701603302722</v>
      </c>
      <c r="C2004" s="83">
        <v>50</v>
      </c>
      <c r="D2004" s="84">
        <v>5980933302</v>
      </c>
      <c r="F2004" s="83" t="s">
        <v>103</v>
      </c>
      <c r="G2004" s="83">
        <v>0</v>
      </c>
      <c r="H2004" s="83">
        <v>100</v>
      </c>
      <c r="K2004" s="83">
        <v>1</v>
      </c>
      <c r="L2004" s="83" t="s">
        <v>101</v>
      </c>
      <c r="M2004" s="83" t="s">
        <v>410</v>
      </c>
      <c r="N2004" s="83" t="s">
        <v>102</v>
      </c>
      <c r="P2004" s="83">
        <v>0</v>
      </c>
      <c r="U2004" s="83">
        <v>4</v>
      </c>
      <c r="V2004" s="83">
        <v>1</v>
      </c>
      <c r="W2004" s="83" t="s">
        <v>103</v>
      </c>
      <c r="X2004" s="83">
        <v>0</v>
      </c>
    </row>
    <row r="2005" spans="1:25" x14ac:dyDescent="0.2">
      <c r="A2005" s="83">
        <v>1</v>
      </c>
      <c r="B2005" s="84">
        <v>5701603302722</v>
      </c>
      <c r="C2005" s="83">
        <v>60</v>
      </c>
      <c r="D2005" s="84">
        <v>1010286</v>
      </c>
      <c r="F2005" s="83" t="s">
        <v>103</v>
      </c>
      <c r="G2005" s="83">
        <v>0</v>
      </c>
      <c r="H2005" s="83">
        <v>100</v>
      </c>
      <c r="K2005" s="83">
        <v>8</v>
      </c>
      <c r="L2005" s="83" t="s">
        <v>101</v>
      </c>
      <c r="M2005" s="83" t="s">
        <v>410</v>
      </c>
      <c r="N2005" s="83" t="s">
        <v>102</v>
      </c>
      <c r="P2005" s="83">
        <v>0</v>
      </c>
      <c r="U2005" s="83">
        <v>4</v>
      </c>
      <c r="V2005" s="83">
        <v>1</v>
      </c>
      <c r="W2005" s="83" t="s">
        <v>103</v>
      </c>
      <c r="X2005" s="83">
        <v>0</v>
      </c>
    </row>
    <row r="2006" spans="1:25" x14ac:dyDescent="0.2">
      <c r="A2006" s="83">
        <v>1</v>
      </c>
      <c r="B2006" s="84">
        <v>5701603302722</v>
      </c>
      <c r="C2006" s="83">
        <v>70</v>
      </c>
      <c r="D2006" s="84">
        <v>1010288</v>
      </c>
      <c r="F2006" s="83" t="s">
        <v>103</v>
      </c>
      <c r="G2006" s="83">
        <v>0</v>
      </c>
      <c r="H2006" s="83">
        <v>100</v>
      </c>
      <c r="K2006" s="83">
        <v>4</v>
      </c>
      <c r="L2006" s="83" t="s">
        <v>101</v>
      </c>
      <c r="M2006" s="83" t="s">
        <v>410</v>
      </c>
      <c r="N2006" s="83" t="s">
        <v>102</v>
      </c>
      <c r="P2006" s="83">
        <v>0</v>
      </c>
      <c r="U2006" s="83">
        <v>4</v>
      </c>
      <c r="V2006" s="83">
        <v>1</v>
      </c>
      <c r="W2006" s="83" t="s">
        <v>103</v>
      </c>
      <c r="X2006" s="83">
        <v>0</v>
      </c>
    </row>
    <row r="2007" spans="1:25" x14ac:dyDescent="0.2">
      <c r="A2007" s="83">
        <v>1</v>
      </c>
      <c r="B2007" s="84">
        <v>5701603302722</v>
      </c>
      <c r="C2007" s="83">
        <v>80</v>
      </c>
      <c r="D2007" s="84">
        <v>1020145</v>
      </c>
      <c r="F2007" s="83" t="s">
        <v>103</v>
      </c>
      <c r="G2007" s="83">
        <v>0</v>
      </c>
      <c r="H2007" s="83">
        <v>100</v>
      </c>
      <c r="K2007" s="83" t="s">
        <v>408</v>
      </c>
      <c r="L2007" s="83" t="s">
        <v>101</v>
      </c>
      <c r="M2007" s="83" t="s">
        <v>410</v>
      </c>
      <c r="N2007" s="83" t="s">
        <v>102</v>
      </c>
      <c r="P2007" s="83">
        <v>0</v>
      </c>
      <c r="U2007" s="83">
        <v>4</v>
      </c>
      <c r="V2007" s="83">
        <v>1</v>
      </c>
      <c r="W2007" s="83" t="s">
        <v>103</v>
      </c>
      <c r="X2007" s="83">
        <v>0</v>
      </c>
    </row>
    <row r="2008" spans="1:25" x14ac:dyDescent="0.2">
      <c r="A2008" s="83">
        <v>1</v>
      </c>
      <c r="B2008" s="84">
        <v>5701603302722</v>
      </c>
      <c r="C2008" s="83">
        <v>90</v>
      </c>
      <c r="D2008" s="84">
        <v>777500722</v>
      </c>
      <c r="F2008" s="83" t="s">
        <v>103</v>
      </c>
      <c r="G2008" s="83">
        <v>0</v>
      </c>
      <c r="H2008" s="83">
        <v>100</v>
      </c>
      <c r="K2008" s="83">
        <v>1</v>
      </c>
      <c r="L2008" s="83" t="s">
        <v>101</v>
      </c>
      <c r="M2008" s="83" t="s">
        <v>410</v>
      </c>
      <c r="N2008" s="83" t="s">
        <v>102</v>
      </c>
      <c r="P2008" s="83">
        <v>0</v>
      </c>
      <c r="U2008" s="83">
        <v>4</v>
      </c>
      <c r="V2008" s="83">
        <v>1</v>
      </c>
      <c r="W2008" s="83" t="s">
        <v>103</v>
      </c>
      <c r="X2008" s="83">
        <v>0</v>
      </c>
    </row>
    <row r="2009" spans="1:25" x14ac:dyDescent="0.2">
      <c r="A2009" s="83">
        <v>1</v>
      </c>
      <c r="B2009" s="84">
        <v>5701603303722</v>
      </c>
      <c r="C2009" s="83">
        <v>10</v>
      </c>
      <c r="D2009" s="84">
        <v>5980463303</v>
      </c>
      <c r="F2009" s="83" t="s">
        <v>103</v>
      </c>
      <c r="G2009" s="83">
        <v>0</v>
      </c>
      <c r="H2009" s="83">
        <v>100</v>
      </c>
      <c r="K2009" s="83">
        <v>1</v>
      </c>
      <c r="L2009" s="83" t="s">
        <v>101</v>
      </c>
      <c r="M2009" s="83" t="s">
        <v>410</v>
      </c>
      <c r="N2009" s="83" t="s">
        <v>102</v>
      </c>
      <c r="P2009" s="83">
        <v>0</v>
      </c>
      <c r="U2009" s="83">
        <v>4</v>
      </c>
      <c r="V2009" s="83">
        <v>1</v>
      </c>
      <c r="W2009" s="83" t="s">
        <v>103</v>
      </c>
      <c r="X2009" s="83">
        <v>0</v>
      </c>
      <c r="Y2009" s="83" t="str">
        <f>LEFT(D2009,6)</f>
        <v>598046</v>
      </c>
    </row>
    <row r="2010" spans="1:25" x14ac:dyDescent="0.2">
      <c r="A2010" s="83">
        <v>1</v>
      </c>
      <c r="B2010" s="84">
        <v>5701603303722</v>
      </c>
      <c r="C2010" s="83">
        <v>20</v>
      </c>
      <c r="D2010" s="84">
        <v>5980543303</v>
      </c>
      <c r="F2010" s="83" t="s">
        <v>103</v>
      </c>
      <c r="G2010" s="83">
        <v>0</v>
      </c>
      <c r="H2010" s="83">
        <v>100</v>
      </c>
      <c r="K2010" s="83">
        <v>1</v>
      </c>
      <c r="L2010" s="83" t="s">
        <v>101</v>
      </c>
      <c r="M2010" s="83" t="s">
        <v>410</v>
      </c>
      <c r="N2010" s="83" t="s">
        <v>102</v>
      </c>
      <c r="P2010" s="83">
        <v>0</v>
      </c>
      <c r="U2010" s="83">
        <v>4</v>
      </c>
      <c r="V2010" s="83">
        <v>1</v>
      </c>
      <c r="W2010" s="83" t="s">
        <v>103</v>
      </c>
      <c r="X2010" s="83">
        <v>0</v>
      </c>
    </row>
    <row r="2011" spans="1:25" x14ac:dyDescent="0.2">
      <c r="A2011" s="83">
        <v>1</v>
      </c>
      <c r="B2011" s="84">
        <v>5701603303722</v>
      </c>
      <c r="C2011" s="83">
        <v>30</v>
      </c>
      <c r="D2011" s="84">
        <v>5980623303</v>
      </c>
      <c r="F2011" s="83" t="s">
        <v>103</v>
      </c>
      <c r="G2011" s="83">
        <v>0</v>
      </c>
      <c r="H2011" s="83">
        <v>100</v>
      </c>
      <c r="K2011" s="83">
        <v>1</v>
      </c>
      <c r="L2011" s="83" t="s">
        <v>101</v>
      </c>
      <c r="M2011" s="83" t="s">
        <v>410</v>
      </c>
      <c r="N2011" s="83" t="s">
        <v>102</v>
      </c>
      <c r="P2011" s="83">
        <v>0</v>
      </c>
      <c r="U2011" s="83">
        <v>4</v>
      </c>
      <c r="V2011" s="83">
        <v>1</v>
      </c>
      <c r="W2011" s="83" t="s">
        <v>103</v>
      </c>
      <c r="X2011" s="83">
        <v>0</v>
      </c>
    </row>
    <row r="2012" spans="1:25" x14ac:dyDescent="0.2">
      <c r="A2012" s="83">
        <v>1</v>
      </c>
      <c r="B2012" s="84">
        <v>5701603303722</v>
      </c>
      <c r="C2012" s="83">
        <v>40</v>
      </c>
      <c r="D2012" s="84">
        <v>5980823303</v>
      </c>
      <c r="F2012" s="83" t="s">
        <v>103</v>
      </c>
      <c r="G2012" s="83">
        <v>0</v>
      </c>
      <c r="H2012" s="83">
        <v>100</v>
      </c>
      <c r="K2012" s="83">
        <v>1</v>
      </c>
      <c r="L2012" s="83" t="s">
        <v>101</v>
      </c>
      <c r="M2012" s="83" t="s">
        <v>410</v>
      </c>
      <c r="N2012" s="83" t="s">
        <v>102</v>
      </c>
      <c r="P2012" s="83">
        <v>0</v>
      </c>
      <c r="U2012" s="83">
        <v>4</v>
      </c>
      <c r="V2012" s="83">
        <v>1</v>
      </c>
      <c r="W2012" s="83" t="s">
        <v>103</v>
      </c>
      <c r="X2012" s="83">
        <v>0</v>
      </c>
    </row>
    <row r="2013" spans="1:25" x14ac:dyDescent="0.2">
      <c r="A2013" s="83">
        <v>1</v>
      </c>
      <c r="B2013" s="84">
        <v>5701603303722</v>
      </c>
      <c r="C2013" s="83">
        <v>50</v>
      </c>
      <c r="D2013" s="84">
        <v>5980933303</v>
      </c>
      <c r="F2013" s="83" t="s">
        <v>103</v>
      </c>
      <c r="G2013" s="83">
        <v>0</v>
      </c>
      <c r="H2013" s="83">
        <v>100</v>
      </c>
      <c r="K2013" s="83">
        <v>1</v>
      </c>
      <c r="L2013" s="83" t="s">
        <v>101</v>
      </c>
      <c r="M2013" s="83" t="s">
        <v>410</v>
      </c>
      <c r="N2013" s="83" t="s">
        <v>102</v>
      </c>
      <c r="P2013" s="83">
        <v>0</v>
      </c>
      <c r="U2013" s="83">
        <v>4</v>
      </c>
      <c r="V2013" s="83">
        <v>1</v>
      </c>
      <c r="W2013" s="83" t="s">
        <v>103</v>
      </c>
      <c r="X2013" s="83">
        <v>0</v>
      </c>
    </row>
    <row r="2014" spans="1:25" x14ac:dyDescent="0.2">
      <c r="A2014" s="83">
        <v>1</v>
      </c>
      <c r="B2014" s="84">
        <v>5701603303722</v>
      </c>
      <c r="C2014" s="83">
        <v>60</v>
      </c>
      <c r="D2014" s="84">
        <v>1010286</v>
      </c>
      <c r="F2014" s="83" t="s">
        <v>103</v>
      </c>
      <c r="G2014" s="83">
        <v>0</v>
      </c>
      <c r="H2014" s="83">
        <v>100</v>
      </c>
      <c r="K2014" s="83">
        <v>8</v>
      </c>
      <c r="L2014" s="83" t="s">
        <v>101</v>
      </c>
      <c r="M2014" s="83" t="s">
        <v>410</v>
      </c>
      <c r="N2014" s="83" t="s">
        <v>102</v>
      </c>
      <c r="P2014" s="83">
        <v>0</v>
      </c>
      <c r="U2014" s="83">
        <v>4</v>
      </c>
      <c r="V2014" s="83">
        <v>1</v>
      </c>
      <c r="W2014" s="83" t="s">
        <v>103</v>
      </c>
      <c r="X2014" s="83">
        <v>0</v>
      </c>
    </row>
    <row r="2015" spans="1:25" x14ac:dyDescent="0.2">
      <c r="A2015" s="83">
        <v>1</v>
      </c>
      <c r="B2015" s="84">
        <v>5701603303722</v>
      </c>
      <c r="C2015" s="83">
        <v>70</v>
      </c>
      <c r="D2015" s="84">
        <v>1010287</v>
      </c>
      <c r="F2015" s="83" t="s">
        <v>103</v>
      </c>
      <c r="G2015" s="83">
        <v>0</v>
      </c>
      <c r="H2015" s="83">
        <v>100</v>
      </c>
      <c r="K2015" s="83">
        <v>4</v>
      </c>
      <c r="L2015" s="83" t="s">
        <v>101</v>
      </c>
      <c r="M2015" s="83" t="s">
        <v>410</v>
      </c>
      <c r="N2015" s="83" t="s">
        <v>102</v>
      </c>
      <c r="P2015" s="83">
        <v>0</v>
      </c>
      <c r="U2015" s="83">
        <v>4</v>
      </c>
      <c r="V2015" s="83">
        <v>1</v>
      </c>
      <c r="W2015" s="83" t="s">
        <v>103</v>
      </c>
      <c r="X2015" s="83">
        <v>0</v>
      </c>
    </row>
    <row r="2016" spans="1:25" x14ac:dyDescent="0.2">
      <c r="A2016" s="83">
        <v>1</v>
      </c>
      <c r="B2016" s="84">
        <v>5701603303722</v>
      </c>
      <c r="C2016" s="83">
        <v>80</v>
      </c>
      <c r="D2016" s="84">
        <v>1020145</v>
      </c>
      <c r="F2016" s="83" t="s">
        <v>103</v>
      </c>
      <c r="G2016" s="83">
        <v>0</v>
      </c>
      <c r="H2016" s="83">
        <v>100</v>
      </c>
      <c r="K2016" s="83" t="s">
        <v>408</v>
      </c>
      <c r="L2016" s="83" t="s">
        <v>101</v>
      </c>
      <c r="M2016" s="83" t="s">
        <v>410</v>
      </c>
      <c r="N2016" s="83" t="s">
        <v>102</v>
      </c>
      <c r="P2016" s="83">
        <v>0</v>
      </c>
      <c r="U2016" s="83">
        <v>4</v>
      </c>
      <c r="V2016" s="83">
        <v>1</v>
      </c>
      <c r="W2016" s="83" t="s">
        <v>103</v>
      </c>
      <c r="X2016" s="83">
        <v>0</v>
      </c>
    </row>
    <row r="2017" spans="1:25" x14ac:dyDescent="0.2">
      <c r="A2017" s="83">
        <v>1</v>
      </c>
      <c r="B2017" s="84">
        <v>5701603303722</v>
      </c>
      <c r="C2017" s="83">
        <v>90</v>
      </c>
      <c r="D2017" s="84">
        <v>777500722</v>
      </c>
      <c r="F2017" s="83" t="s">
        <v>103</v>
      </c>
      <c r="G2017" s="83">
        <v>0</v>
      </c>
      <c r="H2017" s="83">
        <v>100</v>
      </c>
      <c r="K2017" s="83">
        <v>1</v>
      </c>
      <c r="L2017" s="83" t="s">
        <v>101</v>
      </c>
      <c r="M2017" s="83" t="s">
        <v>410</v>
      </c>
      <c r="N2017" s="83" t="s">
        <v>102</v>
      </c>
      <c r="P2017" s="83">
        <v>0</v>
      </c>
      <c r="U2017" s="83">
        <v>4</v>
      </c>
      <c r="V2017" s="83">
        <v>1</v>
      </c>
      <c r="W2017" s="83" t="s">
        <v>103</v>
      </c>
      <c r="X2017" s="83">
        <v>0</v>
      </c>
    </row>
    <row r="2018" spans="1:25" x14ac:dyDescent="0.2">
      <c r="A2018" s="83">
        <v>1</v>
      </c>
      <c r="B2018" s="84">
        <v>5701603304722</v>
      </c>
      <c r="C2018" s="83">
        <v>10</v>
      </c>
      <c r="D2018" s="84">
        <v>5980463304</v>
      </c>
      <c r="F2018" s="83" t="s">
        <v>103</v>
      </c>
      <c r="G2018" s="83">
        <v>0</v>
      </c>
      <c r="H2018" s="83">
        <v>100</v>
      </c>
      <c r="K2018" s="83">
        <v>1</v>
      </c>
      <c r="L2018" s="83" t="s">
        <v>101</v>
      </c>
      <c r="M2018" s="83" t="s">
        <v>410</v>
      </c>
      <c r="N2018" s="83" t="s">
        <v>102</v>
      </c>
      <c r="P2018" s="83">
        <v>0</v>
      </c>
      <c r="U2018" s="83">
        <v>4</v>
      </c>
      <c r="V2018" s="83">
        <v>1</v>
      </c>
      <c r="W2018" s="83" t="s">
        <v>103</v>
      </c>
      <c r="X2018" s="83">
        <v>0</v>
      </c>
      <c r="Y2018" s="83" t="str">
        <f>LEFT(D2018,6)</f>
        <v>598046</v>
      </c>
    </row>
    <row r="2019" spans="1:25" x14ac:dyDescent="0.2">
      <c r="A2019" s="83">
        <v>1</v>
      </c>
      <c r="B2019" s="84">
        <v>5701603304722</v>
      </c>
      <c r="C2019" s="83">
        <v>20</v>
      </c>
      <c r="D2019" s="84">
        <v>5980543304</v>
      </c>
      <c r="F2019" s="83" t="s">
        <v>103</v>
      </c>
      <c r="G2019" s="83">
        <v>0</v>
      </c>
      <c r="H2019" s="83">
        <v>100</v>
      </c>
      <c r="K2019" s="83">
        <v>1</v>
      </c>
      <c r="L2019" s="83" t="s">
        <v>101</v>
      </c>
      <c r="M2019" s="83" t="s">
        <v>410</v>
      </c>
      <c r="N2019" s="83" t="s">
        <v>102</v>
      </c>
      <c r="P2019" s="83">
        <v>0</v>
      </c>
      <c r="U2019" s="83">
        <v>4</v>
      </c>
      <c r="V2019" s="83">
        <v>1</v>
      </c>
      <c r="W2019" s="83" t="s">
        <v>103</v>
      </c>
      <c r="X2019" s="83">
        <v>0</v>
      </c>
    </row>
    <row r="2020" spans="1:25" x14ac:dyDescent="0.2">
      <c r="A2020" s="83">
        <v>1</v>
      </c>
      <c r="B2020" s="84">
        <v>5701603304722</v>
      </c>
      <c r="C2020" s="83">
        <v>30</v>
      </c>
      <c r="D2020" s="84">
        <v>5980623304</v>
      </c>
      <c r="F2020" s="83" t="s">
        <v>103</v>
      </c>
      <c r="G2020" s="83">
        <v>0</v>
      </c>
      <c r="H2020" s="83">
        <v>100</v>
      </c>
      <c r="K2020" s="83">
        <v>1</v>
      </c>
      <c r="L2020" s="83" t="s">
        <v>101</v>
      </c>
      <c r="M2020" s="83" t="s">
        <v>410</v>
      </c>
      <c r="N2020" s="83" t="s">
        <v>102</v>
      </c>
      <c r="P2020" s="83">
        <v>0</v>
      </c>
      <c r="U2020" s="83">
        <v>4</v>
      </c>
      <c r="V2020" s="83">
        <v>1</v>
      </c>
      <c r="W2020" s="83" t="s">
        <v>103</v>
      </c>
      <c r="X2020" s="83">
        <v>0</v>
      </c>
    </row>
    <row r="2021" spans="1:25" x14ac:dyDescent="0.2">
      <c r="A2021" s="83">
        <v>1</v>
      </c>
      <c r="B2021" s="84">
        <v>5701603304722</v>
      </c>
      <c r="C2021" s="83">
        <v>40</v>
      </c>
      <c r="D2021" s="84">
        <v>5980823304</v>
      </c>
      <c r="F2021" s="83" t="s">
        <v>103</v>
      </c>
      <c r="G2021" s="83">
        <v>0</v>
      </c>
      <c r="H2021" s="83">
        <v>100</v>
      </c>
      <c r="K2021" s="83">
        <v>1</v>
      </c>
      <c r="L2021" s="83" t="s">
        <v>101</v>
      </c>
      <c r="M2021" s="83" t="s">
        <v>410</v>
      </c>
      <c r="N2021" s="83" t="s">
        <v>102</v>
      </c>
      <c r="P2021" s="83">
        <v>0</v>
      </c>
      <c r="U2021" s="83">
        <v>4</v>
      </c>
      <c r="V2021" s="83">
        <v>1</v>
      </c>
      <c r="W2021" s="83" t="s">
        <v>103</v>
      </c>
      <c r="X2021" s="83">
        <v>0</v>
      </c>
    </row>
    <row r="2022" spans="1:25" x14ac:dyDescent="0.2">
      <c r="A2022" s="83">
        <v>1</v>
      </c>
      <c r="B2022" s="84">
        <v>5701603304722</v>
      </c>
      <c r="C2022" s="83">
        <v>50</v>
      </c>
      <c r="D2022" s="84">
        <v>5980933304</v>
      </c>
      <c r="F2022" s="83" t="s">
        <v>103</v>
      </c>
      <c r="G2022" s="83">
        <v>0</v>
      </c>
      <c r="H2022" s="83">
        <v>100</v>
      </c>
      <c r="K2022" s="83">
        <v>1</v>
      </c>
      <c r="L2022" s="83" t="s">
        <v>101</v>
      </c>
      <c r="M2022" s="83" t="s">
        <v>410</v>
      </c>
      <c r="N2022" s="83" t="s">
        <v>102</v>
      </c>
      <c r="P2022" s="83">
        <v>0</v>
      </c>
      <c r="U2022" s="83">
        <v>4</v>
      </c>
      <c r="V2022" s="83">
        <v>1</v>
      </c>
      <c r="W2022" s="83" t="s">
        <v>103</v>
      </c>
      <c r="X2022" s="83">
        <v>0</v>
      </c>
    </row>
    <row r="2023" spans="1:25" x14ac:dyDescent="0.2">
      <c r="A2023" s="83">
        <v>1</v>
      </c>
      <c r="B2023" s="84">
        <v>5701603304722</v>
      </c>
      <c r="C2023" s="83">
        <v>60</v>
      </c>
      <c r="D2023" s="84">
        <v>1010286</v>
      </c>
      <c r="F2023" s="83" t="s">
        <v>103</v>
      </c>
      <c r="G2023" s="83">
        <v>0</v>
      </c>
      <c r="H2023" s="83">
        <v>100</v>
      </c>
      <c r="K2023" s="83">
        <v>8</v>
      </c>
      <c r="L2023" s="83" t="s">
        <v>101</v>
      </c>
      <c r="M2023" s="83" t="s">
        <v>410</v>
      </c>
      <c r="N2023" s="83" t="s">
        <v>102</v>
      </c>
      <c r="P2023" s="83">
        <v>0</v>
      </c>
      <c r="U2023" s="83">
        <v>4</v>
      </c>
      <c r="V2023" s="83">
        <v>1</v>
      </c>
      <c r="W2023" s="83" t="s">
        <v>103</v>
      </c>
      <c r="X2023" s="83">
        <v>0</v>
      </c>
    </row>
    <row r="2024" spans="1:25" x14ac:dyDescent="0.2">
      <c r="A2024" s="83">
        <v>1</v>
      </c>
      <c r="B2024" s="84">
        <v>5701603304722</v>
      </c>
      <c r="C2024" s="83">
        <v>70</v>
      </c>
      <c r="D2024" s="84">
        <v>1010288</v>
      </c>
      <c r="F2024" s="83" t="s">
        <v>103</v>
      </c>
      <c r="G2024" s="83">
        <v>0</v>
      </c>
      <c r="H2024" s="83">
        <v>100</v>
      </c>
      <c r="K2024" s="83">
        <v>4</v>
      </c>
      <c r="L2024" s="83" t="s">
        <v>101</v>
      </c>
      <c r="M2024" s="83" t="s">
        <v>410</v>
      </c>
      <c r="N2024" s="83" t="s">
        <v>102</v>
      </c>
      <c r="P2024" s="83">
        <v>0</v>
      </c>
      <c r="U2024" s="83">
        <v>4</v>
      </c>
      <c r="V2024" s="83">
        <v>1</v>
      </c>
      <c r="W2024" s="83" t="s">
        <v>103</v>
      </c>
      <c r="X2024" s="83">
        <v>0</v>
      </c>
    </row>
    <row r="2025" spans="1:25" x14ac:dyDescent="0.2">
      <c r="A2025" s="83">
        <v>1</v>
      </c>
      <c r="B2025" s="84">
        <v>5701603304722</v>
      </c>
      <c r="C2025" s="83">
        <v>80</v>
      </c>
      <c r="D2025" s="84">
        <v>1020145</v>
      </c>
      <c r="F2025" s="83" t="s">
        <v>103</v>
      </c>
      <c r="G2025" s="83">
        <v>0</v>
      </c>
      <c r="H2025" s="83">
        <v>100</v>
      </c>
      <c r="K2025" s="83" t="s">
        <v>408</v>
      </c>
      <c r="L2025" s="83" t="s">
        <v>101</v>
      </c>
      <c r="M2025" s="83" t="s">
        <v>410</v>
      </c>
      <c r="N2025" s="83" t="s">
        <v>102</v>
      </c>
      <c r="P2025" s="83">
        <v>0</v>
      </c>
      <c r="U2025" s="83">
        <v>4</v>
      </c>
      <c r="V2025" s="83">
        <v>1</v>
      </c>
      <c r="W2025" s="83" t="s">
        <v>103</v>
      </c>
      <c r="X2025" s="83">
        <v>0</v>
      </c>
    </row>
    <row r="2026" spans="1:25" x14ac:dyDescent="0.2">
      <c r="A2026" s="83">
        <v>1</v>
      </c>
      <c r="B2026" s="84">
        <v>5701603304722</v>
      </c>
      <c r="C2026" s="83">
        <v>90</v>
      </c>
      <c r="D2026" s="84">
        <v>777500722</v>
      </c>
      <c r="F2026" s="83" t="s">
        <v>103</v>
      </c>
      <c r="G2026" s="83">
        <v>0</v>
      </c>
      <c r="H2026" s="83">
        <v>100</v>
      </c>
      <c r="K2026" s="83">
        <v>1</v>
      </c>
      <c r="L2026" s="83" t="s">
        <v>101</v>
      </c>
      <c r="M2026" s="83" t="s">
        <v>410</v>
      </c>
      <c r="N2026" s="83" t="s">
        <v>102</v>
      </c>
      <c r="P2026" s="83">
        <v>0</v>
      </c>
      <c r="U2026" s="83">
        <v>4</v>
      </c>
      <c r="V2026" s="83">
        <v>1</v>
      </c>
      <c r="W2026" s="83" t="s">
        <v>103</v>
      </c>
      <c r="X2026" s="83">
        <v>0</v>
      </c>
    </row>
    <row r="2027" spans="1:25" x14ac:dyDescent="0.2">
      <c r="A2027" s="83">
        <v>1</v>
      </c>
      <c r="B2027" s="84">
        <v>5701603305722</v>
      </c>
      <c r="C2027" s="83">
        <v>10</v>
      </c>
      <c r="D2027" s="84">
        <v>5980463305</v>
      </c>
      <c r="F2027" s="83" t="s">
        <v>103</v>
      </c>
      <c r="G2027" s="83">
        <v>0</v>
      </c>
      <c r="H2027" s="83">
        <v>100</v>
      </c>
      <c r="K2027" s="83">
        <v>1</v>
      </c>
      <c r="L2027" s="83" t="s">
        <v>101</v>
      </c>
      <c r="M2027" s="83" t="s">
        <v>410</v>
      </c>
      <c r="N2027" s="83" t="s">
        <v>102</v>
      </c>
      <c r="P2027" s="83">
        <v>0</v>
      </c>
      <c r="U2027" s="83">
        <v>4</v>
      </c>
      <c r="V2027" s="83">
        <v>1</v>
      </c>
      <c r="W2027" s="83" t="s">
        <v>103</v>
      </c>
      <c r="X2027" s="83">
        <v>0</v>
      </c>
      <c r="Y2027" s="83" t="str">
        <f>LEFT(D2027,6)</f>
        <v>598046</v>
      </c>
    </row>
    <row r="2028" spans="1:25" x14ac:dyDescent="0.2">
      <c r="A2028" s="83">
        <v>1</v>
      </c>
      <c r="B2028" s="84">
        <v>5701603305722</v>
      </c>
      <c r="C2028" s="83">
        <v>20</v>
      </c>
      <c r="D2028" s="84">
        <v>5980543305</v>
      </c>
      <c r="F2028" s="83" t="s">
        <v>103</v>
      </c>
      <c r="G2028" s="83">
        <v>0</v>
      </c>
      <c r="H2028" s="83">
        <v>100</v>
      </c>
      <c r="K2028" s="83">
        <v>1</v>
      </c>
      <c r="L2028" s="83" t="s">
        <v>101</v>
      </c>
      <c r="M2028" s="83" t="s">
        <v>410</v>
      </c>
      <c r="N2028" s="83" t="s">
        <v>102</v>
      </c>
      <c r="P2028" s="83">
        <v>0</v>
      </c>
      <c r="U2028" s="83">
        <v>4</v>
      </c>
      <c r="V2028" s="83">
        <v>1</v>
      </c>
      <c r="W2028" s="83" t="s">
        <v>103</v>
      </c>
      <c r="X2028" s="83">
        <v>0</v>
      </c>
    </row>
    <row r="2029" spans="1:25" x14ac:dyDescent="0.2">
      <c r="A2029" s="83">
        <v>1</v>
      </c>
      <c r="B2029" s="84">
        <v>5701603305722</v>
      </c>
      <c r="C2029" s="83">
        <v>30</v>
      </c>
      <c r="D2029" s="84">
        <v>5980623305</v>
      </c>
      <c r="F2029" s="83" t="s">
        <v>103</v>
      </c>
      <c r="G2029" s="83">
        <v>0</v>
      </c>
      <c r="H2029" s="83">
        <v>100</v>
      </c>
      <c r="K2029" s="83">
        <v>1</v>
      </c>
      <c r="L2029" s="83" t="s">
        <v>101</v>
      </c>
      <c r="M2029" s="83" t="s">
        <v>410</v>
      </c>
      <c r="N2029" s="83" t="s">
        <v>102</v>
      </c>
      <c r="P2029" s="83">
        <v>0</v>
      </c>
      <c r="U2029" s="83">
        <v>4</v>
      </c>
      <c r="V2029" s="83">
        <v>1</v>
      </c>
      <c r="W2029" s="83" t="s">
        <v>103</v>
      </c>
      <c r="X2029" s="83">
        <v>0</v>
      </c>
    </row>
    <row r="2030" spans="1:25" x14ac:dyDescent="0.2">
      <c r="A2030" s="83">
        <v>1</v>
      </c>
      <c r="B2030" s="84">
        <v>5701603305722</v>
      </c>
      <c r="C2030" s="83">
        <v>40</v>
      </c>
      <c r="D2030" s="84">
        <v>5980823305</v>
      </c>
      <c r="F2030" s="83" t="s">
        <v>103</v>
      </c>
      <c r="G2030" s="83">
        <v>0</v>
      </c>
      <c r="H2030" s="83">
        <v>100</v>
      </c>
      <c r="K2030" s="83">
        <v>1</v>
      </c>
      <c r="L2030" s="83" t="s">
        <v>101</v>
      </c>
      <c r="M2030" s="83" t="s">
        <v>410</v>
      </c>
      <c r="N2030" s="83" t="s">
        <v>102</v>
      </c>
      <c r="P2030" s="83">
        <v>0</v>
      </c>
      <c r="U2030" s="83">
        <v>4</v>
      </c>
      <c r="V2030" s="83">
        <v>1</v>
      </c>
      <c r="W2030" s="83" t="s">
        <v>103</v>
      </c>
      <c r="X2030" s="83">
        <v>0</v>
      </c>
    </row>
    <row r="2031" spans="1:25" x14ac:dyDescent="0.2">
      <c r="A2031" s="83">
        <v>1</v>
      </c>
      <c r="B2031" s="84">
        <v>5701603305722</v>
      </c>
      <c r="C2031" s="83">
        <v>50</v>
      </c>
      <c r="D2031" s="84">
        <v>5980933305</v>
      </c>
      <c r="F2031" s="83" t="s">
        <v>103</v>
      </c>
      <c r="G2031" s="83">
        <v>0</v>
      </c>
      <c r="H2031" s="83">
        <v>100</v>
      </c>
      <c r="K2031" s="83">
        <v>1</v>
      </c>
      <c r="L2031" s="83" t="s">
        <v>101</v>
      </c>
      <c r="M2031" s="83" t="s">
        <v>410</v>
      </c>
      <c r="N2031" s="83" t="s">
        <v>102</v>
      </c>
      <c r="P2031" s="83">
        <v>0</v>
      </c>
      <c r="U2031" s="83">
        <v>4</v>
      </c>
      <c r="V2031" s="83">
        <v>1</v>
      </c>
      <c r="W2031" s="83" t="s">
        <v>103</v>
      </c>
      <c r="X2031" s="83">
        <v>0</v>
      </c>
    </row>
    <row r="2032" spans="1:25" x14ac:dyDescent="0.2">
      <c r="A2032" s="83">
        <v>1</v>
      </c>
      <c r="B2032" s="84">
        <v>5701603305722</v>
      </c>
      <c r="C2032" s="83">
        <v>60</v>
      </c>
      <c r="D2032" s="84">
        <v>1010286</v>
      </c>
      <c r="F2032" s="83" t="s">
        <v>103</v>
      </c>
      <c r="G2032" s="83">
        <v>0</v>
      </c>
      <c r="H2032" s="83">
        <v>100</v>
      </c>
      <c r="K2032" s="83">
        <v>8</v>
      </c>
      <c r="L2032" s="83" t="s">
        <v>101</v>
      </c>
      <c r="M2032" s="83" t="s">
        <v>410</v>
      </c>
      <c r="N2032" s="83" t="s">
        <v>102</v>
      </c>
      <c r="P2032" s="83">
        <v>0</v>
      </c>
      <c r="U2032" s="83">
        <v>4</v>
      </c>
      <c r="V2032" s="83">
        <v>1</v>
      </c>
      <c r="W2032" s="83" t="s">
        <v>103</v>
      </c>
      <c r="X2032" s="83">
        <v>0</v>
      </c>
    </row>
    <row r="2033" spans="1:25" x14ac:dyDescent="0.2">
      <c r="A2033" s="83">
        <v>1</v>
      </c>
      <c r="B2033" s="84">
        <v>5701603305722</v>
      </c>
      <c r="C2033" s="83">
        <v>70</v>
      </c>
      <c r="D2033" s="84">
        <v>1010288</v>
      </c>
      <c r="F2033" s="83" t="s">
        <v>103</v>
      </c>
      <c r="G2033" s="83">
        <v>0</v>
      </c>
      <c r="H2033" s="83">
        <v>100</v>
      </c>
      <c r="K2033" s="83">
        <v>4</v>
      </c>
      <c r="L2033" s="83" t="s">
        <v>101</v>
      </c>
      <c r="M2033" s="83" t="s">
        <v>410</v>
      </c>
      <c r="N2033" s="83" t="s">
        <v>102</v>
      </c>
      <c r="P2033" s="83">
        <v>0</v>
      </c>
      <c r="U2033" s="83">
        <v>4</v>
      </c>
      <c r="V2033" s="83">
        <v>1</v>
      </c>
      <c r="W2033" s="83" t="s">
        <v>103</v>
      </c>
      <c r="X2033" s="83">
        <v>0</v>
      </c>
    </row>
    <row r="2034" spans="1:25" x14ac:dyDescent="0.2">
      <c r="A2034" s="83">
        <v>1</v>
      </c>
      <c r="B2034" s="84">
        <v>5701603305722</v>
      </c>
      <c r="C2034" s="83">
        <v>80</v>
      </c>
      <c r="D2034" s="84">
        <v>1020145</v>
      </c>
      <c r="F2034" s="83" t="s">
        <v>103</v>
      </c>
      <c r="G2034" s="83">
        <v>0</v>
      </c>
      <c r="H2034" s="83">
        <v>100</v>
      </c>
      <c r="K2034" s="83" t="s">
        <v>408</v>
      </c>
      <c r="L2034" s="83" t="s">
        <v>101</v>
      </c>
      <c r="M2034" s="83" t="s">
        <v>410</v>
      </c>
      <c r="N2034" s="83" t="s">
        <v>102</v>
      </c>
      <c r="P2034" s="83">
        <v>0</v>
      </c>
      <c r="U2034" s="83">
        <v>4</v>
      </c>
      <c r="V2034" s="83">
        <v>1</v>
      </c>
      <c r="W2034" s="83" t="s">
        <v>103</v>
      </c>
      <c r="X2034" s="83">
        <v>0</v>
      </c>
    </row>
    <row r="2035" spans="1:25" x14ac:dyDescent="0.2">
      <c r="A2035" s="83">
        <v>1</v>
      </c>
      <c r="B2035" s="84">
        <v>5701603305722</v>
      </c>
      <c r="C2035" s="83">
        <v>90</v>
      </c>
      <c r="D2035" s="84">
        <v>777500722</v>
      </c>
      <c r="F2035" s="83" t="s">
        <v>103</v>
      </c>
      <c r="G2035" s="83">
        <v>0</v>
      </c>
      <c r="H2035" s="83">
        <v>100</v>
      </c>
      <c r="K2035" s="83">
        <v>1</v>
      </c>
      <c r="L2035" s="83" t="s">
        <v>101</v>
      </c>
      <c r="M2035" s="83" t="s">
        <v>410</v>
      </c>
      <c r="N2035" s="83" t="s">
        <v>102</v>
      </c>
      <c r="P2035" s="83">
        <v>0</v>
      </c>
      <c r="U2035" s="83">
        <v>4</v>
      </c>
      <c r="V2035" s="83">
        <v>1</v>
      </c>
      <c r="W2035" s="83" t="s">
        <v>103</v>
      </c>
      <c r="X2035" s="83">
        <v>0</v>
      </c>
    </row>
    <row r="2036" spans="1:25" x14ac:dyDescent="0.2">
      <c r="A2036" s="83">
        <v>1</v>
      </c>
      <c r="B2036" s="84">
        <v>5701603306722</v>
      </c>
      <c r="C2036" s="83">
        <v>10</v>
      </c>
      <c r="D2036" s="84">
        <v>5980463306</v>
      </c>
      <c r="F2036" s="83" t="s">
        <v>103</v>
      </c>
      <c r="G2036" s="83">
        <v>0</v>
      </c>
      <c r="H2036" s="83">
        <v>100</v>
      </c>
      <c r="K2036" s="83">
        <v>1</v>
      </c>
      <c r="L2036" s="83" t="s">
        <v>101</v>
      </c>
      <c r="M2036" s="83" t="s">
        <v>410</v>
      </c>
      <c r="N2036" s="83" t="s">
        <v>102</v>
      </c>
      <c r="P2036" s="83">
        <v>0</v>
      </c>
      <c r="U2036" s="83">
        <v>4</v>
      </c>
      <c r="V2036" s="83">
        <v>1</v>
      </c>
      <c r="W2036" s="83" t="s">
        <v>103</v>
      </c>
      <c r="X2036" s="83">
        <v>0</v>
      </c>
      <c r="Y2036" s="83" t="str">
        <f>LEFT(D2036,6)</f>
        <v>598046</v>
      </c>
    </row>
    <row r="2037" spans="1:25" x14ac:dyDescent="0.2">
      <c r="A2037" s="83">
        <v>1</v>
      </c>
      <c r="B2037" s="84">
        <v>5701603306722</v>
      </c>
      <c r="C2037" s="83">
        <v>20</v>
      </c>
      <c r="D2037" s="84">
        <v>5980543306</v>
      </c>
      <c r="F2037" s="83" t="s">
        <v>103</v>
      </c>
      <c r="G2037" s="83">
        <v>0</v>
      </c>
      <c r="H2037" s="83">
        <v>100</v>
      </c>
      <c r="K2037" s="83">
        <v>1</v>
      </c>
      <c r="L2037" s="83" t="s">
        <v>101</v>
      </c>
      <c r="M2037" s="83" t="s">
        <v>410</v>
      </c>
      <c r="N2037" s="83" t="s">
        <v>102</v>
      </c>
      <c r="P2037" s="83">
        <v>0</v>
      </c>
      <c r="U2037" s="83">
        <v>4</v>
      </c>
      <c r="V2037" s="83">
        <v>1</v>
      </c>
      <c r="W2037" s="83" t="s">
        <v>103</v>
      </c>
      <c r="X2037" s="83">
        <v>0</v>
      </c>
    </row>
    <row r="2038" spans="1:25" x14ac:dyDescent="0.2">
      <c r="A2038" s="83">
        <v>1</v>
      </c>
      <c r="B2038" s="84">
        <v>5701603306722</v>
      </c>
      <c r="C2038" s="83">
        <v>30</v>
      </c>
      <c r="D2038" s="84">
        <v>5980623306</v>
      </c>
      <c r="F2038" s="83" t="s">
        <v>103</v>
      </c>
      <c r="G2038" s="83">
        <v>0</v>
      </c>
      <c r="H2038" s="83">
        <v>100</v>
      </c>
      <c r="K2038" s="83">
        <v>1</v>
      </c>
      <c r="L2038" s="83" t="s">
        <v>101</v>
      </c>
      <c r="M2038" s="83" t="s">
        <v>410</v>
      </c>
      <c r="N2038" s="83" t="s">
        <v>102</v>
      </c>
      <c r="P2038" s="83">
        <v>0</v>
      </c>
      <c r="U2038" s="83">
        <v>4</v>
      </c>
      <c r="V2038" s="83">
        <v>1</v>
      </c>
      <c r="W2038" s="83" t="s">
        <v>103</v>
      </c>
      <c r="X2038" s="83">
        <v>0</v>
      </c>
    </row>
    <row r="2039" spans="1:25" x14ac:dyDescent="0.2">
      <c r="A2039" s="83">
        <v>1</v>
      </c>
      <c r="B2039" s="84">
        <v>5701603306722</v>
      </c>
      <c r="C2039" s="83">
        <v>40</v>
      </c>
      <c r="D2039" s="84">
        <v>5980823306</v>
      </c>
      <c r="F2039" s="83" t="s">
        <v>103</v>
      </c>
      <c r="G2039" s="83">
        <v>0</v>
      </c>
      <c r="H2039" s="83">
        <v>100</v>
      </c>
      <c r="K2039" s="83">
        <v>1</v>
      </c>
      <c r="L2039" s="83" t="s">
        <v>101</v>
      </c>
      <c r="M2039" s="83" t="s">
        <v>410</v>
      </c>
      <c r="N2039" s="83" t="s">
        <v>102</v>
      </c>
      <c r="P2039" s="83">
        <v>0</v>
      </c>
      <c r="U2039" s="83">
        <v>4</v>
      </c>
      <c r="V2039" s="83">
        <v>1</v>
      </c>
      <c r="W2039" s="83" t="s">
        <v>103</v>
      </c>
      <c r="X2039" s="83">
        <v>0</v>
      </c>
    </row>
    <row r="2040" spans="1:25" x14ac:dyDescent="0.2">
      <c r="A2040" s="83">
        <v>1</v>
      </c>
      <c r="B2040" s="84">
        <v>5701603306722</v>
      </c>
      <c r="C2040" s="83">
        <v>50</v>
      </c>
      <c r="D2040" s="84">
        <v>5980933306</v>
      </c>
      <c r="F2040" s="83" t="s">
        <v>103</v>
      </c>
      <c r="G2040" s="83">
        <v>0</v>
      </c>
      <c r="H2040" s="83">
        <v>100</v>
      </c>
      <c r="K2040" s="83">
        <v>1</v>
      </c>
      <c r="L2040" s="83" t="s">
        <v>101</v>
      </c>
      <c r="M2040" s="83" t="s">
        <v>410</v>
      </c>
      <c r="N2040" s="83" t="s">
        <v>102</v>
      </c>
      <c r="P2040" s="83">
        <v>0</v>
      </c>
      <c r="U2040" s="83">
        <v>4</v>
      </c>
      <c r="V2040" s="83">
        <v>1</v>
      </c>
      <c r="W2040" s="83" t="s">
        <v>103</v>
      </c>
      <c r="X2040" s="83">
        <v>0</v>
      </c>
    </row>
    <row r="2041" spans="1:25" x14ac:dyDescent="0.2">
      <c r="A2041" s="83">
        <v>1</v>
      </c>
      <c r="B2041" s="84">
        <v>5701603306722</v>
      </c>
      <c r="C2041" s="83">
        <v>60</v>
      </c>
      <c r="D2041" s="84">
        <v>1010286</v>
      </c>
      <c r="F2041" s="83" t="s">
        <v>103</v>
      </c>
      <c r="G2041" s="83">
        <v>0</v>
      </c>
      <c r="H2041" s="83">
        <v>100</v>
      </c>
      <c r="K2041" s="83">
        <v>8</v>
      </c>
      <c r="L2041" s="83" t="s">
        <v>101</v>
      </c>
      <c r="M2041" s="83" t="s">
        <v>410</v>
      </c>
      <c r="N2041" s="83" t="s">
        <v>102</v>
      </c>
      <c r="P2041" s="83">
        <v>0</v>
      </c>
      <c r="U2041" s="83">
        <v>4</v>
      </c>
      <c r="V2041" s="83">
        <v>1</v>
      </c>
      <c r="W2041" s="83" t="s">
        <v>103</v>
      </c>
      <c r="X2041" s="83">
        <v>0</v>
      </c>
    </row>
    <row r="2042" spans="1:25" x14ac:dyDescent="0.2">
      <c r="A2042" s="83">
        <v>1</v>
      </c>
      <c r="B2042" s="84">
        <v>5701603306722</v>
      </c>
      <c r="C2042" s="83">
        <v>70</v>
      </c>
      <c r="D2042" s="84">
        <v>1010287</v>
      </c>
      <c r="F2042" s="83" t="s">
        <v>103</v>
      </c>
      <c r="G2042" s="83">
        <v>0</v>
      </c>
      <c r="H2042" s="83">
        <v>100</v>
      </c>
      <c r="K2042" s="83">
        <v>4</v>
      </c>
      <c r="L2042" s="83" t="s">
        <v>101</v>
      </c>
      <c r="M2042" s="83" t="s">
        <v>410</v>
      </c>
      <c r="N2042" s="83" t="s">
        <v>102</v>
      </c>
      <c r="P2042" s="83">
        <v>0</v>
      </c>
      <c r="U2042" s="83">
        <v>4</v>
      </c>
      <c r="V2042" s="83">
        <v>1</v>
      </c>
      <c r="W2042" s="83" t="s">
        <v>103</v>
      </c>
      <c r="X2042" s="83">
        <v>0</v>
      </c>
    </row>
    <row r="2043" spans="1:25" x14ac:dyDescent="0.2">
      <c r="A2043" s="83">
        <v>1</v>
      </c>
      <c r="B2043" s="84">
        <v>5701603306722</v>
      </c>
      <c r="C2043" s="83">
        <v>80</v>
      </c>
      <c r="D2043" s="84">
        <v>1020145</v>
      </c>
      <c r="F2043" s="83" t="s">
        <v>103</v>
      </c>
      <c r="G2043" s="83">
        <v>0</v>
      </c>
      <c r="H2043" s="83">
        <v>100</v>
      </c>
      <c r="K2043" s="83" t="s">
        <v>408</v>
      </c>
      <c r="L2043" s="83" t="s">
        <v>101</v>
      </c>
      <c r="M2043" s="83" t="s">
        <v>410</v>
      </c>
      <c r="N2043" s="83" t="s">
        <v>102</v>
      </c>
      <c r="P2043" s="83">
        <v>0</v>
      </c>
      <c r="U2043" s="83">
        <v>4</v>
      </c>
      <c r="V2043" s="83">
        <v>1</v>
      </c>
      <c r="W2043" s="83" t="s">
        <v>103</v>
      </c>
      <c r="X2043" s="83">
        <v>0</v>
      </c>
    </row>
    <row r="2044" spans="1:25" x14ac:dyDescent="0.2">
      <c r="A2044" s="83">
        <v>1</v>
      </c>
      <c r="B2044" s="84">
        <v>5701603306722</v>
      </c>
      <c r="C2044" s="83">
        <v>90</v>
      </c>
      <c r="D2044" s="84">
        <v>777500722</v>
      </c>
      <c r="F2044" s="83" t="s">
        <v>103</v>
      </c>
      <c r="G2044" s="83">
        <v>0</v>
      </c>
      <c r="H2044" s="83">
        <v>100</v>
      </c>
      <c r="K2044" s="83">
        <v>1</v>
      </c>
      <c r="L2044" s="83" t="s">
        <v>101</v>
      </c>
      <c r="M2044" s="83" t="s">
        <v>410</v>
      </c>
      <c r="N2044" s="83" t="s">
        <v>102</v>
      </c>
      <c r="P2044" s="83">
        <v>0</v>
      </c>
      <c r="U2044" s="83">
        <v>4</v>
      </c>
      <c r="V2044" s="83">
        <v>1</v>
      </c>
      <c r="W2044" s="83" t="s">
        <v>103</v>
      </c>
      <c r="X2044" s="83">
        <v>0</v>
      </c>
    </row>
    <row r="2045" spans="1:25" x14ac:dyDescent="0.2">
      <c r="A2045" s="83">
        <v>1</v>
      </c>
      <c r="B2045" s="84">
        <v>5701603307722</v>
      </c>
      <c r="C2045" s="83">
        <v>10</v>
      </c>
      <c r="D2045" s="84">
        <v>5980463307</v>
      </c>
      <c r="F2045" s="83" t="s">
        <v>103</v>
      </c>
      <c r="G2045" s="83">
        <v>0</v>
      </c>
      <c r="H2045" s="83">
        <v>100</v>
      </c>
      <c r="K2045" s="83">
        <v>1</v>
      </c>
      <c r="L2045" s="83" t="s">
        <v>101</v>
      </c>
      <c r="M2045" s="83" t="s">
        <v>410</v>
      </c>
      <c r="N2045" s="83" t="s">
        <v>102</v>
      </c>
      <c r="P2045" s="83">
        <v>0</v>
      </c>
      <c r="U2045" s="83">
        <v>4</v>
      </c>
      <c r="V2045" s="83">
        <v>1</v>
      </c>
      <c r="W2045" s="83" t="s">
        <v>103</v>
      </c>
      <c r="X2045" s="83">
        <v>0</v>
      </c>
      <c r="Y2045" s="83" t="str">
        <f>LEFT(D2045,6)</f>
        <v>598046</v>
      </c>
    </row>
    <row r="2046" spans="1:25" x14ac:dyDescent="0.2">
      <c r="A2046" s="83">
        <v>1</v>
      </c>
      <c r="B2046" s="84">
        <v>5701603307722</v>
      </c>
      <c r="C2046" s="83">
        <v>20</v>
      </c>
      <c r="D2046" s="84">
        <v>5980543307</v>
      </c>
      <c r="F2046" s="83" t="s">
        <v>103</v>
      </c>
      <c r="G2046" s="83">
        <v>0</v>
      </c>
      <c r="H2046" s="83">
        <v>100</v>
      </c>
      <c r="K2046" s="83">
        <v>1</v>
      </c>
      <c r="L2046" s="83" t="s">
        <v>101</v>
      </c>
      <c r="M2046" s="83" t="s">
        <v>410</v>
      </c>
      <c r="N2046" s="83" t="s">
        <v>102</v>
      </c>
      <c r="P2046" s="83">
        <v>0</v>
      </c>
      <c r="U2046" s="83">
        <v>4</v>
      </c>
      <c r="V2046" s="83">
        <v>1</v>
      </c>
      <c r="W2046" s="83" t="s">
        <v>103</v>
      </c>
      <c r="X2046" s="83">
        <v>0</v>
      </c>
    </row>
    <row r="2047" spans="1:25" x14ac:dyDescent="0.2">
      <c r="A2047" s="83">
        <v>1</v>
      </c>
      <c r="B2047" s="84">
        <v>5701603307722</v>
      </c>
      <c r="C2047" s="83">
        <v>30</v>
      </c>
      <c r="D2047" s="84">
        <v>5980623307</v>
      </c>
      <c r="F2047" s="83" t="s">
        <v>103</v>
      </c>
      <c r="G2047" s="83">
        <v>0</v>
      </c>
      <c r="H2047" s="83">
        <v>100</v>
      </c>
      <c r="K2047" s="83">
        <v>1</v>
      </c>
      <c r="L2047" s="83" t="s">
        <v>101</v>
      </c>
      <c r="M2047" s="83" t="s">
        <v>410</v>
      </c>
      <c r="N2047" s="83" t="s">
        <v>102</v>
      </c>
      <c r="P2047" s="83">
        <v>0</v>
      </c>
      <c r="U2047" s="83">
        <v>4</v>
      </c>
      <c r="V2047" s="83">
        <v>1</v>
      </c>
      <c r="W2047" s="83" t="s">
        <v>103</v>
      </c>
      <c r="X2047" s="83">
        <v>0</v>
      </c>
    </row>
    <row r="2048" spans="1:25" x14ac:dyDescent="0.2">
      <c r="A2048" s="83">
        <v>1</v>
      </c>
      <c r="B2048" s="84">
        <v>5701603307722</v>
      </c>
      <c r="C2048" s="83">
        <v>40</v>
      </c>
      <c r="D2048" s="84">
        <v>5980823307</v>
      </c>
      <c r="F2048" s="83" t="s">
        <v>103</v>
      </c>
      <c r="G2048" s="83">
        <v>0</v>
      </c>
      <c r="H2048" s="83">
        <v>100</v>
      </c>
      <c r="K2048" s="83">
        <v>1</v>
      </c>
      <c r="L2048" s="83" t="s">
        <v>101</v>
      </c>
      <c r="M2048" s="83" t="s">
        <v>410</v>
      </c>
      <c r="N2048" s="83" t="s">
        <v>102</v>
      </c>
      <c r="P2048" s="83">
        <v>0</v>
      </c>
      <c r="U2048" s="83">
        <v>4</v>
      </c>
      <c r="V2048" s="83">
        <v>1</v>
      </c>
      <c r="W2048" s="83" t="s">
        <v>103</v>
      </c>
      <c r="X2048" s="83">
        <v>0</v>
      </c>
    </row>
    <row r="2049" spans="1:25" x14ac:dyDescent="0.2">
      <c r="A2049" s="83">
        <v>1</v>
      </c>
      <c r="B2049" s="84">
        <v>5701603307722</v>
      </c>
      <c r="C2049" s="83">
        <v>50</v>
      </c>
      <c r="D2049" s="84">
        <v>5980933307</v>
      </c>
      <c r="F2049" s="83" t="s">
        <v>103</v>
      </c>
      <c r="G2049" s="83">
        <v>0</v>
      </c>
      <c r="H2049" s="83">
        <v>100</v>
      </c>
      <c r="K2049" s="83">
        <v>1</v>
      </c>
      <c r="L2049" s="83" t="s">
        <v>101</v>
      </c>
      <c r="M2049" s="83" t="s">
        <v>410</v>
      </c>
      <c r="N2049" s="83" t="s">
        <v>102</v>
      </c>
      <c r="P2049" s="83">
        <v>0</v>
      </c>
      <c r="U2049" s="83">
        <v>4</v>
      </c>
      <c r="V2049" s="83">
        <v>1</v>
      </c>
      <c r="W2049" s="83" t="s">
        <v>103</v>
      </c>
      <c r="X2049" s="83">
        <v>0</v>
      </c>
    </row>
    <row r="2050" spans="1:25" x14ac:dyDescent="0.2">
      <c r="A2050" s="83">
        <v>1</v>
      </c>
      <c r="B2050" s="84">
        <v>5701603307722</v>
      </c>
      <c r="C2050" s="83">
        <v>60</v>
      </c>
      <c r="D2050" s="84">
        <v>1010286</v>
      </c>
      <c r="F2050" s="83" t="s">
        <v>103</v>
      </c>
      <c r="G2050" s="83">
        <v>0</v>
      </c>
      <c r="H2050" s="83">
        <v>100</v>
      </c>
      <c r="K2050" s="83">
        <v>8</v>
      </c>
      <c r="L2050" s="83" t="s">
        <v>101</v>
      </c>
      <c r="M2050" s="83" t="s">
        <v>410</v>
      </c>
      <c r="N2050" s="83" t="s">
        <v>102</v>
      </c>
      <c r="P2050" s="83">
        <v>0</v>
      </c>
      <c r="U2050" s="83">
        <v>4</v>
      </c>
      <c r="V2050" s="83">
        <v>1</v>
      </c>
      <c r="W2050" s="83" t="s">
        <v>103</v>
      </c>
      <c r="X2050" s="83">
        <v>0</v>
      </c>
    </row>
    <row r="2051" spans="1:25" x14ac:dyDescent="0.2">
      <c r="A2051" s="83">
        <v>1</v>
      </c>
      <c r="B2051" s="84">
        <v>5701603307722</v>
      </c>
      <c r="C2051" s="83">
        <v>70</v>
      </c>
      <c r="D2051" s="84">
        <v>1010287</v>
      </c>
      <c r="F2051" s="83" t="s">
        <v>103</v>
      </c>
      <c r="G2051" s="83">
        <v>0</v>
      </c>
      <c r="H2051" s="83">
        <v>100</v>
      </c>
      <c r="K2051" s="83">
        <v>4</v>
      </c>
      <c r="L2051" s="83" t="s">
        <v>101</v>
      </c>
      <c r="M2051" s="83" t="s">
        <v>410</v>
      </c>
      <c r="N2051" s="83" t="s">
        <v>102</v>
      </c>
      <c r="P2051" s="83">
        <v>0</v>
      </c>
      <c r="U2051" s="83">
        <v>4</v>
      </c>
      <c r="V2051" s="83">
        <v>1</v>
      </c>
      <c r="W2051" s="83" t="s">
        <v>103</v>
      </c>
      <c r="X2051" s="83">
        <v>0</v>
      </c>
    </row>
    <row r="2052" spans="1:25" x14ac:dyDescent="0.2">
      <c r="A2052" s="83">
        <v>1</v>
      </c>
      <c r="B2052" s="84">
        <v>5701603307722</v>
      </c>
      <c r="C2052" s="83">
        <v>80</v>
      </c>
      <c r="D2052" s="84">
        <v>1020145</v>
      </c>
      <c r="F2052" s="83" t="s">
        <v>103</v>
      </c>
      <c r="G2052" s="83">
        <v>0</v>
      </c>
      <c r="H2052" s="83">
        <v>100</v>
      </c>
      <c r="K2052" s="83" t="s">
        <v>408</v>
      </c>
      <c r="L2052" s="83" t="s">
        <v>101</v>
      </c>
      <c r="M2052" s="83" t="s">
        <v>410</v>
      </c>
      <c r="N2052" s="83" t="s">
        <v>102</v>
      </c>
      <c r="P2052" s="83">
        <v>0</v>
      </c>
      <c r="U2052" s="83">
        <v>4</v>
      </c>
      <c r="V2052" s="83">
        <v>1</v>
      </c>
      <c r="W2052" s="83" t="s">
        <v>103</v>
      </c>
      <c r="X2052" s="83">
        <v>0</v>
      </c>
    </row>
    <row r="2053" spans="1:25" x14ac:dyDescent="0.2">
      <c r="A2053" s="83">
        <v>1</v>
      </c>
      <c r="B2053" s="84">
        <v>5701603307722</v>
      </c>
      <c r="C2053" s="83">
        <v>90</v>
      </c>
      <c r="D2053" s="84">
        <v>777500722</v>
      </c>
      <c r="F2053" s="83" t="s">
        <v>103</v>
      </c>
      <c r="G2053" s="83">
        <v>0</v>
      </c>
      <c r="H2053" s="83">
        <v>100</v>
      </c>
      <c r="K2053" s="83">
        <v>1</v>
      </c>
      <c r="L2053" s="83" t="s">
        <v>101</v>
      </c>
      <c r="M2053" s="83" t="s">
        <v>410</v>
      </c>
      <c r="N2053" s="83" t="s">
        <v>102</v>
      </c>
      <c r="P2053" s="83">
        <v>0</v>
      </c>
      <c r="U2053" s="83">
        <v>4</v>
      </c>
      <c r="V2053" s="83">
        <v>1</v>
      </c>
      <c r="W2053" s="83" t="s">
        <v>103</v>
      </c>
      <c r="X2053" s="83">
        <v>0</v>
      </c>
    </row>
    <row r="2054" spans="1:25" x14ac:dyDescent="0.2">
      <c r="A2054" s="83">
        <v>1</v>
      </c>
      <c r="B2054" s="84">
        <v>5701603308722</v>
      </c>
      <c r="C2054" s="83">
        <v>10</v>
      </c>
      <c r="D2054" s="84">
        <v>5980463308</v>
      </c>
      <c r="F2054" s="83" t="s">
        <v>103</v>
      </c>
      <c r="G2054" s="83">
        <v>0</v>
      </c>
      <c r="H2054" s="83">
        <v>100</v>
      </c>
      <c r="K2054" s="83">
        <v>1</v>
      </c>
      <c r="L2054" s="83" t="s">
        <v>101</v>
      </c>
      <c r="M2054" s="83" t="s">
        <v>410</v>
      </c>
      <c r="N2054" s="83" t="s">
        <v>102</v>
      </c>
      <c r="P2054" s="83">
        <v>0</v>
      </c>
      <c r="U2054" s="83">
        <v>4</v>
      </c>
      <c r="V2054" s="83">
        <v>1</v>
      </c>
      <c r="W2054" s="83" t="s">
        <v>103</v>
      </c>
      <c r="X2054" s="83">
        <v>0</v>
      </c>
      <c r="Y2054" s="83" t="str">
        <f>LEFT(D2054,6)</f>
        <v>598046</v>
      </c>
    </row>
    <row r="2055" spans="1:25" x14ac:dyDescent="0.2">
      <c r="A2055" s="83">
        <v>1</v>
      </c>
      <c r="B2055" s="84">
        <v>5701603308722</v>
      </c>
      <c r="C2055" s="83">
        <v>20</v>
      </c>
      <c r="D2055" s="84">
        <v>5980543308</v>
      </c>
      <c r="F2055" s="83" t="s">
        <v>103</v>
      </c>
      <c r="G2055" s="83">
        <v>0</v>
      </c>
      <c r="H2055" s="83">
        <v>100</v>
      </c>
      <c r="K2055" s="83">
        <v>1</v>
      </c>
      <c r="L2055" s="83" t="s">
        <v>101</v>
      </c>
      <c r="M2055" s="83" t="s">
        <v>410</v>
      </c>
      <c r="N2055" s="83" t="s">
        <v>102</v>
      </c>
      <c r="P2055" s="83">
        <v>0</v>
      </c>
      <c r="U2055" s="83">
        <v>4</v>
      </c>
      <c r="V2055" s="83">
        <v>1</v>
      </c>
      <c r="W2055" s="83" t="s">
        <v>103</v>
      </c>
      <c r="X2055" s="83">
        <v>0</v>
      </c>
    </row>
    <row r="2056" spans="1:25" x14ac:dyDescent="0.2">
      <c r="A2056" s="83">
        <v>1</v>
      </c>
      <c r="B2056" s="84">
        <v>5701603308722</v>
      </c>
      <c r="C2056" s="83">
        <v>30</v>
      </c>
      <c r="D2056" s="84">
        <v>5980623308</v>
      </c>
      <c r="F2056" s="83" t="s">
        <v>103</v>
      </c>
      <c r="G2056" s="83">
        <v>0</v>
      </c>
      <c r="H2056" s="83">
        <v>100</v>
      </c>
      <c r="K2056" s="83">
        <v>1</v>
      </c>
      <c r="L2056" s="83" t="s">
        <v>101</v>
      </c>
      <c r="M2056" s="83" t="s">
        <v>410</v>
      </c>
      <c r="N2056" s="83" t="s">
        <v>102</v>
      </c>
      <c r="P2056" s="83">
        <v>0</v>
      </c>
      <c r="U2056" s="83">
        <v>4</v>
      </c>
      <c r="V2056" s="83">
        <v>1</v>
      </c>
      <c r="W2056" s="83" t="s">
        <v>103</v>
      </c>
      <c r="X2056" s="83">
        <v>0</v>
      </c>
    </row>
    <row r="2057" spans="1:25" x14ac:dyDescent="0.2">
      <c r="A2057" s="83">
        <v>1</v>
      </c>
      <c r="B2057" s="84">
        <v>5701603308722</v>
      </c>
      <c r="C2057" s="83">
        <v>40</v>
      </c>
      <c r="D2057" s="84">
        <v>5980823308</v>
      </c>
      <c r="F2057" s="83" t="s">
        <v>103</v>
      </c>
      <c r="G2057" s="83">
        <v>0</v>
      </c>
      <c r="H2057" s="83">
        <v>100</v>
      </c>
      <c r="K2057" s="83">
        <v>1</v>
      </c>
      <c r="L2057" s="83" t="s">
        <v>101</v>
      </c>
      <c r="M2057" s="83" t="s">
        <v>410</v>
      </c>
      <c r="N2057" s="83" t="s">
        <v>102</v>
      </c>
      <c r="P2057" s="83">
        <v>0</v>
      </c>
      <c r="U2057" s="83">
        <v>4</v>
      </c>
      <c r="V2057" s="83">
        <v>1</v>
      </c>
      <c r="W2057" s="83" t="s">
        <v>103</v>
      </c>
      <c r="X2057" s="83">
        <v>0</v>
      </c>
    </row>
    <row r="2058" spans="1:25" x14ac:dyDescent="0.2">
      <c r="A2058" s="83">
        <v>1</v>
      </c>
      <c r="B2058" s="84">
        <v>5701603308722</v>
      </c>
      <c r="C2058" s="83">
        <v>50</v>
      </c>
      <c r="D2058" s="84">
        <v>5980933308</v>
      </c>
      <c r="F2058" s="83" t="s">
        <v>103</v>
      </c>
      <c r="G2058" s="83">
        <v>0</v>
      </c>
      <c r="H2058" s="83">
        <v>100</v>
      </c>
      <c r="K2058" s="83">
        <v>1</v>
      </c>
      <c r="L2058" s="83" t="s">
        <v>101</v>
      </c>
      <c r="M2058" s="83" t="s">
        <v>410</v>
      </c>
      <c r="N2058" s="83" t="s">
        <v>102</v>
      </c>
      <c r="P2058" s="83">
        <v>0</v>
      </c>
      <c r="U2058" s="83">
        <v>4</v>
      </c>
      <c r="V2058" s="83">
        <v>1</v>
      </c>
      <c r="W2058" s="83" t="s">
        <v>103</v>
      </c>
      <c r="X2058" s="83">
        <v>0</v>
      </c>
    </row>
    <row r="2059" spans="1:25" x14ac:dyDescent="0.2">
      <c r="A2059" s="83">
        <v>1</v>
      </c>
      <c r="B2059" s="84">
        <v>5701603308722</v>
      </c>
      <c r="C2059" s="83">
        <v>60</v>
      </c>
      <c r="D2059" s="84">
        <v>1010286</v>
      </c>
      <c r="F2059" s="83" t="s">
        <v>103</v>
      </c>
      <c r="G2059" s="83">
        <v>0</v>
      </c>
      <c r="H2059" s="83">
        <v>100</v>
      </c>
      <c r="K2059" s="83">
        <v>8</v>
      </c>
      <c r="L2059" s="83" t="s">
        <v>101</v>
      </c>
      <c r="M2059" s="83" t="s">
        <v>410</v>
      </c>
      <c r="N2059" s="83" t="s">
        <v>102</v>
      </c>
      <c r="P2059" s="83">
        <v>0</v>
      </c>
      <c r="U2059" s="83">
        <v>4</v>
      </c>
      <c r="V2059" s="83">
        <v>1</v>
      </c>
      <c r="W2059" s="83" t="s">
        <v>103</v>
      </c>
      <c r="X2059" s="83">
        <v>0</v>
      </c>
    </row>
    <row r="2060" spans="1:25" x14ac:dyDescent="0.2">
      <c r="A2060" s="83">
        <v>1</v>
      </c>
      <c r="B2060" s="84">
        <v>5701603308722</v>
      </c>
      <c r="C2060" s="83">
        <v>70</v>
      </c>
      <c r="D2060" s="84">
        <v>1010288</v>
      </c>
      <c r="F2060" s="83" t="s">
        <v>103</v>
      </c>
      <c r="G2060" s="83">
        <v>0</v>
      </c>
      <c r="H2060" s="83">
        <v>100</v>
      </c>
      <c r="K2060" s="83">
        <v>4</v>
      </c>
      <c r="L2060" s="83" t="s">
        <v>101</v>
      </c>
      <c r="M2060" s="83" t="s">
        <v>410</v>
      </c>
      <c r="N2060" s="83" t="s">
        <v>102</v>
      </c>
      <c r="P2060" s="83">
        <v>0</v>
      </c>
      <c r="U2060" s="83">
        <v>4</v>
      </c>
      <c r="V2060" s="83">
        <v>1</v>
      </c>
      <c r="W2060" s="83" t="s">
        <v>103</v>
      </c>
      <c r="X2060" s="83">
        <v>0</v>
      </c>
    </row>
    <row r="2061" spans="1:25" x14ac:dyDescent="0.2">
      <c r="A2061" s="83">
        <v>1</v>
      </c>
      <c r="B2061" s="84">
        <v>5701603308722</v>
      </c>
      <c r="C2061" s="83">
        <v>80</v>
      </c>
      <c r="D2061" s="84">
        <v>1020145</v>
      </c>
      <c r="F2061" s="83" t="s">
        <v>103</v>
      </c>
      <c r="G2061" s="83">
        <v>0</v>
      </c>
      <c r="H2061" s="83">
        <v>100</v>
      </c>
      <c r="K2061" s="83" t="s">
        <v>408</v>
      </c>
      <c r="L2061" s="83" t="s">
        <v>101</v>
      </c>
      <c r="M2061" s="83" t="s">
        <v>410</v>
      </c>
      <c r="N2061" s="83" t="s">
        <v>102</v>
      </c>
      <c r="P2061" s="83">
        <v>0</v>
      </c>
      <c r="U2061" s="83">
        <v>4</v>
      </c>
      <c r="V2061" s="83">
        <v>1</v>
      </c>
      <c r="W2061" s="83" t="s">
        <v>103</v>
      </c>
      <c r="X2061" s="83">
        <v>0</v>
      </c>
    </row>
    <row r="2062" spans="1:25" x14ac:dyDescent="0.2">
      <c r="A2062" s="83">
        <v>1</v>
      </c>
      <c r="B2062" s="84">
        <v>5701603308722</v>
      </c>
      <c r="C2062" s="83">
        <v>90</v>
      </c>
      <c r="D2062" s="84">
        <v>777500722</v>
      </c>
      <c r="F2062" s="83" t="s">
        <v>103</v>
      </c>
      <c r="G2062" s="83">
        <v>0</v>
      </c>
      <c r="H2062" s="83">
        <v>100</v>
      </c>
      <c r="K2062" s="83">
        <v>1</v>
      </c>
      <c r="L2062" s="83" t="s">
        <v>101</v>
      </c>
      <c r="M2062" s="83" t="s">
        <v>410</v>
      </c>
      <c r="N2062" s="83" t="s">
        <v>102</v>
      </c>
      <c r="P2062" s="83">
        <v>0</v>
      </c>
      <c r="U2062" s="83">
        <v>4</v>
      </c>
      <c r="V2062" s="83">
        <v>1</v>
      </c>
      <c r="W2062" s="83" t="s">
        <v>103</v>
      </c>
      <c r="X2062" s="83">
        <v>0</v>
      </c>
    </row>
    <row r="2063" spans="1:25" x14ac:dyDescent="0.2">
      <c r="A2063" s="83">
        <v>1</v>
      </c>
      <c r="B2063" s="84">
        <v>5701603309722</v>
      </c>
      <c r="C2063" s="83">
        <v>10</v>
      </c>
      <c r="D2063" s="84">
        <v>5980463309</v>
      </c>
      <c r="F2063" s="83" t="s">
        <v>103</v>
      </c>
      <c r="G2063" s="83">
        <v>0</v>
      </c>
      <c r="H2063" s="83">
        <v>100</v>
      </c>
      <c r="K2063" s="83">
        <v>1</v>
      </c>
      <c r="L2063" s="83" t="s">
        <v>101</v>
      </c>
      <c r="M2063" s="83" t="s">
        <v>410</v>
      </c>
      <c r="N2063" s="83" t="s">
        <v>102</v>
      </c>
      <c r="P2063" s="83">
        <v>0</v>
      </c>
      <c r="U2063" s="83">
        <v>4</v>
      </c>
      <c r="V2063" s="83">
        <v>1</v>
      </c>
      <c r="W2063" s="83" t="s">
        <v>103</v>
      </c>
      <c r="X2063" s="83">
        <v>0</v>
      </c>
      <c r="Y2063" s="83" t="str">
        <f>LEFT(D2063,6)</f>
        <v>598046</v>
      </c>
    </row>
    <row r="2064" spans="1:25" x14ac:dyDescent="0.2">
      <c r="A2064" s="83">
        <v>1</v>
      </c>
      <c r="B2064" s="84">
        <v>5701603309722</v>
      </c>
      <c r="C2064" s="83">
        <v>20</v>
      </c>
      <c r="D2064" s="84">
        <v>5980543309</v>
      </c>
      <c r="F2064" s="83" t="s">
        <v>103</v>
      </c>
      <c r="G2064" s="83">
        <v>0</v>
      </c>
      <c r="H2064" s="83">
        <v>100</v>
      </c>
      <c r="K2064" s="83">
        <v>1</v>
      </c>
      <c r="L2064" s="83" t="s">
        <v>101</v>
      </c>
      <c r="M2064" s="83" t="s">
        <v>410</v>
      </c>
      <c r="N2064" s="83" t="s">
        <v>102</v>
      </c>
      <c r="P2064" s="83">
        <v>0</v>
      </c>
      <c r="U2064" s="83">
        <v>4</v>
      </c>
      <c r="V2064" s="83">
        <v>1</v>
      </c>
      <c r="W2064" s="83" t="s">
        <v>103</v>
      </c>
      <c r="X2064" s="83">
        <v>0</v>
      </c>
    </row>
    <row r="2065" spans="1:25" x14ac:dyDescent="0.2">
      <c r="A2065" s="83">
        <v>1</v>
      </c>
      <c r="B2065" s="84">
        <v>5701603309722</v>
      </c>
      <c r="C2065" s="83">
        <v>30</v>
      </c>
      <c r="D2065" s="84">
        <v>5980623309</v>
      </c>
      <c r="F2065" s="83" t="s">
        <v>103</v>
      </c>
      <c r="G2065" s="83">
        <v>0</v>
      </c>
      <c r="H2065" s="83">
        <v>100</v>
      </c>
      <c r="K2065" s="83">
        <v>1</v>
      </c>
      <c r="L2065" s="83" t="s">
        <v>101</v>
      </c>
      <c r="M2065" s="83" t="s">
        <v>410</v>
      </c>
      <c r="N2065" s="83" t="s">
        <v>102</v>
      </c>
      <c r="P2065" s="83">
        <v>0</v>
      </c>
      <c r="U2065" s="83">
        <v>4</v>
      </c>
      <c r="V2065" s="83">
        <v>1</v>
      </c>
      <c r="W2065" s="83" t="s">
        <v>103</v>
      </c>
      <c r="X2065" s="83">
        <v>0</v>
      </c>
    </row>
    <row r="2066" spans="1:25" x14ac:dyDescent="0.2">
      <c r="A2066" s="83">
        <v>1</v>
      </c>
      <c r="B2066" s="84">
        <v>5701603309722</v>
      </c>
      <c r="C2066" s="83">
        <v>40</v>
      </c>
      <c r="D2066" s="84">
        <v>5980823309</v>
      </c>
      <c r="F2066" s="83" t="s">
        <v>103</v>
      </c>
      <c r="G2066" s="83">
        <v>0</v>
      </c>
      <c r="H2066" s="83">
        <v>100</v>
      </c>
      <c r="K2066" s="83">
        <v>1</v>
      </c>
      <c r="L2066" s="83" t="s">
        <v>101</v>
      </c>
      <c r="M2066" s="83" t="s">
        <v>410</v>
      </c>
      <c r="N2066" s="83" t="s">
        <v>102</v>
      </c>
      <c r="P2066" s="83">
        <v>0</v>
      </c>
      <c r="U2066" s="83">
        <v>4</v>
      </c>
      <c r="V2066" s="83">
        <v>1</v>
      </c>
      <c r="W2066" s="83" t="s">
        <v>103</v>
      </c>
      <c r="X2066" s="83">
        <v>0</v>
      </c>
    </row>
    <row r="2067" spans="1:25" x14ac:dyDescent="0.2">
      <c r="A2067" s="83">
        <v>1</v>
      </c>
      <c r="B2067" s="84">
        <v>5701603309722</v>
      </c>
      <c r="C2067" s="83">
        <v>50</v>
      </c>
      <c r="D2067" s="84">
        <v>5980933309</v>
      </c>
      <c r="F2067" s="83" t="s">
        <v>103</v>
      </c>
      <c r="G2067" s="83">
        <v>0</v>
      </c>
      <c r="H2067" s="83">
        <v>100</v>
      </c>
      <c r="K2067" s="83">
        <v>1</v>
      </c>
      <c r="L2067" s="83" t="s">
        <v>101</v>
      </c>
      <c r="M2067" s="83" t="s">
        <v>410</v>
      </c>
      <c r="N2067" s="83" t="s">
        <v>102</v>
      </c>
      <c r="P2067" s="83">
        <v>0</v>
      </c>
      <c r="U2067" s="83">
        <v>4</v>
      </c>
      <c r="V2067" s="83">
        <v>1</v>
      </c>
      <c r="W2067" s="83" t="s">
        <v>103</v>
      </c>
      <c r="X2067" s="83">
        <v>0</v>
      </c>
    </row>
    <row r="2068" spans="1:25" x14ac:dyDescent="0.2">
      <c r="A2068" s="83">
        <v>1</v>
      </c>
      <c r="B2068" s="84">
        <v>5701603309722</v>
      </c>
      <c r="C2068" s="83">
        <v>60</v>
      </c>
      <c r="D2068" s="84">
        <v>1010286</v>
      </c>
      <c r="F2068" s="83" t="s">
        <v>103</v>
      </c>
      <c r="G2068" s="83">
        <v>0</v>
      </c>
      <c r="H2068" s="83">
        <v>100</v>
      </c>
      <c r="K2068" s="83">
        <v>8</v>
      </c>
      <c r="L2068" s="83" t="s">
        <v>101</v>
      </c>
      <c r="M2068" s="83" t="s">
        <v>410</v>
      </c>
      <c r="N2068" s="83" t="s">
        <v>102</v>
      </c>
      <c r="P2068" s="83">
        <v>0</v>
      </c>
      <c r="U2068" s="83">
        <v>4</v>
      </c>
      <c r="V2068" s="83">
        <v>1</v>
      </c>
      <c r="W2068" s="83" t="s">
        <v>103</v>
      </c>
      <c r="X2068" s="83">
        <v>0</v>
      </c>
    </row>
    <row r="2069" spans="1:25" x14ac:dyDescent="0.2">
      <c r="A2069" s="83">
        <v>1</v>
      </c>
      <c r="B2069" s="84">
        <v>5701603309722</v>
      </c>
      <c r="C2069" s="83">
        <v>70</v>
      </c>
      <c r="D2069" s="84">
        <v>1010287</v>
      </c>
      <c r="F2069" s="83" t="s">
        <v>103</v>
      </c>
      <c r="G2069" s="83">
        <v>0</v>
      </c>
      <c r="H2069" s="83">
        <v>100</v>
      </c>
      <c r="K2069" s="83">
        <v>4</v>
      </c>
      <c r="L2069" s="83" t="s">
        <v>101</v>
      </c>
      <c r="M2069" s="83" t="s">
        <v>410</v>
      </c>
      <c r="N2069" s="83" t="s">
        <v>102</v>
      </c>
      <c r="P2069" s="83">
        <v>0</v>
      </c>
      <c r="U2069" s="83">
        <v>4</v>
      </c>
      <c r="V2069" s="83">
        <v>1</v>
      </c>
      <c r="W2069" s="83" t="s">
        <v>103</v>
      </c>
      <c r="X2069" s="83">
        <v>0</v>
      </c>
    </row>
    <row r="2070" spans="1:25" x14ac:dyDescent="0.2">
      <c r="A2070" s="83">
        <v>1</v>
      </c>
      <c r="B2070" s="84">
        <v>5701603309722</v>
      </c>
      <c r="C2070" s="83">
        <v>80</v>
      </c>
      <c r="D2070" s="84">
        <v>1020145</v>
      </c>
      <c r="F2070" s="83" t="s">
        <v>103</v>
      </c>
      <c r="G2070" s="83">
        <v>0</v>
      </c>
      <c r="H2070" s="83">
        <v>100</v>
      </c>
      <c r="K2070" s="83" t="s">
        <v>408</v>
      </c>
      <c r="L2070" s="83" t="s">
        <v>101</v>
      </c>
      <c r="M2070" s="83" t="s">
        <v>410</v>
      </c>
      <c r="N2070" s="83" t="s">
        <v>102</v>
      </c>
      <c r="P2070" s="83">
        <v>0</v>
      </c>
      <c r="U2070" s="83">
        <v>4</v>
      </c>
      <c r="V2070" s="83">
        <v>1</v>
      </c>
      <c r="W2070" s="83" t="s">
        <v>103</v>
      </c>
      <c r="X2070" s="83">
        <v>0</v>
      </c>
    </row>
    <row r="2071" spans="1:25" x14ac:dyDescent="0.2">
      <c r="A2071" s="83">
        <v>1</v>
      </c>
      <c r="B2071" s="84">
        <v>5701603309722</v>
      </c>
      <c r="C2071" s="83">
        <v>90</v>
      </c>
      <c r="D2071" s="84">
        <v>777500722</v>
      </c>
      <c r="F2071" s="83" t="s">
        <v>103</v>
      </c>
      <c r="G2071" s="83">
        <v>0</v>
      </c>
      <c r="H2071" s="83">
        <v>100</v>
      </c>
      <c r="K2071" s="83">
        <v>1</v>
      </c>
      <c r="L2071" s="83" t="s">
        <v>101</v>
      </c>
      <c r="M2071" s="83" t="s">
        <v>410</v>
      </c>
      <c r="N2071" s="83" t="s">
        <v>102</v>
      </c>
      <c r="P2071" s="83">
        <v>0</v>
      </c>
      <c r="U2071" s="83">
        <v>4</v>
      </c>
      <c r="V2071" s="83">
        <v>1</v>
      </c>
      <c r="W2071" s="83" t="s">
        <v>103</v>
      </c>
      <c r="X2071" s="83">
        <v>0</v>
      </c>
    </row>
    <row r="2072" spans="1:25" x14ac:dyDescent="0.2">
      <c r="A2072" s="83">
        <v>1</v>
      </c>
      <c r="B2072" s="84">
        <v>5701603310722</v>
      </c>
      <c r="C2072" s="83">
        <v>10</v>
      </c>
      <c r="D2072" s="84">
        <v>5980463310</v>
      </c>
      <c r="F2072" s="83" t="s">
        <v>103</v>
      </c>
      <c r="G2072" s="83">
        <v>0</v>
      </c>
      <c r="H2072" s="83">
        <v>100</v>
      </c>
      <c r="K2072" s="83">
        <v>1</v>
      </c>
      <c r="L2072" s="83" t="s">
        <v>101</v>
      </c>
      <c r="M2072" s="83" t="s">
        <v>410</v>
      </c>
      <c r="N2072" s="83" t="s">
        <v>102</v>
      </c>
      <c r="P2072" s="83">
        <v>0</v>
      </c>
      <c r="U2072" s="83">
        <v>4</v>
      </c>
      <c r="V2072" s="83">
        <v>1</v>
      </c>
      <c r="W2072" s="83" t="s">
        <v>103</v>
      </c>
      <c r="X2072" s="83">
        <v>0</v>
      </c>
      <c r="Y2072" s="83" t="str">
        <f>LEFT(D2072,6)</f>
        <v>598046</v>
      </c>
    </row>
    <row r="2073" spans="1:25" x14ac:dyDescent="0.2">
      <c r="A2073" s="83">
        <v>1</v>
      </c>
      <c r="B2073" s="84">
        <v>5701603310722</v>
      </c>
      <c r="C2073" s="83">
        <v>20</v>
      </c>
      <c r="D2073" s="84">
        <v>5980543310</v>
      </c>
      <c r="F2073" s="83" t="s">
        <v>103</v>
      </c>
      <c r="G2073" s="83">
        <v>0</v>
      </c>
      <c r="H2073" s="83">
        <v>100</v>
      </c>
      <c r="K2073" s="83">
        <v>1</v>
      </c>
      <c r="L2073" s="83" t="s">
        <v>101</v>
      </c>
      <c r="M2073" s="83" t="s">
        <v>410</v>
      </c>
      <c r="N2073" s="83" t="s">
        <v>102</v>
      </c>
      <c r="P2073" s="83">
        <v>0</v>
      </c>
      <c r="U2073" s="83">
        <v>4</v>
      </c>
      <c r="V2073" s="83">
        <v>1</v>
      </c>
      <c r="W2073" s="83" t="s">
        <v>103</v>
      </c>
      <c r="X2073" s="83">
        <v>0</v>
      </c>
    </row>
    <row r="2074" spans="1:25" x14ac:dyDescent="0.2">
      <c r="A2074" s="83">
        <v>1</v>
      </c>
      <c r="B2074" s="84">
        <v>5701603310722</v>
      </c>
      <c r="C2074" s="83">
        <v>30</v>
      </c>
      <c r="D2074" s="84">
        <v>5980623310</v>
      </c>
      <c r="F2074" s="83" t="s">
        <v>103</v>
      </c>
      <c r="G2074" s="83">
        <v>0</v>
      </c>
      <c r="H2074" s="83">
        <v>100</v>
      </c>
      <c r="K2074" s="83">
        <v>1</v>
      </c>
      <c r="L2074" s="83" t="s">
        <v>101</v>
      </c>
      <c r="M2074" s="83" t="s">
        <v>410</v>
      </c>
      <c r="N2074" s="83" t="s">
        <v>102</v>
      </c>
      <c r="P2074" s="83">
        <v>0</v>
      </c>
      <c r="U2074" s="83">
        <v>4</v>
      </c>
      <c r="V2074" s="83">
        <v>1</v>
      </c>
      <c r="W2074" s="83" t="s">
        <v>103</v>
      </c>
      <c r="X2074" s="83">
        <v>0</v>
      </c>
    </row>
    <row r="2075" spans="1:25" x14ac:dyDescent="0.2">
      <c r="A2075" s="83">
        <v>1</v>
      </c>
      <c r="B2075" s="84">
        <v>5701603310722</v>
      </c>
      <c r="C2075" s="83">
        <v>40</v>
      </c>
      <c r="D2075" s="84">
        <v>5980823310</v>
      </c>
      <c r="F2075" s="83" t="s">
        <v>103</v>
      </c>
      <c r="G2075" s="83">
        <v>0</v>
      </c>
      <c r="H2075" s="83">
        <v>100</v>
      </c>
      <c r="K2075" s="83">
        <v>1</v>
      </c>
      <c r="L2075" s="83" t="s">
        <v>101</v>
      </c>
      <c r="M2075" s="83" t="s">
        <v>410</v>
      </c>
      <c r="N2075" s="83" t="s">
        <v>102</v>
      </c>
      <c r="P2075" s="83">
        <v>0</v>
      </c>
      <c r="U2075" s="83">
        <v>4</v>
      </c>
      <c r="V2075" s="83">
        <v>1</v>
      </c>
      <c r="W2075" s="83" t="s">
        <v>103</v>
      </c>
      <c r="X2075" s="83">
        <v>0</v>
      </c>
    </row>
    <row r="2076" spans="1:25" x14ac:dyDescent="0.2">
      <c r="A2076" s="83">
        <v>1</v>
      </c>
      <c r="B2076" s="84">
        <v>5701603310722</v>
      </c>
      <c r="C2076" s="83">
        <v>50</v>
      </c>
      <c r="D2076" s="84">
        <v>5980933310</v>
      </c>
      <c r="F2076" s="83" t="s">
        <v>103</v>
      </c>
      <c r="G2076" s="83">
        <v>0</v>
      </c>
      <c r="H2076" s="83">
        <v>100</v>
      </c>
      <c r="K2076" s="83">
        <v>1</v>
      </c>
      <c r="L2076" s="83" t="s">
        <v>101</v>
      </c>
      <c r="M2076" s="83" t="s">
        <v>410</v>
      </c>
      <c r="N2076" s="83" t="s">
        <v>102</v>
      </c>
      <c r="P2076" s="83">
        <v>0</v>
      </c>
      <c r="U2076" s="83">
        <v>4</v>
      </c>
      <c r="V2076" s="83">
        <v>1</v>
      </c>
      <c r="W2076" s="83" t="s">
        <v>103</v>
      </c>
      <c r="X2076" s="83">
        <v>0</v>
      </c>
    </row>
    <row r="2077" spans="1:25" x14ac:dyDescent="0.2">
      <c r="A2077" s="83">
        <v>1</v>
      </c>
      <c r="B2077" s="84">
        <v>5701603310722</v>
      </c>
      <c r="C2077" s="83">
        <v>60</v>
      </c>
      <c r="D2077" s="84">
        <v>1010286</v>
      </c>
      <c r="F2077" s="83" t="s">
        <v>103</v>
      </c>
      <c r="G2077" s="83">
        <v>0</v>
      </c>
      <c r="H2077" s="83">
        <v>100</v>
      </c>
      <c r="K2077" s="83">
        <v>8</v>
      </c>
      <c r="L2077" s="83" t="s">
        <v>101</v>
      </c>
      <c r="M2077" s="83" t="s">
        <v>410</v>
      </c>
      <c r="N2077" s="83" t="s">
        <v>102</v>
      </c>
      <c r="P2077" s="83">
        <v>0</v>
      </c>
      <c r="U2077" s="83">
        <v>4</v>
      </c>
      <c r="V2077" s="83">
        <v>1</v>
      </c>
      <c r="W2077" s="83" t="s">
        <v>103</v>
      </c>
      <c r="X2077" s="83">
        <v>0</v>
      </c>
    </row>
    <row r="2078" spans="1:25" x14ac:dyDescent="0.2">
      <c r="A2078" s="83">
        <v>1</v>
      </c>
      <c r="B2078" s="84">
        <v>5701603310722</v>
      </c>
      <c r="C2078" s="83">
        <v>70</v>
      </c>
      <c r="D2078" s="84">
        <v>1010287</v>
      </c>
      <c r="F2078" s="83" t="s">
        <v>103</v>
      </c>
      <c r="G2078" s="83">
        <v>0</v>
      </c>
      <c r="H2078" s="83">
        <v>100</v>
      </c>
      <c r="K2078" s="83">
        <v>4</v>
      </c>
      <c r="L2078" s="83" t="s">
        <v>101</v>
      </c>
      <c r="M2078" s="83" t="s">
        <v>410</v>
      </c>
      <c r="N2078" s="83" t="s">
        <v>102</v>
      </c>
      <c r="P2078" s="83">
        <v>0</v>
      </c>
      <c r="U2078" s="83">
        <v>4</v>
      </c>
      <c r="V2078" s="83">
        <v>1</v>
      </c>
      <c r="W2078" s="83" t="s">
        <v>103</v>
      </c>
      <c r="X2078" s="83">
        <v>0</v>
      </c>
    </row>
    <row r="2079" spans="1:25" x14ac:dyDescent="0.2">
      <c r="A2079" s="83">
        <v>1</v>
      </c>
      <c r="B2079" s="84">
        <v>5701603310722</v>
      </c>
      <c r="C2079" s="83">
        <v>80</v>
      </c>
      <c r="D2079" s="84">
        <v>1020145</v>
      </c>
      <c r="F2079" s="83" t="s">
        <v>103</v>
      </c>
      <c r="G2079" s="83">
        <v>0</v>
      </c>
      <c r="H2079" s="83">
        <v>100</v>
      </c>
      <c r="K2079" s="83" t="s">
        <v>408</v>
      </c>
      <c r="L2079" s="83" t="s">
        <v>101</v>
      </c>
      <c r="M2079" s="83" t="s">
        <v>410</v>
      </c>
      <c r="N2079" s="83" t="s">
        <v>102</v>
      </c>
      <c r="P2079" s="83">
        <v>0</v>
      </c>
      <c r="U2079" s="83">
        <v>4</v>
      </c>
      <c r="V2079" s="83">
        <v>1</v>
      </c>
      <c r="W2079" s="83" t="s">
        <v>103</v>
      </c>
      <c r="X2079" s="83">
        <v>0</v>
      </c>
    </row>
    <row r="2080" spans="1:25" x14ac:dyDescent="0.2">
      <c r="A2080" s="83">
        <v>1</v>
      </c>
      <c r="B2080" s="84">
        <v>5701603310722</v>
      </c>
      <c r="C2080" s="83">
        <v>90</v>
      </c>
      <c r="D2080" s="84">
        <v>777500722</v>
      </c>
      <c r="F2080" s="83" t="s">
        <v>103</v>
      </c>
      <c r="G2080" s="83">
        <v>0</v>
      </c>
      <c r="H2080" s="83">
        <v>100</v>
      </c>
      <c r="K2080" s="83">
        <v>1</v>
      </c>
      <c r="L2080" s="83" t="s">
        <v>101</v>
      </c>
      <c r="M2080" s="83" t="s">
        <v>410</v>
      </c>
      <c r="N2080" s="83" t="s">
        <v>102</v>
      </c>
      <c r="P2080" s="83">
        <v>0</v>
      </c>
      <c r="U2080" s="83">
        <v>4</v>
      </c>
      <c r="V2080" s="83">
        <v>1</v>
      </c>
      <c r="W2080" s="83" t="s">
        <v>103</v>
      </c>
      <c r="X2080" s="83">
        <v>0</v>
      </c>
    </row>
    <row r="2081" spans="1:25" x14ac:dyDescent="0.2">
      <c r="A2081" s="83">
        <v>1</v>
      </c>
      <c r="B2081" s="84">
        <v>5701603300723</v>
      </c>
      <c r="C2081" s="83">
        <v>10</v>
      </c>
      <c r="D2081" s="84">
        <v>5980463399</v>
      </c>
      <c r="F2081" s="83" t="s">
        <v>103</v>
      </c>
      <c r="G2081" s="83">
        <v>0</v>
      </c>
      <c r="H2081" s="83">
        <v>100</v>
      </c>
      <c r="K2081" s="83">
        <v>1</v>
      </c>
      <c r="L2081" s="83" t="s">
        <v>101</v>
      </c>
      <c r="M2081" s="83" t="s">
        <v>410</v>
      </c>
      <c r="N2081" s="83" t="s">
        <v>102</v>
      </c>
      <c r="P2081" s="83">
        <v>0</v>
      </c>
      <c r="U2081" s="83">
        <v>4</v>
      </c>
      <c r="V2081" s="83">
        <v>1</v>
      </c>
      <c r="W2081" s="83" t="s">
        <v>103</v>
      </c>
      <c r="X2081" s="83">
        <v>0</v>
      </c>
      <c r="Y2081" s="83" t="str">
        <f>LEFT(D2081,6)</f>
        <v>598046</v>
      </c>
    </row>
    <row r="2082" spans="1:25" x14ac:dyDescent="0.2">
      <c r="A2082" s="83">
        <v>1</v>
      </c>
      <c r="B2082" s="84">
        <v>5701603300723</v>
      </c>
      <c r="C2082" s="83">
        <v>20</v>
      </c>
      <c r="D2082" s="84">
        <v>5980543399</v>
      </c>
      <c r="F2082" s="83" t="s">
        <v>103</v>
      </c>
      <c r="G2082" s="83">
        <v>0</v>
      </c>
      <c r="H2082" s="83">
        <v>100</v>
      </c>
      <c r="K2082" s="83">
        <v>1</v>
      </c>
      <c r="L2082" s="83" t="s">
        <v>101</v>
      </c>
      <c r="M2082" s="83" t="s">
        <v>410</v>
      </c>
      <c r="N2082" s="83" t="s">
        <v>102</v>
      </c>
      <c r="P2082" s="83">
        <v>0</v>
      </c>
      <c r="U2082" s="83">
        <v>4</v>
      </c>
      <c r="V2082" s="83">
        <v>1</v>
      </c>
      <c r="W2082" s="83" t="s">
        <v>103</v>
      </c>
      <c r="X2082" s="83">
        <v>0</v>
      </c>
    </row>
    <row r="2083" spans="1:25" x14ac:dyDescent="0.2">
      <c r="A2083" s="83">
        <v>1</v>
      </c>
      <c r="B2083" s="84">
        <v>5701603300723</v>
      </c>
      <c r="C2083" s="83">
        <v>30</v>
      </c>
      <c r="D2083" s="84">
        <v>5980623399</v>
      </c>
      <c r="F2083" s="83" t="s">
        <v>103</v>
      </c>
      <c r="G2083" s="83">
        <v>0</v>
      </c>
      <c r="H2083" s="83">
        <v>100</v>
      </c>
      <c r="K2083" s="83">
        <v>1</v>
      </c>
      <c r="L2083" s="83" t="s">
        <v>101</v>
      </c>
      <c r="M2083" s="83" t="s">
        <v>410</v>
      </c>
      <c r="N2083" s="83" t="s">
        <v>102</v>
      </c>
      <c r="P2083" s="83">
        <v>0</v>
      </c>
      <c r="U2083" s="83">
        <v>4</v>
      </c>
      <c r="V2083" s="83">
        <v>1</v>
      </c>
      <c r="W2083" s="83" t="s">
        <v>103</v>
      </c>
      <c r="X2083" s="83">
        <v>0</v>
      </c>
    </row>
    <row r="2084" spans="1:25" x14ac:dyDescent="0.2">
      <c r="A2084" s="83">
        <v>1</v>
      </c>
      <c r="B2084" s="84">
        <v>5701603300723</v>
      </c>
      <c r="C2084" s="83">
        <v>40</v>
      </c>
      <c r="D2084" s="84">
        <v>5980823399</v>
      </c>
      <c r="F2084" s="83" t="s">
        <v>103</v>
      </c>
      <c r="G2084" s="83">
        <v>0</v>
      </c>
      <c r="H2084" s="83">
        <v>100</v>
      </c>
      <c r="K2084" s="83">
        <v>1</v>
      </c>
      <c r="L2084" s="83" t="s">
        <v>101</v>
      </c>
      <c r="M2084" s="83" t="s">
        <v>410</v>
      </c>
      <c r="N2084" s="83" t="s">
        <v>102</v>
      </c>
      <c r="P2084" s="83">
        <v>0</v>
      </c>
      <c r="U2084" s="83">
        <v>4</v>
      </c>
      <c r="V2084" s="83">
        <v>1</v>
      </c>
      <c r="W2084" s="83" t="s">
        <v>103</v>
      </c>
      <c r="X2084" s="83">
        <v>0</v>
      </c>
    </row>
    <row r="2085" spans="1:25" x14ac:dyDescent="0.2">
      <c r="A2085" s="83">
        <v>1</v>
      </c>
      <c r="B2085" s="84">
        <v>5701603300723</v>
      </c>
      <c r="C2085" s="83">
        <v>50</v>
      </c>
      <c r="D2085" s="85">
        <v>1010277</v>
      </c>
      <c r="F2085" s="83" t="s">
        <v>103</v>
      </c>
      <c r="G2085" s="83">
        <v>0</v>
      </c>
      <c r="H2085" s="83">
        <v>100</v>
      </c>
      <c r="K2085" s="83">
        <v>1</v>
      </c>
      <c r="L2085" s="83" t="s">
        <v>101</v>
      </c>
      <c r="M2085" s="83" t="s">
        <v>410</v>
      </c>
      <c r="N2085" s="83" t="s">
        <v>102</v>
      </c>
      <c r="P2085" s="83">
        <v>0</v>
      </c>
      <c r="U2085" s="83">
        <v>4</v>
      </c>
      <c r="V2085" s="83">
        <v>1</v>
      </c>
      <c r="W2085" s="83" t="s">
        <v>103</v>
      </c>
      <c r="X2085" s="83">
        <v>0</v>
      </c>
    </row>
    <row r="2086" spans="1:25" x14ac:dyDescent="0.2">
      <c r="A2086" s="83">
        <v>1</v>
      </c>
      <c r="B2086" s="84">
        <v>5701603300723</v>
      </c>
      <c r="C2086" s="83">
        <v>60</v>
      </c>
      <c r="D2086" s="84">
        <v>1010286</v>
      </c>
      <c r="F2086" s="83" t="s">
        <v>103</v>
      </c>
      <c r="G2086" s="83">
        <v>0</v>
      </c>
      <c r="H2086" s="83">
        <v>100</v>
      </c>
      <c r="K2086" s="83">
        <v>8</v>
      </c>
      <c r="L2086" s="83" t="s">
        <v>101</v>
      </c>
      <c r="M2086" s="83" t="s">
        <v>410</v>
      </c>
      <c r="N2086" s="83" t="s">
        <v>102</v>
      </c>
      <c r="P2086" s="83">
        <v>0</v>
      </c>
      <c r="U2086" s="83">
        <v>4</v>
      </c>
      <c r="V2086" s="83">
        <v>1</v>
      </c>
      <c r="W2086" s="83" t="s">
        <v>103</v>
      </c>
      <c r="X2086" s="83">
        <v>0</v>
      </c>
    </row>
    <row r="2087" spans="1:25" x14ac:dyDescent="0.2">
      <c r="A2087" s="83">
        <v>1</v>
      </c>
      <c r="B2087" s="84">
        <v>5701603300723</v>
      </c>
      <c r="C2087" s="83">
        <v>70</v>
      </c>
      <c r="D2087" s="84">
        <v>1010287</v>
      </c>
      <c r="F2087" s="83" t="s">
        <v>103</v>
      </c>
      <c r="G2087" s="83">
        <v>0</v>
      </c>
      <c r="H2087" s="83">
        <v>100</v>
      </c>
      <c r="K2087" s="83">
        <v>4</v>
      </c>
      <c r="L2087" s="83" t="s">
        <v>101</v>
      </c>
      <c r="M2087" s="83" t="s">
        <v>410</v>
      </c>
      <c r="N2087" s="83" t="s">
        <v>102</v>
      </c>
      <c r="P2087" s="83">
        <v>0</v>
      </c>
      <c r="U2087" s="83">
        <v>4</v>
      </c>
      <c r="V2087" s="83">
        <v>1</v>
      </c>
      <c r="W2087" s="83" t="s">
        <v>103</v>
      </c>
      <c r="X2087" s="83">
        <v>0</v>
      </c>
    </row>
    <row r="2088" spans="1:25" x14ac:dyDescent="0.2">
      <c r="A2088" s="83">
        <v>1</v>
      </c>
      <c r="B2088" s="84">
        <v>5701603300723</v>
      </c>
      <c r="C2088" s="83">
        <v>80</v>
      </c>
      <c r="D2088" s="84">
        <v>1020145</v>
      </c>
      <c r="F2088" s="83" t="s">
        <v>103</v>
      </c>
      <c r="G2088" s="83">
        <v>0</v>
      </c>
      <c r="H2088" s="83">
        <v>100</v>
      </c>
      <c r="K2088" s="83" t="s">
        <v>408</v>
      </c>
      <c r="L2088" s="83" t="s">
        <v>101</v>
      </c>
      <c r="M2088" s="83" t="s">
        <v>410</v>
      </c>
      <c r="N2088" s="83" t="s">
        <v>102</v>
      </c>
      <c r="P2088" s="83">
        <v>0</v>
      </c>
      <c r="U2088" s="83">
        <v>4</v>
      </c>
      <c r="V2088" s="83">
        <v>1</v>
      </c>
      <c r="W2088" s="83" t="s">
        <v>103</v>
      </c>
      <c r="X2088" s="83">
        <v>0</v>
      </c>
    </row>
    <row r="2089" spans="1:25" x14ac:dyDescent="0.2">
      <c r="A2089" s="83">
        <v>1</v>
      </c>
      <c r="B2089" s="84">
        <v>5701603300723</v>
      </c>
      <c r="C2089" s="83">
        <v>90</v>
      </c>
      <c r="D2089" s="84">
        <v>777500723</v>
      </c>
      <c r="F2089" s="83" t="s">
        <v>103</v>
      </c>
      <c r="G2089" s="83">
        <v>0</v>
      </c>
      <c r="H2089" s="83">
        <v>100</v>
      </c>
      <c r="K2089" s="83">
        <v>1</v>
      </c>
      <c r="L2089" s="83" t="s">
        <v>101</v>
      </c>
      <c r="M2089" s="83" t="s">
        <v>410</v>
      </c>
      <c r="N2089" s="83" t="s">
        <v>102</v>
      </c>
      <c r="P2089" s="83">
        <v>0</v>
      </c>
      <c r="U2089" s="83">
        <v>4</v>
      </c>
      <c r="V2089" s="83">
        <v>1</v>
      </c>
      <c r="W2089" s="83" t="s">
        <v>103</v>
      </c>
      <c r="X2089" s="83">
        <v>0</v>
      </c>
    </row>
    <row r="2090" spans="1:25" x14ac:dyDescent="0.2">
      <c r="A2090" s="83">
        <v>1</v>
      </c>
      <c r="B2090" s="84">
        <v>5701603301723</v>
      </c>
      <c r="C2090" s="83">
        <v>10</v>
      </c>
      <c r="D2090" s="84">
        <v>5980463301</v>
      </c>
      <c r="F2090" s="83" t="s">
        <v>103</v>
      </c>
      <c r="G2090" s="83">
        <v>0</v>
      </c>
      <c r="H2090" s="83">
        <v>100</v>
      </c>
      <c r="K2090" s="83">
        <v>1</v>
      </c>
      <c r="L2090" s="83" t="s">
        <v>101</v>
      </c>
      <c r="M2090" s="83" t="s">
        <v>410</v>
      </c>
      <c r="N2090" s="83" t="s">
        <v>102</v>
      </c>
      <c r="P2090" s="83">
        <v>0</v>
      </c>
      <c r="U2090" s="83">
        <v>4</v>
      </c>
      <c r="V2090" s="83">
        <v>1</v>
      </c>
      <c r="W2090" s="83" t="s">
        <v>103</v>
      </c>
      <c r="X2090" s="83">
        <v>0</v>
      </c>
      <c r="Y2090" s="83" t="str">
        <f>LEFT(D2090,6)</f>
        <v>598046</v>
      </c>
    </row>
    <row r="2091" spans="1:25" x14ac:dyDescent="0.2">
      <c r="A2091" s="83">
        <v>1</v>
      </c>
      <c r="B2091" s="84">
        <v>5701603301723</v>
      </c>
      <c r="C2091" s="83">
        <v>20</v>
      </c>
      <c r="D2091" s="84">
        <v>5980543301</v>
      </c>
      <c r="F2091" s="83" t="s">
        <v>103</v>
      </c>
      <c r="G2091" s="83">
        <v>0</v>
      </c>
      <c r="H2091" s="83">
        <v>100</v>
      </c>
      <c r="K2091" s="83">
        <v>1</v>
      </c>
      <c r="L2091" s="83" t="s">
        <v>101</v>
      </c>
      <c r="M2091" s="83" t="s">
        <v>410</v>
      </c>
      <c r="N2091" s="83" t="s">
        <v>102</v>
      </c>
      <c r="P2091" s="83">
        <v>0</v>
      </c>
      <c r="U2091" s="83">
        <v>4</v>
      </c>
      <c r="V2091" s="83">
        <v>1</v>
      </c>
      <c r="W2091" s="83" t="s">
        <v>103</v>
      </c>
      <c r="X2091" s="83">
        <v>0</v>
      </c>
    </row>
    <row r="2092" spans="1:25" x14ac:dyDescent="0.2">
      <c r="A2092" s="83">
        <v>1</v>
      </c>
      <c r="B2092" s="84">
        <v>5701603301723</v>
      </c>
      <c r="C2092" s="83">
        <v>30</v>
      </c>
      <c r="D2092" s="84">
        <v>5980623301</v>
      </c>
      <c r="F2092" s="83" t="s">
        <v>103</v>
      </c>
      <c r="G2092" s="83">
        <v>0</v>
      </c>
      <c r="H2092" s="83">
        <v>100</v>
      </c>
      <c r="K2092" s="83">
        <v>1</v>
      </c>
      <c r="L2092" s="83" t="s">
        <v>101</v>
      </c>
      <c r="M2092" s="83" t="s">
        <v>410</v>
      </c>
      <c r="N2092" s="83" t="s">
        <v>102</v>
      </c>
      <c r="P2092" s="83">
        <v>0</v>
      </c>
      <c r="U2092" s="83">
        <v>4</v>
      </c>
      <c r="V2092" s="83">
        <v>1</v>
      </c>
      <c r="W2092" s="83" t="s">
        <v>103</v>
      </c>
      <c r="X2092" s="83">
        <v>0</v>
      </c>
    </row>
    <row r="2093" spans="1:25" x14ac:dyDescent="0.2">
      <c r="A2093" s="83">
        <v>1</v>
      </c>
      <c r="B2093" s="84">
        <v>5701603301723</v>
      </c>
      <c r="C2093" s="83">
        <v>40</v>
      </c>
      <c r="D2093" s="84">
        <v>5980823301</v>
      </c>
      <c r="F2093" s="83" t="s">
        <v>103</v>
      </c>
      <c r="G2093" s="83">
        <v>0</v>
      </c>
      <c r="H2093" s="83">
        <v>100</v>
      </c>
      <c r="K2093" s="83">
        <v>1</v>
      </c>
      <c r="L2093" s="83" t="s">
        <v>101</v>
      </c>
      <c r="M2093" s="83" t="s">
        <v>410</v>
      </c>
      <c r="N2093" s="83" t="s">
        <v>102</v>
      </c>
      <c r="P2093" s="83">
        <v>0</v>
      </c>
      <c r="U2093" s="83">
        <v>4</v>
      </c>
      <c r="V2093" s="83">
        <v>1</v>
      </c>
      <c r="W2093" s="83" t="s">
        <v>103</v>
      </c>
      <c r="X2093" s="83">
        <v>0</v>
      </c>
    </row>
    <row r="2094" spans="1:25" x14ac:dyDescent="0.2">
      <c r="A2094" s="83">
        <v>1</v>
      </c>
      <c r="B2094" s="84">
        <v>5701603301723</v>
      </c>
      <c r="C2094" s="83">
        <v>50</v>
      </c>
      <c r="D2094" s="84">
        <v>5980933301</v>
      </c>
      <c r="F2094" s="83" t="s">
        <v>103</v>
      </c>
      <c r="G2094" s="83">
        <v>0</v>
      </c>
      <c r="H2094" s="83">
        <v>100</v>
      </c>
      <c r="K2094" s="83">
        <v>1</v>
      </c>
      <c r="L2094" s="83" t="s">
        <v>101</v>
      </c>
      <c r="M2094" s="83" t="s">
        <v>410</v>
      </c>
      <c r="N2094" s="83" t="s">
        <v>102</v>
      </c>
      <c r="P2094" s="83">
        <v>0</v>
      </c>
      <c r="U2094" s="83">
        <v>4</v>
      </c>
      <c r="V2094" s="83">
        <v>1</v>
      </c>
      <c r="W2094" s="83" t="s">
        <v>103</v>
      </c>
      <c r="X2094" s="83">
        <v>0</v>
      </c>
    </row>
    <row r="2095" spans="1:25" x14ac:dyDescent="0.2">
      <c r="A2095" s="83">
        <v>1</v>
      </c>
      <c r="B2095" s="84">
        <v>5701603301723</v>
      </c>
      <c r="C2095" s="83">
        <v>60</v>
      </c>
      <c r="D2095" s="84">
        <v>1010286</v>
      </c>
      <c r="F2095" s="83" t="s">
        <v>103</v>
      </c>
      <c r="G2095" s="83">
        <v>0</v>
      </c>
      <c r="H2095" s="83">
        <v>100</v>
      </c>
      <c r="K2095" s="83">
        <v>8</v>
      </c>
      <c r="L2095" s="83" t="s">
        <v>101</v>
      </c>
      <c r="M2095" s="83" t="s">
        <v>410</v>
      </c>
      <c r="N2095" s="83" t="s">
        <v>102</v>
      </c>
      <c r="P2095" s="83">
        <v>0</v>
      </c>
      <c r="U2095" s="83">
        <v>4</v>
      </c>
      <c r="V2095" s="83">
        <v>1</v>
      </c>
      <c r="W2095" s="83" t="s">
        <v>103</v>
      </c>
      <c r="X2095" s="83">
        <v>0</v>
      </c>
    </row>
    <row r="2096" spans="1:25" x14ac:dyDescent="0.2">
      <c r="A2096" s="83">
        <v>1</v>
      </c>
      <c r="B2096" s="84">
        <v>5701603301723</v>
      </c>
      <c r="C2096" s="83">
        <v>70</v>
      </c>
      <c r="D2096" s="84">
        <v>1010287</v>
      </c>
      <c r="F2096" s="83" t="s">
        <v>103</v>
      </c>
      <c r="G2096" s="83">
        <v>0</v>
      </c>
      <c r="H2096" s="83">
        <v>100</v>
      </c>
      <c r="K2096" s="83">
        <v>4</v>
      </c>
      <c r="L2096" s="83" t="s">
        <v>101</v>
      </c>
      <c r="M2096" s="83" t="s">
        <v>410</v>
      </c>
      <c r="N2096" s="83" t="s">
        <v>102</v>
      </c>
      <c r="P2096" s="83">
        <v>0</v>
      </c>
      <c r="U2096" s="83">
        <v>4</v>
      </c>
      <c r="V2096" s="83">
        <v>1</v>
      </c>
      <c r="W2096" s="83" t="s">
        <v>103</v>
      </c>
      <c r="X2096" s="83">
        <v>0</v>
      </c>
    </row>
    <row r="2097" spans="1:25" x14ac:dyDescent="0.2">
      <c r="A2097" s="83">
        <v>1</v>
      </c>
      <c r="B2097" s="84">
        <v>5701603301723</v>
      </c>
      <c r="C2097" s="83">
        <v>80</v>
      </c>
      <c r="D2097" s="84">
        <v>1020145</v>
      </c>
      <c r="F2097" s="83" t="s">
        <v>103</v>
      </c>
      <c r="G2097" s="83">
        <v>0</v>
      </c>
      <c r="H2097" s="83">
        <v>100</v>
      </c>
      <c r="K2097" s="83" t="s">
        <v>408</v>
      </c>
      <c r="L2097" s="83" t="s">
        <v>101</v>
      </c>
      <c r="M2097" s="83" t="s">
        <v>410</v>
      </c>
      <c r="N2097" s="83" t="s">
        <v>102</v>
      </c>
      <c r="P2097" s="83">
        <v>0</v>
      </c>
      <c r="U2097" s="83">
        <v>4</v>
      </c>
      <c r="V2097" s="83">
        <v>1</v>
      </c>
      <c r="W2097" s="83" t="s">
        <v>103</v>
      </c>
      <c r="X2097" s="83">
        <v>0</v>
      </c>
    </row>
    <row r="2098" spans="1:25" x14ac:dyDescent="0.2">
      <c r="A2098" s="83">
        <v>1</v>
      </c>
      <c r="B2098" s="84">
        <v>5701603301723</v>
      </c>
      <c r="C2098" s="83">
        <v>90</v>
      </c>
      <c r="D2098" s="84">
        <v>777500723</v>
      </c>
      <c r="F2098" s="83" t="s">
        <v>103</v>
      </c>
      <c r="G2098" s="83">
        <v>0</v>
      </c>
      <c r="H2098" s="83">
        <v>100</v>
      </c>
      <c r="K2098" s="83">
        <v>1</v>
      </c>
      <c r="L2098" s="83" t="s">
        <v>101</v>
      </c>
      <c r="M2098" s="83" t="s">
        <v>410</v>
      </c>
      <c r="N2098" s="83" t="s">
        <v>102</v>
      </c>
      <c r="P2098" s="83">
        <v>0</v>
      </c>
      <c r="U2098" s="83">
        <v>4</v>
      </c>
      <c r="V2098" s="83">
        <v>1</v>
      </c>
      <c r="W2098" s="83" t="s">
        <v>103</v>
      </c>
      <c r="X2098" s="83">
        <v>0</v>
      </c>
    </row>
    <row r="2099" spans="1:25" x14ac:dyDescent="0.2">
      <c r="A2099" s="83">
        <v>1</v>
      </c>
      <c r="B2099" s="84">
        <v>5701603302723</v>
      </c>
      <c r="C2099" s="83">
        <v>10</v>
      </c>
      <c r="D2099" s="84">
        <v>5980463302</v>
      </c>
      <c r="F2099" s="83" t="s">
        <v>103</v>
      </c>
      <c r="G2099" s="83">
        <v>0</v>
      </c>
      <c r="H2099" s="83">
        <v>100</v>
      </c>
      <c r="K2099" s="83">
        <v>1</v>
      </c>
      <c r="L2099" s="83" t="s">
        <v>101</v>
      </c>
      <c r="M2099" s="83" t="s">
        <v>410</v>
      </c>
      <c r="N2099" s="83" t="s">
        <v>102</v>
      </c>
      <c r="P2099" s="83">
        <v>0</v>
      </c>
      <c r="U2099" s="83">
        <v>4</v>
      </c>
      <c r="V2099" s="83">
        <v>1</v>
      </c>
      <c r="W2099" s="83" t="s">
        <v>103</v>
      </c>
      <c r="X2099" s="83">
        <v>0</v>
      </c>
      <c r="Y2099" s="83" t="str">
        <f>LEFT(D2099,6)</f>
        <v>598046</v>
      </c>
    </row>
    <row r="2100" spans="1:25" x14ac:dyDescent="0.2">
      <c r="A2100" s="83">
        <v>1</v>
      </c>
      <c r="B2100" s="84">
        <v>5701603302723</v>
      </c>
      <c r="C2100" s="83">
        <v>20</v>
      </c>
      <c r="D2100" s="84">
        <v>5980543302</v>
      </c>
      <c r="F2100" s="83" t="s">
        <v>103</v>
      </c>
      <c r="G2100" s="83">
        <v>0</v>
      </c>
      <c r="H2100" s="83">
        <v>100</v>
      </c>
      <c r="K2100" s="83">
        <v>1</v>
      </c>
      <c r="L2100" s="83" t="s">
        <v>101</v>
      </c>
      <c r="M2100" s="83" t="s">
        <v>410</v>
      </c>
      <c r="N2100" s="83" t="s">
        <v>102</v>
      </c>
      <c r="P2100" s="83">
        <v>0</v>
      </c>
      <c r="U2100" s="83">
        <v>4</v>
      </c>
      <c r="V2100" s="83">
        <v>1</v>
      </c>
      <c r="W2100" s="83" t="s">
        <v>103</v>
      </c>
      <c r="X2100" s="83">
        <v>0</v>
      </c>
    </row>
    <row r="2101" spans="1:25" x14ac:dyDescent="0.2">
      <c r="A2101" s="83">
        <v>1</v>
      </c>
      <c r="B2101" s="84">
        <v>5701603302723</v>
      </c>
      <c r="C2101" s="83">
        <v>30</v>
      </c>
      <c r="D2101" s="84">
        <v>5980623302</v>
      </c>
      <c r="F2101" s="83" t="s">
        <v>103</v>
      </c>
      <c r="G2101" s="83">
        <v>0</v>
      </c>
      <c r="H2101" s="83">
        <v>100</v>
      </c>
      <c r="K2101" s="83">
        <v>1</v>
      </c>
      <c r="L2101" s="83" t="s">
        <v>101</v>
      </c>
      <c r="M2101" s="83" t="s">
        <v>410</v>
      </c>
      <c r="N2101" s="83" t="s">
        <v>102</v>
      </c>
      <c r="P2101" s="83">
        <v>0</v>
      </c>
      <c r="U2101" s="83">
        <v>4</v>
      </c>
      <c r="V2101" s="83">
        <v>1</v>
      </c>
      <c r="W2101" s="83" t="s">
        <v>103</v>
      </c>
      <c r="X2101" s="83">
        <v>0</v>
      </c>
    </row>
    <row r="2102" spans="1:25" x14ac:dyDescent="0.2">
      <c r="A2102" s="83">
        <v>1</v>
      </c>
      <c r="B2102" s="84">
        <v>5701603302723</v>
      </c>
      <c r="C2102" s="83">
        <v>40</v>
      </c>
      <c r="D2102" s="84">
        <v>5980823302</v>
      </c>
      <c r="F2102" s="83" t="s">
        <v>103</v>
      </c>
      <c r="G2102" s="83">
        <v>0</v>
      </c>
      <c r="H2102" s="83">
        <v>100</v>
      </c>
      <c r="K2102" s="83">
        <v>1</v>
      </c>
      <c r="L2102" s="83" t="s">
        <v>101</v>
      </c>
      <c r="M2102" s="83" t="s">
        <v>410</v>
      </c>
      <c r="N2102" s="83" t="s">
        <v>102</v>
      </c>
      <c r="P2102" s="83">
        <v>0</v>
      </c>
      <c r="U2102" s="83">
        <v>4</v>
      </c>
      <c r="V2102" s="83">
        <v>1</v>
      </c>
      <c r="W2102" s="83" t="s">
        <v>103</v>
      </c>
      <c r="X2102" s="83">
        <v>0</v>
      </c>
    </row>
    <row r="2103" spans="1:25" x14ac:dyDescent="0.2">
      <c r="A2103" s="83">
        <v>1</v>
      </c>
      <c r="B2103" s="84">
        <v>5701603302723</v>
      </c>
      <c r="C2103" s="83">
        <v>50</v>
      </c>
      <c r="D2103" s="84">
        <v>5980933302</v>
      </c>
      <c r="F2103" s="83" t="s">
        <v>103</v>
      </c>
      <c r="G2103" s="83">
        <v>0</v>
      </c>
      <c r="H2103" s="83">
        <v>100</v>
      </c>
      <c r="K2103" s="83">
        <v>1</v>
      </c>
      <c r="L2103" s="83" t="s">
        <v>101</v>
      </c>
      <c r="M2103" s="83" t="s">
        <v>410</v>
      </c>
      <c r="N2103" s="83" t="s">
        <v>102</v>
      </c>
      <c r="P2103" s="83">
        <v>0</v>
      </c>
      <c r="U2103" s="83">
        <v>4</v>
      </c>
      <c r="V2103" s="83">
        <v>1</v>
      </c>
      <c r="W2103" s="83" t="s">
        <v>103</v>
      </c>
      <c r="X2103" s="83">
        <v>0</v>
      </c>
    </row>
    <row r="2104" spans="1:25" x14ac:dyDescent="0.2">
      <c r="A2104" s="83">
        <v>1</v>
      </c>
      <c r="B2104" s="84">
        <v>5701603302723</v>
      </c>
      <c r="C2104" s="83">
        <v>60</v>
      </c>
      <c r="D2104" s="84">
        <v>1010286</v>
      </c>
      <c r="F2104" s="83" t="s">
        <v>103</v>
      </c>
      <c r="G2104" s="83">
        <v>0</v>
      </c>
      <c r="H2104" s="83">
        <v>100</v>
      </c>
      <c r="K2104" s="83">
        <v>8</v>
      </c>
      <c r="L2104" s="83" t="s">
        <v>101</v>
      </c>
      <c r="M2104" s="83" t="s">
        <v>410</v>
      </c>
      <c r="N2104" s="83" t="s">
        <v>102</v>
      </c>
      <c r="P2104" s="83">
        <v>0</v>
      </c>
      <c r="U2104" s="83">
        <v>4</v>
      </c>
      <c r="V2104" s="83">
        <v>1</v>
      </c>
      <c r="W2104" s="83" t="s">
        <v>103</v>
      </c>
      <c r="X2104" s="83">
        <v>0</v>
      </c>
    </row>
    <row r="2105" spans="1:25" x14ac:dyDescent="0.2">
      <c r="A2105" s="83">
        <v>1</v>
      </c>
      <c r="B2105" s="84">
        <v>5701603302723</v>
      </c>
      <c r="C2105" s="83">
        <v>70</v>
      </c>
      <c r="D2105" s="84">
        <v>1010288</v>
      </c>
      <c r="F2105" s="83" t="s">
        <v>103</v>
      </c>
      <c r="G2105" s="83">
        <v>0</v>
      </c>
      <c r="H2105" s="83">
        <v>100</v>
      </c>
      <c r="K2105" s="83">
        <v>4</v>
      </c>
      <c r="L2105" s="83" t="s">
        <v>101</v>
      </c>
      <c r="M2105" s="83" t="s">
        <v>410</v>
      </c>
      <c r="N2105" s="83" t="s">
        <v>102</v>
      </c>
      <c r="P2105" s="83">
        <v>0</v>
      </c>
      <c r="U2105" s="83">
        <v>4</v>
      </c>
      <c r="V2105" s="83">
        <v>1</v>
      </c>
      <c r="W2105" s="83" t="s">
        <v>103</v>
      </c>
      <c r="X2105" s="83">
        <v>0</v>
      </c>
    </row>
    <row r="2106" spans="1:25" x14ac:dyDescent="0.2">
      <c r="A2106" s="83">
        <v>1</v>
      </c>
      <c r="B2106" s="84">
        <v>5701603302723</v>
      </c>
      <c r="C2106" s="83">
        <v>80</v>
      </c>
      <c r="D2106" s="84">
        <v>1020145</v>
      </c>
      <c r="F2106" s="83" t="s">
        <v>103</v>
      </c>
      <c r="G2106" s="83">
        <v>0</v>
      </c>
      <c r="H2106" s="83">
        <v>100</v>
      </c>
      <c r="K2106" s="83" t="s">
        <v>408</v>
      </c>
      <c r="L2106" s="83" t="s">
        <v>101</v>
      </c>
      <c r="M2106" s="83" t="s">
        <v>410</v>
      </c>
      <c r="N2106" s="83" t="s">
        <v>102</v>
      </c>
      <c r="P2106" s="83">
        <v>0</v>
      </c>
      <c r="U2106" s="83">
        <v>4</v>
      </c>
      <c r="V2106" s="83">
        <v>1</v>
      </c>
      <c r="W2106" s="83" t="s">
        <v>103</v>
      </c>
      <c r="X2106" s="83">
        <v>0</v>
      </c>
    </row>
    <row r="2107" spans="1:25" x14ac:dyDescent="0.2">
      <c r="A2107" s="83">
        <v>1</v>
      </c>
      <c r="B2107" s="84">
        <v>5701603302723</v>
      </c>
      <c r="C2107" s="83">
        <v>90</v>
      </c>
      <c r="D2107" s="84">
        <v>777500723</v>
      </c>
      <c r="F2107" s="83" t="s">
        <v>103</v>
      </c>
      <c r="G2107" s="83">
        <v>0</v>
      </c>
      <c r="H2107" s="83">
        <v>100</v>
      </c>
      <c r="K2107" s="83">
        <v>1</v>
      </c>
      <c r="L2107" s="83" t="s">
        <v>101</v>
      </c>
      <c r="M2107" s="83" t="s">
        <v>410</v>
      </c>
      <c r="N2107" s="83" t="s">
        <v>102</v>
      </c>
      <c r="P2107" s="83">
        <v>0</v>
      </c>
      <c r="U2107" s="83">
        <v>4</v>
      </c>
      <c r="V2107" s="83">
        <v>1</v>
      </c>
      <c r="W2107" s="83" t="s">
        <v>103</v>
      </c>
      <c r="X2107" s="83">
        <v>0</v>
      </c>
    </row>
    <row r="2108" spans="1:25" x14ac:dyDescent="0.2">
      <c r="A2108" s="83">
        <v>1</v>
      </c>
      <c r="B2108" s="84">
        <v>5701603303723</v>
      </c>
      <c r="C2108" s="83">
        <v>10</v>
      </c>
      <c r="D2108" s="84">
        <v>5980463303</v>
      </c>
      <c r="F2108" s="83" t="s">
        <v>103</v>
      </c>
      <c r="G2108" s="83">
        <v>0</v>
      </c>
      <c r="H2108" s="83">
        <v>100</v>
      </c>
      <c r="K2108" s="83">
        <v>1</v>
      </c>
      <c r="L2108" s="83" t="s">
        <v>101</v>
      </c>
      <c r="M2108" s="83" t="s">
        <v>410</v>
      </c>
      <c r="N2108" s="83" t="s">
        <v>102</v>
      </c>
      <c r="P2108" s="83">
        <v>0</v>
      </c>
      <c r="U2108" s="83">
        <v>4</v>
      </c>
      <c r="V2108" s="83">
        <v>1</v>
      </c>
      <c r="W2108" s="83" t="s">
        <v>103</v>
      </c>
      <c r="X2108" s="83">
        <v>0</v>
      </c>
      <c r="Y2108" s="83" t="str">
        <f>LEFT(D2108,6)</f>
        <v>598046</v>
      </c>
    </row>
    <row r="2109" spans="1:25" x14ac:dyDescent="0.2">
      <c r="A2109" s="83">
        <v>1</v>
      </c>
      <c r="B2109" s="84">
        <v>5701603303723</v>
      </c>
      <c r="C2109" s="83">
        <v>20</v>
      </c>
      <c r="D2109" s="84">
        <v>5980543303</v>
      </c>
      <c r="F2109" s="83" t="s">
        <v>103</v>
      </c>
      <c r="G2109" s="83">
        <v>0</v>
      </c>
      <c r="H2109" s="83">
        <v>100</v>
      </c>
      <c r="K2109" s="83">
        <v>1</v>
      </c>
      <c r="L2109" s="83" t="s">
        <v>101</v>
      </c>
      <c r="M2109" s="83" t="s">
        <v>410</v>
      </c>
      <c r="N2109" s="83" t="s">
        <v>102</v>
      </c>
      <c r="P2109" s="83">
        <v>0</v>
      </c>
      <c r="U2109" s="83">
        <v>4</v>
      </c>
      <c r="V2109" s="83">
        <v>1</v>
      </c>
      <c r="W2109" s="83" t="s">
        <v>103</v>
      </c>
      <c r="X2109" s="83">
        <v>0</v>
      </c>
    </row>
    <row r="2110" spans="1:25" x14ac:dyDescent="0.2">
      <c r="A2110" s="83">
        <v>1</v>
      </c>
      <c r="B2110" s="84">
        <v>5701603303723</v>
      </c>
      <c r="C2110" s="83">
        <v>30</v>
      </c>
      <c r="D2110" s="84">
        <v>5980623303</v>
      </c>
      <c r="F2110" s="83" t="s">
        <v>103</v>
      </c>
      <c r="G2110" s="83">
        <v>0</v>
      </c>
      <c r="H2110" s="83">
        <v>100</v>
      </c>
      <c r="K2110" s="83">
        <v>1</v>
      </c>
      <c r="L2110" s="83" t="s">
        <v>101</v>
      </c>
      <c r="M2110" s="83" t="s">
        <v>410</v>
      </c>
      <c r="N2110" s="83" t="s">
        <v>102</v>
      </c>
      <c r="P2110" s="83">
        <v>0</v>
      </c>
      <c r="U2110" s="83">
        <v>4</v>
      </c>
      <c r="V2110" s="83">
        <v>1</v>
      </c>
      <c r="W2110" s="83" t="s">
        <v>103</v>
      </c>
      <c r="X2110" s="83">
        <v>0</v>
      </c>
    </row>
    <row r="2111" spans="1:25" x14ac:dyDescent="0.2">
      <c r="A2111" s="83">
        <v>1</v>
      </c>
      <c r="B2111" s="84">
        <v>5701603303723</v>
      </c>
      <c r="C2111" s="83">
        <v>40</v>
      </c>
      <c r="D2111" s="84">
        <v>5980823303</v>
      </c>
      <c r="F2111" s="83" t="s">
        <v>103</v>
      </c>
      <c r="G2111" s="83">
        <v>0</v>
      </c>
      <c r="H2111" s="83">
        <v>100</v>
      </c>
      <c r="K2111" s="83">
        <v>1</v>
      </c>
      <c r="L2111" s="83" t="s">
        <v>101</v>
      </c>
      <c r="M2111" s="83" t="s">
        <v>410</v>
      </c>
      <c r="N2111" s="83" t="s">
        <v>102</v>
      </c>
      <c r="P2111" s="83">
        <v>0</v>
      </c>
      <c r="U2111" s="83">
        <v>4</v>
      </c>
      <c r="V2111" s="83">
        <v>1</v>
      </c>
      <c r="W2111" s="83" t="s">
        <v>103</v>
      </c>
      <c r="X2111" s="83">
        <v>0</v>
      </c>
    </row>
    <row r="2112" spans="1:25" x14ac:dyDescent="0.2">
      <c r="A2112" s="83">
        <v>1</v>
      </c>
      <c r="B2112" s="84">
        <v>5701603303723</v>
      </c>
      <c r="C2112" s="83">
        <v>50</v>
      </c>
      <c r="D2112" s="84">
        <v>5980933303</v>
      </c>
      <c r="F2112" s="83" t="s">
        <v>103</v>
      </c>
      <c r="G2112" s="83">
        <v>0</v>
      </c>
      <c r="H2112" s="83">
        <v>100</v>
      </c>
      <c r="K2112" s="83">
        <v>1</v>
      </c>
      <c r="L2112" s="83" t="s">
        <v>101</v>
      </c>
      <c r="M2112" s="83" t="s">
        <v>410</v>
      </c>
      <c r="N2112" s="83" t="s">
        <v>102</v>
      </c>
      <c r="P2112" s="83">
        <v>0</v>
      </c>
      <c r="U2112" s="83">
        <v>4</v>
      </c>
      <c r="V2112" s="83">
        <v>1</v>
      </c>
      <c r="W2112" s="83" t="s">
        <v>103</v>
      </c>
      <c r="X2112" s="83">
        <v>0</v>
      </c>
    </row>
    <row r="2113" spans="1:25" x14ac:dyDescent="0.2">
      <c r="A2113" s="83">
        <v>1</v>
      </c>
      <c r="B2113" s="84">
        <v>5701603303723</v>
      </c>
      <c r="C2113" s="83">
        <v>60</v>
      </c>
      <c r="D2113" s="84">
        <v>1010286</v>
      </c>
      <c r="F2113" s="83" t="s">
        <v>103</v>
      </c>
      <c r="G2113" s="83">
        <v>0</v>
      </c>
      <c r="H2113" s="83">
        <v>100</v>
      </c>
      <c r="K2113" s="83">
        <v>8</v>
      </c>
      <c r="L2113" s="83" t="s">
        <v>101</v>
      </c>
      <c r="M2113" s="83" t="s">
        <v>410</v>
      </c>
      <c r="N2113" s="83" t="s">
        <v>102</v>
      </c>
      <c r="P2113" s="83">
        <v>0</v>
      </c>
      <c r="U2113" s="83">
        <v>4</v>
      </c>
      <c r="V2113" s="83">
        <v>1</v>
      </c>
      <c r="W2113" s="83" t="s">
        <v>103</v>
      </c>
      <c r="X2113" s="83">
        <v>0</v>
      </c>
    </row>
    <row r="2114" spans="1:25" x14ac:dyDescent="0.2">
      <c r="A2114" s="83">
        <v>1</v>
      </c>
      <c r="B2114" s="84">
        <v>5701603303723</v>
      </c>
      <c r="C2114" s="83">
        <v>70</v>
      </c>
      <c r="D2114" s="84">
        <v>1010287</v>
      </c>
      <c r="F2114" s="83" t="s">
        <v>103</v>
      </c>
      <c r="G2114" s="83">
        <v>0</v>
      </c>
      <c r="H2114" s="83">
        <v>100</v>
      </c>
      <c r="K2114" s="83">
        <v>4</v>
      </c>
      <c r="L2114" s="83" t="s">
        <v>101</v>
      </c>
      <c r="M2114" s="83" t="s">
        <v>410</v>
      </c>
      <c r="N2114" s="83" t="s">
        <v>102</v>
      </c>
      <c r="P2114" s="83">
        <v>0</v>
      </c>
      <c r="U2114" s="83">
        <v>4</v>
      </c>
      <c r="V2114" s="83">
        <v>1</v>
      </c>
      <c r="W2114" s="83" t="s">
        <v>103</v>
      </c>
      <c r="X2114" s="83">
        <v>0</v>
      </c>
    </row>
    <row r="2115" spans="1:25" x14ac:dyDescent="0.2">
      <c r="A2115" s="83">
        <v>1</v>
      </c>
      <c r="B2115" s="84">
        <v>5701603303723</v>
      </c>
      <c r="C2115" s="83">
        <v>80</v>
      </c>
      <c r="D2115" s="84">
        <v>1020145</v>
      </c>
      <c r="F2115" s="83" t="s">
        <v>103</v>
      </c>
      <c r="G2115" s="83">
        <v>0</v>
      </c>
      <c r="H2115" s="83">
        <v>100</v>
      </c>
      <c r="K2115" s="83" t="s">
        <v>408</v>
      </c>
      <c r="L2115" s="83" t="s">
        <v>101</v>
      </c>
      <c r="M2115" s="83" t="s">
        <v>410</v>
      </c>
      <c r="N2115" s="83" t="s">
        <v>102</v>
      </c>
      <c r="P2115" s="83">
        <v>0</v>
      </c>
      <c r="U2115" s="83">
        <v>4</v>
      </c>
      <c r="V2115" s="83">
        <v>1</v>
      </c>
      <c r="W2115" s="83" t="s">
        <v>103</v>
      </c>
      <c r="X2115" s="83">
        <v>0</v>
      </c>
    </row>
    <row r="2116" spans="1:25" x14ac:dyDescent="0.2">
      <c r="A2116" s="83">
        <v>1</v>
      </c>
      <c r="B2116" s="84">
        <v>5701603303723</v>
      </c>
      <c r="C2116" s="83">
        <v>90</v>
      </c>
      <c r="D2116" s="84">
        <v>777500723</v>
      </c>
      <c r="F2116" s="83" t="s">
        <v>103</v>
      </c>
      <c r="G2116" s="83">
        <v>0</v>
      </c>
      <c r="H2116" s="83">
        <v>100</v>
      </c>
      <c r="K2116" s="83">
        <v>1</v>
      </c>
      <c r="L2116" s="83" t="s">
        <v>101</v>
      </c>
      <c r="M2116" s="83" t="s">
        <v>410</v>
      </c>
      <c r="N2116" s="83" t="s">
        <v>102</v>
      </c>
      <c r="P2116" s="83">
        <v>0</v>
      </c>
      <c r="U2116" s="83">
        <v>4</v>
      </c>
      <c r="V2116" s="83">
        <v>1</v>
      </c>
      <c r="W2116" s="83" t="s">
        <v>103</v>
      </c>
      <c r="X2116" s="83">
        <v>0</v>
      </c>
    </row>
    <row r="2117" spans="1:25" x14ac:dyDescent="0.2">
      <c r="A2117" s="83">
        <v>1</v>
      </c>
      <c r="B2117" s="84">
        <v>5701603304723</v>
      </c>
      <c r="C2117" s="83">
        <v>10</v>
      </c>
      <c r="D2117" s="84">
        <v>5980463304</v>
      </c>
      <c r="F2117" s="83" t="s">
        <v>103</v>
      </c>
      <c r="G2117" s="83">
        <v>0</v>
      </c>
      <c r="H2117" s="83">
        <v>100</v>
      </c>
      <c r="K2117" s="83">
        <v>1</v>
      </c>
      <c r="L2117" s="83" t="s">
        <v>101</v>
      </c>
      <c r="M2117" s="83" t="s">
        <v>410</v>
      </c>
      <c r="N2117" s="83" t="s">
        <v>102</v>
      </c>
      <c r="P2117" s="83">
        <v>0</v>
      </c>
      <c r="U2117" s="83">
        <v>4</v>
      </c>
      <c r="V2117" s="83">
        <v>1</v>
      </c>
      <c r="W2117" s="83" t="s">
        <v>103</v>
      </c>
      <c r="X2117" s="83">
        <v>0</v>
      </c>
      <c r="Y2117" s="83" t="str">
        <f>LEFT(D2117,6)</f>
        <v>598046</v>
      </c>
    </row>
    <row r="2118" spans="1:25" x14ac:dyDescent="0.2">
      <c r="A2118" s="83">
        <v>1</v>
      </c>
      <c r="B2118" s="84">
        <v>5701603304723</v>
      </c>
      <c r="C2118" s="83">
        <v>20</v>
      </c>
      <c r="D2118" s="84">
        <v>5980543304</v>
      </c>
      <c r="F2118" s="83" t="s">
        <v>103</v>
      </c>
      <c r="G2118" s="83">
        <v>0</v>
      </c>
      <c r="H2118" s="83">
        <v>100</v>
      </c>
      <c r="K2118" s="83">
        <v>1</v>
      </c>
      <c r="L2118" s="83" t="s">
        <v>101</v>
      </c>
      <c r="M2118" s="83" t="s">
        <v>410</v>
      </c>
      <c r="N2118" s="83" t="s">
        <v>102</v>
      </c>
      <c r="P2118" s="83">
        <v>0</v>
      </c>
      <c r="U2118" s="83">
        <v>4</v>
      </c>
      <c r="V2118" s="83">
        <v>1</v>
      </c>
      <c r="W2118" s="83" t="s">
        <v>103</v>
      </c>
      <c r="X2118" s="83">
        <v>0</v>
      </c>
    </row>
    <row r="2119" spans="1:25" x14ac:dyDescent="0.2">
      <c r="A2119" s="83">
        <v>1</v>
      </c>
      <c r="B2119" s="84">
        <v>5701603304723</v>
      </c>
      <c r="C2119" s="83">
        <v>30</v>
      </c>
      <c r="D2119" s="84">
        <v>5980623304</v>
      </c>
      <c r="F2119" s="83" t="s">
        <v>103</v>
      </c>
      <c r="G2119" s="83">
        <v>0</v>
      </c>
      <c r="H2119" s="83">
        <v>100</v>
      </c>
      <c r="K2119" s="83">
        <v>1</v>
      </c>
      <c r="L2119" s="83" t="s">
        <v>101</v>
      </c>
      <c r="M2119" s="83" t="s">
        <v>410</v>
      </c>
      <c r="N2119" s="83" t="s">
        <v>102</v>
      </c>
      <c r="P2119" s="83">
        <v>0</v>
      </c>
      <c r="U2119" s="83">
        <v>4</v>
      </c>
      <c r="V2119" s="83">
        <v>1</v>
      </c>
      <c r="W2119" s="83" t="s">
        <v>103</v>
      </c>
      <c r="X2119" s="83">
        <v>0</v>
      </c>
    </row>
    <row r="2120" spans="1:25" x14ac:dyDescent="0.2">
      <c r="A2120" s="83">
        <v>1</v>
      </c>
      <c r="B2120" s="84">
        <v>5701603304723</v>
      </c>
      <c r="C2120" s="83">
        <v>40</v>
      </c>
      <c r="D2120" s="84">
        <v>5980823304</v>
      </c>
      <c r="F2120" s="83" t="s">
        <v>103</v>
      </c>
      <c r="G2120" s="83">
        <v>0</v>
      </c>
      <c r="H2120" s="83">
        <v>100</v>
      </c>
      <c r="K2120" s="83">
        <v>1</v>
      </c>
      <c r="L2120" s="83" t="s">
        <v>101</v>
      </c>
      <c r="M2120" s="83" t="s">
        <v>410</v>
      </c>
      <c r="N2120" s="83" t="s">
        <v>102</v>
      </c>
      <c r="P2120" s="83">
        <v>0</v>
      </c>
      <c r="U2120" s="83">
        <v>4</v>
      </c>
      <c r="V2120" s="83">
        <v>1</v>
      </c>
      <c r="W2120" s="83" t="s">
        <v>103</v>
      </c>
      <c r="X2120" s="83">
        <v>0</v>
      </c>
    </row>
    <row r="2121" spans="1:25" x14ac:dyDescent="0.2">
      <c r="A2121" s="83">
        <v>1</v>
      </c>
      <c r="B2121" s="84">
        <v>5701603304723</v>
      </c>
      <c r="C2121" s="83">
        <v>50</v>
      </c>
      <c r="D2121" s="84">
        <v>5980933304</v>
      </c>
      <c r="F2121" s="83" t="s">
        <v>103</v>
      </c>
      <c r="G2121" s="83">
        <v>0</v>
      </c>
      <c r="H2121" s="83">
        <v>100</v>
      </c>
      <c r="K2121" s="83">
        <v>1</v>
      </c>
      <c r="L2121" s="83" t="s">
        <v>101</v>
      </c>
      <c r="M2121" s="83" t="s">
        <v>410</v>
      </c>
      <c r="N2121" s="83" t="s">
        <v>102</v>
      </c>
      <c r="P2121" s="83">
        <v>0</v>
      </c>
      <c r="U2121" s="83">
        <v>4</v>
      </c>
      <c r="V2121" s="83">
        <v>1</v>
      </c>
      <c r="W2121" s="83" t="s">
        <v>103</v>
      </c>
      <c r="X2121" s="83">
        <v>0</v>
      </c>
    </row>
    <row r="2122" spans="1:25" x14ac:dyDescent="0.2">
      <c r="A2122" s="83">
        <v>1</v>
      </c>
      <c r="B2122" s="84">
        <v>5701603304723</v>
      </c>
      <c r="C2122" s="83">
        <v>60</v>
      </c>
      <c r="D2122" s="84">
        <v>1010286</v>
      </c>
      <c r="F2122" s="83" t="s">
        <v>103</v>
      </c>
      <c r="G2122" s="83">
        <v>0</v>
      </c>
      <c r="H2122" s="83">
        <v>100</v>
      </c>
      <c r="K2122" s="83">
        <v>8</v>
      </c>
      <c r="L2122" s="83" t="s">
        <v>101</v>
      </c>
      <c r="M2122" s="83" t="s">
        <v>410</v>
      </c>
      <c r="N2122" s="83" t="s">
        <v>102</v>
      </c>
      <c r="P2122" s="83">
        <v>0</v>
      </c>
      <c r="U2122" s="83">
        <v>4</v>
      </c>
      <c r="V2122" s="83">
        <v>1</v>
      </c>
      <c r="W2122" s="83" t="s">
        <v>103</v>
      </c>
      <c r="X2122" s="83">
        <v>0</v>
      </c>
    </row>
    <row r="2123" spans="1:25" x14ac:dyDescent="0.2">
      <c r="A2123" s="83">
        <v>1</v>
      </c>
      <c r="B2123" s="84">
        <v>5701603304723</v>
      </c>
      <c r="C2123" s="83">
        <v>70</v>
      </c>
      <c r="D2123" s="84">
        <v>1010288</v>
      </c>
      <c r="F2123" s="83" t="s">
        <v>103</v>
      </c>
      <c r="G2123" s="83">
        <v>0</v>
      </c>
      <c r="H2123" s="83">
        <v>100</v>
      </c>
      <c r="K2123" s="83">
        <v>4</v>
      </c>
      <c r="L2123" s="83" t="s">
        <v>101</v>
      </c>
      <c r="M2123" s="83" t="s">
        <v>410</v>
      </c>
      <c r="N2123" s="83" t="s">
        <v>102</v>
      </c>
      <c r="P2123" s="83">
        <v>0</v>
      </c>
      <c r="U2123" s="83">
        <v>4</v>
      </c>
      <c r="V2123" s="83">
        <v>1</v>
      </c>
      <c r="W2123" s="83" t="s">
        <v>103</v>
      </c>
      <c r="X2123" s="83">
        <v>0</v>
      </c>
    </row>
    <row r="2124" spans="1:25" x14ac:dyDescent="0.2">
      <c r="A2124" s="83">
        <v>1</v>
      </c>
      <c r="B2124" s="84">
        <v>5701603304723</v>
      </c>
      <c r="C2124" s="83">
        <v>80</v>
      </c>
      <c r="D2124" s="84">
        <v>1020145</v>
      </c>
      <c r="F2124" s="83" t="s">
        <v>103</v>
      </c>
      <c r="G2124" s="83">
        <v>0</v>
      </c>
      <c r="H2124" s="83">
        <v>100</v>
      </c>
      <c r="K2124" s="83" t="s">
        <v>408</v>
      </c>
      <c r="L2124" s="83" t="s">
        <v>101</v>
      </c>
      <c r="M2124" s="83" t="s">
        <v>410</v>
      </c>
      <c r="N2124" s="83" t="s">
        <v>102</v>
      </c>
      <c r="P2124" s="83">
        <v>0</v>
      </c>
      <c r="U2124" s="83">
        <v>4</v>
      </c>
      <c r="V2124" s="83">
        <v>1</v>
      </c>
      <c r="W2124" s="83" t="s">
        <v>103</v>
      </c>
      <c r="X2124" s="83">
        <v>0</v>
      </c>
    </row>
    <row r="2125" spans="1:25" x14ac:dyDescent="0.2">
      <c r="A2125" s="83">
        <v>1</v>
      </c>
      <c r="B2125" s="84">
        <v>5701603304723</v>
      </c>
      <c r="C2125" s="83">
        <v>90</v>
      </c>
      <c r="D2125" s="84">
        <v>777500723</v>
      </c>
      <c r="F2125" s="83" t="s">
        <v>103</v>
      </c>
      <c r="G2125" s="83">
        <v>0</v>
      </c>
      <c r="H2125" s="83">
        <v>100</v>
      </c>
      <c r="K2125" s="83">
        <v>1</v>
      </c>
      <c r="L2125" s="83" t="s">
        <v>101</v>
      </c>
      <c r="M2125" s="83" t="s">
        <v>410</v>
      </c>
      <c r="N2125" s="83" t="s">
        <v>102</v>
      </c>
      <c r="P2125" s="83">
        <v>0</v>
      </c>
      <c r="U2125" s="83">
        <v>4</v>
      </c>
      <c r="V2125" s="83">
        <v>1</v>
      </c>
      <c r="W2125" s="83" t="s">
        <v>103</v>
      </c>
      <c r="X2125" s="83">
        <v>0</v>
      </c>
    </row>
    <row r="2126" spans="1:25" x14ac:dyDescent="0.2">
      <c r="A2126" s="83">
        <v>1</v>
      </c>
      <c r="B2126" s="84">
        <v>5701603305723</v>
      </c>
      <c r="C2126" s="83">
        <v>10</v>
      </c>
      <c r="D2126" s="84">
        <v>5980463305</v>
      </c>
      <c r="F2126" s="83" t="s">
        <v>103</v>
      </c>
      <c r="G2126" s="83">
        <v>0</v>
      </c>
      <c r="H2126" s="83">
        <v>100</v>
      </c>
      <c r="K2126" s="83">
        <v>1</v>
      </c>
      <c r="L2126" s="83" t="s">
        <v>101</v>
      </c>
      <c r="M2126" s="83" t="s">
        <v>410</v>
      </c>
      <c r="N2126" s="83" t="s">
        <v>102</v>
      </c>
      <c r="P2126" s="83">
        <v>0</v>
      </c>
      <c r="U2126" s="83">
        <v>4</v>
      </c>
      <c r="V2126" s="83">
        <v>1</v>
      </c>
      <c r="W2126" s="83" t="s">
        <v>103</v>
      </c>
      <c r="X2126" s="83">
        <v>0</v>
      </c>
      <c r="Y2126" s="83" t="str">
        <f>LEFT(D2126,6)</f>
        <v>598046</v>
      </c>
    </row>
    <row r="2127" spans="1:25" x14ac:dyDescent="0.2">
      <c r="A2127" s="83">
        <v>1</v>
      </c>
      <c r="B2127" s="84">
        <v>5701603305723</v>
      </c>
      <c r="C2127" s="83">
        <v>20</v>
      </c>
      <c r="D2127" s="84">
        <v>5980543305</v>
      </c>
      <c r="F2127" s="83" t="s">
        <v>103</v>
      </c>
      <c r="G2127" s="83">
        <v>0</v>
      </c>
      <c r="H2127" s="83">
        <v>100</v>
      </c>
      <c r="K2127" s="83">
        <v>1</v>
      </c>
      <c r="L2127" s="83" t="s">
        <v>101</v>
      </c>
      <c r="M2127" s="83" t="s">
        <v>410</v>
      </c>
      <c r="N2127" s="83" t="s">
        <v>102</v>
      </c>
      <c r="P2127" s="83">
        <v>0</v>
      </c>
      <c r="U2127" s="83">
        <v>4</v>
      </c>
      <c r="V2127" s="83">
        <v>1</v>
      </c>
      <c r="W2127" s="83" t="s">
        <v>103</v>
      </c>
      <c r="X2127" s="83">
        <v>0</v>
      </c>
    </row>
    <row r="2128" spans="1:25" x14ac:dyDescent="0.2">
      <c r="A2128" s="83">
        <v>1</v>
      </c>
      <c r="B2128" s="84">
        <v>5701603305723</v>
      </c>
      <c r="C2128" s="83">
        <v>30</v>
      </c>
      <c r="D2128" s="84">
        <v>5980623305</v>
      </c>
      <c r="F2128" s="83" t="s">
        <v>103</v>
      </c>
      <c r="G2128" s="83">
        <v>0</v>
      </c>
      <c r="H2128" s="83">
        <v>100</v>
      </c>
      <c r="K2128" s="83">
        <v>1</v>
      </c>
      <c r="L2128" s="83" t="s">
        <v>101</v>
      </c>
      <c r="M2128" s="83" t="s">
        <v>410</v>
      </c>
      <c r="N2128" s="83" t="s">
        <v>102</v>
      </c>
      <c r="P2128" s="83">
        <v>0</v>
      </c>
      <c r="U2128" s="83">
        <v>4</v>
      </c>
      <c r="V2128" s="83">
        <v>1</v>
      </c>
      <c r="W2128" s="83" t="s">
        <v>103</v>
      </c>
      <c r="X2128" s="83">
        <v>0</v>
      </c>
    </row>
    <row r="2129" spans="1:25" x14ac:dyDescent="0.2">
      <c r="A2129" s="83">
        <v>1</v>
      </c>
      <c r="B2129" s="84">
        <v>5701603305723</v>
      </c>
      <c r="C2129" s="83">
        <v>40</v>
      </c>
      <c r="D2129" s="84">
        <v>5980823305</v>
      </c>
      <c r="F2129" s="83" t="s">
        <v>103</v>
      </c>
      <c r="G2129" s="83">
        <v>0</v>
      </c>
      <c r="H2129" s="83">
        <v>100</v>
      </c>
      <c r="K2129" s="83">
        <v>1</v>
      </c>
      <c r="L2129" s="83" t="s">
        <v>101</v>
      </c>
      <c r="M2129" s="83" t="s">
        <v>410</v>
      </c>
      <c r="N2129" s="83" t="s">
        <v>102</v>
      </c>
      <c r="P2129" s="83">
        <v>0</v>
      </c>
      <c r="U2129" s="83">
        <v>4</v>
      </c>
      <c r="V2129" s="83">
        <v>1</v>
      </c>
      <c r="W2129" s="83" t="s">
        <v>103</v>
      </c>
      <c r="X2129" s="83">
        <v>0</v>
      </c>
    </row>
    <row r="2130" spans="1:25" x14ac:dyDescent="0.2">
      <c r="A2130" s="83">
        <v>1</v>
      </c>
      <c r="B2130" s="84">
        <v>5701603305723</v>
      </c>
      <c r="C2130" s="83">
        <v>50</v>
      </c>
      <c r="D2130" s="84">
        <v>5980933305</v>
      </c>
      <c r="F2130" s="83" t="s">
        <v>103</v>
      </c>
      <c r="G2130" s="83">
        <v>0</v>
      </c>
      <c r="H2130" s="83">
        <v>100</v>
      </c>
      <c r="K2130" s="83">
        <v>1</v>
      </c>
      <c r="L2130" s="83" t="s">
        <v>101</v>
      </c>
      <c r="M2130" s="83" t="s">
        <v>410</v>
      </c>
      <c r="N2130" s="83" t="s">
        <v>102</v>
      </c>
      <c r="P2130" s="83">
        <v>0</v>
      </c>
      <c r="U2130" s="83">
        <v>4</v>
      </c>
      <c r="V2130" s="83">
        <v>1</v>
      </c>
      <c r="W2130" s="83" t="s">
        <v>103</v>
      </c>
      <c r="X2130" s="83">
        <v>0</v>
      </c>
    </row>
    <row r="2131" spans="1:25" x14ac:dyDescent="0.2">
      <c r="A2131" s="83">
        <v>1</v>
      </c>
      <c r="B2131" s="84">
        <v>5701603305723</v>
      </c>
      <c r="C2131" s="83">
        <v>60</v>
      </c>
      <c r="D2131" s="84">
        <v>1010286</v>
      </c>
      <c r="F2131" s="83" t="s">
        <v>103</v>
      </c>
      <c r="G2131" s="83">
        <v>0</v>
      </c>
      <c r="H2131" s="83">
        <v>100</v>
      </c>
      <c r="K2131" s="83">
        <v>8</v>
      </c>
      <c r="L2131" s="83" t="s">
        <v>101</v>
      </c>
      <c r="M2131" s="83" t="s">
        <v>410</v>
      </c>
      <c r="N2131" s="83" t="s">
        <v>102</v>
      </c>
      <c r="P2131" s="83">
        <v>0</v>
      </c>
      <c r="U2131" s="83">
        <v>4</v>
      </c>
      <c r="V2131" s="83">
        <v>1</v>
      </c>
      <c r="W2131" s="83" t="s">
        <v>103</v>
      </c>
      <c r="X2131" s="83">
        <v>0</v>
      </c>
    </row>
    <row r="2132" spans="1:25" x14ac:dyDescent="0.2">
      <c r="A2132" s="83">
        <v>1</v>
      </c>
      <c r="B2132" s="84">
        <v>5701603305723</v>
      </c>
      <c r="C2132" s="83">
        <v>70</v>
      </c>
      <c r="D2132" s="84">
        <v>1010288</v>
      </c>
      <c r="F2132" s="83" t="s">
        <v>103</v>
      </c>
      <c r="G2132" s="83">
        <v>0</v>
      </c>
      <c r="H2132" s="83">
        <v>100</v>
      </c>
      <c r="K2132" s="83">
        <v>4</v>
      </c>
      <c r="L2132" s="83" t="s">
        <v>101</v>
      </c>
      <c r="M2132" s="83" t="s">
        <v>410</v>
      </c>
      <c r="N2132" s="83" t="s">
        <v>102</v>
      </c>
      <c r="P2132" s="83">
        <v>0</v>
      </c>
      <c r="U2132" s="83">
        <v>4</v>
      </c>
      <c r="V2132" s="83">
        <v>1</v>
      </c>
      <c r="W2132" s="83" t="s">
        <v>103</v>
      </c>
      <c r="X2132" s="83">
        <v>0</v>
      </c>
    </row>
    <row r="2133" spans="1:25" x14ac:dyDescent="0.2">
      <c r="A2133" s="83">
        <v>1</v>
      </c>
      <c r="B2133" s="84">
        <v>5701603305723</v>
      </c>
      <c r="C2133" s="83">
        <v>80</v>
      </c>
      <c r="D2133" s="84">
        <v>1020145</v>
      </c>
      <c r="F2133" s="83" t="s">
        <v>103</v>
      </c>
      <c r="G2133" s="83">
        <v>0</v>
      </c>
      <c r="H2133" s="83">
        <v>100</v>
      </c>
      <c r="K2133" s="83" t="s">
        <v>408</v>
      </c>
      <c r="L2133" s="83" t="s">
        <v>101</v>
      </c>
      <c r="M2133" s="83" t="s">
        <v>410</v>
      </c>
      <c r="N2133" s="83" t="s">
        <v>102</v>
      </c>
      <c r="P2133" s="83">
        <v>0</v>
      </c>
      <c r="U2133" s="83">
        <v>4</v>
      </c>
      <c r="V2133" s="83">
        <v>1</v>
      </c>
      <c r="W2133" s="83" t="s">
        <v>103</v>
      </c>
      <c r="X2133" s="83">
        <v>0</v>
      </c>
    </row>
    <row r="2134" spans="1:25" x14ac:dyDescent="0.2">
      <c r="A2134" s="83">
        <v>1</v>
      </c>
      <c r="B2134" s="84">
        <v>5701603305723</v>
      </c>
      <c r="C2134" s="83">
        <v>90</v>
      </c>
      <c r="D2134" s="84">
        <v>777500723</v>
      </c>
      <c r="F2134" s="83" t="s">
        <v>103</v>
      </c>
      <c r="G2134" s="83">
        <v>0</v>
      </c>
      <c r="H2134" s="83">
        <v>100</v>
      </c>
      <c r="K2134" s="83">
        <v>1</v>
      </c>
      <c r="L2134" s="83" t="s">
        <v>101</v>
      </c>
      <c r="M2134" s="83" t="s">
        <v>410</v>
      </c>
      <c r="N2134" s="83" t="s">
        <v>102</v>
      </c>
      <c r="P2134" s="83">
        <v>0</v>
      </c>
      <c r="U2134" s="83">
        <v>4</v>
      </c>
      <c r="V2134" s="83">
        <v>1</v>
      </c>
      <c r="W2134" s="83" t="s">
        <v>103</v>
      </c>
      <c r="X2134" s="83">
        <v>0</v>
      </c>
    </row>
    <row r="2135" spans="1:25" x14ac:dyDescent="0.2">
      <c r="A2135" s="83">
        <v>1</v>
      </c>
      <c r="B2135" s="84">
        <v>5701603306723</v>
      </c>
      <c r="C2135" s="83">
        <v>10</v>
      </c>
      <c r="D2135" s="84">
        <v>5980463306</v>
      </c>
      <c r="F2135" s="83" t="s">
        <v>103</v>
      </c>
      <c r="G2135" s="83">
        <v>0</v>
      </c>
      <c r="H2135" s="83">
        <v>100</v>
      </c>
      <c r="K2135" s="83">
        <v>1</v>
      </c>
      <c r="L2135" s="83" t="s">
        <v>101</v>
      </c>
      <c r="M2135" s="83" t="s">
        <v>410</v>
      </c>
      <c r="N2135" s="83" t="s">
        <v>102</v>
      </c>
      <c r="P2135" s="83">
        <v>0</v>
      </c>
      <c r="U2135" s="83">
        <v>4</v>
      </c>
      <c r="V2135" s="83">
        <v>1</v>
      </c>
      <c r="W2135" s="83" t="s">
        <v>103</v>
      </c>
      <c r="X2135" s="83">
        <v>0</v>
      </c>
      <c r="Y2135" s="83" t="str">
        <f>LEFT(D2135,6)</f>
        <v>598046</v>
      </c>
    </row>
    <row r="2136" spans="1:25" x14ac:dyDescent="0.2">
      <c r="A2136" s="83">
        <v>1</v>
      </c>
      <c r="B2136" s="84">
        <v>5701603306723</v>
      </c>
      <c r="C2136" s="83">
        <v>20</v>
      </c>
      <c r="D2136" s="84">
        <v>5980543306</v>
      </c>
      <c r="F2136" s="83" t="s">
        <v>103</v>
      </c>
      <c r="G2136" s="83">
        <v>0</v>
      </c>
      <c r="H2136" s="83">
        <v>100</v>
      </c>
      <c r="K2136" s="83">
        <v>1</v>
      </c>
      <c r="L2136" s="83" t="s">
        <v>101</v>
      </c>
      <c r="M2136" s="83" t="s">
        <v>410</v>
      </c>
      <c r="N2136" s="83" t="s">
        <v>102</v>
      </c>
      <c r="P2136" s="83">
        <v>0</v>
      </c>
      <c r="U2136" s="83">
        <v>4</v>
      </c>
      <c r="V2136" s="83">
        <v>1</v>
      </c>
      <c r="W2136" s="83" t="s">
        <v>103</v>
      </c>
      <c r="X2136" s="83">
        <v>0</v>
      </c>
    </row>
    <row r="2137" spans="1:25" x14ac:dyDescent="0.2">
      <c r="A2137" s="83">
        <v>1</v>
      </c>
      <c r="B2137" s="84">
        <v>5701603306723</v>
      </c>
      <c r="C2137" s="83">
        <v>30</v>
      </c>
      <c r="D2137" s="84">
        <v>5980623306</v>
      </c>
      <c r="F2137" s="83" t="s">
        <v>103</v>
      </c>
      <c r="G2137" s="83">
        <v>0</v>
      </c>
      <c r="H2137" s="83">
        <v>100</v>
      </c>
      <c r="K2137" s="83">
        <v>1</v>
      </c>
      <c r="L2137" s="83" t="s">
        <v>101</v>
      </c>
      <c r="M2137" s="83" t="s">
        <v>410</v>
      </c>
      <c r="N2137" s="83" t="s">
        <v>102</v>
      </c>
      <c r="P2137" s="83">
        <v>0</v>
      </c>
      <c r="U2137" s="83">
        <v>4</v>
      </c>
      <c r="V2137" s="83">
        <v>1</v>
      </c>
      <c r="W2137" s="83" t="s">
        <v>103</v>
      </c>
      <c r="X2137" s="83">
        <v>0</v>
      </c>
    </row>
    <row r="2138" spans="1:25" x14ac:dyDescent="0.2">
      <c r="A2138" s="83">
        <v>1</v>
      </c>
      <c r="B2138" s="84">
        <v>5701603306723</v>
      </c>
      <c r="C2138" s="83">
        <v>40</v>
      </c>
      <c r="D2138" s="84">
        <v>5980823306</v>
      </c>
      <c r="F2138" s="83" t="s">
        <v>103</v>
      </c>
      <c r="G2138" s="83">
        <v>0</v>
      </c>
      <c r="H2138" s="83">
        <v>100</v>
      </c>
      <c r="K2138" s="83">
        <v>1</v>
      </c>
      <c r="L2138" s="83" t="s">
        <v>101</v>
      </c>
      <c r="M2138" s="83" t="s">
        <v>410</v>
      </c>
      <c r="N2138" s="83" t="s">
        <v>102</v>
      </c>
      <c r="P2138" s="83">
        <v>0</v>
      </c>
      <c r="U2138" s="83">
        <v>4</v>
      </c>
      <c r="V2138" s="83">
        <v>1</v>
      </c>
      <c r="W2138" s="83" t="s">
        <v>103</v>
      </c>
      <c r="X2138" s="83">
        <v>0</v>
      </c>
    </row>
    <row r="2139" spans="1:25" x14ac:dyDescent="0.2">
      <c r="A2139" s="83">
        <v>1</v>
      </c>
      <c r="B2139" s="84">
        <v>5701603306723</v>
      </c>
      <c r="C2139" s="83">
        <v>50</v>
      </c>
      <c r="D2139" s="84">
        <v>5980933306</v>
      </c>
      <c r="F2139" s="83" t="s">
        <v>103</v>
      </c>
      <c r="G2139" s="83">
        <v>0</v>
      </c>
      <c r="H2139" s="83">
        <v>100</v>
      </c>
      <c r="K2139" s="83">
        <v>1</v>
      </c>
      <c r="L2139" s="83" t="s">
        <v>101</v>
      </c>
      <c r="M2139" s="83" t="s">
        <v>410</v>
      </c>
      <c r="N2139" s="83" t="s">
        <v>102</v>
      </c>
      <c r="P2139" s="83">
        <v>0</v>
      </c>
      <c r="U2139" s="83">
        <v>4</v>
      </c>
      <c r="V2139" s="83">
        <v>1</v>
      </c>
      <c r="W2139" s="83" t="s">
        <v>103</v>
      </c>
      <c r="X2139" s="83">
        <v>0</v>
      </c>
    </row>
    <row r="2140" spans="1:25" x14ac:dyDescent="0.2">
      <c r="A2140" s="83">
        <v>1</v>
      </c>
      <c r="B2140" s="84">
        <v>5701603306723</v>
      </c>
      <c r="C2140" s="83">
        <v>60</v>
      </c>
      <c r="D2140" s="84">
        <v>1010286</v>
      </c>
      <c r="F2140" s="83" t="s">
        <v>103</v>
      </c>
      <c r="G2140" s="83">
        <v>0</v>
      </c>
      <c r="H2140" s="83">
        <v>100</v>
      </c>
      <c r="K2140" s="83">
        <v>8</v>
      </c>
      <c r="L2140" s="83" t="s">
        <v>101</v>
      </c>
      <c r="M2140" s="83" t="s">
        <v>410</v>
      </c>
      <c r="N2140" s="83" t="s">
        <v>102</v>
      </c>
      <c r="P2140" s="83">
        <v>0</v>
      </c>
      <c r="U2140" s="83">
        <v>4</v>
      </c>
      <c r="V2140" s="83">
        <v>1</v>
      </c>
      <c r="W2140" s="83" t="s">
        <v>103</v>
      </c>
      <c r="X2140" s="83">
        <v>0</v>
      </c>
    </row>
    <row r="2141" spans="1:25" x14ac:dyDescent="0.2">
      <c r="A2141" s="83">
        <v>1</v>
      </c>
      <c r="B2141" s="84">
        <v>5701603306723</v>
      </c>
      <c r="C2141" s="83">
        <v>70</v>
      </c>
      <c r="D2141" s="84">
        <v>1010287</v>
      </c>
      <c r="F2141" s="83" t="s">
        <v>103</v>
      </c>
      <c r="G2141" s="83">
        <v>0</v>
      </c>
      <c r="H2141" s="83">
        <v>100</v>
      </c>
      <c r="K2141" s="83">
        <v>4</v>
      </c>
      <c r="L2141" s="83" t="s">
        <v>101</v>
      </c>
      <c r="M2141" s="83" t="s">
        <v>410</v>
      </c>
      <c r="N2141" s="83" t="s">
        <v>102</v>
      </c>
      <c r="P2141" s="83">
        <v>0</v>
      </c>
      <c r="U2141" s="83">
        <v>4</v>
      </c>
      <c r="V2141" s="83">
        <v>1</v>
      </c>
      <c r="W2141" s="83" t="s">
        <v>103</v>
      </c>
      <c r="X2141" s="83">
        <v>0</v>
      </c>
    </row>
    <row r="2142" spans="1:25" x14ac:dyDescent="0.2">
      <c r="A2142" s="83">
        <v>1</v>
      </c>
      <c r="B2142" s="84">
        <v>5701603306723</v>
      </c>
      <c r="C2142" s="83">
        <v>80</v>
      </c>
      <c r="D2142" s="84">
        <v>1020145</v>
      </c>
      <c r="F2142" s="83" t="s">
        <v>103</v>
      </c>
      <c r="G2142" s="83">
        <v>0</v>
      </c>
      <c r="H2142" s="83">
        <v>100</v>
      </c>
      <c r="K2142" s="83" t="s">
        <v>408</v>
      </c>
      <c r="L2142" s="83" t="s">
        <v>101</v>
      </c>
      <c r="M2142" s="83" t="s">
        <v>410</v>
      </c>
      <c r="N2142" s="83" t="s">
        <v>102</v>
      </c>
      <c r="P2142" s="83">
        <v>0</v>
      </c>
      <c r="U2142" s="83">
        <v>4</v>
      </c>
      <c r="V2142" s="83">
        <v>1</v>
      </c>
      <c r="W2142" s="83" t="s">
        <v>103</v>
      </c>
      <c r="X2142" s="83">
        <v>0</v>
      </c>
    </row>
    <row r="2143" spans="1:25" x14ac:dyDescent="0.2">
      <c r="A2143" s="83">
        <v>1</v>
      </c>
      <c r="B2143" s="84">
        <v>5701603306723</v>
      </c>
      <c r="C2143" s="83">
        <v>90</v>
      </c>
      <c r="D2143" s="84">
        <v>777500723</v>
      </c>
      <c r="F2143" s="83" t="s">
        <v>103</v>
      </c>
      <c r="G2143" s="83">
        <v>0</v>
      </c>
      <c r="H2143" s="83">
        <v>100</v>
      </c>
      <c r="K2143" s="83">
        <v>1</v>
      </c>
      <c r="L2143" s="83" t="s">
        <v>101</v>
      </c>
      <c r="M2143" s="83" t="s">
        <v>410</v>
      </c>
      <c r="N2143" s="83" t="s">
        <v>102</v>
      </c>
      <c r="P2143" s="83">
        <v>0</v>
      </c>
      <c r="U2143" s="83">
        <v>4</v>
      </c>
      <c r="V2143" s="83">
        <v>1</v>
      </c>
      <c r="W2143" s="83" t="s">
        <v>103</v>
      </c>
      <c r="X2143" s="83">
        <v>0</v>
      </c>
    </row>
    <row r="2144" spans="1:25" x14ac:dyDescent="0.2">
      <c r="A2144" s="83">
        <v>1</v>
      </c>
      <c r="B2144" s="84">
        <v>5701603307723</v>
      </c>
      <c r="C2144" s="83">
        <v>10</v>
      </c>
      <c r="D2144" s="84">
        <v>5980463307</v>
      </c>
      <c r="F2144" s="83" t="s">
        <v>103</v>
      </c>
      <c r="G2144" s="83">
        <v>0</v>
      </c>
      <c r="H2144" s="83">
        <v>100</v>
      </c>
      <c r="K2144" s="83">
        <v>1</v>
      </c>
      <c r="L2144" s="83" t="s">
        <v>101</v>
      </c>
      <c r="M2144" s="83" t="s">
        <v>410</v>
      </c>
      <c r="N2144" s="83" t="s">
        <v>102</v>
      </c>
      <c r="P2144" s="83">
        <v>0</v>
      </c>
      <c r="U2144" s="83">
        <v>4</v>
      </c>
      <c r="V2144" s="83">
        <v>1</v>
      </c>
      <c r="W2144" s="83" t="s">
        <v>103</v>
      </c>
      <c r="X2144" s="83">
        <v>0</v>
      </c>
      <c r="Y2144" s="83" t="str">
        <f>LEFT(D2144,6)</f>
        <v>598046</v>
      </c>
    </row>
    <row r="2145" spans="1:25" x14ac:dyDescent="0.2">
      <c r="A2145" s="83">
        <v>1</v>
      </c>
      <c r="B2145" s="84">
        <v>5701603307723</v>
      </c>
      <c r="C2145" s="83">
        <v>20</v>
      </c>
      <c r="D2145" s="84">
        <v>5980543307</v>
      </c>
      <c r="F2145" s="83" t="s">
        <v>103</v>
      </c>
      <c r="G2145" s="83">
        <v>0</v>
      </c>
      <c r="H2145" s="83">
        <v>100</v>
      </c>
      <c r="K2145" s="83">
        <v>1</v>
      </c>
      <c r="L2145" s="83" t="s">
        <v>101</v>
      </c>
      <c r="M2145" s="83" t="s">
        <v>410</v>
      </c>
      <c r="N2145" s="83" t="s">
        <v>102</v>
      </c>
      <c r="P2145" s="83">
        <v>0</v>
      </c>
      <c r="U2145" s="83">
        <v>4</v>
      </c>
      <c r="V2145" s="83">
        <v>1</v>
      </c>
      <c r="W2145" s="83" t="s">
        <v>103</v>
      </c>
      <c r="X2145" s="83">
        <v>0</v>
      </c>
    </row>
    <row r="2146" spans="1:25" x14ac:dyDescent="0.2">
      <c r="A2146" s="83">
        <v>1</v>
      </c>
      <c r="B2146" s="84">
        <v>5701603307723</v>
      </c>
      <c r="C2146" s="83">
        <v>30</v>
      </c>
      <c r="D2146" s="84">
        <v>5980623307</v>
      </c>
      <c r="F2146" s="83" t="s">
        <v>103</v>
      </c>
      <c r="G2146" s="83">
        <v>0</v>
      </c>
      <c r="H2146" s="83">
        <v>100</v>
      </c>
      <c r="K2146" s="83">
        <v>1</v>
      </c>
      <c r="L2146" s="83" t="s">
        <v>101</v>
      </c>
      <c r="M2146" s="83" t="s">
        <v>410</v>
      </c>
      <c r="N2146" s="83" t="s">
        <v>102</v>
      </c>
      <c r="P2146" s="83">
        <v>0</v>
      </c>
      <c r="U2146" s="83">
        <v>4</v>
      </c>
      <c r="V2146" s="83">
        <v>1</v>
      </c>
      <c r="W2146" s="83" t="s">
        <v>103</v>
      </c>
      <c r="X2146" s="83">
        <v>0</v>
      </c>
    </row>
    <row r="2147" spans="1:25" x14ac:dyDescent="0.2">
      <c r="A2147" s="83">
        <v>1</v>
      </c>
      <c r="B2147" s="84">
        <v>5701603307723</v>
      </c>
      <c r="C2147" s="83">
        <v>40</v>
      </c>
      <c r="D2147" s="84">
        <v>5980823307</v>
      </c>
      <c r="F2147" s="83" t="s">
        <v>103</v>
      </c>
      <c r="G2147" s="83">
        <v>0</v>
      </c>
      <c r="H2147" s="83">
        <v>100</v>
      </c>
      <c r="K2147" s="83">
        <v>1</v>
      </c>
      <c r="L2147" s="83" t="s">
        <v>101</v>
      </c>
      <c r="M2147" s="83" t="s">
        <v>410</v>
      </c>
      <c r="N2147" s="83" t="s">
        <v>102</v>
      </c>
      <c r="P2147" s="83">
        <v>0</v>
      </c>
      <c r="U2147" s="83">
        <v>4</v>
      </c>
      <c r="V2147" s="83">
        <v>1</v>
      </c>
      <c r="W2147" s="83" t="s">
        <v>103</v>
      </c>
      <c r="X2147" s="83">
        <v>0</v>
      </c>
    </row>
    <row r="2148" spans="1:25" x14ac:dyDescent="0.2">
      <c r="A2148" s="83">
        <v>1</v>
      </c>
      <c r="B2148" s="84">
        <v>5701603307723</v>
      </c>
      <c r="C2148" s="83">
        <v>50</v>
      </c>
      <c r="D2148" s="84">
        <v>5980933307</v>
      </c>
      <c r="F2148" s="83" t="s">
        <v>103</v>
      </c>
      <c r="G2148" s="83">
        <v>0</v>
      </c>
      <c r="H2148" s="83">
        <v>100</v>
      </c>
      <c r="K2148" s="83">
        <v>1</v>
      </c>
      <c r="L2148" s="83" t="s">
        <v>101</v>
      </c>
      <c r="M2148" s="83" t="s">
        <v>410</v>
      </c>
      <c r="N2148" s="83" t="s">
        <v>102</v>
      </c>
      <c r="P2148" s="83">
        <v>0</v>
      </c>
      <c r="U2148" s="83">
        <v>4</v>
      </c>
      <c r="V2148" s="83">
        <v>1</v>
      </c>
      <c r="W2148" s="83" t="s">
        <v>103</v>
      </c>
      <c r="X2148" s="83">
        <v>0</v>
      </c>
    </row>
    <row r="2149" spans="1:25" x14ac:dyDescent="0.2">
      <c r="A2149" s="83">
        <v>1</v>
      </c>
      <c r="B2149" s="84">
        <v>5701603307723</v>
      </c>
      <c r="C2149" s="83">
        <v>60</v>
      </c>
      <c r="D2149" s="84">
        <v>1010286</v>
      </c>
      <c r="F2149" s="83" t="s">
        <v>103</v>
      </c>
      <c r="G2149" s="83">
        <v>0</v>
      </c>
      <c r="H2149" s="83">
        <v>100</v>
      </c>
      <c r="K2149" s="83">
        <v>8</v>
      </c>
      <c r="L2149" s="83" t="s">
        <v>101</v>
      </c>
      <c r="M2149" s="83" t="s">
        <v>410</v>
      </c>
      <c r="N2149" s="83" t="s">
        <v>102</v>
      </c>
      <c r="P2149" s="83">
        <v>0</v>
      </c>
      <c r="U2149" s="83">
        <v>4</v>
      </c>
      <c r="V2149" s="83">
        <v>1</v>
      </c>
      <c r="W2149" s="83" t="s">
        <v>103</v>
      </c>
      <c r="X2149" s="83">
        <v>0</v>
      </c>
    </row>
    <row r="2150" spans="1:25" x14ac:dyDescent="0.2">
      <c r="A2150" s="83">
        <v>1</v>
      </c>
      <c r="B2150" s="84">
        <v>5701603307723</v>
      </c>
      <c r="C2150" s="83">
        <v>70</v>
      </c>
      <c r="D2150" s="84">
        <v>1010287</v>
      </c>
      <c r="F2150" s="83" t="s">
        <v>103</v>
      </c>
      <c r="G2150" s="83">
        <v>0</v>
      </c>
      <c r="H2150" s="83">
        <v>100</v>
      </c>
      <c r="K2150" s="83">
        <v>4</v>
      </c>
      <c r="L2150" s="83" t="s">
        <v>101</v>
      </c>
      <c r="M2150" s="83" t="s">
        <v>410</v>
      </c>
      <c r="N2150" s="83" t="s">
        <v>102</v>
      </c>
      <c r="P2150" s="83">
        <v>0</v>
      </c>
      <c r="U2150" s="83">
        <v>4</v>
      </c>
      <c r="V2150" s="83">
        <v>1</v>
      </c>
      <c r="W2150" s="83" t="s">
        <v>103</v>
      </c>
      <c r="X2150" s="83">
        <v>0</v>
      </c>
    </row>
    <row r="2151" spans="1:25" x14ac:dyDescent="0.2">
      <c r="A2151" s="83">
        <v>1</v>
      </c>
      <c r="B2151" s="84">
        <v>5701603307723</v>
      </c>
      <c r="C2151" s="83">
        <v>80</v>
      </c>
      <c r="D2151" s="84">
        <v>1020145</v>
      </c>
      <c r="F2151" s="83" t="s">
        <v>103</v>
      </c>
      <c r="G2151" s="83">
        <v>0</v>
      </c>
      <c r="H2151" s="83">
        <v>100</v>
      </c>
      <c r="K2151" s="83" t="s">
        <v>408</v>
      </c>
      <c r="L2151" s="83" t="s">
        <v>101</v>
      </c>
      <c r="M2151" s="83" t="s">
        <v>410</v>
      </c>
      <c r="N2151" s="83" t="s">
        <v>102</v>
      </c>
      <c r="P2151" s="83">
        <v>0</v>
      </c>
      <c r="U2151" s="83">
        <v>4</v>
      </c>
      <c r="V2151" s="83">
        <v>1</v>
      </c>
      <c r="W2151" s="83" t="s">
        <v>103</v>
      </c>
      <c r="X2151" s="83">
        <v>0</v>
      </c>
    </row>
    <row r="2152" spans="1:25" x14ac:dyDescent="0.2">
      <c r="A2152" s="83">
        <v>1</v>
      </c>
      <c r="B2152" s="84">
        <v>5701603307723</v>
      </c>
      <c r="C2152" s="83">
        <v>90</v>
      </c>
      <c r="D2152" s="84">
        <v>777500723</v>
      </c>
      <c r="F2152" s="83" t="s">
        <v>103</v>
      </c>
      <c r="G2152" s="83">
        <v>0</v>
      </c>
      <c r="H2152" s="83">
        <v>100</v>
      </c>
      <c r="K2152" s="83">
        <v>1</v>
      </c>
      <c r="L2152" s="83" t="s">
        <v>101</v>
      </c>
      <c r="M2152" s="83" t="s">
        <v>410</v>
      </c>
      <c r="N2152" s="83" t="s">
        <v>102</v>
      </c>
      <c r="P2152" s="83">
        <v>0</v>
      </c>
      <c r="U2152" s="83">
        <v>4</v>
      </c>
      <c r="V2152" s="83">
        <v>1</v>
      </c>
      <c r="W2152" s="83" t="s">
        <v>103</v>
      </c>
      <c r="X2152" s="83">
        <v>0</v>
      </c>
    </row>
    <row r="2153" spans="1:25" x14ac:dyDescent="0.2">
      <c r="A2153" s="83">
        <v>1</v>
      </c>
      <c r="B2153" s="84">
        <v>5701603308723</v>
      </c>
      <c r="C2153" s="83">
        <v>10</v>
      </c>
      <c r="D2153" s="84">
        <v>5980463308</v>
      </c>
      <c r="F2153" s="83" t="s">
        <v>103</v>
      </c>
      <c r="G2153" s="83">
        <v>0</v>
      </c>
      <c r="H2153" s="83">
        <v>100</v>
      </c>
      <c r="K2153" s="83">
        <v>1</v>
      </c>
      <c r="L2153" s="83" t="s">
        <v>101</v>
      </c>
      <c r="M2153" s="83" t="s">
        <v>410</v>
      </c>
      <c r="N2153" s="83" t="s">
        <v>102</v>
      </c>
      <c r="P2153" s="83">
        <v>0</v>
      </c>
      <c r="U2153" s="83">
        <v>4</v>
      </c>
      <c r="V2153" s="83">
        <v>1</v>
      </c>
      <c r="W2153" s="83" t="s">
        <v>103</v>
      </c>
      <c r="X2153" s="83">
        <v>0</v>
      </c>
      <c r="Y2153" s="83" t="str">
        <f>LEFT(D2153,6)</f>
        <v>598046</v>
      </c>
    </row>
    <row r="2154" spans="1:25" x14ac:dyDescent="0.2">
      <c r="A2154" s="83">
        <v>1</v>
      </c>
      <c r="B2154" s="84">
        <v>5701603308723</v>
      </c>
      <c r="C2154" s="83">
        <v>20</v>
      </c>
      <c r="D2154" s="84">
        <v>5980543308</v>
      </c>
      <c r="F2154" s="83" t="s">
        <v>103</v>
      </c>
      <c r="G2154" s="83">
        <v>0</v>
      </c>
      <c r="H2154" s="83">
        <v>100</v>
      </c>
      <c r="K2154" s="83">
        <v>1</v>
      </c>
      <c r="L2154" s="83" t="s">
        <v>101</v>
      </c>
      <c r="M2154" s="83" t="s">
        <v>410</v>
      </c>
      <c r="N2154" s="83" t="s">
        <v>102</v>
      </c>
      <c r="P2154" s="83">
        <v>0</v>
      </c>
      <c r="U2154" s="83">
        <v>4</v>
      </c>
      <c r="V2154" s="83">
        <v>1</v>
      </c>
      <c r="W2154" s="83" t="s">
        <v>103</v>
      </c>
      <c r="X2154" s="83">
        <v>0</v>
      </c>
    </row>
    <row r="2155" spans="1:25" x14ac:dyDescent="0.2">
      <c r="A2155" s="83">
        <v>1</v>
      </c>
      <c r="B2155" s="84">
        <v>5701603308723</v>
      </c>
      <c r="C2155" s="83">
        <v>30</v>
      </c>
      <c r="D2155" s="84">
        <v>5980623308</v>
      </c>
      <c r="F2155" s="83" t="s">
        <v>103</v>
      </c>
      <c r="G2155" s="83">
        <v>0</v>
      </c>
      <c r="H2155" s="83">
        <v>100</v>
      </c>
      <c r="K2155" s="83">
        <v>1</v>
      </c>
      <c r="L2155" s="83" t="s">
        <v>101</v>
      </c>
      <c r="M2155" s="83" t="s">
        <v>410</v>
      </c>
      <c r="N2155" s="83" t="s">
        <v>102</v>
      </c>
      <c r="P2155" s="83">
        <v>0</v>
      </c>
      <c r="U2155" s="83">
        <v>4</v>
      </c>
      <c r="V2155" s="83">
        <v>1</v>
      </c>
      <c r="W2155" s="83" t="s">
        <v>103</v>
      </c>
      <c r="X2155" s="83">
        <v>0</v>
      </c>
    </row>
    <row r="2156" spans="1:25" x14ac:dyDescent="0.2">
      <c r="A2156" s="83">
        <v>1</v>
      </c>
      <c r="B2156" s="84">
        <v>5701603308723</v>
      </c>
      <c r="C2156" s="83">
        <v>40</v>
      </c>
      <c r="D2156" s="84">
        <v>5980823308</v>
      </c>
      <c r="F2156" s="83" t="s">
        <v>103</v>
      </c>
      <c r="G2156" s="83">
        <v>0</v>
      </c>
      <c r="H2156" s="83">
        <v>100</v>
      </c>
      <c r="K2156" s="83">
        <v>1</v>
      </c>
      <c r="L2156" s="83" t="s">
        <v>101</v>
      </c>
      <c r="M2156" s="83" t="s">
        <v>410</v>
      </c>
      <c r="N2156" s="83" t="s">
        <v>102</v>
      </c>
      <c r="P2156" s="83">
        <v>0</v>
      </c>
      <c r="U2156" s="83">
        <v>4</v>
      </c>
      <c r="V2156" s="83">
        <v>1</v>
      </c>
      <c r="W2156" s="83" t="s">
        <v>103</v>
      </c>
      <c r="X2156" s="83">
        <v>0</v>
      </c>
    </row>
    <row r="2157" spans="1:25" x14ac:dyDescent="0.2">
      <c r="A2157" s="83">
        <v>1</v>
      </c>
      <c r="B2157" s="84">
        <v>5701603308723</v>
      </c>
      <c r="C2157" s="83">
        <v>50</v>
      </c>
      <c r="D2157" s="84">
        <v>5980933308</v>
      </c>
      <c r="F2157" s="83" t="s">
        <v>103</v>
      </c>
      <c r="G2157" s="83">
        <v>0</v>
      </c>
      <c r="H2157" s="83">
        <v>100</v>
      </c>
      <c r="K2157" s="83">
        <v>1</v>
      </c>
      <c r="L2157" s="83" t="s">
        <v>101</v>
      </c>
      <c r="M2157" s="83" t="s">
        <v>410</v>
      </c>
      <c r="N2157" s="83" t="s">
        <v>102</v>
      </c>
      <c r="P2157" s="83">
        <v>0</v>
      </c>
      <c r="U2157" s="83">
        <v>4</v>
      </c>
      <c r="V2157" s="83">
        <v>1</v>
      </c>
      <c r="W2157" s="83" t="s">
        <v>103</v>
      </c>
      <c r="X2157" s="83">
        <v>0</v>
      </c>
    </row>
    <row r="2158" spans="1:25" x14ac:dyDescent="0.2">
      <c r="A2158" s="83">
        <v>1</v>
      </c>
      <c r="B2158" s="84">
        <v>5701603308723</v>
      </c>
      <c r="C2158" s="83">
        <v>60</v>
      </c>
      <c r="D2158" s="84">
        <v>1010286</v>
      </c>
      <c r="F2158" s="83" t="s">
        <v>103</v>
      </c>
      <c r="G2158" s="83">
        <v>0</v>
      </c>
      <c r="H2158" s="83">
        <v>100</v>
      </c>
      <c r="K2158" s="83">
        <v>8</v>
      </c>
      <c r="L2158" s="83" t="s">
        <v>101</v>
      </c>
      <c r="M2158" s="83" t="s">
        <v>410</v>
      </c>
      <c r="N2158" s="83" t="s">
        <v>102</v>
      </c>
      <c r="P2158" s="83">
        <v>0</v>
      </c>
      <c r="U2158" s="83">
        <v>4</v>
      </c>
      <c r="V2158" s="83">
        <v>1</v>
      </c>
      <c r="W2158" s="83" t="s">
        <v>103</v>
      </c>
      <c r="X2158" s="83">
        <v>0</v>
      </c>
    </row>
    <row r="2159" spans="1:25" x14ac:dyDescent="0.2">
      <c r="A2159" s="83">
        <v>1</v>
      </c>
      <c r="B2159" s="84">
        <v>5701603308723</v>
      </c>
      <c r="C2159" s="83">
        <v>70</v>
      </c>
      <c r="D2159" s="84">
        <v>1010288</v>
      </c>
      <c r="F2159" s="83" t="s">
        <v>103</v>
      </c>
      <c r="G2159" s="83">
        <v>0</v>
      </c>
      <c r="H2159" s="83">
        <v>100</v>
      </c>
      <c r="K2159" s="83">
        <v>4</v>
      </c>
      <c r="L2159" s="83" t="s">
        <v>101</v>
      </c>
      <c r="M2159" s="83" t="s">
        <v>410</v>
      </c>
      <c r="N2159" s="83" t="s">
        <v>102</v>
      </c>
      <c r="P2159" s="83">
        <v>0</v>
      </c>
      <c r="U2159" s="83">
        <v>4</v>
      </c>
      <c r="V2159" s="83">
        <v>1</v>
      </c>
      <c r="W2159" s="83" t="s">
        <v>103</v>
      </c>
      <c r="X2159" s="83">
        <v>0</v>
      </c>
    </row>
    <row r="2160" spans="1:25" x14ac:dyDescent="0.2">
      <c r="A2160" s="83">
        <v>1</v>
      </c>
      <c r="B2160" s="84">
        <v>5701603308723</v>
      </c>
      <c r="C2160" s="83">
        <v>80</v>
      </c>
      <c r="D2160" s="84">
        <v>1020145</v>
      </c>
      <c r="F2160" s="83" t="s">
        <v>103</v>
      </c>
      <c r="G2160" s="83">
        <v>0</v>
      </c>
      <c r="H2160" s="83">
        <v>100</v>
      </c>
      <c r="K2160" s="83" t="s">
        <v>408</v>
      </c>
      <c r="L2160" s="83" t="s">
        <v>101</v>
      </c>
      <c r="M2160" s="83" t="s">
        <v>410</v>
      </c>
      <c r="N2160" s="83" t="s">
        <v>102</v>
      </c>
      <c r="P2160" s="83">
        <v>0</v>
      </c>
      <c r="U2160" s="83">
        <v>4</v>
      </c>
      <c r="V2160" s="83">
        <v>1</v>
      </c>
      <c r="W2160" s="83" t="s">
        <v>103</v>
      </c>
      <c r="X2160" s="83">
        <v>0</v>
      </c>
    </row>
    <row r="2161" spans="1:25" x14ac:dyDescent="0.2">
      <c r="A2161" s="83">
        <v>1</v>
      </c>
      <c r="B2161" s="84">
        <v>5701603308723</v>
      </c>
      <c r="C2161" s="83">
        <v>90</v>
      </c>
      <c r="D2161" s="84">
        <v>777500723</v>
      </c>
      <c r="F2161" s="83" t="s">
        <v>103</v>
      </c>
      <c r="G2161" s="83">
        <v>0</v>
      </c>
      <c r="H2161" s="83">
        <v>100</v>
      </c>
      <c r="K2161" s="83">
        <v>1</v>
      </c>
      <c r="L2161" s="83" t="s">
        <v>101</v>
      </c>
      <c r="M2161" s="83" t="s">
        <v>410</v>
      </c>
      <c r="N2161" s="83" t="s">
        <v>102</v>
      </c>
      <c r="P2161" s="83">
        <v>0</v>
      </c>
      <c r="U2161" s="83">
        <v>4</v>
      </c>
      <c r="V2161" s="83">
        <v>1</v>
      </c>
      <c r="W2161" s="83" t="s">
        <v>103</v>
      </c>
      <c r="X2161" s="83">
        <v>0</v>
      </c>
    </row>
    <row r="2162" spans="1:25" x14ac:dyDescent="0.2">
      <c r="A2162" s="83">
        <v>1</v>
      </c>
      <c r="B2162" s="84">
        <v>5701603309723</v>
      </c>
      <c r="C2162" s="83">
        <v>10</v>
      </c>
      <c r="D2162" s="84">
        <v>5980463309</v>
      </c>
      <c r="F2162" s="83" t="s">
        <v>103</v>
      </c>
      <c r="G2162" s="83">
        <v>0</v>
      </c>
      <c r="H2162" s="83">
        <v>100</v>
      </c>
      <c r="K2162" s="83">
        <v>1</v>
      </c>
      <c r="L2162" s="83" t="s">
        <v>101</v>
      </c>
      <c r="M2162" s="83" t="s">
        <v>410</v>
      </c>
      <c r="N2162" s="83" t="s">
        <v>102</v>
      </c>
      <c r="P2162" s="83">
        <v>0</v>
      </c>
      <c r="U2162" s="83">
        <v>4</v>
      </c>
      <c r="V2162" s="83">
        <v>1</v>
      </c>
      <c r="W2162" s="83" t="s">
        <v>103</v>
      </c>
      <c r="X2162" s="83">
        <v>0</v>
      </c>
      <c r="Y2162" s="83" t="str">
        <f>LEFT(D2162,6)</f>
        <v>598046</v>
      </c>
    </row>
    <row r="2163" spans="1:25" x14ac:dyDescent="0.2">
      <c r="A2163" s="83">
        <v>1</v>
      </c>
      <c r="B2163" s="84">
        <v>5701603309723</v>
      </c>
      <c r="C2163" s="83">
        <v>20</v>
      </c>
      <c r="D2163" s="84">
        <v>5980543309</v>
      </c>
      <c r="F2163" s="83" t="s">
        <v>103</v>
      </c>
      <c r="G2163" s="83">
        <v>0</v>
      </c>
      <c r="H2163" s="83">
        <v>100</v>
      </c>
      <c r="K2163" s="83">
        <v>1</v>
      </c>
      <c r="L2163" s="83" t="s">
        <v>101</v>
      </c>
      <c r="M2163" s="83" t="s">
        <v>410</v>
      </c>
      <c r="N2163" s="83" t="s">
        <v>102</v>
      </c>
      <c r="P2163" s="83">
        <v>0</v>
      </c>
      <c r="U2163" s="83">
        <v>4</v>
      </c>
      <c r="V2163" s="83">
        <v>1</v>
      </c>
      <c r="W2163" s="83" t="s">
        <v>103</v>
      </c>
      <c r="X2163" s="83">
        <v>0</v>
      </c>
    </row>
    <row r="2164" spans="1:25" x14ac:dyDescent="0.2">
      <c r="A2164" s="83">
        <v>1</v>
      </c>
      <c r="B2164" s="84">
        <v>5701603309723</v>
      </c>
      <c r="C2164" s="83">
        <v>30</v>
      </c>
      <c r="D2164" s="84">
        <v>5980623309</v>
      </c>
      <c r="F2164" s="83" t="s">
        <v>103</v>
      </c>
      <c r="G2164" s="83">
        <v>0</v>
      </c>
      <c r="H2164" s="83">
        <v>100</v>
      </c>
      <c r="K2164" s="83">
        <v>1</v>
      </c>
      <c r="L2164" s="83" t="s">
        <v>101</v>
      </c>
      <c r="M2164" s="83" t="s">
        <v>410</v>
      </c>
      <c r="N2164" s="83" t="s">
        <v>102</v>
      </c>
      <c r="P2164" s="83">
        <v>0</v>
      </c>
      <c r="U2164" s="83">
        <v>4</v>
      </c>
      <c r="V2164" s="83">
        <v>1</v>
      </c>
      <c r="W2164" s="83" t="s">
        <v>103</v>
      </c>
      <c r="X2164" s="83">
        <v>0</v>
      </c>
    </row>
    <row r="2165" spans="1:25" x14ac:dyDescent="0.2">
      <c r="A2165" s="83">
        <v>1</v>
      </c>
      <c r="B2165" s="84">
        <v>5701603309723</v>
      </c>
      <c r="C2165" s="83">
        <v>40</v>
      </c>
      <c r="D2165" s="84">
        <v>5980823309</v>
      </c>
      <c r="F2165" s="83" t="s">
        <v>103</v>
      </c>
      <c r="G2165" s="83">
        <v>0</v>
      </c>
      <c r="H2165" s="83">
        <v>100</v>
      </c>
      <c r="K2165" s="83">
        <v>1</v>
      </c>
      <c r="L2165" s="83" t="s">
        <v>101</v>
      </c>
      <c r="M2165" s="83" t="s">
        <v>410</v>
      </c>
      <c r="N2165" s="83" t="s">
        <v>102</v>
      </c>
      <c r="P2165" s="83">
        <v>0</v>
      </c>
      <c r="U2165" s="83">
        <v>4</v>
      </c>
      <c r="V2165" s="83">
        <v>1</v>
      </c>
      <c r="W2165" s="83" t="s">
        <v>103</v>
      </c>
      <c r="X2165" s="83">
        <v>0</v>
      </c>
    </row>
    <row r="2166" spans="1:25" x14ac:dyDescent="0.2">
      <c r="A2166" s="83">
        <v>1</v>
      </c>
      <c r="B2166" s="84">
        <v>5701603309723</v>
      </c>
      <c r="C2166" s="83">
        <v>50</v>
      </c>
      <c r="D2166" s="84">
        <v>5980933309</v>
      </c>
      <c r="F2166" s="83" t="s">
        <v>103</v>
      </c>
      <c r="G2166" s="83">
        <v>0</v>
      </c>
      <c r="H2166" s="83">
        <v>100</v>
      </c>
      <c r="K2166" s="83">
        <v>1</v>
      </c>
      <c r="L2166" s="83" t="s">
        <v>101</v>
      </c>
      <c r="M2166" s="83" t="s">
        <v>410</v>
      </c>
      <c r="N2166" s="83" t="s">
        <v>102</v>
      </c>
      <c r="P2166" s="83">
        <v>0</v>
      </c>
      <c r="U2166" s="83">
        <v>4</v>
      </c>
      <c r="V2166" s="83">
        <v>1</v>
      </c>
      <c r="W2166" s="83" t="s">
        <v>103</v>
      </c>
      <c r="X2166" s="83">
        <v>0</v>
      </c>
    </row>
    <row r="2167" spans="1:25" x14ac:dyDescent="0.2">
      <c r="A2167" s="83">
        <v>1</v>
      </c>
      <c r="B2167" s="84">
        <v>5701603309723</v>
      </c>
      <c r="C2167" s="83">
        <v>60</v>
      </c>
      <c r="D2167" s="84">
        <v>1010286</v>
      </c>
      <c r="F2167" s="83" t="s">
        <v>103</v>
      </c>
      <c r="G2167" s="83">
        <v>0</v>
      </c>
      <c r="H2167" s="83">
        <v>100</v>
      </c>
      <c r="K2167" s="83">
        <v>8</v>
      </c>
      <c r="L2167" s="83" t="s">
        <v>101</v>
      </c>
      <c r="M2167" s="83" t="s">
        <v>410</v>
      </c>
      <c r="N2167" s="83" t="s">
        <v>102</v>
      </c>
      <c r="P2167" s="83">
        <v>0</v>
      </c>
      <c r="U2167" s="83">
        <v>4</v>
      </c>
      <c r="V2167" s="83">
        <v>1</v>
      </c>
      <c r="W2167" s="83" t="s">
        <v>103</v>
      </c>
      <c r="X2167" s="83">
        <v>0</v>
      </c>
    </row>
    <row r="2168" spans="1:25" x14ac:dyDescent="0.2">
      <c r="A2168" s="83">
        <v>1</v>
      </c>
      <c r="B2168" s="84">
        <v>5701603309723</v>
      </c>
      <c r="C2168" s="83">
        <v>70</v>
      </c>
      <c r="D2168" s="84">
        <v>1010287</v>
      </c>
      <c r="F2168" s="83" t="s">
        <v>103</v>
      </c>
      <c r="G2168" s="83">
        <v>0</v>
      </c>
      <c r="H2168" s="83">
        <v>100</v>
      </c>
      <c r="K2168" s="83">
        <v>4</v>
      </c>
      <c r="L2168" s="83" t="s">
        <v>101</v>
      </c>
      <c r="M2168" s="83" t="s">
        <v>410</v>
      </c>
      <c r="N2168" s="83" t="s">
        <v>102</v>
      </c>
      <c r="P2168" s="83">
        <v>0</v>
      </c>
      <c r="U2168" s="83">
        <v>4</v>
      </c>
      <c r="V2168" s="83">
        <v>1</v>
      </c>
      <c r="W2168" s="83" t="s">
        <v>103</v>
      </c>
      <c r="X2168" s="83">
        <v>0</v>
      </c>
    </row>
    <row r="2169" spans="1:25" x14ac:dyDescent="0.2">
      <c r="A2169" s="83">
        <v>1</v>
      </c>
      <c r="B2169" s="84">
        <v>5701603309723</v>
      </c>
      <c r="C2169" s="83">
        <v>80</v>
      </c>
      <c r="D2169" s="84">
        <v>1020145</v>
      </c>
      <c r="F2169" s="83" t="s">
        <v>103</v>
      </c>
      <c r="G2169" s="83">
        <v>0</v>
      </c>
      <c r="H2169" s="83">
        <v>100</v>
      </c>
      <c r="K2169" s="83" t="s">
        <v>408</v>
      </c>
      <c r="L2169" s="83" t="s">
        <v>101</v>
      </c>
      <c r="M2169" s="83" t="s">
        <v>410</v>
      </c>
      <c r="N2169" s="83" t="s">
        <v>102</v>
      </c>
      <c r="P2169" s="83">
        <v>0</v>
      </c>
      <c r="U2169" s="83">
        <v>4</v>
      </c>
      <c r="V2169" s="83">
        <v>1</v>
      </c>
      <c r="W2169" s="83" t="s">
        <v>103</v>
      </c>
      <c r="X2169" s="83">
        <v>0</v>
      </c>
    </row>
    <row r="2170" spans="1:25" x14ac:dyDescent="0.2">
      <c r="A2170" s="83">
        <v>1</v>
      </c>
      <c r="B2170" s="84">
        <v>5701603309723</v>
      </c>
      <c r="C2170" s="83">
        <v>90</v>
      </c>
      <c r="D2170" s="84">
        <v>777500723</v>
      </c>
      <c r="F2170" s="83" t="s">
        <v>103</v>
      </c>
      <c r="G2170" s="83">
        <v>0</v>
      </c>
      <c r="H2170" s="83">
        <v>100</v>
      </c>
      <c r="K2170" s="83">
        <v>1</v>
      </c>
      <c r="L2170" s="83" t="s">
        <v>101</v>
      </c>
      <c r="M2170" s="83" t="s">
        <v>410</v>
      </c>
      <c r="N2170" s="83" t="s">
        <v>102</v>
      </c>
      <c r="P2170" s="83">
        <v>0</v>
      </c>
      <c r="U2170" s="83">
        <v>4</v>
      </c>
      <c r="V2170" s="83">
        <v>1</v>
      </c>
      <c r="W2170" s="83" t="s">
        <v>103</v>
      </c>
      <c r="X2170" s="83">
        <v>0</v>
      </c>
    </row>
    <row r="2171" spans="1:25" x14ac:dyDescent="0.2">
      <c r="A2171" s="83">
        <v>1</v>
      </c>
      <c r="B2171" s="84">
        <v>5701603310723</v>
      </c>
      <c r="C2171" s="83">
        <v>10</v>
      </c>
      <c r="D2171" s="84">
        <v>5980463310</v>
      </c>
      <c r="F2171" s="83" t="s">
        <v>103</v>
      </c>
      <c r="G2171" s="83">
        <v>0</v>
      </c>
      <c r="H2171" s="83">
        <v>100</v>
      </c>
      <c r="K2171" s="83">
        <v>1</v>
      </c>
      <c r="L2171" s="83" t="s">
        <v>101</v>
      </c>
      <c r="M2171" s="83" t="s">
        <v>410</v>
      </c>
      <c r="N2171" s="83" t="s">
        <v>102</v>
      </c>
      <c r="P2171" s="83">
        <v>0</v>
      </c>
      <c r="U2171" s="83">
        <v>4</v>
      </c>
      <c r="V2171" s="83">
        <v>1</v>
      </c>
      <c r="W2171" s="83" t="s">
        <v>103</v>
      </c>
      <c r="X2171" s="83">
        <v>0</v>
      </c>
      <c r="Y2171" s="83" t="str">
        <f>LEFT(D2171,6)</f>
        <v>598046</v>
      </c>
    </row>
    <row r="2172" spans="1:25" x14ac:dyDescent="0.2">
      <c r="A2172" s="83">
        <v>1</v>
      </c>
      <c r="B2172" s="84">
        <v>5701603310723</v>
      </c>
      <c r="C2172" s="83">
        <v>20</v>
      </c>
      <c r="D2172" s="84">
        <v>5980543310</v>
      </c>
      <c r="F2172" s="83" t="s">
        <v>103</v>
      </c>
      <c r="G2172" s="83">
        <v>0</v>
      </c>
      <c r="H2172" s="83">
        <v>100</v>
      </c>
      <c r="K2172" s="83">
        <v>1</v>
      </c>
      <c r="L2172" s="83" t="s">
        <v>101</v>
      </c>
      <c r="M2172" s="83" t="s">
        <v>410</v>
      </c>
      <c r="N2172" s="83" t="s">
        <v>102</v>
      </c>
      <c r="P2172" s="83">
        <v>0</v>
      </c>
      <c r="U2172" s="83">
        <v>4</v>
      </c>
      <c r="V2172" s="83">
        <v>1</v>
      </c>
      <c r="W2172" s="83" t="s">
        <v>103</v>
      </c>
      <c r="X2172" s="83">
        <v>0</v>
      </c>
    </row>
    <row r="2173" spans="1:25" x14ac:dyDescent="0.2">
      <c r="A2173" s="83">
        <v>1</v>
      </c>
      <c r="B2173" s="84">
        <v>5701603310723</v>
      </c>
      <c r="C2173" s="83">
        <v>30</v>
      </c>
      <c r="D2173" s="84">
        <v>5980623310</v>
      </c>
      <c r="F2173" s="83" t="s">
        <v>103</v>
      </c>
      <c r="G2173" s="83">
        <v>0</v>
      </c>
      <c r="H2173" s="83">
        <v>100</v>
      </c>
      <c r="K2173" s="83">
        <v>1</v>
      </c>
      <c r="L2173" s="83" t="s">
        <v>101</v>
      </c>
      <c r="M2173" s="83" t="s">
        <v>410</v>
      </c>
      <c r="N2173" s="83" t="s">
        <v>102</v>
      </c>
      <c r="P2173" s="83">
        <v>0</v>
      </c>
      <c r="U2173" s="83">
        <v>4</v>
      </c>
      <c r="V2173" s="83">
        <v>1</v>
      </c>
      <c r="W2173" s="83" t="s">
        <v>103</v>
      </c>
      <c r="X2173" s="83">
        <v>0</v>
      </c>
    </row>
    <row r="2174" spans="1:25" x14ac:dyDescent="0.2">
      <c r="A2174" s="83">
        <v>1</v>
      </c>
      <c r="B2174" s="84">
        <v>5701603310723</v>
      </c>
      <c r="C2174" s="83">
        <v>40</v>
      </c>
      <c r="D2174" s="84">
        <v>5980823310</v>
      </c>
      <c r="F2174" s="83" t="s">
        <v>103</v>
      </c>
      <c r="G2174" s="83">
        <v>0</v>
      </c>
      <c r="H2174" s="83">
        <v>100</v>
      </c>
      <c r="K2174" s="83">
        <v>1</v>
      </c>
      <c r="L2174" s="83" t="s">
        <v>101</v>
      </c>
      <c r="M2174" s="83" t="s">
        <v>410</v>
      </c>
      <c r="N2174" s="83" t="s">
        <v>102</v>
      </c>
      <c r="P2174" s="83">
        <v>0</v>
      </c>
      <c r="U2174" s="83">
        <v>4</v>
      </c>
      <c r="V2174" s="83">
        <v>1</v>
      </c>
      <c r="W2174" s="83" t="s">
        <v>103</v>
      </c>
      <c r="X2174" s="83">
        <v>0</v>
      </c>
    </row>
    <row r="2175" spans="1:25" x14ac:dyDescent="0.2">
      <c r="A2175" s="83">
        <v>1</v>
      </c>
      <c r="B2175" s="84">
        <v>5701603310723</v>
      </c>
      <c r="C2175" s="83">
        <v>50</v>
      </c>
      <c r="D2175" s="84">
        <v>5980933310</v>
      </c>
      <c r="F2175" s="83" t="s">
        <v>103</v>
      </c>
      <c r="G2175" s="83">
        <v>0</v>
      </c>
      <c r="H2175" s="83">
        <v>100</v>
      </c>
      <c r="K2175" s="83">
        <v>1</v>
      </c>
      <c r="L2175" s="83" t="s">
        <v>101</v>
      </c>
      <c r="M2175" s="83" t="s">
        <v>410</v>
      </c>
      <c r="N2175" s="83" t="s">
        <v>102</v>
      </c>
      <c r="P2175" s="83">
        <v>0</v>
      </c>
      <c r="U2175" s="83">
        <v>4</v>
      </c>
      <c r="V2175" s="83">
        <v>1</v>
      </c>
      <c r="W2175" s="83" t="s">
        <v>103</v>
      </c>
      <c r="X2175" s="83">
        <v>0</v>
      </c>
    </row>
    <row r="2176" spans="1:25" x14ac:dyDescent="0.2">
      <c r="A2176" s="83">
        <v>1</v>
      </c>
      <c r="B2176" s="84">
        <v>5701603310723</v>
      </c>
      <c r="C2176" s="83">
        <v>60</v>
      </c>
      <c r="D2176" s="84">
        <v>1010286</v>
      </c>
      <c r="F2176" s="83" t="s">
        <v>103</v>
      </c>
      <c r="G2176" s="83">
        <v>0</v>
      </c>
      <c r="H2176" s="83">
        <v>100</v>
      </c>
      <c r="K2176" s="83">
        <v>8</v>
      </c>
      <c r="L2176" s="83" t="s">
        <v>101</v>
      </c>
      <c r="M2176" s="83" t="s">
        <v>410</v>
      </c>
      <c r="N2176" s="83" t="s">
        <v>102</v>
      </c>
      <c r="P2176" s="83">
        <v>0</v>
      </c>
      <c r="U2176" s="83">
        <v>4</v>
      </c>
      <c r="V2176" s="83">
        <v>1</v>
      </c>
      <c r="W2176" s="83" t="s">
        <v>103</v>
      </c>
      <c r="X2176" s="83">
        <v>0</v>
      </c>
    </row>
    <row r="2177" spans="1:25" x14ac:dyDescent="0.2">
      <c r="A2177" s="83">
        <v>1</v>
      </c>
      <c r="B2177" s="84">
        <v>5701603310723</v>
      </c>
      <c r="C2177" s="83">
        <v>70</v>
      </c>
      <c r="D2177" s="84">
        <v>1010287</v>
      </c>
      <c r="F2177" s="83" t="s">
        <v>103</v>
      </c>
      <c r="G2177" s="83">
        <v>0</v>
      </c>
      <c r="H2177" s="83">
        <v>100</v>
      </c>
      <c r="K2177" s="83">
        <v>4</v>
      </c>
      <c r="L2177" s="83" t="s">
        <v>101</v>
      </c>
      <c r="M2177" s="83" t="s">
        <v>410</v>
      </c>
      <c r="N2177" s="83" t="s">
        <v>102</v>
      </c>
      <c r="P2177" s="83">
        <v>0</v>
      </c>
      <c r="U2177" s="83">
        <v>4</v>
      </c>
      <c r="V2177" s="83">
        <v>1</v>
      </c>
      <c r="W2177" s="83" t="s">
        <v>103</v>
      </c>
      <c r="X2177" s="83">
        <v>0</v>
      </c>
    </row>
    <row r="2178" spans="1:25" x14ac:dyDescent="0.2">
      <c r="A2178" s="83">
        <v>1</v>
      </c>
      <c r="B2178" s="84">
        <v>5701603310723</v>
      </c>
      <c r="C2178" s="83">
        <v>80</v>
      </c>
      <c r="D2178" s="84">
        <v>1020145</v>
      </c>
      <c r="F2178" s="83" t="s">
        <v>103</v>
      </c>
      <c r="G2178" s="83">
        <v>0</v>
      </c>
      <c r="H2178" s="83">
        <v>100</v>
      </c>
      <c r="K2178" s="83" t="s">
        <v>408</v>
      </c>
      <c r="L2178" s="83" t="s">
        <v>101</v>
      </c>
      <c r="M2178" s="83" t="s">
        <v>410</v>
      </c>
      <c r="N2178" s="83" t="s">
        <v>102</v>
      </c>
      <c r="P2178" s="83">
        <v>0</v>
      </c>
      <c r="U2178" s="83">
        <v>4</v>
      </c>
      <c r="V2178" s="83">
        <v>1</v>
      </c>
      <c r="W2178" s="83" t="s">
        <v>103</v>
      </c>
      <c r="X2178" s="83">
        <v>0</v>
      </c>
    </row>
    <row r="2179" spans="1:25" x14ac:dyDescent="0.2">
      <c r="A2179" s="83">
        <v>1</v>
      </c>
      <c r="B2179" s="84">
        <v>5701603310723</v>
      </c>
      <c r="C2179" s="83">
        <v>90</v>
      </c>
      <c r="D2179" s="84">
        <v>777500723</v>
      </c>
      <c r="F2179" s="83" t="s">
        <v>103</v>
      </c>
      <c r="G2179" s="83">
        <v>0</v>
      </c>
      <c r="H2179" s="83">
        <v>100</v>
      </c>
      <c r="K2179" s="83">
        <v>1</v>
      </c>
      <c r="L2179" s="83" t="s">
        <v>101</v>
      </c>
      <c r="M2179" s="83" t="s">
        <v>410</v>
      </c>
      <c r="N2179" s="83" t="s">
        <v>102</v>
      </c>
      <c r="P2179" s="83">
        <v>0</v>
      </c>
      <c r="U2179" s="83">
        <v>4</v>
      </c>
      <c r="V2179" s="83">
        <v>1</v>
      </c>
      <c r="W2179" s="83" t="s">
        <v>103</v>
      </c>
      <c r="X2179" s="83">
        <v>0</v>
      </c>
    </row>
    <row r="2180" spans="1:25" x14ac:dyDescent="0.2">
      <c r="A2180" s="83">
        <v>1</v>
      </c>
      <c r="B2180" s="84">
        <v>5701603300725</v>
      </c>
      <c r="C2180" s="83">
        <v>10</v>
      </c>
      <c r="D2180" s="84">
        <v>5980463399</v>
      </c>
      <c r="F2180" s="83" t="s">
        <v>103</v>
      </c>
      <c r="G2180" s="83">
        <v>0</v>
      </c>
      <c r="H2180" s="83">
        <v>100</v>
      </c>
      <c r="K2180" s="83">
        <v>1</v>
      </c>
      <c r="L2180" s="83" t="s">
        <v>101</v>
      </c>
      <c r="M2180" s="83" t="s">
        <v>410</v>
      </c>
      <c r="N2180" s="83" t="s">
        <v>102</v>
      </c>
      <c r="P2180" s="83">
        <v>0</v>
      </c>
      <c r="U2180" s="83">
        <v>4</v>
      </c>
      <c r="V2180" s="83">
        <v>1</v>
      </c>
      <c r="W2180" s="83" t="s">
        <v>103</v>
      </c>
      <c r="X2180" s="83">
        <v>0</v>
      </c>
      <c r="Y2180" s="83" t="str">
        <f>LEFT(D2180,6)</f>
        <v>598046</v>
      </c>
    </row>
    <row r="2181" spans="1:25" x14ac:dyDescent="0.2">
      <c r="A2181" s="83">
        <v>1</v>
      </c>
      <c r="B2181" s="84">
        <v>5701603300725</v>
      </c>
      <c r="C2181" s="83">
        <v>20</v>
      </c>
      <c r="D2181" s="84">
        <v>5980543399</v>
      </c>
      <c r="F2181" s="83" t="s">
        <v>103</v>
      </c>
      <c r="G2181" s="83">
        <v>0</v>
      </c>
      <c r="H2181" s="83">
        <v>100</v>
      </c>
      <c r="K2181" s="83">
        <v>1</v>
      </c>
      <c r="L2181" s="83" t="s">
        <v>101</v>
      </c>
      <c r="M2181" s="83" t="s">
        <v>410</v>
      </c>
      <c r="N2181" s="83" t="s">
        <v>102</v>
      </c>
      <c r="P2181" s="83">
        <v>0</v>
      </c>
      <c r="U2181" s="83">
        <v>4</v>
      </c>
      <c r="V2181" s="83">
        <v>1</v>
      </c>
      <c r="W2181" s="83" t="s">
        <v>103</v>
      </c>
      <c r="X2181" s="83">
        <v>0</v>
      </c>
    </row>
    <row r="2182" spans="1:25" x14ac:dyDescent="0.2">
      <c r="A2182" s="83">
        <v>1</v>
      </c>
      <c r="B2182" s="84">
        <v>5701603300725</v>
      </c>
      <c r="C2182" s="83">
        <v>30</v>
      </c>
      <c r="D2182" s="84">
        <v>5980623399</v>
      </c>
      <c r="F2182" s="83" t="s">
        <v>103</v>
      </c>
      <c r="G2182" s="83">
        <v>0</v>
      </c>
      <c r="H2182" s="83">
        <v>100</v>
      </c>
      <c r="K2182" s="83">
        <v>1</v>
      </c>
      <c r="L2182" s="83" t="s">
        <v>101</v>
      </c>
      <c r="M2182" s="83" t="s">
        <v>410</v>
      </c>
      <c r="N2182" s="83" t="s">
        <v>102</v>
      </c>
      <c r="P2182" s="83">
        <v>0</v>
      </c>
      <c r="U2182" s="83">
        <v>4</v>
      </c>
      <c r="V2182" s="83">
        <v>1</v>
      </c>
      <c r="W2182" s="83" t="s">
        <v>103</v>
      </c>
      <c r="X2182" s="83">
        <v>0</v>
      </c>
    </row>
    <row r="2183" spans="1:25" x14ac:dyDescent="0.2">
      <c r="A2183" s="83">
        <v>1</v>
      </c>
      <c r="B2183" s="84">
        <v>5701603300725</v>
      </c>
      <c r="C2183" s="83">
        <v>40</v>
      </c>
      <c r="D2183" s="84">
        <v>5980823399</v>
      </c>
      <c r="F2183" s="83" t="s">
        <v>103</v>
      </c>
      <c r="G2183" s="83">
        <v>0</v>
      </c>
      <c r="H2183" s="83">
        <v>100</v>
      </c>
      <c r="K2183" s="83">
        <v>1</v>
      </c>
      <c r="L2183" s="83" t="s">
        <v>101</v>
      </c>
      <c r="M2183" s="83" t="s">
        <v>410</v>
      </c>
      <c r="N2183" s="83" t="s">
        <v>102</v>
      </c>
      <c r="P2183" s="83">
        <v>0</v>
      </c>
      <c r="U2183" s="83">
        <v>4</v>
      </c>
      <c r="V2183" s="83">
        <v>1</v>
      </c>
      <c r="W2183" s="83" t="s">
        <v>103</v>
      </c>
      <c r="X2183" s="83">
        <v>0</v>
      </c>
    </row>
    <row r="2184" spans="1:25" x14ac:dyDescent="0.2">
      <c r="A2184" s="83">
        <v>1</v>
      </c>
      <c r="B2184" s="84">
        <v>5701603300725</v>
      </c>
      <c r="C2184" s="83">
        <v>50</v>
      </c>
      <c r="D2184" s="85">
        <v>1010277</v>
      </c>
      <c r="F2184" s="83" t="s">
        <v>103</v>
      </c>
      <c r="G2184" s="83">
        <v>0</v>
      </c>
      <c r="H2184" s="83">
        <v>100</v>
      </c>
      <c r="K2184" s="83">
        <v>1</v>
      </c>
      <c r="L2184" s="83" t="s">
        <v>101</v>
      </c>
      <c r="M2184" s="83" t="s">
        <v>410</v>
      </c>
      <c r="N2184" s="83" t="s">
        <v>102</v>
      </c>
      <c r="P2184" s="83">
        <v>0</v>
      </c>
      <c r="U2184" s="83">
        <v>4</v>
      </c>
      <c r="V2184" s="83">
        <v>1</v>
      </c>
      <c r="W2184" s="83" t="s">
        <v>103</v>
      </c>
      <c r="X2184" s="83">
        <v>0</v>
      </c>
    </row>
    <row r="2185" spans="1:25" x14ac:dyDescent="0.2">
      <c r="A2185" s="83">
        <v>1</v>
      </c>
      <c r="B2185" s="84">
        <v>5701603300725</v>
      </c>
      <c r="C2185" s="83">
        <v>60</v>
      </c>
      <c r="D2185" s="84">
        <v>1010286</v>
      </c>
      <c r="F2185" s="83" t="s">
        <v>103</v>
      </c>
      <c r="G2185" s="83">
        <v>0</v>
      </c>
      <c r="H2185" s="83">
        <v>100</v>
      </c>
      <c r="K2185" s="83">
        <v>8</v>
      </c>
      <c r="L2185" s="83" t="s">
        <v>101</v>
      </c>
      <c r="M2185" s="83" t="s">
        <v>410</v>
      </c>
      <c r="N2185" s="83" t="s">
        <v>102</v>
      </c>
      <c r="P2185" s="83">
        <v>0</v>
      </c>
      <c r="U2185" s="83">
        <v>4</v>
      </c>
      <c r="V2185" s="83">
        <v>1</v>
      </c>
      <c r="W2185" s="83" t="s">
        <v>103</v>
      </c>
      <c r="X2185" s="83">
        <v>0</v>
      </c>
    </row>
    <row r="2186" spans="1:25" x14ac:dyDescent="0.2">
      <c r="A2186" s="83">
        <v>1</v>
      </c>
      <c r="B2186" s="84">
        <v>5701603300725</v>
      </c>
      <c r="C2186" s="83">
        <v>70</v>
      </c>
      <c r="D2186" s="84">
        <v>1010287</v>
      </c>
      <c r="F2186" s="83" t="s">
        <v>103</v>
      </c>
      <c r="G2186" s="83">
        <v>0</v>
      </c>
      <c r="H2186" s="83">
        <v>100</v>
      </c>
      <c r="K2186" s="83">
        <v>4</v>
      </c>
      <c r="L2186" s="83" t="s">
        <v>101</v>
      </c>
      <c r="M2186" s="83" t="s">
        <v>410</v>
      </c>
      <c r="N2186" s="83" t="s">
        <v>102</v>
      </c>
      <c r="P2186" s="83">
        <v>0</v>
      </c>
      <c r="U2186" s="83">
        <v>4</v>
      </c>
      <c r="V2186" s="83">
        <v>1</v>
      </c>
      <c r="W2186" s="83" t="s">
        <v>103</v>
      </c>
      <c r="X2186" s="83">
        <v>0</v>
      </c>
    </row>
    <row r="2187" spans="1:25" x14ac:dyDescent="0.2">
      <c r="A2187" s="83">
        <v>1</v>
      </c>
      <c r="B2187" s="84">
        <v>5701603300725</v>
      </c>
      <c r="C2187" s="83">
        <v>80</v>
      </c>
      <c r="D2187" s="84">
        <v>1020145</v>
      </c>
      <c r="F2187" s="83" t="s">
        <v>103</v>
      </c>
      <c r="G2187" s="83">
        <v>0</v>
      </c>
      <c r="H2187" s="83">
        <v>100</v>
      </c>
      <c r="K2187" s="83" t="s">
        <v>408</v>
      </c>
      <c r="L2187" s="83" t="s">
        <v>101</v>
      </c>
      <c r="M2187" s="83" t="s">
        <v>410</v>
      </c>
      <c r="N2187" s="83" t="s">
        <v>102</v>
      </c>
      <c r="P2187" s="83">
        <v>0</v>
      </c>
      <c r="U2187" s="83">
        <v>4</v>
      </c>
      <c r="V2187" s="83">
        <v>1</v>
      </c>
      <c r="W2187" s="83" t="s">
        <v>103</v>
      </c>
      <c r="X2187" s="83">
        <v>0</v>
      </c>
    </row>
    <row r="2188" spans="1:25" x14ac:dyDescent="0.2">
      <c r="A2188" s="83">
        <v>1</v>
      </c>
      <c r="B2188" s="84">
        <v>5701603300725</v>
      </c>
      <c r="C2188" s="83">
        <v>90</v>
      </c>
      <c r="D2188" s="84">
        <v>777500725</v>
      </c>
      <c r="F2188" s="83" t="s">
        <v>103</v>
      </c>
      <c r="G2188" s="83">
        <v>0</v>
      </c>
      <c r="H2188" s="83">
        <v>100</v>
      </c>
      <c r="K2188" s="83">
        <v>1</v>
      </c>
      <c r="L2188" s="83" t="s">
        <v>101</v>
      </c>
      <c r="M2188" s="83" t="s">
        <v>410</v>
      </c>
      <c r="N2188" s="83" t="s">
        <v>102</v>
      </c>
      <c r="P2188" s="83">
        <v>0</v>
      </c>
      <c r="U2188" s="83">
        <v>4</v>
      </c>
      <c r="V2188" s="83">
        <v>1</v>
      </c>
      <c r="W2188" s="83" t="s">
        <v>103</v>
      </c>
      <c r="X2188" s="83">
        <v>0</v>
      </c>
    </row>
    <row r="2189" spans="1:25" x14ac:dyDescent="0.2">
      <c r="A2189" s="83">
        <v>1</v>
      </c>
      <c r="B2189" s="84">
        <v>5701603301725</v>
      </c>
      <c r="C2189" s="83">
        <v>10</v>
      </c>
      <c r="D2189" s="84">
        <v>5980463301</v>
      </c>
      <c r="F2189" s="83" t="s">
        <v>103</v>
      </c>
      <c r="G2189" s="83">
        <v>0</v>
      </c>
      <c r="H2189" s="83">
        <v>100</v>
      </c>
      <c r="K2189" s="83">
        <v>1</v>
      </c>
      <c r="L2189" s="83" t="s">
        <v>101</v>
      </c>
      <c r="M2189" s="83" t="s">
        <v>410</v>
      </c>
      <c r="N2189" s="83" t="s">
        <v>102</v>
      </c>
      <c r="P2189" s="83">
        <v>0</v>
      </c>
      <c r="U2189" s="83">
        <v>4</v>
      </c>
      <c r="V2189" s="83">
        <v>1</v>
      </c>
      <c r="W2189" s="83" t="s">
        <v>103</v>
      </c>
      <c r="X2189" s="83">
        <v>0</v>
      </c>
      <c r="Y2189" s="83" t="str">
        <f>LEFT(D2189,6)</f>
        <v>598046</v>
      </c>
    </row>
    <row r="2190" spans="1:25" x14ac:dyDescent="0.2">
      <c r="A2190" s="83">
        <v>1</v>
      </c>
      <c r="B2190" s="84">
        <v>5701603301725</v>
      </c>
      <c r="C2190" s="83">
        <v>20</v>
      </c>
      <c r="D2190" s="84">
        <v>5980543301</v>
      </c>
      <c r="F2190" s="83" t="s">
        <v>103</v>
      </c>
      <c r="G2190" s="83">
        <v>0</v>
      </c>
      <c r="H2190" s="83">
        <v>100</v>
      </c>
      <c r="K2190" s="83">
        <v>1</v>
      </c>
      <c r="L2190" s="83" t="s">
        <v>101</v>
      </c>
      <c r="M2190" s="83" t="s">
        <v>410</v>
      </c>
      <c r="N2190" s="83" t="s">
        <v>102</v>
      </c>
      <c r="P2190" s="83">
        <v>0</v>
      </c>
      <c r="U2190" s="83">
        <v>4</v>
      </c>
      <c r="V2190" s="83">
        <v>1</v>
      </c>
      <c r="W2190" s="83" t="s">
        <v>103</v>
      </c>
      <c r="X2190" s="83">
        <v>0</v>
      </c>
    </row>
    <row r="2191" spans="1:25" x14ac:dyDescent="0.2">
      <c r="A2191" s="83">
        <v>1</v>
      </c>
      <c r="B2191" s="84">
        <v>5701603301725</v>
      </c>
      <c r="C2191" s="83">
        <v>30</v>
      </c>
      <c r="D2191" s="84">
        <v>5980623301</v>
      </c>
      <c r="F2191" s="83" t="s">
        <v>103</v>
      </c>
      <c r="G2191" s="83">
        <v>0</v>
      </c>
      <c r="H2191" s="83">
        <v>100</v>
      </c>
      <c r="K2191" s="83">
        <v>1</v>
      </c>
      <c r="L2191" s="83" t="s">
        <v>101</v>
      </c>
      <c r="M2191" s="83" t="s">
        <v>410</v>
      </c>
      <c r="N2191" s="83" t="s">
        <v>102</v>
      </c>
      <c r="P2191" s="83">
        <v>0</v>
      </c>
      <c r="U2191" s="83">
        <v>4</v>
      </c>
      <c r="V2191" s="83">
        <v>1</v>
      </c>
      <c r="W2191" s="83" t="s">
        <v>103</v>
      </c>
      <c r="X2191" s="83">
        <v>0</v>
      </c>
    </row>
    <row r="2192" spans="1:25" x14ac:dyDescent="0.2">
      <c r="A2192" s="83">
        <v>1</v>
      </c>
      <c r="B2192" s="84">
        <v>5701603301725</v>
      </c>
      <c r="C2192" s="83">
        <v>40</v>
      </c>
      <c r="D2192" s="84">
        <v>5980823301</v>
      </c>
      <c r="F2192" s="83" t="s">
        <v>103</v>
      </c>
      <c r="G2192" s="83">
        <v>0</v>
      </c>
      <c r="H2192" s="83">
        <v>100</v>
      </c>
      <c r="K2192" s="83">
        <v>1</v>
      </c>
      <c r="L2192" s="83" t="s">
        <v>101</v>
      </c>
      <c r="M2192" s="83" t="s">
        <v>410</v>
      </c>
      <c r="N2192" s="83" t="s">
        <v>102</v>
      </c>
      <c r="P2192" s="83">
        <v>0</v>
      </c>
      <c r="U2192" s="83">
        <v>4</v>
      </c>
      <c r="V2192" s="83">
        <v>1</v>
      </c>
      <c r="W2192" s="83" t="s">
        <v>103</v>
      </c>
      <c r="X2192" s="83">
        <v>0</v>
      </c>
    </row>
    <row r="2193" spans="1:25" x14ac:dyDescent="0.2">
      <c r="A2193" s="83">
        <v>1</v>
      </c>
      <c r="B2193" s="84">
        <v>5701603301725</v>
      </c>
      <c r="C2193" s="83">
        <v>50</v>
      </c>
      <c r="D2193" s="84">
        <v>5980933301</v>
      </c>
      <c r="F2193" s="83" t="s">
        <v>103</v>
      </c>
      <c r="G2193" s="83">
        <v>0</v>
      </c>
      <c r="H2193" s="83">
        <v>100</v>
      </c>
      <c r="K2193" s="83">
        <v>1</v>
      </c>
      <c r="L2193" s="83" t="s">
        <v>101</v>
      </c>
      <c r="M2193" s="83" t="s">
        <v>410</v>
      </c>
      <c r="N2193" s="83" t="s">
        <v>102</v>
      </c>
      <c r="P2193" s="83">
        <v>0</v>
      </c>
      <c r="U2193" s="83">
        <v>4</v>
      </c>
      <c r="V2193" s="83">
        <v>1</v>
      </c>
      <c r="W2193" s="83" t="s">
        <v>103</v>
      </c>
      <c r="X2193" s="83">
        <v>0</v>
      </c>
    </row>
    <row r="2194" spans="1:25" x14ac:dyDescent="0.2">
      <c r="A2194" s="83">
        <v>1</v>
      </c>
      <c r="B2194" s="84">
        <v>5701603301725</v>
      </c>
      <c r="C2194" s="83">
        <v>60</v>
      </c>
      <c r="D2194" s="84">
        <v>1010286</v>
      </c>
      <c r="F2194" s="83" t="s">
        <v>103</v>
      </c>
      <c r="G2194" s="83">
        <v>0</v>
      </c>
      <c r="H2194" s="83">
        <v>100</v>
      </c>
      <c r="K2194" s="83">
        <v>8</v>
      </c>
      <c r="L2194" s="83" t="s">
        <v>101</v>
      </c>
      <c r="M2194" s="83" t="s">
        <v>410</v>
      </c>
      <c r="N2194" s="83" t="s">
        <v>102</v>
      </c>
      <c r="P2194" s="83">
        <v>0</v>
      </c>
      <c r="U2194" s="83">
        <v>4</v>
      </c>
      <c r="V2194" s="83">
        <v>1</v>
      </c>
      <c r="W2194" s="83" t="s">
        <v>103</v>
      </c>
      <c r="X2194" s="83">
        <v>0</v>
      </c>
    </row>
    <row r="2195" spans="1:25" x14ac:dyDescent="0.2">
      <c r="A2195" s="83">
        <v>1</v>
      </c>
      <c r="B2195" s="84">
        <v>5701603301725</v>
      </c>
      <c r="C2195" s="83">
        <v>70</v>
      </c>
      <c r="D2195" s="84">
        <v>1010287</v>
      </c>
      <c r="F2195" s="83" t="s">
        <v>103</v>
      </c>
      <c r="G2195" s="83">
        <v>0</v>
      </c>
      <c r="H2195" s="83">
        <v>100</v>
      </c>
      <c r="K2195" s="83">
        <v>4</v>
      </c>
      <c r="L2195" s="83" t="s">
        <v>101</v>
      </c>
      <c r="M2195" s="83" t="s">
        <v>410</v>
      </c>
      <c r="N2195" s="83" t="s">
        <v>102</v>
      </c>
      <c r="P2195" s="83">
        <v>0</v>
      </c>
      <c r="U2195" s="83">
        <v>4</v>
      </c>
      <c r="V2195" s="83">
        <v>1</v>
      </c>
      <c r="W2195" s="83" t="s">
        <v>103</v>
      </c>
      <c r="X2195" s="83">
        <v>0</v>
      </c>
    </row>
    <row r="2196" spans="1:25" x14ac:dyDescent="0.2">
      <c r="A2196" s="83">
        <v>1</v>
      </c>
      <c r="B2196" s="84">
        <v>5701603301725</v>
      </c>
      <c r="C2196" s="83">
        <v>80</v>
      </c>
      <c r="D2196" s="84">
        <v>1020145</v>
      </c>
      <c r="F2196" s="83" t="s">
        <v>103</v>
      </c>
      <c r="G2196" s="83">
        <v>0</v>
      </c>
      <c r="H2196" s="83">
        <v>100</v>
      </c>
      <c r="K2196" s="83" t="s">
        <v>408</v>
      </c>
      <c r="L2196" s="83" t="s">
        <v>101</v>
      </c>
      <c r="M2196" s="83" t="s">
        <v>410</v>
      </c>
      <c r="N2196" s="83" t="s">
        <v>102</v>
      </c>
      <c r="P2196" s="83">
        <v>0</v>
      </c>
      <c r="U2196" s="83">
        <v>4</v>
      </c>
      <c r="V2196" s="83">
        <v>1</v>
      </c>
      <c r="W2196" s="83" t="s">
        <v>103</v>
      </c>
      <c r="X2196" s="83">
        <v>0</v>
      </c>
    </row>
    <row r="2197" spans="1:25" x14ac:dyDescent="0.2">
      <c r="A2197" s="83">
        <v>1</v>
      </c>
      <c r="B2197" s="84">
        <v>5701603301725</v>
      </c>
      <c r="C2197" s="83">
        <v>90</v>
      </c>
      <c r="D2197" s="84">
        <v>777500725</v>
      </c>
      <c r="F2197" s="83" t="s">
        <v>103</v>
      </c>
      <c r="G2197" s="83">
        <v>0</v>
      </c>
      <c r="H2197" s="83">
        <v>100</v>
      </c>
      <c r="K2197" s="83">
        <v>1</v>
      </c>
      <c r="L2197" s="83" t="s">
        <v>101</v>
      </c>
      <c r="M2197" s="83" t="s">
        <v>410</v>
      </c>
      <c r="N2197" s="83" t="s">
        <v>102</v>
      </c>
      <c r="P2197" s="83">
        <v>0</v>
      </c>
      <c r="U2197" s="83">
        <v>4</v>
      </c>
      <c r="V2197" s="83">
        <v>1</v>
      </c>
      <c r="W2197" s="83" t="s">
        <v>103</v>
      </c>
      <c r="X2197" s="83">
        <v>0</v>
      </c>
    </row>
    <row r="2198" spans="1:25" x14ac:dyDescent="0.2">
      <c r="A2198" s="83">
        <v>1</v>
      </c>
      <c r="B2198" s="84">
        <v>5701603302725</v>
      </c>
      <c r="C2198" s="83">
        <v>10</v>
      </c>
      <c r="D2198" s="84">
        <v>5980463302</v>
      </c>
      <c r="F2198" s="83" t="s">
        <v>103</v>
      </c>
      <c r="G2198" s="83">
        <v>0</v>
      </c>
      <c r="H2198" s="83">
        <v>100</v>
      </c>
      <c r="K2198" s="83">
        <v>1</v>
      </c>
      <c r="L2198" s="83" t="s">
        <v>101</v>
      </c>
      <c r="M2198" s="83" t="s">
        <v>410</v>
      </c>
      <c r="N2198" s="83" t="s">
        <v>102</v>
      </c>
      <c r="P2198" s="83">
        <v>0</v>
      </c>
      <c r="U2198" s="83">
        <v>4</v>
      </c>
      <c r="V2198" s="83">
        <v>1</v>
      </c>
      <c r="W2198" s="83" t="s">
        <v>103</v>
      </c>
      <c r="X2198" s="83">
        <v>0</v>
      </c>
      <c r="Y2198" s="83" t="str">
        <f>LEFT(D2198,6)</f>
        <v>598046</v>
      </c>
    </row>
    <row r="2199" spans="1:25" x14ac:dyDescent="0.2">
      <c r="A2199" s="83">
        <v>1</v>
      </c>
      <c r="B2199" s="84">
        <v>5701603302725</v>
      </c>
      <c r="C2199" s="83">
        <v>20</v>
      </c>
      <c r="D2199" s="84">
        <v>5980543302</v>
      </c>
      <c r="F2199" s="83" t="s">
        <v>103</v>
      </c>
      <c r="G2199" s="83">
        <v>0</v>
      </c>
      <c r="H2199" s="83">
        <v>100</v>
      </c>
      <c r="K2199" s="83">
        <v>1</v>
      </c>
      <c r="L2199" s="83" t="s">
        <v>101</v>
      </c>
      <c r="M2199" s="83" t="s">
        <v>410</v>
      </c>
      <c r="N2199" s="83" t="s">
        <v>102</v>
      </c>
      <c r="P2199" s="83">
        <v>0</v>
      </c>
      <c r="U2199" s="83">
        <v>4</v>
      </c>
      <c r="V2199" s="83">
        <v>1</v>
      </c>
      <c r="W2199" s="83" t="s">
        <v>103</v>
      </c>
      <c r="X2199" s="83">
        <v>0</v>
      </c>
    </row>
    <row r="2200" spans="1:25" x14ac:dyDescent="0.2">
      <c r="A2200" s="83">
        <v>1</v>
      </c>
      <c r="B2200" s="84">
        <v>5701603302725</v>
      </c>
      <c r="C2200" s="83">
        <v>30</v>
      </c>
      <c r="D2200" s="84">
        <v>5980623302</v>
      </c>
      <c r="F2200" s="83" t="s">
        <v>103</v>
      </c>
      <c r="G2200" s="83">
        <v>0</v>
      </c>
      <c r="H2200" s="83">
        <v>100</v>
      </c>
      <c r="K2200" s="83">
        <v>1</v>
      </c>
      <c r="L2200" s="83" t="s">
        <v>101</v>
      </c>
      <c r="M2200" s="83" t="s">
        <v>410</v>
      </c>
      <c r="N2200" s="83" t="s">
        <v>102</v>
      </c>
      <c r="P2200" s="83">
        <v>0</v>
      </c>
      <c r="U2200" s="83">
        <v>4</v>
      </c>
      <c r="V2200" s="83">
        <v>1</v>
      </c>
      <c r="W2200" s="83" t="s">
        <v>103</v>
      </c>
      <c r="X2200" s="83">
        <v>0</v>
      </c>
    </row>
    <row r="2201" spans="1:25" x14ac:dyDescent="0.2">
      <c r="A2201" s="83">
        <v>1</v>
      </c>
      <c r="B2201" s="84">
        <v>5701603302725</v>
      </c>
      <c r="C2201" s="83">
        <v>40</v>
      </c>
      <c r="D2201" s="84">
        <v>5980823302</v>
      </c>
      <c r="F2201" s="83" t="s">
        <v>103</v>
      </c>
      <c r="G2201" s="83">
        <v>0</v>
      </c>
      <c r="H2201" s="83">
        <v>100</v>
      </c>
      <c r="K2201" s="83">
        <v>1</v>
      </c>
      <c r="L2201" s="83" t="s">
        <v>101</v>
      </c>
      <c r="M2201" s="83" t="s">
        <v>410</v>
      </c>
      <c r="N2201" s="83" t="s">
        <v>102</v>
      </c>
      <c r="P2201" s="83">
        <v>0</v>
      </c>
      <c r="U2201" s="83">
        <v>4</v>
      </c>
      <c r="V2201" s="83">
        <v>1</v>
      </c>
      <c r="W2201" s="83" t="s">
        <v>103</v>
      </c>
      <c r="X2201" s="83">
        <v>0</v>
      </c>
    </row>
    <row r="2202" spans="1:25" x14ac:dyDescent="0.2">
      <c r="A2202" s="83">
        <v>1</v>
      </c>
      <c r="B2202" s="84">
        <v>5701603302725</v>
      </c>
      <c r="C2202" s="83">
        <v>50</v>
      </c>
      <c r="D2202" s="84">
        <v>5980933302</v>
      </c>
      <c r="F2202" s="83" t="s">
        <v>103</v>
      </c>
      <c r="G2202" s="83">
        <v>0</v>
      </c>
      <c r="H2202" s="83">
        <v>100</v>
      </c>
      <c r="K2202" s="83">
        <v>1</v>
      </c>
      <c r="L2202" s="83" t="s">
        <v>101</v>
      </c>
      <c r="M2202" s="83" t="s">
        <v>410</v>
      </c>
      <c r="N2202" s="83" t="s">
        <v>102</v>
      </c>
      <c r="P2202" s="83">
        <v>0</v>
      </c>
      <c r="U2202" s="83">
        <v>4</v>
      </c>
      <c r="V2202" s="83">
        <v>1</v>
      </c>
      <c r="W2202" s="83" t="s">
        <v>103</v>
      </c>
      <c r="X2202" s="83">
        <v>0</v>
      </c>
    </row>
    <row r="2203" spans="1:25" x14ac:dyDescent="0.2">
      <c r="A2203" s="83">
        <v>1</v>
      </c>
      <c r="B2203" s="84">
        <v>5701603302725</v>
      </c>
      <c r="C2203" s="83">
        <v>60</v>
      </c>
      <c r="D2203" s="84">
        <v>1010286</v>
      </c>
      <c r="F2203" s="83" t="s">
        <v>103</v>
      </c>
      <c r="G2203" s="83">
        <v>0</v>
      </c>
      <c r="H2203" s="83">
        <v>100</v>
      </c>
      <c r="K2203" s="83">
        <v>8</v>
      </c>
      <c r="L2203" s="83" t="s">
        <v>101</v>
      </c>
      <c r="M2203" s="83" t="s">
        <v>410</v>
      </c>
      <c r="N2203" s="83" t="s">
        <v>102</v>
      </c>
      <c r="P2203" s="83">
        <v>0</v>
      </c>
      <c r="U2203" s="83">
        <v>4</v>
      </c>
      <c r="V2203" s="83">
        <v>1</v>
      </c>
      <c r="W2203" s="83" t="s">
        <v>103</v>
      </c>
      <c r="X2203" s="83">
        <v>0</v>
      </c>
    </row>
    <row r="2204" spans="1:25" x14ac:dyDescent="0.2">
      <c r="A2204" s="83">
        <v>1</v>
      </c>
      <c r="B2204" s="84">
        <v>5701603302725</v>
      </c>
      <c r="C2204" s="83">
        <v>70</v>
      </c>
      <c r="D2204" s="84">
        <v>1010288</v>
      </c>
      <c r="F2204" s="83" t="s">
        <v>103</v>
      </c>
      <c r="G2204" s="83">
        <v>0</v>
      </c>
      <c r="H2204" s="83">
        <v>100</v>
      </c>
      <c r="K2204" s="83">
        <v>4</v>
      </c>
      <c r="L2204" s="83" t="s">
        <v>101</v>
      </c>
      <c r="M2204" s="83" t="s">
        <v>410</v>
      </c>
      <c r="N2204" s="83" t="s">
        <v>102</v>
      </c>
      <c r="P2204" s="83">
        <v>0</v>
      </c>
      <c r="U2204" s="83">
        <v>4</v>
      </c>
      <c r="V2204" s="83">
        <v>1</v>
      </c>
      <c r="W2204" s="83" t="s">
        <v>103</v>
      </c>
      <c r="X2204" s="83">
        <v>0</v>
      </c>
    </row>
    <row r="2205" spans="1:25" x14ac:dyDescent="0.2">
      <c r="A2205" s="83">
        <v>1</v>
      </c>
      <c r="B2205" s="84">
        <v>5701603302725</v>
      </c>
      <c r="C2205" s="83">
        <v>80</v>
      </c>
      <c r="D2205" s="84">
        <v>1020145</v>
      </c>
      <c r="F2205" s="83" t="s">
        <v>103</v>
      </c>
      <c r="G2205" s="83">
        <v>0</v>
      </c>
      <c r="H2205" s="83">
        <v>100</v>
      </c>
      <c r="K2205" s="83" t="s">
        <v>408</v>
      </c>
      <c r="L2205" s="83" t="s">
        <v>101</v>
      </c>
      <c r="M2205" s="83" t="s">
        <v>410</v>
      </c>
      <c r="N2205" s="83" t="s">
        <v>102</v>
      </c>
      <c r="P2205" s="83">
        <v>0</v>
      </c>
      <c r="U2205" s="83">
        <v>4</v>
      </c>
      <c r="V2205" s="83">
        <v>1</v>
      </c>
      <c r="W2205" s="83" t="s">
        <v>103</v>
      </c>
      <c r="X2205" s="83">
        <v>0</v>
      </c>
    </row>
    <row r="2206" spans="1:25" x14ac:dyDescent="0.2">
      <c r="A2206" s="83">
        <v>1</v>
      </c>
      <c r="B2206" s="84">
        <v>5701603302725</v>
      </c>
      <c r="C2206" s="83">
        <v>90</v>
      </c>
      <c r="D2206" s="84">
        <v>777500725</v>
      </c>
      <c r="F2206" s="83" t="s">
        <v>103</v>
      </c>
      <c r="G2206" s="83">
        <v>0</v>
      </c>
      <c r="H2206" s="83">
        <v>100</v>
      </c>
      <c r="K2206" s="83">
        <v>1</v>
      </c>
      <c r="L2206" s="83" t="s">
        <v>101</v>
      </c>
      <c r="M2206" s="83" t="s">
        <v>410</v>
      </c>
      <c r="N2206" s="83" t="s">
        <v>102</v>
      </c>
      <c r="P2206" s="83">
        <v>0</v>
      </c>
      <c r="U2206" s="83">
        <v>4</v>
      </c>
      <c r="V2206" s="83">
        <v>1</v>
      </c>
      <c r="W2206" s="83" t="s">
        <v>103</v>
      </c>
      <c r="X2206" s="83">
        <v>0</v>
      </c>
    </row>
    <row r="2207" spans="1:25" x14ac:dyDescent="0.2">
      <c r="A2207" s="83">
        <v>1</v>
      </c>
      <c r="B2207" s="84">
        <v>5701603303725</v>
      </c>
      <c r="C2207" s="83">
        <v>10</v>
      </c>
      <c r="D2207" s="84">
        <v>5980463303</v>
      </c>
      <c r="F2207" s="83" t="s">
        <v>103</v>
      </c>
      <c r="G2207" s="83">
        <v>0</v>
      </c>
      <c r="H2207" s="83">
        <v>100</v>
      </c>
      <c r="K2207" s="83">
        <v>1</v>
      </c>
      <c r="L2207" s="83" t="s">
        <v>101</v>
      </c>
      <c r="M2207" s="83" t="s">
        <v>410</v>
      </c>
      <c r="N2207" s="83" t="s">
        <v>102</v>
      </c>
      <c r="P2207" s="83">
        <v>0</v>
      </c>
      <c r="U2207" s="83">
        <v>4</v>
      </c>
      <c r="V2207" s="83">
        <v>1</v>
      </c>
      <c r="W2207" s="83" t="s">
        <v>103</v>
      </c>
      <c r="X2207" s="83">
        <v>0</v>
      </c>
      <c r="Y2207" s="83" t="str">
        <f>LEFT(D2207,6)</f>
        <v>598046</v>
      </c>
    </row>
    <row r="2208" spans="1:25" x14ac:dyDescent="0.2">
      <c r="A2208" s="83">
        <v>1</v>
      </c>
      <c r="B2208" s="84">
        <v>5701603303725</v>
      </c>
      <c r="C2208" s="83">
        <v>20</v>
      </c>
      <c r="D2208" s="84">
        <v>5980543303</v>
      </c>
      <c r="F2208" s="83" t="s">
        <v>103</v>
      </c>
      <c r="G2208" s="83">
        <v>0</v>
      </c>
      <c r="H2208" s="83">
        <v>100</v>
      </c>
      <c r="K2208" s="83">
        <v>1</v>
      </c>
      <c r="L2208" s="83" t="s">
        <v>101</v>
      </c>
      <c r="M2208" s="83" t="s">
        <v>410</v>
      </c>
      <c r="N2208" s="83" t="s">
        <v>102</v>
      </c>
      <c r="P2208" s="83">
        <v>0</v>
      </c>
      <c r="U2208" s="83">
        <v>4</v>
      </c>
      <c r="V2208" s="83">
        <v>1</v>
      </c>
      <c r="W2208" s="83" t="s">
        <v>103</v>
      </c>
      <c r="X2208" s="83">
        <v>0</v>
      </c>
    </row>
    <row r="2209" spans="1:25" x14ac:dyDescent="0.2">
      <c r="A2209" s="83">
        <v>1</v>
      </c>
      <c r="B2209" s="84">
        <v>5701603303725</v>
      </c>
      <c r="C2209" s="83">
        <v>30</v>
      </c>
      <c r="D2209" s="84">
        <v>5980623303</v>
      </c>
      <c r="F2209" s="83" t="s">
        <v>103</v>
      </c>
      <c r="G2209" s="83">
        <v>0</v>
      </c>
      <c r="H2209" s="83">
        <v>100</v>
      </c>
      <c r="K2209" s="83">
        <v>1</v>
      </c>
      <c r="L2209" s="83" t="s">
        <v>101</v>
      </c>
      <c r="M2209" s="83" t="s">
        <v>410</v>
      </c>
      <c r="N2209" s="83" t="s">
        <v>102</v>
      </c>
      <c r="P2209" s="83">
        <v>0</v>
      </c>
      <c r="U2209" s="83">
        <v>4</v>
      </c>
      <c r="V2209" s="83">
        <v>1</v>
      </c>
      <c r="W2209" s="83" t="s">
        <v>103</v>
      </c>
      <c r="X2209" s="83">
        <v>0</v>
      </c>
    </row>
    <row r="2210" spans="1:25" x14ac:dyDescent="0.2">
      <c r="A2210" s="83">
        <v>1</v>
      </c>
      <c r="B2210" s="84">
        <v>5701603303725</v>
      </c>
      <c r="C2210" s="83">
        <v>40</v>
      </c>
      <c r="D2210" s="84">
        <v>5980823303</v>
      </c>
      <c r="F2210" s="83" t="s">
        <v>103</v>
      </c>
      <c r="G2210" s="83">
        <v>0</v>
      </c>
      <c r="H2210" s="83">
        <v>100</v>
      </c>
      <c r="K2210" s="83">
        <v>1</v>
      </c>
      <c r="L2210" s="83" t="s">
        <v>101</v>
      </c>
      <c r="M2210" s="83" t="s">
        <v>410</v>
      </c>
      <c r="N2210" s="83" t="s">
        <v>102</v>
      </c>
      <c r="P2210" s="83">
        <v>0</v>
      </c>
      <c r="U2210" s="83">
        <v>4</v>
      </c>
      <c r="V2210" s="83">
        <v>1</v>
      </c>
      <c r="W2210" s="83" t="s">
        <v>103</v>
      </c>
      <c r="X2210" s="83">
        <v>0</v>
      </c>
    </row>
    <row r="2211" spans="1:25" x14ac:dyDescent="0.2">
      <c r="A2211" s="83">
        <v>1</v>
      </c>
      <c r="B2211" s="84">
        <v>5701603303725</v>
      </c>
      <c r="C2211" s="83">
        <v>50</v>
      </c>
      <c r="D2211" s="84">
        <v>5980933303</v>
      </c>
      <c r="F2211" s="83" t="s">
        <v>103</v>
      </c>
      <c r="G2211" s="83">
        <v>0</v>
      </c>
      <c r="H2211" s="83">
        <v>100</v>
      </c>
      <c r="K2211" s="83">
        <v>1</v>
      </c>
      <c r="L2211" s="83" t="s">
        <v>101</v>
      </c>
      <c r="M2211" s="83" t="s">
        <v>410</v>
      </c>
      <c r="N2211" s="83" t="s">
        <v>102</v>
      </c>
      <c r="P2211" s="83">
        <v>0</v>
      </c>
      <c r="U2211" s="83">
        <v>4</v>
      </c>
      <c r="V2211" s="83">
        <v>1</v>
      </c>
      <c r="W2211" s="83" t="s">
        <v>103</v>
      </c>
      <c r="X2211" s="83">
        <v>0</v>
      </c>
    </row>
    <row r="2212" spans="1:25" x14ac:dyDescent="0.2">
      <c r="A2212" s="83">
        <v>1</v>
      </c>
      <c r="B2212" s="84">
        <v>5701603303725</v>
      </c>
      <c r="C2212" s="83">
        <v>60</v>
      </c>
      <c r="D2212" s="84">
        <v>1010286</v>
      </c>
      <c r="F2212" s="83" t="s">
        <v>103</v>
      </c>
      <c r="G2212" s="83">
        <v>0</v>
      </c>
      <c r="H2212" s="83">
        <v>100</v>
      </c>
      <c r="K2212" s="83">
        <v>8</v>
      </c>
      <c r="L2212" s="83" t="s">
        <v>101</v>
      </c>
      <c r="M2212" s="83" t="s">
        <v>410</v>
      </c>
      <c r="N2212" s="83" t="s">
        <v>102</v>
      </c>
      <c r="P2212" s="83">
        <v>0</v>
      </c>
      <c r="U2212" s="83">
        <v>4</v>
      </c>
      <c r="V2212" s="83">
        <v>1</v>
      </c>
      <c r="W2212" s="83" t="s">
        <v>103</v>
      </c>
      <c r="X2212" s="83">
        <v>0</v>
      </c>
    </row>
    <row r="2213" spans="1:25" x14ac:dyDescent="0.2">
      <c r="A2213" s="83">
        <v>1</v>
      </c>
      <c r="B2213" s="84">
        <v>5701603303725</v>
      </c>
      <c r="C2213" s="83">
        <v>70</v>
      </c>
      <c r="D2213" s="84">
        <v>1010287</v>
      </c>
      <c r="F2213" s="83" t="s">
        <v>103</v>
      </c>
      <c r="G2213" s="83">
        <v>0</v>
      </c>
      <c r="H2213" s="83">
        <v>100</v>
      </c>
      <c r="K2213" s="83">
        <v>4</v>
      </c>
      <c r="L2213" s="83" t="s">
        <v>101</v>
      </c>
      <c r="M2213" s="83" t="s">
        <v>410</v>
      </c>
      <c r="N2213" s="83" t="s">
        <v>102</v>
      </c>
      <c r="P2213" s="83">
        <v>0</v>
      </c>
      <c r="U2213" s="83">
        <v>4</v>
      </c>
      <c r="V2213" s="83">
        <v>1</v>
      </c>
      <c r="W2213" s="83" t="s">
        <v>103</v>
      </c>
      <c r="X2213" s="83">
        <v>0</v>
      </c>
    </row>
    <row r="2214" spans="1:25" x14ac:dyDescent="0.2">
      <c r="A2214" s="83">
        <v>1</v>
      </c>
      <c r="B2214" s="84">
        <v>5701603303725</v>
      </c>
      <c r="C2214" s="83">
        <v>80</v>
      </c>
      <c r="D2214" s="84">
        <v>1020145</v>
      </c>
      <c r="F2214" s="83" t="s">
        <v>103</v>
      </c>
      <c r="G2214" s="83">
        <v>0</v>
      </c>
      <c r="H2214" s="83">
        <v>100</v>
      </c>
      <c r="K2214" s="83" t="s">
        <v>408</v>
      </c>
      <c r="L2214" s="83" t="s">
        <v>101</v>
      </c>
      <c r="M2214" s="83" t="s">
        <v>410</v>
      </c>
      <c r="N2214" s="83" t="s">
        <v>102</v>
      </c>
      <c r="P2214" s="83">
        <v>0</v>
      </c>
      <c r="U2214" s="83">
        <v>4</v>
      </c>
      <c r="V2214" s="83">
        <v>1</v>
      </c>
      <c r="W2214" s="83" t="s">
        <v>103</v>
      </c>
      <c r="X2214" s="83">
        <v>0</v>
      </c>
    </row>
    <row r="2215" spans="1:25" x14ac:dyDescent="0.2">
      <c r="A2215" s="83">
        <v>1</v>
      </c>
      <c r="B2215" s="84">
        <v>5701603303725</v>
      </c>
      <c r="C2215" s="83">
        <v>90</v>
      </c>
      <c r="D2215" s="84">
        <v>777500725</v>
      </c>
      <c r="F2215" s="83" t="s">
        <v>103</v>
      </c>
      <c r="G2215" s="83">
        <v>0</v>
      </c>
      <c r="H2215" s="83">
        <v>100</v>
      </c>
      <c r="K2215" s="83">
        <v>1</v>
      </c>
      <c r="L2215" s="83" t="s">
        <v>101</v>
      </c>
      <c r="M2215" s="83" t="s">
        <v>410</v>
      </c>
      <c r="N2215" s="83" t="s">
        <v>102</v>
      </c>
      <c r="P2215" s="83">
        <v>0</v>
      </c>
      <c r="U2215" s="83">
        <v>4</v>
      </c>
      <c r="V2215" s="83">
        <v>1</v>
      </c>
      <c r="W2215" s="83" t="s">
        <v>103</v>
      </c>
      <c r="X2215" s="83">
        <v>0</v>
      </c>
    </row>
    <row r="2216" spans="1:25" x14ac:dyDescent="0.2">
      <c r="A2216" s="83">
        <v>1</v>
      </c>
      <c r="B2216" s="84">
        <v>5701603304725</v>
      </c>
      <c r="C2216" s="83">
        <v>10</v>
      </c>
      <c r="D2216" s="84">
        <v>5980463304</v>
      </c>
      <c r="F2216" s="83" t="s">
        <v>103</v>
      </c>
      <c r="G2216" s="83">
        <v>0</v>
      </c>
      <c r="H2216" s="83">
        <v>100</v>
      </c>
      <c r="K2216" s="83">
        <v>1</v>
      </c>
      <c r="L2216" s="83" t="s">
        <v>101</v>
      </c>
      <c r="M2216" s="83" t="s">
        <v>410</v>
      </c>
      <c r="N2216" s="83" t="s">
        <v>102</v>
      </c>
      <c r="P2216" s="83">
        <v>0</v>
      </c>
      <c r="U2216" s="83">
        <v>4</v>
      </c>
      <c r="V2216" s="83">
        <v>1</v>
      </c>
      <c r="W2216" s="83" t="s">
        <v>103</v>
      </c>
      <c r="X2216" s="83">
        <v>0</v>
      </c>
      <c r="Y2216" s="83" t="str">
        <f>LEFT(D2216,6)</f>
        <v>598046</v>
      </c>
    </row>
    <row r="2217" spans="1:25" x14ac:dyDescent="0.2">
      <c r="A2217" s="83">
        <v>1</v>
      </c>
      <c r="B2217" s="84">
        <v>5701603304725</v>
      </c>
      <c r="C2217" s="83">
        <v>20</v>
      </c>
      <c r="D2217" s="84">
        <v>5980543304</v>
      </c>
      <c r="F2217" s="83" t="s">
        <v>103</v>
      </c>
      <c r="G2217" s="83">
        <v>0</v>
      </c>
      <c r="H2217" s="83">
        <v>100</v>
      </c>
      <c r="K2217" s="83">
        <v>1</v>
      </c>
      <c r="L2217" s="83" t="s">
        <v>101</v>
      </c>
      <c r="M2217" s="83" t="s">
        <v>410</v>
      </c>
      <c r="N2217" s="83" t="s">
        <v>102</v>
      </c>
      <c r="P2217" s="83">
        <v>0</v>
      </c>
      <c r="U2217" s="83">
        <v>4</v>
      </c>
      <c r="V2217" s="83">
        <v>1</v>
      </c>
      <c r="W2217" s="83" t="s">
        <v>103</v>
      </c>
      <c r="X2217" s="83">
        <v>0</v>
      </c>
    </row>
    <row r="2218" spans="1:25" x14ac:dyDescent="0.2">
      <c r="A2218" s="83">
        <v>1</v>
      </c>
      <c r="B2218" s="84">
        <v>5701603304725</v>
      </c>
      <c r="C2218" s="83">
        <v>30</v>
      </c>
      <c r="D2218" s="84">
        <v>5980623304</v>
      </c>
      <c r="F2218" s="83" t="s">
        <v>103</v>
      </c>
      <c r="G2218" s="83">
        <v>0</v>
      </c>
      <c r="H2218" s="83">
        <v>100</v>
      </c>
      <c r="K2218" s="83">
        <v>1</v>
      </c>
      <c r="L2218" s="83" t="s">
        <v>101</v>
      </c>
      <c r="M2218" s="83" t="s">
        <v>410</v>
      </c>
      <c r="N2218" s="83" t="s">
        <v>102</v>
      </c>
      <c r="P2218" s="83">
        <v>0</v>
      </c>
      <c r="U2218" s="83">
        <v>4</v>
      </c>
      <c r="V2218" s="83">
        <v>1</v>
      </c>
      <c r="W2218" s="83" t="s">
        <v>103</v>
      </c>
      <c r="X2218" s="83">
        <v>0</v>
      </c>
    </row>
    <row r="2219" spans="1:25" x14ac:dyDescent="0.2">
      <c r="A2219" s="83">
        <v>1</v>
      </c>
      <c r="B2219" s="84">
        <v>5701603304725</v>
      </c>
      <c r="C2219" s="83">
        <v>40</v>
      </c>
      <c r="D2219" s="84">
        <v>5980823304</v>
      </c>
      <c r="F2219" s="83" t="s">
        <v>103</v>
      </c>
      <c r="G2219" s="83">
        <v>0</v>
      </c>
      <c r="H2219" s="83">
        <v>100</v>
      </c>
      <c r="K2219" s="83">
        <v>1</v>
      </c>
      <c r="L2219" s="83" t="s">
        <v>101</v>
      </c>
      <c r="M2219" s="83" t="s">
        <v>410</v>
      </c>
      <c r="N2219" s="83" t="s">
        <v>102</v>
      </c>
      <c r="P2219" s="83">
        <v>0</v>
      </c>
      <c r="U2219" s="83">
        <v>4</v>
      </c>
      <c r="V2219" s="83">
        <v>1</v>
      </c>
      <c r="W2219" s="83" t="s">
        <v>103</v>
      </c>
      <c r="X2219" s="83">
        <v>0</v>
      </c>
    </row>
    <row r="2220" spans="1:25" x14ac:dyDescent="0.2">
      <c r="A2220" s="83">
        <v>1</v>
      </c>
      <c r="B2220" s="84">
        <v>5701603304725</v>
      </c>
      <c r="C2220" s="83">
        <v>50</v>
      </c>
      <c r="D2220" s="84">
        <v>5980933304</v>
      </c>
      <c r="F2220" s="83" t="s">
        <v>103</v>
      </c>
      <c r="G2220" s="83">
        <v>0</v>
      </c>
      <c r="H2220" s="83">
        <v>100</v>
      </c>
      <c r="K2220" s="83">
        <v>1</v>
      </c>
      <c r="L2220" s="83" t="s">
        <v>101</v>
      </c>
      <c r="M2220" s="83" t="s">
        <v>410</v>
      </c>
      <c r="N2220" s="83" t="s">
        <v>102</v>
      </c>
      <c r="P2220" s="83">
        <v>0</v>
      </c>
      <c r="U2220" s="83">
        <v>4</v>
      </c>
      <c r="V2220" s="83">
        <v>1</v>
      </c>
      <c r="W2220" s="83" t="s">
        <v>103</v>
      </c>
      <c r="X2220" s="83">
        <v>0</v>
      </c>
    </row>
    <row r="2221" spans="1:25" x14ac:dyDescent="0.2">
      <c r="A2221" s="83">
        <v>1</v>
      </c>
      <c r="B2221" s="84">
        <v>5701603304725</v>
      </c>
      <c r="C2221" s="83">
        <v>60</v>
      </c>
      <c r="D2221" s="84">
        <v>1010286</v>
      </c>
      <c r="F2221" s="83" t="s">
        <v>103</v>
      </c>
      <c r="G2221" s="83">
        <v>0</v>
      </c>
      <c r="H2221" s="83">
        <v>100</v>
      </c>
      <c r="K2221" s="83">
        <v>8</v>
      </c>
      <c r="L2221" s="83" t="s">
        <v>101</v>
      </c>
      <c r="M2221" s="83" t="s">
        <v>410</v>
      </c>
      <c r="N2221" s="83" t="s">
        <v>102</v>
      </c>
      <c r="P2221" s="83">
        <v>0</v>
      </c>
      <c r="U2221" s="83">
        <v>4</v>
      </c>
      <c r="V2221" s="83">
        <v>1</v>
      </c>
      <c r="W2221" s="83" t="s">
        <v>103</v>
      </c>
      <c r="X2221" s="83">
        <v>0</v>
      </c>
    </row>
    <row r="2222" spans="1:25" x14ac:dyDescent="0.2">
      <c r="A2222" s="83">
        <v>1</v>
      </c>
      <c r="B2222" s="84">
        <v>5701603304725</v>
      </c>
      <c r="C2222" s="83">
        <v>70</v>
      </c>
      <c r="D2222" s="84">
        <v>1010288</v>
      </c>
      <c r="F2222" s="83" t="s">
        <v>103</v>
      </c>
      <c r="G2222" s="83">
        <v>0</v>
      </c>
      <c r="H2222" s="83">
        <v>100</v>
      </c>
      <c r="K2222" s="83">
        <v>4</v>
      </c>
      <c r="L2222" s="83" t="s">
        <v>101</v>
      </c>
      <c r="M2222" s="83" t="s">
        <v>410</v>
      </c>
      <c r="N2222" s="83" t="s">
        <v>102</v>
      </c>
      <c r="P2222" s="83">
        <v>0</v>
      </c>
      <c r="U2222" s="83">
        <v>4</v>
      </c>
      <c r="V2222" s="83">
        <v>1</v>
      </c>
      <c r="W2222" s="83" t="s">
        <v>103</v>
      </c>
      <c r="X2222" s="83">
        <v>0</v>
      </c>
    </row>
    <row r="2223" spans="1:25" x14ac:dyDescent="0.2">
      <c r="A2223" s="83">
        <v>1</v>
      </c>
      <c r="B2223" s="84">
        <v>5701603304725</v>
      </c>
      <c r="C2223" s="83">
        <v>80</v>
      </c>
      <c r="D2223" s="84">
        <v>1020145</v>
      </c>
      <c r="F2223" s="83" t="s">
        <v>103</v>
      </c>
      <c r="G2223" s="83">
        <v>0</v>
      </c>
      <c r="H2223" s="83">
        <v>100</v>
      </c>
      <c r="K2223" s="83" t="s">
        <v>408</v>
      </c>
      <c r="L2223" s="83" t="s">
        <v>101</v>
      </c>
      <c r="M2223" s="83" t="s">
        <v>410</v>
      </c>
      <c r="N2223" s="83" t="s">
        <v>102</v>
      </c>
      <c r="P2223" s="83">
        <v>0</v>
      </c>
      <c r="U2223" s="83">
        <v>4</v>
      </c>
      <c r="V2223" s="83">
        <v>1</v>
      </c>
      <c r="W2223" s="83" t="s">
        <v>103</v>
      </c>
      <c r="X2223" s="83">
        <v>0</v>
      </c>
    </row>
    <row r="2224" spans="1:25" x14ac:dyDescent="0.2">
      <c r="A2224" s="83">
        <v>1</v>
      </c>
      <c r="B2224" s="84">
        <v>5701603304725</v>
      </c>
      <c r="C2224" s="83">
        <v>90</v>
      </c>
      <c r="D2224" s="84">
        <v>777500725</v>
      </c>
      <c r="F2224" s="83" t="s">
        <v>103</v>
      </c>
      <c r="G2224" s="83">
        <v>0</v>
      </c>
      <c r="H2224" s="83">
        <v>100</v>
      </c>
      <c r="K2224" s="83">
        <v>1</v>
      </c>
      <c r="L2224" s="83" t="s">
        <v>101</v>
      </c>
      <c r="M2224" s="83" t="s">
        <v>410</v>
      </c>
      <c r="N2224" s="83" t="s">
        <v>102</v>
      </c>
      <c r="P2224" s="83">
        <v>0</v>
      </c>
      <c r="U2224" s="83">
        <v>4</v>
      </c>
      <c r="V2224" s="83">
        <v>1</v>
      </c>
      <c r="W2224" s="83" t="s">
        <v>103</v>
      </c>
      <c r="X2224" s="83">
        <v>0</v>
      </c>
    </row>
    <row r="2225" spans="1:25" x14ac:dyDescent="0.2">
      <c r="A2225" s="83">
        <v>1</v>
      </c>
      <c r="B2225" s="84">
        <v>5701603305725</v>
      </c>
      <c r="C2225" s="83">
        <v>10</v>
      </c>
      <c r="D2225" s="84">
        <v>5980463305</v>
      </c>
      <c r="F2225" s="83" t="s">
        <v>103</v>
      </c>
      <c r="G2225" s="83">
        <v>0</v>
      </c>
      <c r="H2225" s="83">
        <v>100</v>
      </c>
      <c r="K2225" s="83">
        <v>1</v>
      </c>
      <c r="L2225" s="83" t="s">
        <v>101</v>
      </c>
      <c r="M2225" s="83" t="s">
        <v>410</v>
      </c>
      <c r="N2225" s="83" t="s">
        <v>102</v>
      </c>
      <c r="P2225" s="83">
        <v>0</v>
      </c>
      <c r="U2225" s="83">
        <v>4</v>
      </c>
      <c r="V2225" s="83">
        <v>1</v>
      </c>
      <c r="W2225" s="83" t="s">
        <v>103</v>
      </c>
      <c r="X2225" s="83">
        <v>0</v>
      </c>
      <c r="Y2225" s="83" t="str">
        <f>LEFT(D2225,6)</f>
        <v>598046</v>
      </c>
    </row>
    <row r="2226" spans="1:25" x14ac:dyDescent="0.2">
      <c r="A2226" s="83">
        <v>1</v>
      </c>
      <c r="B2226" s="84">
        <v>5701603305725</v>
      </c>
      <c r="C2226" s="83">
        <v>20</v>
      </c>
      <c r="D2226" s="84">
        <v>5980543305</v>
      </c>
      <c r="F2226" s="83" t="s">
        <v>103</v>
      </c>
      <c r="G2226" s="83">
        <v>0</v>
      </c>
      <c r="H2226" s="83">
        <v>100</v>
      </c>
      <c r="K2226" s="83">
        <v>1</v>
      </c>
      <c r="L2226" s="83" t="s">
        <v>101</v>
      </c>
      <c r="M2226" s="83" t="s">
        <v>410</v>
      </c>
      <c r="N2226" s="83" t="s">
        <v>102</v>
      </c>
      <c r="P2226" s="83">
        <v>0</v>
      </c>
      <c r="U2226" s="83">
        <v>4</v>
      </c>
      <c r="V2226" s="83">
        <v>1</v>
      </c>
      <c r="W2226" s="83" t="s">
        <v>103</v>
      </c>
      <c r="X2226" s="83">
        <v>0</v>
      </c>
    </row>
    <row r="2227" spans="1:25" x14ac:dyDescent="0.2">
      <c r="A2227" s="83">
        <v>1</v>
      </c>
      <c r="B2227" s="84">
        <v>5701603305725</v>
      </c>
      <c r="C2227" s="83">
        <v>30</v>
      </c>
      <c r="D2227" s="84">
        <v>5980623305</v>
      </c>
      <c r="F2227" s="83" t="s">
        <v>103</v>
      </c>
      <c r="G2227" s="83">
        <v>0</v>
      </c>
      <c r="H2227" s="83">
        <v>100</v>
      </c>
      <c r="K2227" s="83">
        <v>1</v>
      </c>
      <c r="L2227" s="83" t="s">
        <v>101</v>
      </c>
      <c r="M2227" s="83" t="s">
        <v>410</v>
      </c>
      <c r="N2227" s="83" t="s">
        <v>102</v>
      </c>
      <c r="P2227" s="83">
        <v>0</v>
      </c>
      <c r="U2227" s="83">
        <v>4</v>
      </c>
      <c r="V2227" s="83">
        <v>1</v>
      </c>
      <c r="W2227" s="83" t="s">
        <v>103</v>
      </c>
      <c r="X2227" s="83">
        <v>0</v>
      </c>
    </row>
    <row r="2228" spans="1:25" x14ac:dyDescent="0.2">
      <c r="A2228" s="83">
        <v>1</v>
      </c>
      <c r="B2228" s="84">
        <v>5701603305725</v>
      </c>
      <c r="C2228" s="83">
        <v>40</v>
      </c>
      <c r="D2228" s="84">
        <v>5980823305</v>
      </c>
      <c r="F2228" s="83" t="s">
        <v>103</v>
      </c>
      <c r="G2228" s="83">
        <v>0</v>
      </c>
      <c r="H2228" s="83">
        <v>100</v>
      </c>
      <c r="K2228" s="83">
        <v>1</v>
      </c>
      <c r="L2228" s="83" t="s">
        <v>101</v>
      </c>
      <c r="M2228" s="83" t="s">
        <v>410</v>
      </c>
      <c r="N2228" s="83" t="s">
        <v>102</v>
      </c>
      <c r="P2228" s="83">
        <v>0</v>
      </c>
      <c r="U2228" s="83">
        <v>4</v>
      </c>
      <c r="V2228" s="83">
        <v>1</v>
      </c>
      <c r="W2228" s="83" t="s">
        <v>103</v>
      </c>
      <c r="X2228" s="83">
        <v>0</v>
      </c>
    </row>
    <row r="2229" spans="1:25" x14ac:dyDescent="0.2">
      <c r="A2229" s="83">
        <v>1</v>
      </c>
      <c r="B2229" s="84">
        <v>5701603305725</v>
      </c>
      <c r="C2229" s="83">
        <v>50</v>
      </c>
      <c r="D2229" s="84">
        <v>5980933305</v>
      </c>
      <c r="F2229" s="83" t="s">
        <v>103</v>
      </c>
      <c r="G2229" s="83">
        <v>0</v>
      </c>
      <c r="H2229" s="83">
        <v>100</v>
      </c>
      <c r="K2229" s="83">
        <v>1</v>
      </c>
      <c r="L2229" s="83" t="s">
        <v>101</v>
      </c>
      <c r="M2229" s="83" t="s">
        <v>410</v>
      </c>
      <c r="N2229" s="83" t="s">
        <v>102</v>
      </c>
      <c r="P2229" s="83">
        <v>0</v>
      </c>
      <c r="U2229" s="83">
        <v>4</v>
      </c>
      <c r="V2229" s="83">
        <v>1</v>
      </c>
      <c r="W2229" s="83" t="s">
        <v>103</v>
      </c>
      <c r="X2229" s="83">
        <v>0</v>
      </c>
    </row>
    <row r="2230" spans="1:25" x14ac:dyDescent="0.2">
      <c r="A2230" s="83">
        <v>1</v>
      </c>
      <c r="B2230" s="84">
        <v>5701603305725</v>
      </c>
      <c r="C2230" s="83">
        <v>60</v>
      </c>
      <c r="D2230" s="84">
        <v>1010286</v>
      </c>
      <c r="F2230" s="83" t="s">
        <v>103</v>
      </c>
      <c r="G2230" s="83">
        <v>0</v>
      </c>
      <c r="H2230" s="83">
        <v>100</v>
      </c>
      <c r="K2230" s="83">
        <v>8</v>
      </c>
      <c r="L2230" s="83" t="s">
        <v>101</v>
      </c>
      <c r="M2230" s="83" t="s">
        <v>410</v>
      </c>
      <c r="N2230" s="83" t="s">
        <v>102</v>
      </c>
      <c r="P2230" s="83">
        <v>0</v>
      </c>
      <c r="U2230" s="83">
        <v>4</v>
      </c>
      <c r="V2230" s="83">
        <v>1</v>
      </c>
      <c r="W2230" s="83" t="s">
        <v>103</v>
      </c>
      <c r="X2230" s="83">
        <v>0</v>
      </c>
    </row>
    <row r="2231" spans="1:25" x14ac:dyDescent="0.2">
      <c r="A2231" s="83">
        <v>1</v>
      </c>
      <c r="B2231" s="84">
        <v>5701603305725</v>
      </c>
      <c r="C2231" s="83">
        <v>70</v>
      </c>
      <c r="D2231" s="84">
        <v>1010288</v>
      </c>
      <c r="F2231" s="83" t="s">
        <v>103</v>
      </c>
      <c r="G2231" s="83">
        <v>0</v>
      </c>
      <c r="H2231" s="83">
        <v>100</v>
      </c>
      <c r="K2231" s="83">
        <v>4</v>
      </c>
      <c r="L2231" s="83" t="s">
        <v>101</v>
      </c>
      <c r="M2231" s="83" t="s">
        <v>410</v>
      </c>
      <c r="N2231" s="83" t="s">
        <v>102</v>
      </c>
      <c r="P2231" s="83">
        <v>0</v>
      </c>
      <c r="U2231" s="83">
        <v>4</v>
      </c>
      <c r="V2231" s="83">
        <v>1</v>
      </c>
      <c r="W2231" s="83" t="s">
        <v>103</v>
      </c>
      <c r="X2231" s="83">
        <v>0</v>
      </c>
    </row>
    <row r="2232" spans="1:25" x14ac:dyDescent="0.2">
      <c r="A2232" s="83">
        <v>1</v>
      </c>
      <c r="B2232" s="84">
        <v>5701603305725</v>
      </c>
      <c r="C2232" s="83">
        <v>80</v>
      </c>
      <c r="D2232" s="84">
        <v>1020145</v>
      </c>
      <c r="F2232" s="83" t="s">
        <v>103</v>
      </c>
      <c r="G2232" s="83">
        <v>0</v>
      </c>
      <c r="H2232" s="83">
        <v>100</v>
      </c>
      <c r="K2232" s="83" t="s">
        <v>408</v>
      </c>
      <c r="L2232" s="83" t="s">
        <v>101</v>
      </c>
      <c r="M2232" s="83" t="s">
        <v>410</v>
      </c>
      <c r="N2232" s="83" t="s">
        <v>102</v>
      </c>
      <c r="P2232" s="83">
        <v>0</v>
      </c>
      <c r="U2232" s="83">
        <v>4</v>
      </c>
      <c r="V2232" s="83">
        <v>1</v>
      </c>
      <c r="W2232" s="83" t="s">
        <v>103</v>
      </c>
      <c r="X2232" s="83">
        <v>0</v>
      </c>
    </row>
    <row r="2233" spans="1:25" x14ac:dyDescent="0.2">
      <c r="A2233" s="83">
        <v>1</v>
      </c>
      <c r="B2233" s="84">
        <v>5701603305725</v>
      </c>
      <c r="C2233" s="83">
        <v>90</v>
      </c>
      <c r="D2233" s="84">
        <v>777500725</v>
      </c>
      <c r="F2233" s="83" t="s">
        <v>103</v>
      </c>
      <c r="G2233" s="83">
        <v>0</v>
      </c>
      <c r="H2233" s="83">
        <v>100</v>
      </c>
      <c r="K2233" s="83">
        <v>1</v>
      </c>
      <c r="L2233" s="83" t="s">
        <v>101</v>
      </c>
      <c r="M2233" s="83" t="s">
        <v>410</v>
      </c>
      <c r="N2233" s="83" t="s">
        <v>102</v>
      </c>
      <c r="P2233" s="83">
        <v>0</v>
      </c>
      <c r="U2233" s="83">
        <v>4</v>
      </c>
      <c r="V2233" s="83">
        <v>1</v>
      </c>
      <c r="W2233" s="83" t="s">
        <v>103</v>
      </c>
      <c r="X2233" s="83">
        <v>0</v>
      </c>
    </row>
    <row r="2234" spans="1:25" x14ac:dyDescent="0.2">
      <c r="A2234" s="83">
        <v>1</v>
      </c>
      <c r="B2234" s="84">
        <v>5701603306725</v>
      </c>
      <c r="C2234" s="83">
        <v>10</v>
      </c>
      <c r="D2234" s="84">
        <v>5980463306</v>
      </c>
      <c r="F2234" s="83" t="s">
        <v>103</v>
      </c>
      <c r="G2234" s="83">
        <v>0</v>
      </c>
      <c r="H2234" s="83">
        <v>100</v>
      </c>
      <c r="K2234" s="83">
        <v>1</v>
      </c>
      <c r="L2234" s="83" t="s">
        <v>101</v>
      </c>
      <c r="M2234" s="83" t="s">
        <v>410</v>
      </c>
      <c r="N2234" s="83" t="s">
        <v>102</v>
      </c>
      <c r="P2234" s="83">
        <v>0</v>
      </c>
      <c r="U2234" s="83">
        <v>4</v>
      </c>
      <c r="V2234" s="83">
        <v>1</v>
      </c>
      <c r="W2234" s="83" t="s">
        <v>103</v>
      </c>
      <c r="X2234" s="83">
        <v>0</v>
      </c>
      <c r="Y2234" s="83" t="str">
        <f>LEFT(D2234,6)</f>
        <v>598046</v>
      </c>
    </row>
    <row r="2235" spans="1:25" x14ac:dyDescent="0.2">
      <c r="A2235" s="83">
        <v>1</v>
      </c>
      <c r="B2235" s="84">
        <v>5701603306725</v>
      </c>
      <c r="C2235" s="83">
        <v>20</v>
      </c>
      <c r="D2235" s="84">
        <v>5980543306</v>
      </c>
      <c r="F2235" s="83" t="s">
        <v>103</v>
      </c>
      <c r="G2235" s="83">
        <v>0</v>
      </c>
      <c r="H2235" s="83">
        <v>100</v>
      </c>
      <c r="K2235" s="83">
        <v>1</v>
      </c>
      <c r="L2235" s="83" t="s">
        <v>101</v>
      </c>
      <c r="M2235" s="83" t="s">
        <v>410</v>
      </c>
      <c r="N2235" s="83" t="s">
        <v>102</v>
      </c>
      <c r="P2235" s="83">
        <v>0</v>
      </c>
      <c r="U2235" s="83">
        <v>4</v>
      </c>
      <c r="V2235" s="83">
        <v>1</v>
      </c>
      <c r="W2235" s="83" t="s">
        <v>103</v>
      </c>
      <c r="X2235" s="83">
        <v>0</v>
      </c>
    </row>
    <row r="2236" spans="1:25" x14ac:dyDescent="0.2">
      <c r="A2236" s="83">
        <v>1</v>
      </c>
      <c r="B2236" s="84">
        <v>5701603306725</v>
      </c>
      <c r="C2236" s="83">
        <v>30</v>
      </c>
      <c r="D2236" s="84">
        <v>5980623306</v>
      </c>
      <c r="F2236" s="83" t="s">
        <v>103</v>
      </c>
      <c r="G2236" s="83">
        <v>0</v>
      </c>
      <c r="H2236" s="83">
        <v>100</v>
      </c>
      <c r="K2236" s="83">
        <v>1</v>
      </c>
      <c r="L2236" s="83" t="s">
        <v>101</v>
      </c>
      <c r="M2236" s="83" t="s">
        <v>410</v>
      </c>
      <c r="N2236" s="83" t="s">
        <v>102</v>
      </c>
      <c r="P2236" s="83">
        <v>0</v>
      </c>
      <c r="U2236" s="83">
        <v>4</v>
      </c>
      <c r="V2236" s="83">
        <v>1</v>
      </c>
      <c r="W2236" s="83" t="s">
        <v>103</v>
      </c>
      <c r="X2236" s="83">
        <v>0</v>
      </c>
    </row>
    <row r="2237" spans="1:25" x14ac:dyDescent="0.2">
      <c r="A2237" s="83">
        <v>1</v>
      </c>
      <c r="B2237" s="84">
        <v>5701603306725</v>
      </c>
      <c r="C2237" s="83">
        <v>40</v>
      </c>
      <c r="D2237" s="84">
        <v>5980823306</v>
      </c>
      <c r="F2237" s="83" t="s">
        <v>103</v>
      </c>
      <c r="G2237" s="83">
        <v>0</v>
      </c>
      <c r="H2237" s="83">
        <v>100</v>
      </c>
      <c r="K2237" s="83">
        <v>1</v>
      </c>
      <c r="L2237" s="83" t="s">
        <v>101</v>
      </c>
      <c r="M2237" s="83" t="s">
        <v>410</v>
      </c>
      <c r="N2237" s="83" t="s">
        <v>102</v>
      </c>
      <c r="P2237" s="83">
        <v>0</v>
      </c>
      <c r="U2237" s="83">
        <v>4</v>
      </c>
      <c r="V2237" s="83">
        <v>1</v>
      </c>
      <c r="W2237" s="83" t="s">
        <v>103</v>
      </c>
      <c r="X2237" s="83">
        <v>0</v>
      </c>
    </row>
    <row r="2238" spans="1:25" x14ac:dyDescent="0.2">
      <c r="A2238" s="83">
        <v>1</v>
      </c>
      <c r="B2238" s="84">
        <v>5701603306725</v>
      </c>
      <c r="C2238" s="83">
        <v>50</v>
      </c>
      <c r="D2238" s="84">
        <v>5980933306</v>
      </c>
      <c r="F2238" s="83" t="s">
        <v>103</v>
      </c>
      <c r="G2238" s="83">
        <v>0</v>
      </c>
      <c r="H2238" s="83">
        <v>100</v>
      </c>
      <c r="K2238" s="83">
        <v>1</v>
      </c>
      <c r="L2238" s="83" t="s">
        <v>101</v>
      </c>
      <c r="M2238" s="83" t="s">
        <v>410</v>
      </c>
      <c r="N2238" s="83" t="s">
        <v>102</v>
      </c>
      <c r="P2238" s="83">
        <v>0</v>
      </c>
      <c r="U2238" s="83">
        <v>4</v>
      </c>
      <c r="V2238" s="83">
        <v>1</v>
      </c>
      <c r="W2238" s="83" t="s">
        <v>103</v>
      </c>
      <c r="X2238" s="83">
        <v>0</v>
      </c>
    </row>
    <row r="2239" spans="1:25" x14ac:dyDescent="0.2">
      <c r="A2239" s="83">
        <v>1</v>
      </c>
      <c r="B2239" s="84">
        <v>5701603306725</v>
      </c>
      <c r="C2239" s="83">
        <v>60</v>
      </c>
      <c r="D2239" s="84">
        <v>1010286</v>
      </c>
      <c r="F2239" s="83" t="s">
        <v>103</v>
      </c>
      <c r="G2239" s="83">
        <v>0</v>
      </c>
      <c r="H2239" s="83">
        <v>100</v>
      </c>
      <c r="K2239" s="83">
        <v>8</v>
      </c>
      <c r="L2239" s="83" t="s">
        <v>101</v>
      </c>
      <c r="M2239" s="83" t="s">
        <v>410</v>
      </c>
      <c r="N2239" s="83" t="s">
        <v>102</v>
      </c>
      <c r="P2239" s="83">
        <v>0</v>
      </c>
      <c r="U2239" s="83">
        <v>4</v>
      </c>
      <c r="V2239" s="83">
        <v>1</v>
      </c>
      <c r="W2239" s="83" t="s">
        <v>103</v>
      </c>
      <c r="X2239" s="83">
        <v>0</v>
      </c>
    </row>
    <row r="2240" spans="1:25" x14ac:dyDescent="0.2">
      <c r="A2240" s="83">
        <v>1</v>
      </c>
      <c r="B2240" s="84">
        <v>5701603306725</v>
      </c>
      <c r="C2240" s="83">
        <v>70</v>
      </c>
      <c r="D2240" s="84">
        <v>1010287</v>
      </c>
      <c r="F2240" s="83" t="s">
        <v>103</v>
      </c>
      <c r="G2240" s="83">
        <v>0</v>
      </c>
      <c r="H2240" s="83">
        <v>100</v>
      </c>
      <c r="K2240" s="83">
        <v>4</v>
      </c>
      <c r="L2240" s="83" t="s">
        <v>101</v>
      </c>
      <c r="M2240" s="83" t="s">
        <v>410</v>
      </c>
      <c r="N2240" s="83" t="s">
        <v>102</v>
      </c>
      <c r="P2240" s="83">
        <v>0</v>
      </c>
      <c r="U2240" s="83">
        <v>4</v>
      </c>
      <c r="V2240" s="83">
        <v>1</v>
      </c>
      <c r="W2240" s="83" t="s">
        <v>103</v>
      </c>
      <c r="X2240" s="83">
        <v>0</v>
      </c>
    </row>
    <row r="2241" spans="1:25" x14ac:dyDescent="0.2">
      <c r="A2241" s="83">
        <v>1</v>
      </c>
      <c r="B2241" s="84">
        <v>5701603306725</v>
      </c>
      <c r="C2241" s="83">
        <v>80</v>
      </c>
      <c r="D2241" s="84">
        <v>1020145</v>
      </c>
      <c r="F2241" s="83" t="s">
        <v>103</v>
      </c>
      <c r="G2241" s="83">
        <v>0</v>
      </c>
      <c r="H2241" s="83">
        <v>100</v>
      </c>
      <c r="K2241" s="83" t="s">
        <v>408</v>
      </c>
      <c r="L2241" s="83" t="s">
        <v>101</v>
      </c>
      <c r="M2241" s="83" t="s">
        <v>410</v>
      </c>
      <c r="N2241" s="83" t="s">
        <v>102</v>
      </c>
      <c r="P2241" s="83">
        <v>0</v>
      </c>
      <c r="U2241" s="83">
        <v>4</v>
      </c>
      <c r="V2241" s="83">
        <v>1</v>
      </c>
      <c r="W2241" s="83" t="s">
        <v>103</v>
      </c>
      <c r="X2241" s="83">
        <v>0</v>
      </c>
    </row>
    <row r="2242" spans="1:25" x14ac:dyDescent="0.2">
      <c r="A2242" s="83">
        <v>1</v>
      </c>
      <c r="B2242" s="84">
        <v>5701603306725</v>
      </c>
      <c r="C2242" s="83">
        <v>90</v>
      </c>
      <c r="D2242" s="84">
        <v>777500725</v>
      </c>
      <c r="F2242" s="83" t="s">
        <v>103</v>
      </c>
      <c r="G2242" s="83">
        <v>0</v>
      </c>
      <c r="H2242" s="83">
        <v>100</v>
      </c>
      <c r="K2242" s="83">
        <v>1</v>
      </c>
      <c r="L2242" s="83" t="s">
        <v>101</v>
      </c>
      <c r="M2242" s="83" t="s">
        <v>410</v>
      </c>
      <c r="N2242" s="83" t="s">
        <v>102</v>
      </c>
      <c r="P2242" s="83">
        <v>0</v>
      </c>
      <c r="U2242" s="83">
        <v>4</v>
      </c>
      <c r="V2242" s="83">
        <v>1</v>
      </c>
      <c r="W2242" s="83" t="s">
        <v>103</v>
      </c>
      <c r="X2242" s="83">
        <v>0</v>
      </c>
    </row>
    <row r="2243" spans="1:25" x14ac:dyDescent="0.2">
      <c r="A2243" s="83">
        <v>1</v>
      </c>
      <c r="B2243" s="84">
        <v>5701603307725</v>
      </c>
      <c r="C2243" s="83">
        <v>10</v>
      </c>
      <c r="D2243" s="84">
        <v>5980463307</v>
      </c>
      <c r="F2243" s="83" t="s">
        <v>103</v>
      </c>
      <c r="G2243" s="83">
        <v>0</v>
      </c>
      <c r="H2243" s="83">
        <v>100</v>
      </c>
      <c r="K2243" s="83">
        <v>1</v>
      </c>
      <c r="L2243" s="83" t="s">
        <v>101</v>
      </c>
      <c r="M2243" s="83" t="s">
        <v>410</v>
      </c>
      <c r="N2243" s="83" t="s">
        <v>102</v>
      </c>
      <c r="P2243" s="83">
        <v>0</v>
      </c>
      <c r="U2243" s="83">
        <v>4</v>
      </c>
      <c r="V2243" s="83">
        <v>1</v>
      </c>
      <c r="W2243" s="83" t="s">
        <v>103</v>
      </c>
      <c r="X2243" s="83">
        <v>0</v>
      </c>
      <c r="Y2243" s="83" t="str">
        <f>LEFT(D2243,6)</f>
        <v>598046</v>
      </c>
    </row>
    <row r="2244" spans="1:25" x14ac:dyDescent="0.2">
      <c r="A2244" s="83">
        <v>1</v>
      </c>
      <c r="B2244" s="84">
        <v>5701603307725</v>
      </c>
      <c r="C2244" s="83">
        <v>20</v>
      </c>
      <c r="D2244" s="84">
        <v>5980543307</v>
      </c>
      <c r="F2244" s="83" t="s">
        <v>103</v>
      </c>
      <c r="G2244" s="83">
        <v>0</v>
      </c>
      <c r="H2244" s="83">
        <v>100</v>
      </c>
      <c r="K2244" s="83">
        <v>1</v>
      </c>
      <c r="L2244" s="83" t="s">
        <v>101</v>
      </c>
      <c r="M2244" s="83" t="s">
        <v>410</v>
      </c>
      <c r="N2244" s="83" t="s">
        <v>102</v>
      </c>
      <c r="P2244" s="83">
        <v>0</v>
      </c>
      <c r="U2244" s="83">
        <v>4</v>
      </c>
      <c r="V2244" s="83">
        <v>1</v>
      </c>
      <c r="W2244" s="83" t="s">
        <v>103</v>
      </c>
      <c r="X2244" s="83">
        <v>0</v>
      </c>
    </row>
    <row r="2245" spans="1:25" x14ac:dyDescent="0.2">
      <c r="A2245" s="83">
        <v>1</v>
      </c>
      <c r="B2245" s="84">
        <v>5701603307725</v>
      </c>
      <c r="C2245" s="83">
        <v>30</v>
      </c>
      <c r="D2245" s="84">
        <v>5980623307</v>
      </c>
      <c r="F2245" s="83" t="s">
        <v>103</v>
      </c>
      <c r="G2245" s="83">
        <v>0</v>
      </c>
      <c r="H2245" s="83">
        <v>100</v>
      </c>
      <c r="K2245" s="83">
        <v>1</v>
      </c>
      <c r="L2245" s="83" t="s">
        <v>101</v>
      </c>
      <c r="M2245" s="83" t="s">
        <v>410</v>
      </c>
      <c r="N2245" s="83" t="s">
        <v>102</v>
      </c>
      <c r="P2245" s="83">
        <v>0</v>
      </c>
      <c r="U2245" s="83">
        <v>4</v>
      </c>
      <c r="V2245" s="83">
        <v>1</v>
      </c>
      <c r="W2245" s="83" t="s">
        <v>103</v>
      </c>
      <c r="X2245" s="83">
        <v>0</v>
      </c>
    </row>
    <row r="2246" spans="1:25" x14ac:dyDescent="0.2">
      <c r="A2246" s="83">
        <v>1</v>
      </c>
      <c r="B2246" s="84">
        <v>5701603307725</v>
      </c>
      <c r="C2246" s="83">
        <v>40</v>
      </c>
      <c r="D2246" s="84">
        <v>5980823307</v>
      </c>
      <c r="F2246" s="83" t="s">
        <v>103</v>
      </c>
      <c r="G2246" s="83">
        <v>0</v>
      </c>
      <c r="H2246" s="83">
        <v>100</v>
      </c>
      <c r="K2246" s="83">
        <v>1</v>
      </c>
      <c r="L2246" s="83" t="s">
        <v>101</v>
      </c>
      <c r="M2246" s="83" t="s">
        <v>410</v>
      </c>
      <c r="N2246" s="83" t="s">
        <v>102</v>
      </c>
      <c r="P2246" s="83">
        <v>0</v>
      </c>
      <c r="U2246" s="83">
        <v>4</v>
      </c>
      <c r="V2246" s="83">
        <v>1</v>
      </c>
      <c r="W2246" s="83" t="s">
        <v>103</v>
      </c>
      <c r="X2246" s="83">
        <v>0</v>
      </c>
    </row>
    <row r="2247" spans="1:25" x14ac:dyDescent="0.2">
      <c r="A2247" s="83">
        <v>1</v>
      </c>
      <c r="B2247" s="84">
        <v>5701603307725</v>
      </c>
      <c r="C2247" s="83">
        <v>50</v>
      </c>
      <c r="D2247" s="84">
        <v>5980933307</v>
      </c>
      <c r="F2247" s="83" t="s">
        <v>103</v>
      </c>
      <c r="G2247" s="83">
        <v>0</v>
      </c>
      <c r="H2247" s="83">
        <v>100</v>
      </c>
      <c r="K2247" s="83">
        <v>1</v>
      </c>
      <c r="L2247" s="83" t="s">
        <v>101</v>
      </c>
      <c r="M2247" s="83" t="s">
        <v>410</v>
      </c>
      <c r="N2247" s="83" t="s">
        <v>102</v>
      </c>
      <c r="P2247" s="83">
        <v>0</v>
      </c>
      <c r="U2247" s="83">
        <v>4</v>
      </c>
      <c r="V2247" s="83">
        <v>1</v>
      </c>
      <c r="W2247" s="83" t="s">
        <v>103</v>
      </c>
      <c r="X2247" s="83">
        <v>0</v>
      </c>
    </row>
    <row r="2248" spans="1:25" x14ac:dyDescent="0.2">
      <c r="A2248" s="83">
        <v>1</v>
      </c>
      <c r="B2248" s="84">
        <v>5701603307725</v>
      </c>
      <c r="C2248" s="83">
        <v>60</v>
      </c>
      <c r="D2248" s="84">
        <v>1010286</v>
      </c>
      <c r="F2248" s="83" t="s">
        <v>103</v>
      </c>
      <c r="G2248" s="83">
        <v>0</v>
      </c>
      <c r="H2248" s="83">
        <v>100</v>
      </c>
      <c r="K2248" s="83">
        <v>8</v>
      </c>
      <c r="L2248" s="83" t="s">
        <v>101</v>
      </c>
      <c r="M2248" s="83" t="s">
        <v>410</v>
      </c>
      <c r="N2248" s="83" t="s">
        <v>102</v>
      </c>
      <c r="P2248" s="83">
        <v>0</v>
      </c>
      <c r="U2248" s="83">
        <v>4</v>
      </c>
      <c r="V2248" s="83">
        <v>1</v>
      </c>
      <c r="W2248" s="83" t="s">
        <v>103</v>
      </c>
      <c r="X2248" s="83">
        <v>0</v>
      </c>
    </row>
    <row r="2249" spans="1:25" x14ac:dyDescent="0.2">
      <c r="A2249" s="83">
        <v>1</v>
      </c>
      <c r="B2249" s="84">
        <v>5701603307725</v>
      </c>
      <c r="C2249" s="83">
        <v>70</v>
      </c>
      <c r="D2249" s="84">
        <v>1010287</v>
      </c>
      <c r="F2249" s="83" t="s">
        <v>103</v>
      </c>
      <c r="G2249" s="83">
        <v>0</v>
      </c>
      <c r="H2249" s="83">
        <v>100</v>
      </c>
      <c r="K2249" s="83">
        <v>4</v>
      </c>
      <c r="L2249" s="83" t="s">
        <v>101</v>
      </c>
      <c r="M2249" s="83" t="s">
        <v>410</v>
      </c>
      <c r="N2249" s="83" t="s">
        <v>102</v>
      </c>
      <c r="P2249" s="83">
        <v>0</v>
      </c>
      <c r="U2249" s="83">
        <v>4</v>
      </c>
      <c r="V2249" s="83">
        <v>1</v>
      </c>
      <c r="W2249" s="83" t="s">
        <v>103</v>
      </c>
      <c r="X2249" s="83">
        <v>0</v>
      </c>
    </row>
    <row r="2250" spans="1:25" x14ac:dyDescent="0.2">
      <c r="A2250" s="83">
        <v>1</v>
      </c>
      <c r="B2250" s="84">
        <v>5701603307725</v>
      </c>
      <c r="C2250" s="83">
        <v>80</v>
      </c>
      <c r="D2250" s="84">
        <v>1020145</v>
      </c>
      <c r="F2250" s="83" t="s">
        <v>103</v>
      </c>
      <c r="G2250" s="83">
        <v>0</v>
      </c>
      <c r="H2250" s="83">
        <v>100</v>
      </c>
      <c r="K2250" s="83" t="s">
        <v>408</v>
      </c>
      <c r="L2250" s="83" t="s">
        <v>101</v>
      </c>
      <c r="M2250" s="83" t="s">
        <v>410</v>
      </c>
      <c r="N2250" s="83" t="s">
        <v>102</v>
      </c>
      <c r="P2250" s="83">
        <v>0</v>
      </c>
      <c r="U2250" s="83">
        <v>4</v>
      </c>
      <c r="V2250" s="83">
        <v>1</v>
      </c>
      <c r="W2250" s="83" t="s">
        <v>103</v>
      </c>
      <c r="X2250" s="83">
        <v>0</v>
      </c>
    </row>
    <row r="2251" spans="1:25" x14ac:dyDescent="0.2">
      <c r="A2251" s="83">
        <v>1</v>
      </c>
      <c r="B2251" s="84">
        <v>5701603307725</v>
      </c>
      <c r="C2251" s="83">
        <v>90</v>
      </c>
      <c r="D2251" s="84">
        <v>777500725</v>
      </c>
      <c r="F2251" s="83" t="s">
        <v>103</v>
      </c>
      <c r="G2251" s="83">
        <v>0</v>
      </c>
      <c r="H2251" s="83">
        <v>100</v>
      </c>
      <c r="K2251" s="83">
        <v>1</v>
      </c>
      <c r="L2251" s="83" t="s">
        <v>101</v>
      </c>
      <c r="M2251" s="83" t="s">
        <v>410</v>
      </c>
      <c r="N2251" s="83" t="s">
        <v>102</v>
      </c>
      <c r="P2251" s="83">
        <v>0</v>
      </c>
      <c r="U2251" s="83">
        <v>4</v>
      </c>
      <c r="V2251" s="83">
        <v>1</v>
      </c>
      <c r="W2251" s="83" t="s">
        <v>103</v>
      </c>
      <c r="X2251" s="83">
        <v>0</v>
      </c>
    </row>
    <row r="2252" spans="1:25" x14ac:dyDescent="0.2">
      <c r="A2252" s="83">
        <v>1</v>
      </c>
      <c r="B2252" s="84">
        <v>5701603308725</v>
      </c>
      <c r="C2252" s="83">
        <v>10</v>
      </c>
      <c r="D2252" s="84">
        <v>5980463308</v>
      </c>
      <c r="F2252" s="83" t="s">
        <v>103</v>
      </c>
      <c r="G2252" s="83">
        <v>0</v>
      </c>
      <c r="H2252" s="83">
        <v>100</v>
      </c>
      <c r="K2252" s="83">
        <v>1</v>
      </c>
      <c r="L2252" s="83" t="s">
        <v>101</v>
      </c>
      <c r="M2252" s="83" t="s">
        <v>410</v>
      </c>
      <c r="N2252" s="83" t="s">
        <v>102</v>
      </c>
      <c r="P2252" s="83">
        <v>0</v>
      </c>
      <c r="U2252" s="83">
        <v>4</v>
      </c>
      <c r="V2252" s="83">
        <v>1</v>
      </c>
      <c r="W2252" s="83" t="s">
        <v>103</v>
      </c>
      <c r="X2252" s="83">
        <v>0</v>
      </c>
      <c r="Y2252" s="83" t="str">
        <f>LEFT(D2252,6)</f>
        <v>598046</v>
      </c>
    </row>
    <row r="2253" spans="1:25" x14ac:dyDescent="0.2">
      <c r="A2253" s="83">
        <v>1</v>
      </c>
      <c r="B2253" s="84">
        <v>5701603308725</v>
      </c>
      <c r="C2253" s="83">
        <v>20</v>
      </c>
      <c r="D2253" s="84">
        <v>5980543308</v>
      </c>
      <c r="F2253" s="83" t="s">
        <v>103</v>
      </c>
      <c r="G2253" s="83">
        <v>0</v>
      </c>
      <c r="H2253" s="83">
        <v>100</v>
      </c>
      <c r="K2253" s="83">
        <v>1</v>
      </c>
      <c r="L2253" s="83" t="s">
        <v>101</v>
      </c>
      <c r="M2253" s="83" t="s">
        <v>410</v>
      </c>
      <c r="N2253" s="83" t="s">
        <v>102</v>
      </c>
      <c r="P2253" s="83">
        <v>0</v>
      </c>
      <c r="U2253" s="83">
        <v>4</v>
      </c>
      <c r="V2253" s="83">
        <v>1</v>
      </c>
      <c r="W2253" s="83" t="s">
        <v>103</v>
      </c>
      <c r="X2253" s="83">
        <v>0</v>
      </c>
    </row>
    <row r="2254" spans="1:25" x14ac:dyDescent="0.2">
      <c r="A2254" s="83">
        <v>1</v>
      </c>
      <c r="B2254" s="84">
        <v>5701603308725</v>
      </c>
      <c r="C2254" s="83">
        <v>30</v>
      </c>
      <c r="D2254" s="84">
        <v>5980623308</v>
      </c>
      <c r="F2254" s="83" t="s">
        <v>103</v>
      </c>
      <c r="G2254" s="83">
        <v>0</v>
      </c>
      <c r="H2254" s="83">
        <v>100</v>
      </c>
      <c r="K2254" s="83">
        <v>1</v>
      </c>
      <c r="L2254" s="83" t="s">
        <v>101</v>
      </c>
      <c r="M2254" s="83" t="s">
        <v>410</v>
      </c>
      <c r="N2254" s="83" t="s">
        <v>102</v>
      </c>
      <c r="P2254" s="83">
        <v>0</v>
      </c>
      <c r="U2254" s="83">
        <v>4</v>
      </c>
      <c r="V2254" s="83">
        <v>1</v>
      </c>
      <c r="W2254" s="83" t="s">
        <v>103</v>
      </c>
      <c r="X2254" s="83">
        <v>0</v>
      </c>
    </row>
    <row r="2255" spans="1:25" x14ac:dyDescent="0.2">
      <c r="A2255" s="83">
        <v>1</v>
      </c>
      <c r="B2255" s="84">
        <v>5701603308725</v>
      </c>
      <c r="C2255" s="83">
        <v>40</v>
      </c>
      <c r="D2255" s="84">
        <v>5980823308</v>
      </c>
      <c r="F2255" s="83" t="s">
        <v>103</v>
      </c>
      <c r="G2255" s="83">
        <v>0</v>
      </c>
      <c r="H2255" s="83">
        <v>100</v>
      </c>
      <c r="K2255" s="83">
        <v>1</v>
      </c>
      <c r="L2255" s="83" t="s">
        <v>101</v>
      </c>
      <c r="M2255" s="83" t="s">
        <v>410</v>
      </c>
      <c r="N2255" s="83" t="s">
        <v>102</v>
      </c>
      <c r="P2255" s="83">
        <v>0</v>
      </c>
      <c r="U2255" s="83">
        <v>4</v>
      </c>
      <c r="V2255" s="83">
        <v>1</v>
      </c>
      <c r="W2255" s="83" t="s">
        <v>103</v>
      </c>
      <c r="X2255" s="83">
        <v>0</v>
      </c>
    </row>
    <row r="2256" spans="1:25" x14ac:dyDescent="0.2">
      <c r="A2256" s="83">
        <v>1</v>
      </c>
      <c r="B2256" s="84">
        <v>5701603308725</v>
      </c>
      <c r="C2256" s="83">
        <v>50</v>
      </c>
      <c r="D2256" s="84">
        <v>5980933308</v>
      </c>
      <c r="F2256" s="83" t="s">
        <v>103</v>
      </c>
      <c r="G2256" s="83">
        <v>0</v>
      </c>
      <c r="H2256" s="83">
        <v>100</v>
      </c>
      <c r="K2256" s="83">
        <v>1</v>
      </c>
      <c r="L2256" s="83" t="s">
        <v>101</v>
      </c>
      <c r="M2256" s="83" t="s">
        <v>410</v>
      </c>
      <c r="N2256" s="83" t="s">
        <v>102</v>
      </c>
      <c r="P2256" s="83">
        <v>0</v>
      </c>
      <c r="U2256" s="83">
        <v>4</v>
      </c>
      <c r="V2256" s="83">
        <v>1</v>
      </c>
      <c r="W2256" s="83" t="s">
        <v>103</v>
      </c>
      <c r="X2256" s="83">
        <v>0</v>
      </c>
    </row>
    <row r="2257" spans="1:25" x14ac:dyDescent="0.2">
      <c r="A2257" s="83">
        <v>1</v>
      </c>
      <c r="B2257" s="84">
        <v>5701603308725</v>
      </c>
      <c r="C2257" s="83">
        <v>60</v>
      </c>
      <c r="D2257" s="84">
        <v>1010286</v>
      </c>
      <c r="F2257" s="83" t="s">
        <v>103</v>
      </c>
      <c r="G2257" s="83">
        <v>0</v>
      </c>
      <c r="H2257" s="83">
        <v>100</v>
      </c>
      <c r="K2257" s="83">
        <v>8</v>
      </c>
      <c r="L2257" s="83" t="s">
        <v>101</v>
      </c>
      <c r="M2257" s="83" t="s">
        <v>410</v>
      </c>
      <c r="N2257" s="83" t="s">
        <v>102</v>
      </c>
      <c r="P2257" s="83">
        <v>0</v>
      </c>
      <c r="U2257" s="83">
        <v>4</v>
      </c>
      <c r="V2257" s="83">
        <v>1</v>
      </c>
      <c r="W2257" s="83" t="s">
        <v>103</v>
      </c>
      <c r="X2257" s="83">
        <v>0</v>
      </c>
    </row>
    <row r="2258" spans="1:25" x14ac:dyDescent="0.2">
      <c r="A2258" s="83">
        <v>1</v>
      </c>
      <c r="B2258" s="84">
        <v>5701603308725</v>
      </c>
      <c r="C2258" s="83">
        <v>70</v>
      </c>
      <c r="D2258" s="84">
        <v>1010288</v>
      </c>
      <c r="F2258" s="83" t="s">
        <v>103</v>
      </c>
      <c r="G2258" s="83">
        <v>0</v>
      </c>
      <c r="H2258" s="83">
        <v>100</v>
      </c>
      <c r="K2258" s="83">
        <v>4</v>
      </c>
      <c r="L2258" s="83" t="s">
        <v>101</v>
      </c>
      <c r="M2258" s="83" t="s">
        <v>410</v>
      </c>
      <c r="N2258" s="83" t="s">
        <v>102</v>
      </c>
      <c r="P2258" s="83">
        <v>0</v>
      </c>
      <c r="U2258" s="83">
        <v>4</v>
      </c>
      <c r="V2258" s="83">
        <v>1</v>
      </c>
      <c r="W2258" s="83" t="s">
        <v>103</v>
      </c>
      <c r="X2258" s="83">
        <v>0</v>
      </c>
    </row>
    <row r="2259" spans="1:25" x14ac:dyDescent="0.2">
      <c r="A2259" s="83">
        <v>1</v>
      </c>
      <c r="B2259" s="84">
        <v>5701603308725</v>
      </c>
      <c r="C2259" s="83">
        <v>80</v>
      </c>
      <c r="D2259" s="84">
        <v>1020145</v>
      </c>
      <c r="F2259" s="83" t="s">
        <v>103</v>
      </c>
      <c r="G2259" s="83">
        <v>0</v>
      </c>
      <c r="H2259" s="83">
        <v>100</v>
      </c>
      <c r="K2259" s="83" t="s">
        <v>408</v>
      </c>
      <c r="L2259" s="83" t="s">
        <v>101</v>
      </c>
      <c r="M2259" s="83" t="s">
        <v>410</v>
      </c>
      <c r="N2259" s="83" t="s">
        <v>102</v>
      </c>
      <c r="P2259" s="83">
        <v>0</v>
      </c>
      <c r="U2259" s="83">
        <v>4</v>
      </c>
      <c r="V2259" s="83">
        <v>1</v>
      </c>
      <c r="W2259" s="83" t="s">
        <v>103</v>
      </c>
      <c r="X2259" s="83">
        <v>0</v>
      </c>
    </row>
    <row r="2260" spans="1:25" x14ac:dyDescent="0.2">
      <c r="A2260" s="83">
        <v>1</v>
      </c>
      <c r="B2260" s="84">
        <v>5701603308725</v>
      </c>
      <c r="C2260" s="83">
        <v>90</v>
      </c>
      <c r="D2260" s="84">
        <v>777500725</v>
      </c>
      <c r="F2260" s="83" t="s">
        <v>103</v>
      </c>
      <c r="G2260" s="83">
        <v>0</v>
      </c>
      <c r="H2260" s="83">
        <v>100</v>
      </c>
      <c r="K2260" s="83">
        <v>1</v>
      </c>
      <c r="L2260" s="83" t="s">
        <v>101</v>
      </c>
      <c r="M2260" s="83" t="s">
        <v>410</v>
      </c>
      <c r="N2260" s="83" t="s">
        <v>102</v>
      </c>
      <c r="P2260" s="83">
        <v>0</v>
      </c>
      <c r="U2260" s="83">
        <v>4</v>
      </c>
      <c r="V2260" s="83">
        <v>1</v>
      </c>
      <c r="W2260" s="83" t="s">
        <v>103</v>
      </c>
      <c r="X2260" s="83">
        <v>0</v>
      </c>
    </row>
    <row r="2261" spans="1:25" x14ac:dyDescent="0.2">
      <c r="A2261" s="83">
        <v>1</v>
      </c>
      <c r="B2261" s="84">
        <v>5701603309725</v>
      </c>
      <c r="C2261" s="83">
        <v>10</v>
      </c>
      <c r="D2261" s="84">
        <v>5980463309</v>
      </c>
      <c r="F2261" s="83" t="s">
        <v>103</v>
      </c>
      <c r="G2261" s="83">
        <v>0</v>
      </c>
      <c r="H2261" s="83">
        <v>100</v>
      </c>
      <c r="K2261" s="83">
        <v>1</v>
      </c>
      <c r="L2261" s="83" t="s">
        <v>101</v>
      </c>
      <c r="M2261" s="83" t="s">
        <v>410</v>
      </c>
      <c r="N2261" s="83" t="s">
        <v>102</v>
      </c>
      <c r="P2261" s="83">
        <v>0</v>
      </c>
      <c r="U2261" s="83">
        <v>4</v>
      </c>
      <c r="V2261" s="83">
        <v>1</v>
      </c>
      <c r="W2261" s="83" t="s">
        <v>103</v>
      </c>
      <c r="X2261" s="83">
        <v>0</v>
      </c>
      <c r="Y2261" s="83" t="str">
        <f>LEFT(D2261,6)</f>
        <v>598046</v>
      </c>
    </row>
    <row r="2262" spans="1:25" x14ac:dyDescent="0.2">
      <c r="A2262" s="83">
        <v>1</v>
      </c>
      <c r="B2262" s="84">
        <v>5701603309725</v>
      </c>
      <c r="C2262" s="83">
        <v>20</v>
      </c>
      <c r="D2262" s="84">
        <v>5980543309</v>
      </c>
      <c r="F2262" s="83" t="s">
        <v>103</v>
      </c>
      <c r="G2262" s="83">
        <v>0</v>
      </c>
      <c r="H2262" s="83">
        <v>100</v>
      </c>
      <c r="K2262" s="83">
        <v>1</v>
      </c>
      <c r="L2262" s="83" t="s">
        <v>101</v>
      </c>
      <c r="M2262" s="83" t="s">
        <v>410</v>
      </c>
      <c r="N2262" s="83" t="s">
        <v>102</v>
      </c>
      <c r="P2262" s="83">
        <v>0</v>
      </c>
      <c r="U2262" s="83">
        <v>4</v>
      </c>
      <c r="V2262" s="83">
        <v>1</v>
      </c>
      <c r="W2262" s="83" t="s">
        <v>103</v>
      </c>
      <c r="X2262" s="83">
        <v>0</v>
      </c>
    </row>
    <row r="2263" spans="1:25" x14ac:dyDescent="0.2">
      <c r="A2263" s="83">
        <v>1</v>
      </c>
      <c r="B2263" s="84">
        <v>5701603309725</v>
      </c>
      <c r="C2263" s="83">
        <v>30</v>
      </c>
      <c r="D2263" s="84">
        <v>5980623309</v>
      </c>
      <c r="F2263" s="83" t="s">
        <v>103</v>
      </c>
      <c r="G2263" s="83">
        <v>0</v>
      </c>
      <c r="H2263" s="83">
        <v>100</v>
      </c>
      <c r="K2263" s="83">
        <v>1</v>
      </c>
      <c r="L2263" s="83" t="s">
        <v>101</v>
      </c>
      <c r="M2263" s="83" t="s">
        <v>410</v>
      </c>
      <c r="N2263" s="83" t="s">
        <v>102</v>
      </c>
      <c r="P2263" s="83">
        <v>0</v>
      </c>
      <c r="U2263" s="83">
        <v>4</v>
      </c>
      <c r="V2263" s="83">
        <v>1</v>
      </c>
      <c r="W2263" s="83" t="s">
        <v>103</v>
      </c>
      <c r="X2263" s="83">
        <v>0</v>
      </c>
    </row>
    <row r="2264" spans="1:25" x14ac:dyDescent="0.2">
      <c r="A2264" s="83">
        <v>1</v>
      </c>
      <c r="B2264" s="84">
        <v>5701603309725</v>
      </c>
      <c r="C2264" s="83">
        <v>40</v>
      </c>
      <c r="D2264" s="84">
        <v>5980823309</v>
      </c>
      <c r="F2264" s="83" t="s">
        <v>103</v>
      </c>
      <c r="G2264" s="83">
        <v>0</v>
      </c>
      <c r="H2264" s="83">
        <v>100</v>
      </c>
      <c r="K2264" s="83">
        <v>1</v>
      </c>
      <c r="L2264" s="83" t="s">
        <v>101</v>
      </c>
      <c r="M2264" s="83" t="s">
        <v>410</v>
      </c>
      <c r="N2264" s="83" t="s">
        <v>102</v>
      </c>
      <c r="P2264" s="83">
        <v>0</v>
      </c>
      <c r="U2264" s="83">
        <v>4</v>
      </c>
      <c r="V2264" s="83">
        <v>1</v>
      </c>
      <c r="W2264" s="83" t="s">
        <v>103</v>
      </c>
      <c r="X2264" s="83">
        <v>0</v>
      </c>
    </row>
    <row r="2265" spans="1:25" x14ac:dyDescent="0.2">
      <c r="A2265" s="83">
        <v>1</v>
      </c>
      <c r="B2265" s="84">
        <v>5701603309725</v>
      </c>
      <c r="C2265" s="83">
        <v>50</v>
      </c>
      <c r="D2265" s="84">
        <v>5980933309</v>
      </c>
      <c r="F2265" s="83" t="s">
        <v>103</v>
      </c>
      <c r="G2265" s="83">
        <v>0</v>
      </c>
      <c r="H2265" s="83">
        <v>100</v>
      </c>
      <c r="K2265" s="83">
        <v>1</v>
      </c>
      <c r="L2265" s="83" t="s">
        <v>101</v>
      </c>
      <c r="M2265" s="83" t="s">
        <v>410</v>
      </c>
      <c r="N2265" s="83" t="s">
        <v>102</v>
      </c>
      <c r="P2265" s="83">
        <v>0</v>
      </c>
      <c r="U2265" s="83">
        <v>4</v>
      </c>
      <c r="V2265" s="83">
        <v>1</v>
      </c>
      <c r="W2265" s="83" t="s">
        <v>103</v>
      </c>
      <c r="X2265" s="83">
        <v>0</v>
      </c>
    </row>
    <row r="2266" spans="1:25" x14ac:dyDescent="0.2">
      <c r="A2266" s="83">
        <v>1</v>
      </c>
      <c r="B2266" s="84">
        <v>5701603309725</v>
      </c>
      <c r="C2266" s="83">
        <v>60</v>
      </c>
      <c r="D2266" s="84">
        <v>1010286</v>
      </c>
      <c r="F2266" s="83" t="s">
        <v>103</v>
      </c>
      <c r="G2266" s="83">
        <v>0</v>
      </c>
      <c r="H2266" s="83">
        <v>100</v>
      </c>
      <c r="K2266" s="83">
        <v>8</v>
      </c>
      <c r="L2266" s="83" t="s">
        <v>101</v>
      </c>
      <c r="M2266" s="83" t="s">
        <v>410</v>
      </c>
      <c r="N2266" s="83" t="s">
        <v>102</v>
      </c>
      <c r="P2266" s="83">
        <v>0</v>
      </c>
      <c r="U2266" s="83">
        <v>4</v>
      </c>
      <c r="V2266" s="83">
        <v>1</v>
      </c>
      <c r="W2266" s="83" t="s">
        <v>103</v>
      </c>
      <c r="X2266" s="83">
        <v>0</v>
      </c>
    </row>
    <row r="2267" spans="1:25" x14ac:dyDescent="0.2">
      <c r="A2267" s="83">
        <v>1</v>
      </c>
      <c r="B2267" s="84">
        <v>5701603309725</v>
      </c>
      <c r="C2267" s="83">
        <v>70</v>
      </c>
      <c r="D2267" s="84">
        <v>1010287</v>
      </c>
      <c r="F2267" s="83" t="s">
        <v>103</v>
      </c>
      <c r="G2267" s="83">
        <v>0</v>
      </c>
      <c r="H2267" s="83">
        <v>100</v>
      </c>
      <c r="K2267" s="83">
        <v>4</v>
      </c>
      <c r="L2267" s="83" t="s">
        <v>101</v>
      </c>
      <c r="M2267" s="83" t="s">
        <v>410</v>
      </c>
      <c r="N2267" s="83" t="s">
        <v>102</v>
      </c>
      <c r="P2267" s="83">
        <v>0</v>
      </c>
      <c r="U2267" s="83">
        <v>4</v>
      </c>
      <c r="V2267" s="83">
        <v>1</v>
      </c>
      <c r="W2267" s="83" t="s">
        <v>103</v>
      </c>
      <c r="X2267" s="83">
        <v>0</v>
      </c>
    </row>
    <row r="2268" spans="1:25" x14ac:dyDescent="0.2">
      <c r="A2268" s="83">
        <v>1</v>
      </c>
      <c r="B2268" s="84">
        <v>5701603309725</v>
      </c>
      <c r="C2268" s="83">
        <v>80</v>
      </c>
      <c r="D2268" s="84">
        <v>1020145</v>
      </c>
      <c r="F2268" s="83" t="s">
        <v>103</v>
      </c>
      <c r="G2268" s="83">
        <v>0</v>
      </c>
      <c r="H2268" s="83">
        <v>100</v>
      </c>
      <c r="K2268" s="83" t="s">
        <v>408</v>
      </c>
      <c r="L2268" s="83" t="s">
        <v>101</v>
      </c>
      <c r="M2268" s="83" t="s">
        <v>410</v>
      </c>
      <c r="N2268" s="83" t="s">
        <v>102</v>
      </c>
      <c r="P2268" s="83">
        <v>0</v>
      </c>
      <c r="U2268" s="83">
        <v>4</v>
      </c>
      <c r="V2268" s="83">
        <v>1</v>
      </c>
      <c r="W2268" s="83" t="s">
        <v>103</v>
      </c>
      <c r="X2268" s="83">
        <v>0</v>
      </c>
    </row>
    <row r="2269" spans="1:25" x14ac:dyDescent="0.2">
      <c r="A2269" s="83">
        <v>1</v>
      </c>
      <c r="B2269" s="84">
        <v>5701603309725</v>
      </c>
      <c r="C2269" s="83">
        <v>90</v>
      </c>
      <c r="D2269" s="84">
        <v>777500725</v>
      </c>
      <c r="F2269" s="83" t="s">
        <v>103</v>
      </c>
      <c r="G2269" s="83">
        <v>0</v>
      </c>
      <c r="H2269" s="83">
        <v>100</v>
      </c>
      <c r="K2269" s="83">
        <v>1</v>
      </c>
      <c r="L2269" s="83" t="s">
        <v>101</v>
      </c>
      <c r="M2269" s="83" t="s">
        <v>410</v>
      </c>
      <c r="N2269" s="83" t="s">
        <v>102</v>
      </c>
      <c r="P2269" s="83">
        <v>0</v>
      </c>
      <c r="U2269" s="83">
        <v>4</v>
      </c>
      <c r="V2269" s="83">
        <v>1</v>
      </c>
      <c r="W2269" s="83" t="s">
        <v>103</v>
      </c>
      <c r="X2269" s="83">
        <v>0</v>
      </c>
    </row>
    <row r="2270" spans="1:25" x14ac:dyDescent="0.2">
      <c r="A2270" s="83">
        <v>1</v>
      </c>
      <c r="B2270" s="84">
        <v>5701603310725</v>
      </c>
      <c r="C2270" s="83">
        <v>10</v>
      </c>
      <c r="D2270" s="84">
        <v>5980463310</v>
      </c>
      <c r="F2270" s="83" t="s">
        <v>103</v>
      </c>
      <c r="G2270" s="83">
        <v>0</v>
      </c>
      <c r="H2270" s="83">
        <v>100</v>
      </c>
      <c r="K2270" s="83">
        <v>1</v>
      </c>
      <c r="L2270" s="83" t="s">
        <v>101</v>
      </c>
      <c r="M2270" s="83" t="s">
        <v>410</v>
      </c>
      <c r="N2270" s="83" t="s">
        <v>102</v>
      </c>
      <c r="P2270" s="83">
        <v>0</v>
      </c>
      <c r="U2270" s="83">
        <v>4</v>
      </c>
      <c r="V2270" s="83">
        <v>1</v>
      </c>
      <c r="W2270" s="83" t="s">
        <v>103</v>
      </c>
      <c r="X2270" s="83">
        <v>0</v>
      </c>
      <c r="Y2270" s="83" t="str">
        <f>LEFT(D2270,6)</f>
        <v>598046</v>
      </c>
    </row>
    <row r="2271" spans="1:25" x14ac:dyDescent="0.2">
      <c r="A2271" s="83">
        <v>1</v>
      </c>
      <c r="B2271" s="84">
        <v>5701603310725</v>
      </c>
      <c r="C2271" s="83">
        <v>20</v>
      </c>
      <c r="D2271" s="84">
        <v>5980543310</v>
      </c>
      <c r="F2271" s="83" t="s">
        <v>103</v>
      </c>
      <c r="G2271" s="83">
        <v>0</v>
      </c>
      <c r="H2271" s="83">
        <v>100</v>
      </c>
      <c r="K2271" s="83">
        <v>1</v>
      </c>
      <c r="L2271" s="83" t="s">
        <v>101</v>
      </c>
      <c r="M2271" s="83" t="s">
        <v>410</v>
      </c>
      <c r="N2271" s="83" t="s">
        <v>102</v>
      </c>
      <c r="P2271" s="83">
        <v>0</v>
      </c>
      <c r="U2271" s="83">
        <v>4</v>
      </c>
      <c r="V2271" s="83">
        <v>1</v>
      </c>
      <c r="W2271" s="83" t="s">
        <v>103</v>
      </c>
      <c r="X2271" s="83">
        <v>0</v>
      </c>
    </row>
    <row r="2272" spans="1:25" x14ac:dyDescent="0.2">
      <c r="A2272" s="83">
        <v>1</v>
      </c>
      <c r="B2272" s="84">
        <v>5701603310725</v>
      </c>
      <c r="C2272" s="83">
        <v>30</v>
      </c>
      <c r="D2272" s="84">
        <v>5980623310</v>
      </c>
      <c r="F2272" s="83" t="s">
        <v>103</v>
      </c>
      <c r="G2272" s="83">
        <v>0</v>
      </c>
      <c r="H2272" s="83">
        <v>100</v>
      </c>
      <c r="K2272" s="83">
        <v>1</v>
      </c>
      <c r="L2272" s="83" t="s">
        <v>101</v>
      </c>
      <c r="M2272" s="83" t="s">
        <v>410</v>
      </c>
      <c r="N2272" s="83" t="s">
        <v>102</v>
      </c>
      <c r="P2272" s="83">
        <v>0</v>
      </c>
      <c r="U2272" s="83">
        <v>4</v>
      </c>
      <c r="V2272" s="83">
        <v>1</v>
      </c>
      <c r="W2272" s="83" t="s">
        <v>103</v>
      </c>
      <c r="X2272" s="83">
        <v>0</v>
      </c>
    </row>
    <row r="2273" spans="1:24" x14ac:dyDescent="0.2">
      <c r="A2273" s="83">
        <v>1</v>
      </c>
      <c r="B2273" s="84">
        <v>5701603310725</v>
      </c>
      <c r="C2273" s="83">
        <v>40</v>
      </c>
      <c r="D2273" s="84">
        <v>5980823310</v>
      </c>
      <c r="F2273" s="83" t="s">
        <v>103</v>
      </c>
      <c r="G2273" s="83">
        <v>0</v>
      </c>
      <c r="H2273" s="83">
        <v>100</v>
      </c>
      <c r="K2273" s="83">
        <v>1</v>
      </c>
      <c r="L2273" s="83" t="s">
        <v>101</v>
      </c>
      <c r="M2273" s="83" t="s">
        <v>410</v>
      </c>
      <c r="N2273" s="83" t="s">
        <v>102</v>
      </c>
      <c r="P2273" s="83">
        <v>0</v>
      </c>
      <c r="U2273" s="83">
        <v>4</v>
      </c>
      <c r="V2273" s="83">
        <v>1</v>
      </c>
      <c r="W2273" s="83" t="s">
        <v>103</v>
      </c>
      <c r="X2273" s="83">
        <v>0</v>
      </c>
    </row>
    <row r="2274" spans="1:24" x14ac:dyDescent="0.2">
      <c r="A2274" s="83">
        <v>1</v>
      </c>
      <c r="B2274" s="84">
        <v>5701603310725</v>
      </c>
      <c r="C2274" s="83">
        <v>50</v>
      </c>
      <c r="D2274" s="84">
        <v>5980933310</v>
      </c>
      <c r="F2274" s="83" t="s">
        <v>103</v>
      </c>
      <c r="G2274" s="83">
        <v>0</v>
      </c>
      <c r="H2274" s="83">
        <v>100</v>
      </c>
      <c r="K2274" s="83">
        <v>1</v>
      </c>
      <c r="L2274" s="83" t="s">
        <v>101</v>
      </c>
      <c r="M2274" s="83" t="s">
        <v>410</v>
      </c>
      <c r="N2274" s="83" t="s">
        <v>102</v>
      </c>
      <c r="P2274" s="83">
        <v>0</v>
      </c>
      <c r="U2274" s="83">
        <v>4</v>
      </c>
      <c r="V2274" s="83">
        <v>1</v>
      </c>
      <c r="W2274" s="83" t="s">
        <v>103</v>
      </c>
      <c r="X2274" s="83">
        <v>0</v>
      </c>
    </row>
    <row r="2275" spans="1:24" x14ac:dyDescent="0.2">
      <c r="A2275" s="83">
        <v>1</v>
      </c>
      <c r="B2275" s="84">
        <v>5701603310725</v>
      </c>
      <c r="C2275" s="83">
        <v>60</v>
      </c>
      <c r="D2275" s="84">
        <v>1010286</v>
      </c>
      <c r="F2275" s="83" t="s">
        <v>103</v>
      </c>
      <c r="G2275" s="83">
        <v>0</v>
      </c>
      <c r="H2275" s="83">
        <v>100</v>
      </c>
      <c r="K2275" s="83">
        <v>8</v>
      </c>
      <c r="L2275" s="83" t="s">
        <v>101</v>
      </c>
      <c r="M2275" s="83" t="s">
        <v>410</v>
      </c>
      <c r="N2275" s="83" t="s">
        <v>102</v>
      </c>
      <c r="P2275" s="83">
        <v>0</v>
      </c>
      <c r="U2275" s="83">
        <v>4</v>
      </c>
      <c r="V2275" s="83">
        <v>1</v>
      </c>
      <c r="W2275" s="83" t="s">
        <v>103</v>
      </c>
      <c r="X2275" s="83">
        <v>0</v>
      </c>
    </row>
    <row r="2276" spans="1:24" x14ac:dyDescent="0.2">
      <c r="A2276" s="83">
        <v>1</v>
      </c>
      <c r="B2276" s="84">
        <v>5701603310725</v>
      </c>
      <c r="C2276" s="83">
        <v>70</v>
      </c>
      <c r="D2276" s="84">
        <v>1010287</v>
      </c>
      <c r="F2276" s="83" t="s">
        <v>103</v>
      </c>
      <c r="G2276" s="83">
        <v>0</v>
      </c>
      <c r="H2276" s="83">
        <v>100</v>
      </c>
      <c r="K2276" s="83">
        <v>4</v>
      </c>
      <c r="L2276" s="83" t="s">
        <v>101</v>
      </c>
      <c r="M2276" s="83" t="s">
        <v>410</v>
      </c>
      <c r="N2276" s="83" t="s">
        <v>102</v>
      </c>
      <c r="P2276" s="83">
        <v>0</v>
      </c>
      <c r="U2276" s="83">
        <v>4</v>
      </c>
      <c r="V2276" s="83">
        <v>1</v>
      </c>
      <c r="W2276" s="83" t="s">
        <v>103</v>
      </c>
      <c r="X2276" s="83">
        <v>0</v>
      </c>
    </row>
    <row r="2277" spans="1:24" x14ac:dyDescent="0.2">
      <c r="A2277" s="83">
        <v>1</v>
      </c>
      <c r="B2277" s="84">
        <v>5701603310725</v>
      </c>
      <c r="C2277" s="83">
        <v>80</v>
      </c>
      <c r="D2277" s="84">
        <v>1020145</v>
      </c>
      <c r="F2277" s="83" t="s">
        <v>103</v>
      </c>
      <c r="G2277" s="83">
        <v>0</v>
      </c>
      <c r="H2277" s="83">
        <v>100</v>
      </c>
      <c r="K2277" s="83" t="s">
        <v>408</v>
      </c>
      <c r="L2277" s="83" t="s">
        <v>101</v>
      </c>
      <c r="M2277" s="83" t="s">
        <v>410</v>
      </c>
      <c r="N2277" s="83" t="s">
        <v>102</v>
      </c>
      <c r="P2277" s="83">
        <v>0</v>
      </c>
      <c r="U2277" s="83">
        <v>4</v>
      </c>
      <c r="V2277" s="83">
        <v>1</v>
      </c>
      <c r="W2277" s="83" t="s">
        <v>103</v>
      </c>
      <c r="X2277" s="83">
        <v>0</v>
      </c>
    </row>
    <row r="2278" spans="1:24" x14ac:dyDescent="0.2">
      <c r="A2278" s="83">
        <v>1</v>
      </c>
      <c r="B2278" s="84">
        <v>5701603310725</v>
      </c>
      <c r="C2278" s="83">
        <v>90</v>
      </c>
      <c r="D2278" s="84">
        <v>777500725</v>
      </c>
      <c r="F2278" s="83" t="s">
        <v>103</v>
      </c>
      <c r="G2278" s="83">
        <v>0</v>
      </c>
      <c r="H2278" s="83">
        <v>100</v>
      </c>
      <c r="K2278" s="83">
        <v>1</v>
      </c>
      <c r="L2278" s="83" t="s">
        <v>101</v>
      </c>
      <c r="M2278" s="83" t="s">
        <v>410</v>
      </c>
      <c r="N2278" s="83" t="s">
        <v>102</v>
      </c>
      <c r="P2278" s="83">
        <v>0</v>
      </c>
      <c r="U2278" s="83">
        <v>4</v>
      </c>
      <c r="V2278" s="83">
        <v>1</v>
      </c>
      <c r="W2278" s="83" t="s">
        <v>103</v>
      </c>
      <c r="X2278" s="83">
        <v>0</v>
      </c>
    </row>
  </sheetData>
  <autoFilter ref="A1:AB2278" xr:uid="{47BC9F25-4769-48DD-AE7D-681D9324B766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E6A5-DA14-4899-A752-B580ED31BEC4}">
  <sheetPr codeName="Planilha4"/>
  <dimension ref="H1:K1"/>
  <sheetViews>
    <sheetView showGridLines="0" zoomScaleNormal="100" workbookViewId="0">
      <selection sqref="A1:XFD1048576"/>
    </sheetView>
  </sheetViews>
  <sheetFormatPr defaultColWidth="13.28515625" defaultRowHeight="12.75" x14ac:dyDescent="0.2"/>
  <cols>
    <col min="1" max="7" width="13.28515625" style="59"/>
    <col min="8" max="9" width="13.28515625" style="60"/>
    <col min="10" max="10" width="13.28515625" style="59"/>
    <col min="11" max="11" width="13.28515625" style="62"/>
    <col min="12" max="16384" width="13.28515625" style="59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padrao</vt:lpstr>
      <vt:lpstr>FICHAS</vt:lpstr>
      <vt:lpstr>ESTRUTURA PAI</vt:lpstr>
      <vt:lpstr>ESTRUTURA</vt:lpstr>
      <vt:lpstr>DZEN0205</vt:lpstr>
      <vt:lpstr>padrao!Area_de_impressao</vt:lpstr>
    </vt:vector>
  </TitlesOfParts>
  <Company>Todeschini S/A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Todeschini S/A</dc:creator>
  <cp:lastModifiedBy>Lorenzo Benatti Bondan</cp:lastModifiedBy>
  <cp:lastPrinted>2015-03-31T11:39:22Z</cp:lastPrinted>
  <dcterms:created xsi:type="dcterms:W3CDTF">2002-02-18T20:52:00Z</dcterms:created>
  <dcterms:modified xsi:type="dcterms:W3CDTF">2022-07-15T11:28:48Z</dcterms:modified>
</cp:coreProperties>
</file>