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I:\Engenharia de Produto\Programas VBA\ESTRUTURA ALUMINIOS\"/>
    </mc:Choice>
  </mc:AlternateContent>
  <xr:revisionPtr revIDLastSave="0" documentId="13_ncr:1_{1ADD60DE-DA07-4E29-876C-3AEE901D6822}" xr6:coauthVersionLast="47" xr6:coauthVersionMax="47" xr10:uidLastSave="{00000000-0000-0000-0000-000000000000}"/>
  <bookViews>
    <workbookView xWindow="-120" yWindow="-120" windowWidth="29040" windowHeight="15840" xr2:uid="{8FAC63D0-687A-4BE5-9784-E391DEF3EF0F}"/>
  </bookViews>
  <sheets>
    <sheet name="FICHA" sheetId="1" r:id="rId1"/>
    <sheet name="ESTRUTURA" sheetId="2" r:id="rId2"/>
    <sheet name="ESTRUTURA PAI" sheetId="3" r:id="rId3"/>
  </sheets>
  <externalReferences>
    <externalReference r:id="rId4"/>
    <externalReference r:id="rId5"/>
  </externalReferences>
  <definedNames>
    <definedName name="_xlnm._FilterDatabase" localSheetId="1" hidden="1">ESTRUTURA!$A$1:$X$465</definedName>
    <definedName name="_xlnm._FilterDatabase" localSheetId="2" hidden="1">'ESTRUTURA PAI'!$A$1:$X$1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K26" i="1" l="1"/>
  <c r="J26" i="1"/>
  <c r="I26" i="1"/>
  <c r="G26" i="1"/>
  <c r="K25" i="1"/>
  <c r="J25" i="1"/>
  <c r="I25" i="1"/>
  <c r="G25" i="1"/>
  <c r="K24" i="1"/>
  <c r="J24" i="1"/>
  <c r="I24" i="1"/>
  <c r="G24" i="1"/>
  <c r="J5" i="1"/>
  <c r="J37" i="1" s="1"/>
  <c r="I5" i="1"/>
  <c r="I37" i="1" s="1"/>
  <c r="G5" i="1"/>
  <c r="B5" i="1"/>
  <c r="G52" i="1" l="1"/>
  <c r="G46" i="1"/>
  <c r="G40" i="1"/>
  <c r="G37" i="1"/>
  <c r="G51" i="1"/>
  <c r="G45" i="1"/>
  <c r="A40" i="1"/>
  <c r="A37" i="1"/>
  <c r="G50" i="1"/>
  <c r="G44" i="1"/>
  <c r="G39" i="1"/>
  <c r="G49" i="1"/>
  <c r="G43" i="1"/>
  <c r="G38" i="1"/>
  <c r="G42" i="1"/>
  <c r="G48" i="1"/>
  <c r="G47" i="1"/>
  <c r="G41" i="1"/>
</calcChain>
</file>

<file path=xl/sharedStrings.xml><?xml version="1.0" encoding="utf-8"?>
<sst xmlns="http://schemas.openxmlformats.org/spreadsheetml/2006/main" count="2515" uniqueCount="88">
  <si>
    <t>DIMENSÃO PRODUTO PRONTO (Larg x Alt x Esp):</t>
  </si>
  <si>
    <t>CÓD COMERCIAL</t>
  </si>
  <si>
    <t>CÓD INTERNO</t>
  </si>
  <si>
    <t>DESCRIÇÃO</t>
  </si>
  <si>
    <t>DIMENSÃO</t>
  </si>
  <si>
    <t>-</t>
  </si>
  <si>
    <t>ALT</t>
  </si>
  <si>
    <t>LARG</t>
  </si>
  <si>
    <t>ESP</t>
  </si>
  <si>
    <t>ESPELHO</t>
  </si>
  <si>
    <t>ESP CHAMPANHE</t>
  </si>
  <si>
    <t>ESP FUME</t>
  </si>
  <si>
    <t>ONIX</t>
  </si>
  <si>
    <t>GELO</t>
  </si>
  <si>
    <t>NOVO NATA</t>
  </si>
  <si>
    <t>BASALTO</t>
  </si>
  <si>
    <t>PETRÓLEO</t>
  </si>
  <si>
    <t>AREIA</t>
  </si>
  <si>
    <t>FENDI</t>
  </si>
  <si>
    <t>BIANCO</t>
  </si>
  <si>
    <t>SISAL</t>
  </si>
  <si>
    <t>ARDÓSIA</t>
  </si>
  <si>
    <t>ARMAÇÃO</t>
  </si>
  <si>
    <t>CÓDIGO</t>
  </si>
  <si>
    <t>QDADE</t>
  </si>
  <si>
    <t>MEDIDAS</t>
  </si>
  <si>
    <t>COMP</t>
  </si>
  <si>
    <t>PARAFUSOS M4x8 ZB</t>
  </si>
  <si>
    <t>REBITE C/ROSCA M4 CHATA EP-430</t>
  </si>
  <si>
    <t>VIDROS</t>
  </si>
  <si>
    <t>CÓD</t>
  </si>
  <si>
    <t>COR VD</t>
  </si>
  <si>
    <t>COR MÁSCARA</t>
  </si>
  <si>
    <t>QTD</t>
  </si>
  <si>
    <t>NAT</t>
  </si>
  <si>
    <t>CHAMP</t>
  </si>
  <si>
    <t>INOX</t>
  </si>
  <si>
    <t>PTA</t>
  </si>
  <si>
    <t>05</t>
  </si>
  <si>
    <t>08</t>
  </si>
  <si>
    <t>06</t>
  </si>
  <si>
    <t>09</t>
  </si>
  <si>
    <t>n</t>
  </si>
  <si>
    <t>c-tran</t>
  </si>
  <si>
    <t>c-item</t>
  </si>
  <si>
    <t>c-sequ</t>
  </si>
  <si>
    <t>c-comp</t>
  </si>
  <si>
    <t>c-revi</t>
  </si>
  <si>
    <t>c-fant</t>
  </si>
  <si>
    <t>c-perd</t>
  </si>
  <si>
    <t>c-prop</t>
  </si>
  <si>
    <t>c-seri</t>
  </si>
  <si>
    <t>c-serf</t>
  </si>
  <si>
    <t>c-qtde</t>
  </si>
  <si>
    <t>c-resv</t>
  </si>
  <si>
    <t>c-dtin</t>
  </si>
  <si>
    <t>c-dtfi</t>
  </si>
  <si>
    <t>c-rote</t>
  </si>
  <si>
    <t>c-oper</t>
  </si>
  <si>
    <t>c-mont</t>
  </si>
  <si>
    <t>c-obse</t>
  </si>
  <si>
    <t>c-refp</t>
  </si>
  <si>
    <t>c-reff</t>
  </si>
  <si>
    <t>c-sobr</t>
  </si>
  <si>
    <t>c-qtit</t>
  </si>
  <si>
    <t>c-veic</t>
  </si>
  <si>
    <t>c-disv</t>
  </si>
  <si>
    <t>s</t>
  </si>
  <si>
    <t>?</t>
  </si>
  <si>
    <t>N</t>
  </si>
  <si>
    <t>CORES</t>
  </si>
  <si>
    <t>COLOR GLASS</t>
  </si>
  <si>
    <t>COLOR GLASS NATURAL</t>
  </si>
  <si>
    <t>COLOR GLASS CHAMPANHE</t>
  </si>
  <si>
    <t>COLOR GLASS GRAFITO</t>
  </si>
  <si>
    <t>COLOR GLASS ACAB INOX</t>
  </si>
  <si>
    <t>ESQUADRETA PLÁSTICA</t>
  </si>
  <si>
    <t>PERFIL CINZA 4 ALETAS CRISTAL - 3000 MM</t>
  </si>
  <si>
    <t>FRENTE GAVS ALUMÍNIO COLOR GLASS</t>
  </si>
  <si>
    <t>FRENTE FALSA GAV H=535</t>
  </si>
  <si>
    <t>FRENTE GAV 355X396X18 CG + COR</t>
  </si>
  <si>
    <t>REFLETO</t>
  </si>
  <si>
    <t>REFLETO CINZA</t>
  </si>
  <si>
    <t>TRANSPARENTE</t>
  </si>
  <si>
    <t>UN</t>
  </si>
  <si>
    <t>ML</t>
  </si>
  <si>
    <t>29/05/2022</t>
  </si>
  <si>
    <t>223781F98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</si>
</sst>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rgb="FF002060"/>
      <name val="Verdana"/>
      <family val="2"/>
    </font>
    <font>
      <b/>
      <sz val="10"/>
      <name val="Verdana"/>
      <family val="2"/>
    </font>
    <font>
      <b/>
      <sz val="18"/>
      <name val="Verdana"/>
      <family val="2"/>
    </font>
    <font>
      <sz val="12"/>
      <name val="Verdana"/>
      <family val="2"/>
    </font>
    <font>
      <b/>
      <sz val="26"/>
      <color rgb="FFFF0000"/>
      <name val="Verdana"/>
      <family val="2"/>
    </font>
    <font>
      <sz val="10"/>
      <name val="Verdana"/>
      <family val="2"/>
    </font>
    <font>
      <sz val="10"/>
      <color rgb="FFFF0000"/>
      <name val="Verdana"/>
      <family val="2"/>
    </font>
    <font>
      <b/>
      <sz val="16"/>
      <color theme="0"/>
      <name val="Verdana"/>
      <family val="2"/>
    </font>
    <font>
      <sz val="8"/>
      <name val="Verdana"/>
      <family val="2"/>
    </font>
    <font>
      <b/>
      <sz val="15"/>
      <name val="Verdana"/>
      <family val="2"/>
    </font>
    <font>
      <b/>
      <sz val="11"/>
      <color theme="0"/>
      <name val="Bahnschrift Light SemiCondensed"/>
      <family val="2"/>
    </font>
    <font>
      <sz val="15"/>
      <name val="Verdana"/>
      <family val="2"/>
    </font>
    <font>
      <sz val="14"/>
      <name val="Verdana"/>
      <family val="2"/>
    </font>
    <font>
      <sz val="11"/>
      <name val="Verdana"/>
      <family val="2"/>
    </font>
    <font>
      <sz val="12"/>
      <color rgb="FFFF0000"/>
      <name val="Verdana"/>
      <family val="2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indexed="64"/>
      </patternFill>
    </fill>
  </fills>
  <borders count="32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1" fillId="0" borderId="0"/>
  </cellStyleXfs>
  <cellXfs count="94">
    <xf numFmtId="0" fontId="0" fillId="0" borderId="0" xfId="0"/>
    <xf numFmtId="0" fontId="7" fillId="0" borderId="0" xfId="0" applyFont="1"/>
    <xf numFmtId="0" fontId="12" fillId="7" borderId="4" xfId="0" applyFont="1" applyFill="1" applyBorder="1" applyAlignment="1">
      <alignment horizontal="center"/>
    </xf>
    <xf numFmtId="0" fontId="12" fillId="7" borderId="6" xfId="0" applyFont="1" applyFill="1" applyBorder="1" applyAlignment="1">
      <alignment horizontal="center"/>
    </xf>
    <xf numFmtId="14" fontId="0" fillId="0" borderId="0" xfId="0" applyNumberFormat="1"/>
    <xf numFmtId="0" fontId="3" fillId="0" borderId="4" xfId="0" applyFont="1" applyBorder="1" applyAlignment="1">
      <alignment horizontal="center" vertical="center"/>
    </xf>
    <xf numFmtId="0" fontId="8" fillId="3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7" fillId="2" borderId="4" xfId="0" applyFont="1" applyFill="1" applyBorder="1" applyAlignment="1">
      <alignment horizontal="center" wrapText="1"/>
    </xf>
    <xf numFmtId="0" fontId="5" fillId="0" borderId="4" xfId="0" applyFont="1" applyBorder="1"/>
    <xf numFmtId="0" fontId="3" fillId="0" borderId="4" xfId="0" applyFont="1" applyBorder="1" applyAlignment="1">
      <alignment horizontal="center"/>
    </xf>
    <xf numFmtId="0" fontId="13" fillId="0" borderId="4" xfId="0" applyFont="1" applyBorder="1" applyAlignment="1">
      <alignment horizontal="center"/>
    </xf>
    <xf numFmtId="0" fontId="7" fillId="0" borderId="4" xfId="0" applyFont="1" applyBorder="1"/>
    <xf numFmtId="0" fontId="7" fillId="0" borderId="4" xfId="0" applyFont="1" applyBorder="1" applyAlignment="1">
      <alignment horizontal="center"/>
    </xf>
    <xf numFmtId="0" fontId="14" fillId="6" borderId="4" xfId="0" applyFont="1" applyFill="1" applyBorder="1"/>
    <xf numFmtId="0" fontId="14" fillId="6" borderId="4" xfId="0" applyFont="1" applyFill="1" applyBorder="1" applyAlignment="1">
      <alignment horizontal="center"/>
    </xf>
    <xf numFmtId="0" fontId="14" fillId="6" borderId="9" xfId="0" applyFont="1" applyFill="1" applyBorder="1"/>
    <xf numFmtId="0" fontId="14" fillId="6" borderId="9" xfId="0" applyFont="1" applyFill="1" applyBorder="1" applyAlignment="1">
      <alignment horizontal="center"/>
    </xf>
    <xf numFmtId="0" fontId="5" fillId="0" borderId="0" xfId="0" applyFont="1"/>
    <xf numFmtId="0" fontId="14" fillId="9" borderId="4" xfId="0" applyFont="1" applyFill="1" applyBorder="1" applyAlignment="1">
      <alignment horizontal="center"/>
    </xf>
    <xf numFmtId="0" fontId="15" fillId="9" borderId="4" xfId="0" applyFont="1" applyFill="1" applyBorder="1"/>
    <xf numFmtId="0" fontId="15" fillId="0" borderId="0" xfId="0" applyFont="1"/>
    <xf numFmtId="0" fontId="14" fillId="0" borderId="4" xfId="0" applyFont="1" applyBorder="1" applyAlignment="1">
      <alignment horizontal="center"/>
    </xf>
    <xf numFmtId="0" fontId="15" fillId="0" borderId="4" xfId="0" applyFont="1" applyBorder="1"/>
    <xf numFmtId="49" fontId="14" fillId="0" borderId="4" xfId="0" applyNumberFormat="1" applyFont="1" applyBorder="1" applyAlignment="1">
      <alignment horizontal="center"/>
    </xf>
    <xf numFmtId="49" fontId="14" fillId="0" borderId="9" xfId="0" applyNumberFormat="1" applyFont="1" applyBorder="1" applyAlignment="1">
      <alignment horizontal="center"/>
    </xf>
    <xf numFmtId="1" fontId="12" fillId="7" borderId="6" xfId="0" applyNumberFormat="1" applyFont="1" applyFill="1" applyBorder="1" applyAlignment="1">
      <alignment horizontal="center"/>
    </xf>
    <xf numFmtId="1" fontId="0" fillId="0" borderId="0" xfId="0" applyNumberFormat="1"/>
    <xf numFmtId="0" fontId="3" fillId="0" borderId="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 vertical="center"/>
    </xf>
    <xf numFmtId="0" fontId="14" fillId="9" borderId="10" xfId="0" applyFont="1" applyFill="1" applyBorder="1" applyAlignment="1">
      <alignment horizontal="center" vertical="center"/>
    </xf>
    <xf numFmtId="0" fontId="14" fillId="9" borderId="11" xfId="0" applyFont="1" applyFill="1" applyBorder="1" applyAlignment="1">
      <alignment horizontal="center" vertical="center"/>
    </xf>
    <xf numFmtId="0" fontId="14" fillId="9" borderId="12" xfId="0" applyFont="1" applyFill="1" applyBorder="1" applyAlignment="1">
      <alignment horizontal="center" vertical="center"/>
    </xf>
    <xf numFmtId="0" fontId="15" fillId="0" borderId="4" xfId="0" applyFont="1" applyBorder="1" applyAlignment="1">
      <alignment horizontal="center" vertical="center"/>
    </xf>
    <xf numFmtId="0" fontId="15" fillId="0" borderId="9" xfId="0" applyFont="1" applyBorder="1" applyAlignment="1">
      <alignment horizontal="center" vertical="center"/>
    </xf>
    <xf numFmtId="0" fontId="14" fillId="0" borderId="10" xfId="0" applyFont="1" applyBorder="1" applyAlignment="1">
      <alignment horizontal="center" vertical="center"/>
    </xf>
    <xf numFmtId="0" fontId="14" fillId="0" borderId="11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  <xf numFmtId="0" fontId="3" fillId="0" borderId="4" xfId="0" applyFont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8" fillId="3" borderId="6" xfId="0" applyFont="1" applyFill="1" applyBorder="1" applyAlignment="1">
      <alignment horizontal="center" vertical="center"/>
    </xf>
    <xf numFmtId="0" fontId="8" fillId="3" borderId="8" xfId="0" applyFont="1" applyFill="1" applyBorder="1" applyAlignment="1">
      <alignment horizontal="center" vertical="center"/>
    </xf>
    <xf numFmtId="0" fontId="8" fillId="3" borderId="7" xfId="0" applyFont="1" applyFill="1" applyBorder="1" applyAlignment="1">
      <alignment horizontal="center" vertical="center"/>
    </xf>
    <xf numFmtId="0" fontId="2" fillId="0" borderId="14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3" fillId="0" borderId="13" xfId="0" applyFont="1" applyBorder="1" applyAlignment="1">
      <alignment horizontal="center" vertical="center" wrapText="1"/>
    </xf>
    <xf numFmtId="0" fontId="3" fillId="0" borderId="17" xfId="0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 vertical="center" wrapText="1"/>
    </xf>
    <xf numFmtId="0" fontId="4" fillId="0" borderId="15" xfId="0" applyFont="1" applyBorder="1" applyAlignment="1">
      <alignment horizontal="center" vertical="center" wrapText="1"/>
    </xf>
    <xf numFmtId="0" fontId="4" fillId="0" borderId="16" xfId="0" applyFont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wrapText="1"/>
    </xf>
    <xf numFmtId="0" fontId="3" fillId="2" borderId="2" xfId="0" applyFont="1" applyFill="1" applyBorder="1" applyAlignment="1">
      <alignment horizontal="center" wrapText="1"/>
    </xf>
    <xf numFmtId="0" fontId="3" fillId="2" borderId="18" xfId="0" applyFont="1" applyFill="1" applyBorder="1" applyAlignment="1">
      <alignment horizontal="center"/>
    </xf>
    <xf numFmtId="0" fontId="3" fillId="2" borderId="19" xfId="0" applyFont="1" applyFill="1" applyBorder="1" applyAlignment="1">
      <alignment horizontal="center"/>
    </xf>
    <xf numFmtId="0" fontId="3" fillId="2" borderId="20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3" fillId="2" borderId="2" xfId="0" applyFont="1" applyFill="1" applyBorder="1" applyAlignment="1">
      <alignment horizontal="center"/>
    </xf>
    <xf numFmtId="0" fontId="5" fillId="2" borderId="2" xfId="0" applyFont="1" applyFill="1" applyBorder="1" applyAlignment="1">
      <alignment horizontal="center"/>
    </xf>
    <xf numFmtId="0" fontId="5" fillId="2" borderId="18" xfId="0" applyFont="1" applyFill="1" applyBorder="1" applyAlignment="1">
      <alignment horizontal="center"/>
    </xf>
    <xf numFmtId="0" fontId="6" fillId="8" borderId="21" xfId="0" applyFont="1" applyFill="1" applyBorder="1" applyAlignment="1">
      <alignment horizontal="center" vertical="center" textRotation="255"/>
    </xf>
    <xf numFmtId="0" fontId="3" fillId="2" borderId="22" xfId="0" applyFont="1" applyFill="1" applyBorder="1" applyAlignment="1">
      <alignment horizontal="center" wrapText="1"/>
    </xf>
    <xf numFmtId="0" fontId="3" fillId="2" borderId="9" xfId="0" applyFont="1" applyFill="1" applyBorder="1" applyAlignment="1">
      <alignment horizontal="center" wrapText="1"/>
    </xf>
    <xf numFmtId="0" fontId="10" fillId="0" borderId="9" xfId="0" applyFont="1" applyBorder="1" applyAlignment="1">
      <alignment horizontal="center" wrapText="1"/>
    </xf>
    <xf numFmtId="0" fontId="3" fillId="2" borderId="9" xfId="0" applyFont="1" applyFill="1" applyBorder="1" applyAlignment="1">
      <alignment horizontal="center"/>
    </xf>
    <xf numFmtId="0" fontId="3" fillId="2" borderId="9" xfId="0" applyFont="1" applyFill="1" applyBorder="1"/>
    <xf numFmtId="0" fontId="3" fillId="2" borderId="9" xfId="0" applyFont="1" applyFill="1" applyBorder="1" applyAlignment="1">
      <alignment horizontal="center"/>
    </xf>
    <xf numFmtId="0" fontId="3" fillId="2" borderId="23" xfId="0" applyFont="1" applyFill="1" applyBorder="1" applyAlignment="1">
      <alignment horizontal="center"/>
    </xf>
    <xf numFmtId="0" fontId="6" fillId="8" borderId="24" xfId="0" applyFont="1" applyFill="1" applyBorder="1" applyAlignment="1">
      <alignment horizontal="center" vertical="center" textRotation="255"/>
    </xf>
    <xf numFmtId="0" fontId="8" fillId="3" borderId="25" xfId="0" applyFont="1" applyFill="1" applyBorder="1" applyAlignment="1">
      <alignment horizontal="center" vertical="center"/>
    </xf>
    <xf numFmtId="0" fontId="8" fillId="3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/>
    </xf>
    <xf numFmtId="0" fontId="9" fillId="4" borderId="25" xfId="0" applyFont="1" applyFill="1" applyBorder="1" applyAlignment="1">
      <alignment horizontal="center"/>
    </xf>
    <xf numFmtId="0" fontId="9" fillId="4" borderId="8" xfId="0" applyFont="1" applyFill="1" applyBorder="1" applyAlignment="1">
      <alignment horizontal="center"/>
    </xf>
    <xf numFmtId="0" fontId="9" fillId="4" borderId="28" xfId="0" applyFont="1" applyFill="1" applyBorder="1" applyAlignment="1">
      <alignment horizontal="center"/>
    </xf>
    <xf numFmtId="0" fontId="6" fillId="8" borderId="29" xfId="0" applyFont="1" applyFill="1" applyBorder="1" applyAlignment="1">
      <alignment horizontal="center" vertical="center" textRotation="255"/>
    </xf>
    <xf numFmtId="0" fontId="16" fillId="3" borderId="4" xfId="0" applyFont="1" applyFill="1" applyBorder="1" applyAlignment="1">
      <alignment horizontal="center" vertical="center"/>
    </xf>
    <xf numFmtId="0" fontId="16" fillId="3" borderId="4" xfId="0" applyFont="1" applyFill="1" applyBorder="1" applyAlignment="1">
      <alignment vertical="center"/>
    </xf>
    <xf numFmtId="1" fontId="16" fillId="3" borderId="4" xfId="0" applyNumberFormat="1" applyFont="1" applyFill="1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" xfId="0" applyFont="1" applyBorder="1" applyAlignment="1">
      <alignment vertical="center"/>
    </xf>
    <xf numFmtId="1" fontId="5" fillId="0" borderId="4" xfId="0" applyNumberFormat="1" applyFont="1" applyBorder="1" applyAlignment="1">
      <alignment horizontal="center" vertical="center"/>
    </xf>
    <xf numFmtId="0" fontId="13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7" fillId="0" borderId="30" xfId="0" applyFont="1" applyBorder="1"/>
    <xf numFmtId="0" fontId="13" fillId="0" borderId="4" xfId="1" applyFont="1" applyBorder="1" applyAlignment="1">
      <alignment horizontal="center"/>
    </xf>
    <xf numFmtId="0" fontId="7" fillId="0" borderId="4" xfId="0" applyFont="1" applyBorder="1" applyAlignment="1">
      <alignment horizontal="center" vertical="center"/>
    </xf>
    <xf numFmtId="0" fontId="7" fillId="0" borderId="6" xfId="0" applyFont="1" applyBorder="1"/>
    <xf numFmtId="0" fontId="7" fillId="0" borderId="6" xfId="0" applyFont="1" applyBorder="1" applyAlignment="1">
      <alignment horizontal="center"/>
    </xf>
    <xf numFmtId="0" fontId="7" fillId="0" borderId="5" xfId="0" applyFont="1" applyBorder="1"/>
    <xf numFmtId="0" fontId="11" fillId="5" borderId="3" xfId="0" applyFont="1" applyFill="1" applyBorder="1" applyAlignment="1">
      <alignment horizontal="center" vertical="center"/>
    </xf>
    <xf numFmtId="0" fontId="11" fillId="5" borderId="4" xfId="0" applyFont="1" applyFill="1" applyBorder="1" applyAlignment="1">
      <alignment horizontal="center" vertical="center"/>
    </xf>
    <xf numFmtId="0" fontId="6" fillId="8" borderId="31" xfId="0" applyFont="1" applyFill="1" applyBorder="1" applyAlignment="1">
      <alignment horizontal="center" vertical="center" textRotation="255"/>
    </xf>
  </cellXfs>
  <cellStyles count="2">
    <cellStyle name="Normal" xfId="0" builtinId="0"/>
    <cellStyle name="Normal 3" xfId="1" xr:uid="{103DF217-73D5-4439-9F9B-9AC623E1FFB3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externalLink" Target="externalLinks/externalLink2.xml"/><Relationship Id="rId10" Type="http://schemas.microsoft.com/office/2006/relationships/vbaProject" Target="vbaProject.bin"/><Relationship Id="rId4" Type="http://schemas.openxmlformats.org/officeDocument/2006/relationships/externalLink" Target="externalLinks/externalLink1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6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213551</xdr:colOff>
      <xdr:row>10</xdr:row>
      <xdr:rowOff>140073</xdr:rowOff>
    </xdr:from>
    <xdr:to>
      <xdr:col>15</xdr:col>
      <xdr:colOff>522834</xdr:colOff>
      <xdr:row>16</xdr:row>
      <xdr:rowOff>112593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FDCCEBB6-0277-4B3E-B42D-2A2AF287DB9A}"/>
            </a:ext>
          </a:extLst>
        </xdr:cNvPr>
        <xdr:cNvGrpSpPr/>
      </xdr:nvGrpSpPr>
      <xdr:grpSpPr>
        <a:xfrm>
          <a:off x="16868694" y="3609894"/>
          <a:ext cx="921604" cy="1442092"/>
          <a:chOff x="14039850" y="381000"/>
          <a:chExt cx="914400" cy="1115520"/>
        </a:xfrm>
      </xdr:grpSpPr>
      <xdr:pic macro="[0]!Limpar1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10479B2C-C703-E78D-AC18-94EA22C1DC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1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81028E9C-E945-7F8C-8892-C7C2DD4B2E5B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14</xdr:col>
      <xdr:colOff>44824</xdr:colOff>
      <xdr:row>1</xdr:row>
      <xdr:rowOff>280147</xdr:rowOff>
    </xdr:from>
    <xdr:to>
      <xdr:col>15</xdr:col>
      <xdr:colOff>588149</xdr:colOff>
      <xdr:row>10</xdr:row>
      <xdr:rowOff>99252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5E89BF5E-4845-4070-8BD9-AB9FBE117AAE}"/>
            </a:ext>
          </a:extLst>
        </xdr:cNvPr>
        <xdr:cNvGrpSpPr/>
      </xdr:nvGrpSpPr>
      <xdr:grpSpPr>
        <a:xfrm>
          <a:off x="16699967" y="715576"/>
          <a:ext cx="1155646" cy="2853497"/>
          <a:chOff x="22487165" y="421822"/>
          <a:chExt cx="1148442" cy="1524000"/>
        </a:xfrm>
      </xdr:grpSpPr>
      <xdr:sp macro="[0]!Montar_Estrutura_FrentesGav_Aluminios" textlink="">
        <xdr:nvSpPr>
          <xdr:cNvPr id="6" name="CaixaDeTexto 5">
            <a:extLst>
              <a:ext uri="{FF2B5EF4-FFF2-40B4-BE49-F238E27FC236}">
                <a16:creationId xmlns:a16="http://schemas.microsoft.com/office/drawing/2014/main" id="{8D4AF8C4-19A7-AA4F-986E-581B5FDEEE69}"/>
              </a:ext>
            </a:extLst>
          </xdr:cNvPr>
          <xdr:cNvSpPr txBox="1"/>
        </xdr:nvSpPr>
        <xdr:spPr>
          <a:xfrm>
            <a:off x="22487165" y="1341665"/>
            <a:ext cx="1148442" cy="60415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Montar</a:t>
            </a:r>
            <a:endParaRPr lang="pt-BR" sz="1200" b="1" baseline="0">
              <a:latin typeface="Century" panose="02040604050505020304" pitchFamily="18" charset="0"/>
            </a:endParaRPr>
          </a:p>
          <a:p>
            <a:pPr algn="ctr"/>
            <a:r>
              <a:rPr lang="pt-BR" sz="1200" b="1" baseline="0">
                <a:latin typeface="Century" panose="02040604050505020304" pitchFamily="18" charset="0"/>
              </a:rPr>
              <a:t>Estrutura</a:t>
            </a:r>
            <a:endParaRPr lang="pt-BR" sz="1200" b="1">
              <a:latin typeface="Century" panose="02040604050505020304" pitchFamily="18" charset="0"/>
            </a:endParaRPr>
          </a:p>
        </xdr:txBody>
      </xdr:sp>
      <xdr:pic macro="[0]!Montar_Estrutura_FrentesGav_Aluminios">
        <xdr:nvPicPr>
          <xdr:cNvPr id="7" name="Gráfico 6" descr="Ferramentas">
            <a:extLst>
              <a:ext uri="{FF2B5EF4-FFF2-40B4-BE49-F238E27FC236}">
                <a16:creationId xmlns:a16="http://schemas.microsoft.com/office/drawing/2014/main" id="{8CEDC08F-95D6-0825-A03B-67E35BFF1EB4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22642286" y="421822"/>
            <a:ext cx="914400" cy="914400"/>
          </a:xfrm>
          <a:prstGeom prst="rect">
            <a:avLst/>
          </a:prstGeom>
        </xdr:spPr>
      </xdr:pic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361950</xdr:colOff>
      <xdr:row>9</xdr:row>
      <xdr:rowOff>85725</xdr:rowOff>
    </xdr:from>
    <xdr:to>
      <xdr:col>27</xdr:col>
      <xdr:colOff>57150</xdr:colOff>
      <xdr:row>15</xdr:row>
      <xdr:rowOff>58245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3DC297BA-30FE-4A20-B47A-E003EBF0F2F6}"/>
            </a:ext>
          </a:extLst>
        </xdr:cNvPr>
        <xdr:cNvGrpSpPr/>
      </xdr:nvGrpSpPr>
      <xdr:grpSpPr>
        <a:xfrm>
          <a:off x="16125825" y="1800225"/>
          <a:ext cx="914400" cy="1115520"/>
          <a:chOff x="14039850" y="381000"/>
          <a:chExt cx="914400" cy="1115520"/>
        </a:xfrm>
      </xdr:grpSpPr>
      <xdr:pic macro="[0]!Limpar2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864C34AE-991D-B49B-3B1B-FAC39D11558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2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E16EFEC7-7401-914E-4918-05DA0B94354B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352425</xdr:colOff>
      <xdr:row>2</xdr:row>
      <xdr:rowOff>28575</xdr:rowOff>
    </xdr:from>
    <xdr:to>
      <xdr:col>27</xdr:col>
      <xdr:colOff>47625</xdr:colOff>
      <xdr:row>8</xdr:row>
      <xdr:rowOff>39195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C7E378DB-4F07-4052-A40B-52C7B8EF6B44}"/>
            </a:ext>
          </a:extLst>
        </xdr:cNvPr>
        <xdr:cNvGrpSpPr/>
      </xdr:nvGrpSpPr>
      <xdr:grpSpPr>
        <a:xfrm>
          <a:off x="16116300" y="409575"/>
          <a:ext cx="914400" cy="1153620"/>
          <a:chOff x="13430250" y="3429000"/>
          <a:chExt cx="914400" cy="1153620"/>
        </a:xfrm>
      </xdr:grpSpPr>
      <xdr:pic macro="[0]!Exportar">
        <xdr:nvPicPr>
          <xdr:cNvPr id="6" name="Gráfico 5" descr="Disco">
            <a:extLst>
              <a:ext uri="{FF2B5EF4-FFF2-40B4-BE49-F238E27FC236}">
                <a16:creationId xmlns:a16="http://schemas.microsoft.com/office/drawing/2014/main" id="{2D6B7E11-DBA9-271C-F743-CB2C6F216EE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A0FDF561-6D70-6489-E26E-91C96A13EF82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25</xdr:col>
      <xdr:colOff>266700</xdr:colOff>
      <xdr:row>9</xdr:row>
      <xdr:rowOff>104775</xdr:rowOff>
    </xdr:from>
    <xdr:to>
      <xdr:col>26</xdr:col>
      <xdr:colOff>571500</xdr:colOff>
      <xdr:row>15</xdr:row>
      <xdr:rowOff>77295</xdr:rowOff>
    </xdr:to>
    <xdr:grpSp>
      <xdr:nvGrpSpPr>
        <xdr:cNvPr id="2" name="Agrupar 1">
          <a:extLst>
            <a:ext uri="{FF2B5EF4-FFF2-40B4-BE49-F238E27FC236}">
              <a16:creationId xmlns:a16="http://schemas.microsoft.com/office/drawing/2014/main" id="{7E53E108-75C3-4A81-BCD5-9044A580A4E9}"/>
            </a:ext>
          </a:extLst>
        </xdr:cNvPr>
        <xdr:cNvGrpSpPr/>
      </xdr:nvGrpSpPr>
      <xdr:grpSpPr>
        <a:xfrm>
          <a:off x="15859125" y="1819275"/>
          <a:ext cx="914400" cy="1115520"/>
          <a:chOff x="14039850" y="381000"/>
          <a:chExt cx="914400" cy="1115520"/>
        </a:xfrm>
      </xdr:grpSpPr>
      <xdr:pic macro="[0]!Limpar3">
        <xdr:nvPicPr>
          <xdr:cNvPr id="3" name="Gráfico 2" descr="Borracha">
            <a:extLst>
              <a:ext uri="{FF2B5EF4-FFF2-40B4-BE49-F238E27FC236}">
                <a16:creationId xmlns:a16="http://schemas.microsoft.com/office/drawing/2014/main" id="{CF18D6C6-1AF9-6205-BE19-E17CAB3CD4E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14039850" y="381000"/>
            <a:ext cx="914400" cy="914400"/>
          </a:xfrm>
          <a:prstGeom prst="rect">
            <a:avLst/>
          </a:prstGeom>
        </xdr:spPr>
      </xdr:pic>
      <xdr:sp macro="[0]!Limpar3" textlink="">
        <xdr:nvSpPr>
          <xdr:cNvPr id="4" name="CaixaDeTexto 3">
            <a:extLst>
              <a:ext uri="{FF2B5EF4-FFF2-40B4-BE49-F238E27FC236}">
                <a16:creationId xmlns:a16="http://schemas.microsoft.com/office/drawing/2014/main" id="{5BEE7E68-3123-8699-BAD4-9F30842FE7F0}"/>
              </a:ext>
            </a:extLst>
          </xdr:cNvPr>
          <xdr:cNvSpPr txBox="1"/>
        </xdr:nvSpPr>
        <xdr:spPr>
          <a:xfrm>
            <a:off x="14116050" y="12192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pt-BR" sz="1200" b="1">
                <a:latin typeface="Century" panose="02040604050505020304" pitchFamily="18" charset="0"/>
              </a:rPr>
              <a:t>Limpar</a:t>
            </a:r>
          </a:p>
        </xdr:txBody>
      </xdr:sp>
    </xdr:grpSp>
    <xdr:clientData/>
  </xdr:twoCellAnchor>
  <xdr:twoCellAnchor>
    <xdr:from>
      <xdr:col>25</xdr:col>
      <xdr:colOff>257175</xdr:colOff>
      <xdr:row>2</xdr:row>
      <xdr:rowOff>47625</xdr:rowOff>
    </xdr:from>
    <xdr:to>
      <xdr:col>26</xdr:col>
      <xdr:colOff>561975</xdr:colOff>
      <xdr:row>8</xdr:row>
      <xdr:rowOff>58245</xdr:rowOff>
    </xdr:to>
    <xdr:grpSp>
      <xdr:nvGrpSpPr>
        <xdr:cNvPr id="5" name="Agrupar 4">
          <a:extLst>
            <a:ext uri="{FF2B5EF4-FFF2-40B4-BE49-F238E27FC236}">
              <a16:creationId xmlns:a16="http://schemas.microsoft.com/office/drawing/2014/main" id="{F9842C95-B052-43C6-93C9-76A4994C9AFC}"/>
            </a:ext>
          </a:extLst>
        </xdr:cNvPr>
        <xdr:cNvGrpSpPr/>
      </xdr:nvGrpSpPr>
      <xdr:grpSpPr>
        <a:xfrm>
          <a:off x="15849600" y="428625"/>
          <a:ext cx="914400" cy="1153620"/>
          <a:chOff x="13430250" y="3429000"/>
          <a:chExt cx="914400" cy="1153620"/>
        </a:xfrm>
      </xdr:grpSpPr>
      <xdr:pic macro="[0]!Exportar2">
        <xdr:nvPicPr>
          <xdr:cNvPr id="6" name="Gráfico 5" descr="Disco">
            <a:extLst>
              <a:ext uri="{FF2B5EF4-FFF2-40B4-BE49-F238E27FC236}">
                <a16:creationId xmlns:a16="http://schemas.microsoft.com/office/drawing/2014/main" id="{D4302BB3-C50D-8635-7EA9-3DCF7E72BFC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13430250" y="3429000"/>
            <a:ext cx="914400" cy="914400"/>
          </a:xfrm>
          <a:prstGeom prst="rect">
            <a:avLst/>
          </a:prstGeom>
        </xdr:spPr>
      </xdr:pic>
      <xdr:sp macro="[0]!Exportar2" textlink="">
        <xdr:nvSpPr>
          <xdr:cNvPr id="7" name="CaixaDeTexto 6">
            <a:extLst>
              <a:ext uri="{FF2B5EF4-FFF2-40B4-BE49-F238E27FC236}">
                <a16:creationId xmlns:a16="http://schemas.microsoft.com/office/drawing/2014/main" id="{E02F6440-F63E-A2D6-894B-77748266DA0B}"/>
              </a:ext>
            </a:extLst>
          </xdr:cNvPr>
          <xdr:cNvSpPr txBox="1"/>
        </xdr:nvSpPr>
        <xdr:spPr>
          <a:xfrm>
            <a:off x="13525500" y="4305300"/>
            <a:ext cx="715260" cy="27732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pPr algn="ctr"/>
            <a:r>
              <a:rPr lang="pt-BR" sz="1200" b="1">
                <a:latin typeface="Century" panose="02040604050505020304" pitchFamily="18" charset="0"/>
              </a:rPr>
              <a:t>Exportar</a:t>
            </a:r>
          </a:p>
        </xdr:txBody>
      </xdr:sp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Q:\2)%20DOCUMENTOS%20LAN&#199;AMENTOS\LAN&#199;AMENTOS%202022\LAN&#199;AMENTOS%202022-2\FRENTES%20-%202022\FRENTES%20ALUM&#205;NIO%202022-2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V:\14%20-%20FICHAS%20T&#201;CNICAS%20LAN&#199;AMENTOS%202022\LAN&#199;AMENTOS%202022-2\FICHAS%20T&#201;CNICAS%20-%202022\FTES%20E%20PRAT%20ALUM%20-%202022\CG%20-%202021\FRENTES%20COLORGLASS%202022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G COZ ALUM"/>
      <sheetName val="CG COZ ALUM ESP"/>
      <sheetName val="SLIM COZ ALUM"/>
      <sheetName val="SLIM COZ ALUM ESP"/>
      <sheetName val="AQUA COZ ALUM"/>
      <sheetName val="FILO COZ ALUM"/>
      <sheetName val="FILO COZ ALUM ESP"/>
      <sheetName val="CG DORM"/>
      <sheetName val="CG DORM ESP"/>
      <sheetName val="SLIM DORM"/>
      <sheetName val="SLIM DORM ESP"/>
      <sheetName val="FILO DORM ALUM"/>
      <sheetName val="FILO DORM ALUM ESP"/>
      <sheetName val="ARCH DORM ALUM"/>
      <sheetName val="ARCH DORM ALUM ESP"/>
      <sheetName val="PIANO DORM ALUM"/>
      <sheetName val="PIANO DORM ALUM ESP"/>
      <sheetName val="PIANO DORM ALUM-BP"/>
      <sheetName val="PIANO DORM ALUM-BP ESP"/>
      <sheetName val="PRAT ALUM FRAME"/>
      <sheetName val="Plan1"/>
    </sheetNames>
    <sheetDataSet>
      <sheetData sheetId="0" refreshError="1">
        <row r="10">
          <cell r="B10">
            <v>223000</v>
          </cell>
          <cell r="C10">
            <v>590000</v>
          </cell>
          <cell r="D10" t="str">
            <v>FRENTE ARTIC 355X596X18+COR</v>
          </cell>
          <cell r="E10">
            <v>355</v>
          </cell>
          <cell r="F10">
            <v>596</v>
          </cell>
        </row>
        <row r="11">
          <cell r="B11">
            <v>223001</v>
          </cell>
          <cell r="C11">
            <v>590001</v>
          </cell>
          <cell r="D11" t="str">
            <v>FRENTE ARTIC 355X696X18+COR</v>
          </cell>
          <cell r="E11">
            <v>355</v>
          </cell>
          <cell r="F11">
            <v>696</v>
          </cell>
        </row>
        <row r="12">
          <cell r="B12">
            <v>223002</v>
          </cell>
          <cell r="C12">
            <v>590002</v>
          </cell>
          <cell r="D12" t="str">
            <v>FRENTE ARTIC 355X796X18+COR</v>
          </cell>
          <cell r="E12">
            <v>355</v>
          </cell>
          <cell r="F12">
            <v>796</v>
          </cell>
        </row>
        <row r="13">
          <cell r="B13">
            <v>223003</v>
          </cell>
          <cell r="C13">
            <v>590003</v>
          </cell>
          <cell r="D13" t="str">
            <v>FRENTE ARTIC 355X896X18+COR</v>
          </cell>
          <cell r="E13">
            <v>355</v>
          </cell>
          <cell r="F13">
            <v>896</v>
          </cell>
        </row>
        <row r="14">
          <cell r="B14">
            <v>223004</v>
          </cell>
          <cell r="C14">
            <v>590004</v>
          </cell>
          <cell r="D14" t="str">
            <v>FRENTE ARTIC 355X996X18+COR</v>
          </cell>
          <cell r="E14">
            <v>355</v>
          </cell>
          <cell r="F14">
            <v>996</v>
          </cell>
        </row>
        <row r="15">
          <cell r="B15">
            <v>223005</v>
          </cell>
          <cell r="C15">
            <v>590005</v>
          </cell>
          <cell r="D15" t="str">
            <v>FRENTE ARTIC 355X1096X18+COR</v>
          </cell>
          <cell r="E15">
            <v>355</v>
          </cell>
          <cell r="F15">
            <v>1096</v>
          </cell>
        </row>
        <row r="16">
          <cell r="B16">
            <v>223006</v>
          </cell>
          <cell r="C16">
            <v>590006</v>
          </cell>
          <cell r="D16" t="str">
            <v>FRENTE ARTIC 355X1196X18+COR</v>
          </cell>
          <cell r="E16">
            <v>355</v>
          </cell>
          <cell r="F16">
            <v>1196</v>
          </cell>
        </row>
        <row r="17">
          <cell r="B17">
            <v>223007</v>
          </cell>
          <cell r="C17">
            <v>590007</v>
          </cell>
          <cell r="D17" t="str">
            <v>FRENTE ARTIC 355X1396X18+COR</v>
          </cell>
          <cell r="E17">
            <v>355</v>
          </cell>
          <cell r="F17">
            <v>1396</v>
          </cell>
        </row>
        <row r="18">
          <cell r="B18"/>
          <cell r="C18"/>
          <cell r="D18"/>
          <cell r="E18"/>
          <cell r="F18"/>
        </row>
        <row r="19">
          <cell r="B19">
            <v>223010</v>
          </cell>
          <cell r="C19">
            <v>590008</v>
          </cell>
          <cell r="D19" t="str">
            <v>FRENTE ARTIC S/ DOB 355X596X18+COR</v>
          </cell>
          <cell r="E19">
            <v>355</v>
          </cell>
          <cell r="F19">
            <v>596</v>
          </cell>
        </row>
        <row r="20">
          <cell r="B20">
            <v>223011</v>
          </cell>
          <cell r="C20">
            <v>590009</v>
          </cell>
          <cell r="D20" t="str">
            <v>FRENTE ARTIC S/ DOB 355X696X18+COR</v>
          </cell>
          <cell r="E20">
            <v>355</v>
          </cell>
          <cell r="F20">
            <v>696</v>
          </cell>
        </row>
        <row r="21">
          <cell r="B21">
            <v>223012</v>
          </cell>
          <cell r="C21">
            <v>590010</v>
          </cell>
          <cell r="D21" t="str">
            <v>FRENTE ARTIC S/ DOB 355X796X18+COR</v>
          </cell>
          <cell r="E21">
            <v>355</v>
          </cell>
          <cell r="F21">
            <v>796</v>
          </cell>
        </row>
        <row r="22">
          <cell r="B22">
            <v>223013</v>
          </cell>
          <cell r="C22">
            <v>590011</v>
          </cell>
          <cell r="D22" t="str">
            <v>FRENTE ARTIC S/ DOB 355X896X18+COR</v>
          </cell>
          <cell r="E22">
            <v>355</v>
          </cell>
          <cell r="F22">
            <v>896</v>
          </cell>
        </row>
        <row r="23">
          <cell r="B23">
            <v>223014</v>
          </cell>
          <cell r="C23">
            <v>590012</v>
          </cell>
          <cell r="D23" t="str">
            <v>FRENTE ARTIC S/ DOB 355X996X18+COR</v>
          </cell>
          <cell r="E23">
            <v>355</v>
          </cell>
          <cell r="F23">
            <v>996</v>
          </cell>
        </row>
        <row r="24">
          <cell r="B24">
            <v>223015</v>
          </cell>
          <cell r="C24">
            <v>590013</v>
          </cell>
          <cell r="D24" t="str">
            <v>FRENTE ARTIC S/ DOB 355X1096X18+COR</v>
          </cell>
          <cell r="E24">
            <v>355</v>
          </cell>
          <cell r="F24">
            <v>1096</v>
          </cell>
        </row>
        <row r="25">
          <cell r="B25">
            <v>223016</v>
          </cell>
          <cell r="C25">
            <v>590014</v>
          </cell>
          <cell r="D25" t="str">
            <v>FRENTE ARTIC S/ DOB 355X1196X18+COR</v>
          </cell>
          <cell r="E25">
            <v>355</v>
          </cell>
          <cell r="F25">
            <v>1196</v>
          </cell>
        </row>
        <row r="26">
          <cell r="B26">
            <v>223017</v>
          </cell>
          <cell r="C26">
            <v>590015</v>
          </cell>
          <cell r="D26" t="str">
            <v>FRENTE ARTIC S/ DOB 355X1396X18+COR</v>
          </cell>
          <cell r="E26">
            <v>355</v>
          </cell>
          <cell r="F26">
            <v>1396</v>
          </cell>
        </row>
        <row r="27">
          <cell r="B27"/>
          <cell r="C27"/>
          <cell r="D27"/>
          <cell r="E27"/>
          <cell r="F27"/>
        </row>
        <row r="28">
          <cell r="B28">
            <v>223830</v>
          </cell>
          <cell r="C28">
            <v>590680</v>
          </cell>
          <cell r="D28" t="str">
            <v>FRENTE ARTIC 445X596X18+COR</v>
          </cell>
          <cell r="E28">
            <v>445</v>
          </cell>
          <cell r="F28">
            <v>596</v>
          </cell>
        </row>
        <row r="29">
          <cell r="B29">
            <v>223831</v>
          </cell>
          <cell r="C29">
            <v>590681</v>
          </cell>
          <cell r="D29" t="str">
            <v>FRENTE ARTIC 445X696X18+COR</v>
          </cell>
          <cell r="E29">
            <v>445</v>
          </cell>
          <cell r="F29">
            <v>696</v>
          </cell>
        </row>
        <row r="30">
          <cell r="B30">
            <v>223832</v>
          </cell>
          <cell r="C30">
            <v>590682</v>
          </cell>
          <cell r="D30" t="str">
            <v>FRENTE ARTIC 445X796X18+COR</v>
          </cell>
          <cell r="E30">
            <v>445</v>
          </cell>
          <cell r="F30">
            <v>796</v>
          </cell>
        </row>
        <row r="31">
          <cell r="B31">
            <v>223833</v>
          </cell>
          <cell r="C31">
            <v>590683</v>
          </cell>
          <cell r="D31" t="str">
            <v>FRENTE ARTIC 445X896X18+COR</v>
          </cell>
          <cell r="E31">
            <v>445</v>
          </cell>
          <cell r="F31">
            <v>896</v>
          </cell>
        </row>
        <row r="32">
          <cell r="B32">
            <v>223834</v>
          </cell>
          <cell r="C32">
            <v>590684</v>
          </cell>
          <cell r="D32" t="str">
            <v>FRENTE ARTIC 445X996X18+COR</v>
          </cell>
          <cell r="E32">
            <v>445</v>
          </cell>
          <cell r="F32">
            <v>996</v>
          </cell>
        </row>
        <row r="33">
          <cell r="B33">
            <v>223835</v>
          </cell>
          <cell r="C33">
            <v>590685</v>
          </cell>
          <cell r="D33" t="str">
            <v>FRENTE ARTIC 445X1096X18+COR</v>
          </cell>
          <cell r="E33">
            <v>445</v>
          </cell>
          <cell r="F33">
            <v>1096</v>
          </cell>
        </row>
        <row r="34">
          <cell r="B34">
            <v>223836</v>
          </cell>
          <cell r="C34">
            <v>590686</v>
          </cell>
          <cell r="D34" t="str">
            <v>FRENTE ARTIC 445X1196X18+COR</v>
          </cell>
          <cell r="E34">
            <v>445</v>
          </cell>
          <cell r="F34">
            <v>1196</v>
          </cell>
        </row>
        <row r="35">
          <cell r="B35">
            <v>223837</v>
          </cell>
          <cell r="C35">
            <v>590687</v>
          </cell>
          <cell r="D35" t="str">
            <v>FRENTE ARTIC 445X1396X18+COR</v>
          </cell>
          <cell r="E35">
            <v>445</v>
          </cell>
          <cell r="F35">
            <v>1396</v>
          </cell>
        </row>
        <row r="36">
          <cell r="B36"/>
          <cell r="C36"/>
          <cell r="D36"/>
          <cell r="E36"/>
          <cell r="F36"/>
        </row>
        <row r="37">
          <cell r="B37">
            <v>223840</v>
          </cell>
          <cell r="C37">
            <v>590688</v>
          </cell>
          <cell r="D37" t="str">
            <v>FRENTE ARTIC S/ DOB 445X596X18+COR</v>
          </cell>
          <cell r="E37">
            <v>445</v>
          </cell>
          <cell r="F37">
            <v>596</v>
          </cell>
        </row>
        <row r="38">
          <cell r="B38">
            <v>223841</v>
          </cell>
          <cell r="C38">
            <v>590689</v>
          </cell>
          <cell r="D38" t="str">
            <v>FRENTE ARTIC S/ DOB 445X696X18+COR</v>
          </cell>
          <cell r="E38">
            <v>445</v>
          </cell>
          <cell r="F38">
            <v>696</v>
          </cell>
        </row>
        <row r="39">
          <cell r="B39">
            <v>223842</v>
          </cell>
          <cell r="C39">
            <v>590690</v>
          </cell>
          <cell r="D39" t="str">
            <v>FRENTE ARTIC S/ DOB 445X796X18+COR</v>
          </cell>
          <cell r="E39">
            <v>445</v>
          </cell>
          <cell r="F39">
            <v>796</v>
          </cell>
        </row>
        <row r="40">
          <cell r="B40">
            <v>223843</v>
          </cell>
          <cell r="C40">
            <v>590691</v>
          </cell>
          <cell r="D40" t="str">
            <v>FRENTE ARTIC S/ DOB 445X896X18+COR</v>
          </cell>
          <cell r="E40">
            <v>445</v>
          </cell>
          <cell r="F40">
            <v>896</v>
          </cell>
        </row>
        <row r="41">
          <cell r="B41">
            <v>223844</v>
          </cell>
          <cell r="C41">
            <v>590692</v>
          </cell>
          <cell r="D41" t="str">
            <v>FRENTE ARTIC S/ DOB 445X996X18+COR</v>
          </cell>
          <cell r="E41">
            <v>445</v>
          </cell>
          <cell r="F41">
            <v>996</v>
          </cell>
        </row>
        <row r="42">
          <cell r="B42">
            <v>223845</v>
          </cell>
          <cell r="C42">
            <v>590693</v>
          </cell>
          <cell r="D42" t="str">
            <v>FRENTE ARTIC S/ DOB 445X1096X18+COR</v>
          </cell>
          <cell r="E42">
            <v>445</v>
          </cell>
          <cell r="F42">
            <v>1096</v>
          </cell>
        </row>
        <row r="43">
          <cell r="B43">
            <v>223846</v>
          </cell>
          <cell r="C43">
            <v>590694</v>
          </cell>
          <cell r="D43" t="str">
            <v>FRENTE ARTIC S/ DOB 445X1196X18+COR</v>
          </cell>
          <cell r="E43">
            <v>445</v>
          </cell>
          <cell r="F43">
            <v>1196</v>
          </cell>
        </row>
        <row r="44">
          <cell r="B44">
            <v>223847</v>
          </cell>
          <cell r="C44">
            <v>590695</v>
          </cell>
          <cell r="D44" t="str">
            <v>FRENTE ARTIC S/ DOB 445X1396X18+COR</v>
          </cell>
          <cell r="E44">
            <v>445</v>
          </cell>
          <cell r="F44">
            <v>1396</v>
          </cell>
        </row>
        <row r="45">
          <cell r="B45"/>
          <cell r="C45"/>
          <cell r="D45"/>
          <cell r="E45"/>
          <cell r="F45"/>
        </row>
        <row r="46">
          <cell r="B46">
            <v>223020</v>
          </cell>
          <cell r="C46">
            <v>590016</v>
          </cell>
          <cell r="D46" t="str">
            <v>FRENTE ARTIC 535X596X18+COR</v>
          </cell>
          <cell r="E46">
            <v>535</v>
          </cell>
          <cell r="F46">
            <v>596</v>
          </cell>
        </row>
        <row r="47">
          <cell r="B47">
            <v>223021</v>
          </cell>
          <cell r="C47">
            <v>590017</v>
          </cell>
          <cell r="D47" t="str">
            <v>FRENTE ARTIC 535X696X18+COR</v>
          </cell>
          <cell r="E47">
            <v>535</v>
          </cell>
          <cell r="F47">
            <v>696</v>
          </cell>
        </row>
        <row r="48">
          <cell r="B48">
            <v>223022</v>
          </cell>
          <cell r="C48">
            <v>590018</v>
          </cell>
          <cell r="D48" t="str">
            <v>FRENTE ARTIC 535X796X18+COR</v>
          </cell>
          <cell r="E48">
            <v>535</v>
          </cell>
          <cell r="F48">
            <v>796</v>
          </cell>
        </row>
        <row r="49">
          <cell r="B49">
            <v>223023</v>
          </cell>
          <cell r="C49">
            <v>590019</v>
          </cell>
          <cell r="D49" t="str">
            <v>FRENTE ARTIC 535X896X18+COR</v>
          </cell>
          <cell r="E49">
            <v>535</v>
          </cell>
          <cell r="F49">
            <v>896</v>
          </cell>
        </row>
        <row r="50">
          <cell r="B50">
            <v>223024</v>
          </cell>
          <cell r="C50">
            <v>590020</v>
          </cell>
          <cell r="D50" t="str">
            <v>FRENTE ARTIC 535X996X18+COR</v>
          </cell>
          <cell r="E50">
            <v>535</v>
          </cell>
          <cell r="F50">
            <v>996</v>
          </cell>
        </row>
        <row r="51">
          <cell r="B51">
            <v>223025</v>
          </cell>
          <cell r="C51">
            <v>590021</v>
          </cell>
          <cell r="D51" t="str">
            <v>FRENTE ARTIC 535X1096X18+COR</v>
          </cell>
          <cell r="E51">
            <v>535</v>
          </cell>
          <cell r="F51">
            <v>1096</v>
          </cell>
        </row>
        <row r="52">
          <cell r="B52">
            <v>223026</v>
          </cell>
          <cell r="C52">
            <v>590022</v>
          </cell>
          <cell r="D52" t="str">
            <v>FRENTE ARTIC 535X1196X18+COR</v>
          </cell>
          <cell r="E52">
            <v>535</v>
          </cell>
          <cell r="F52">
            <v>1196</v>
          </cell>
        </row>
        <row r="53">
          <cell r="B53">
            <v>223027</v>
          </cell>
          <cell r="C53">
            <v>590023</v>
          </cell>
          <cell r="D53" t="str">
            <v>FRENTE ARTIC 535X1396X18+COR</v>
          </cell>
          <cell r="E53">
            <v>535</v>
          </cell>
          <cell r="F53">
            <v>1396</v>
          </cell>
        </row>
        <row r="54">
          <cell r="B54"/>
          <cell r="C54"/>
          <cell r="D54"/>
          <cell r="E54"/>
          <cell r="F54"/>
        </row>
        <row r="55">
          <cell r="B55">
            <v>223030</v>
          </cell>
          <cell r="C55">
            <v>590024</v>
          </cell>
          <cell r="D55" t="str">
            <v>FRENTE ARTIC S/ DOB 535X596X18+COR</v>
          </cell>
          <cell r="E55">
            <v>535</v>
          </cell>
          <cell r="F55">
            <v>596</v>
          </cell>
        </row>
        <row r="56">
          <cell r="B56">
            <v>223031</v>
          </cell>
          <cell r="C56">
            <v>590025</v>
          </cell>
          <cell r="D56" t="str">
            <v>FRENTE ARTIC S/ DOB 535X696X18+COR</v>
          </cell>
          <cell r="E56">
            <v>535</v>
          </cell>
          <cell r="F56">
            <v>696</v>
          </cell>
        </row>
        <row r="57">
          <cell r="B57">
            <v>223032</v>
          </cell>
          <cell r="C57">
            <v>590026</v>
          </cell>
          <cell r="D57" t="str">
            <v>FRENTE ARTIC S/ DOB 535X796X18+COR</v>
          </cell>
          <cell r="E57">
            <v>535</v>
          </cell>
          <cell r="F57">
            <v>796</v>
          </cell>
        </row>
        <row r="58">
          <cell r="B58">
            <v>223033</v>
          </cell>
          <cell r="C58">
            <v>590027</v>
          </cell>
          <cell r="D58" t="str">
            <v>FRENTE ARTIC S/ DOB 535X896X18+COR</v>
          </cell>
          <cell r="E58">
            <v>535</v>
          </cell>
          <cell r="F58">
            <v>896</v>
          </cell>
        </row>
        <row r="59">
          <cell r="B59">
            <v>223034</v>
          </cell>
          <cell r="C59">
            <v>590028</v>
          </cell>
          <cell r="D59" t="str">
            <v>FRENTE ARTIC S/ DOB 535X996X18+COR</v>
          </cell>
          <cell r="E59">
            <v>535</v>
          </cell>
          <cell r="F59">
            <v>996</v>
          </cell>
        </row>
        <row r="60">
          <cell r="B60">
            <v>223035</v>
          </cell>
          <cell r="C60">
            <v>590029</v>
          </cell>
          <cell r="D60" t="str">
            <v>FRENTE ARTIC S/ DOB 535X1096X18+COR</v>
          </cell>
          <cell r="E60">
            <v>535</v>
          </cell>
          <cell r="F60">
            <v>1096</v>
          </cell>
        </row>
        <row r="61">
          <cell r="B61">
            <v>223036</v>
          </cell>
          <cell r="C61">
            <v>590030</v>
          </cell>
          <cell r="D61" t="str">
            <v>FRENTE ARTIC S/ DOB 535X1196X18+COR</v>
          </cell>
          <cell r="E61">
            <v>535</v>
          </cell>
          <cell r="F61">
            <v>1196</v>
          </cell>
        </row>
        <row r="62">
          <cell r="B62">
            <v>223037</v>
          </cell>
          <cell r="C62">
            <v>590031</v>
          </cell>
          <cell r="D62" t="str">
            <v>FRENTE ARTIC S/ DOB 535X1396X18+COR</v>
          </cell>
          <cell r="E62">
            <v>535</v>
          </cell>
          <cell r="F62">
            <v>1396</v>
          </cell>
        </row>
        <row r="63">
          <cell r="B63"/>
          <cell r="C63"/>
          <cell r="D63"/>
          <cell r="E63"/>
          <cell r="F63"/>
        </row>
        <row r="64">
          <cell r="B64">
            <v>223100</v>
          </cell>
          <cell r="C64">
            <v>590032</v>
          </cell>
          <cell r="D64" t="str">
            <v>FRENTE 535X296X18+COR</v>
          </cell>
          <cell r="E64">
            <v>535</v>
          </cell>
          <cell r="F64">
            <v>296</v>
          </cell>
        </row>
        <row r="65">
          <cell r="B65">
            <v>223101</v>
          </cell>
          <cell r="C65">
            <v>590033</v>
          </cell>
          <cell r="D65" t="str">
            <v>FRENTE 535X346X18+COR</v>
          </cell>
          <cell r="E65">
            <v>535</v>
          </cell>
          <cell r="F65">
            <v>346</v>
          </cell>
        </row>
        <row r="66">
          <cell r="B66">
            <v>223102</v>
          </cell>
          <cell r="C66">
            <v>590034</v>
          </cell>
          <cell r="D66" t="str">
            <v>FRENTE 535X396X18+COR</v>
          </cell>
          <cell r="E66">
            <v>535</v>
          </cell>
          <cell r="F66">
            <v>396</v>
          </cell>
        </row>
        <row r="67">
          <cell r="B67">
            <v>223103</v>
          </cell>
          <cell r="C67">
            <v>590035</v>
          </cell>
          <cell r="D67" t="str">
            <v>FRENTE 535X446X18+COR</v>
          </cell>
          <cell r="E67">
            <v>535</v>
          </cell>
          <cell r="F67">
            <v>446</v>
          </cell>
        </row>
        <row r="68">
          <cell r="B68">
            <v>223104</v>
          </cell>
          <cell r="C68">
            <v>590036</v>
          </cell>
          <cell r="D68" t="str">
            <v>FRENTE 535X496X18+COR</v>
          </cell>
          <cell r="E68">
            <v>535</v>
          </cell>
          <cell r="F68">
            <v>496</v>
          </cell>
        </row>
        <row r="69">
          <cell r="B69">
            <v>223106</v>
          </cell>
          <cell r="C69">
            <v>590038</v>
          </cell>
          <cell r="D69" t="str">
            <v>FRENTE CTO RETO/CTO 90 535X521X18+COR</v>
          </cell>
          <cell r="E69">
            <v>535</v>
          </cell>
          <cell r="F69">
            <v>521</v>
          </cell>
        </row>
        <row r="70">
          <cell r="B70">
            <v>223107</v>
          </cell>
          <cell r="C70">
            <v>590039</v>
          </cell>
          <cell r="D70" t="str">
            <v>FRENTE CTO 90 535X542X18+COR</v>
          </cell>
          <cell r="E70">
            <v>535</v>
          </cell>
          <cell r="F70">
            <v>542</v>
          </cell>
        </row>
        <row r="71">
          <cell r="B71">
            <v>223108</v>
          </cell>
          <cell r="C71">
            <v>590040</v>
          </cell>
          <cell r="D71" t="str">
            <v>FRENTE 535X546X18+COR</v>
          </cell>
          <cell r="E71">
            <v>535</v>
          </cell>
          <cell r="F71">
            <v>546</v>
          </cell>
        </row>
        <row r="72">
          <cell r="B72">
            <v>223109</v>
          </cell>
          <cell r="C72">
            <v>590041</v>
          </cell>
          <cell r="D72" t="str">
            <v>FRENTE 535X596X18+COR</v>
          </cell>
          <cell r="E72">
            <v>535</v>
          </cell>
          <cell r="F72">
            <v>596</v>
          </cell>
        </row>
        <row r="73">
          <cell r="B73">
            <v>223110</v>
          </cell>
          <cell r="C73">
            <v>590903</v>
          </cell>
          <cell r="D73" t="str">
            <v>FRENTE S/DOB 535X596X18+COR</v>
          </cell>
          <cell r="E73">
            <v>535</v>
          </cell>
          <cell r="F73">
            <v>596</v>
          </cell>
        </row>
        <row r="74">
          <cell r="B74"/>
          <cell r="C74"/>
          <cell r="D74"/>
          <cell r="E74"/>
          <cell r="F74"/>
        </row>
        <row r="75">
          <cell r="B75">
            <v>223213</v>
          </cell>
          <cell r="C75">
            <v>590042</v>
          </cell>
          <cell r="D75" t="str">
            <v>FRENTE PTA TEMPERO TDBOX 713X196X18+COR</v>
          </cell>
          <cell r="E75">
            <v>713</v>
          </cell>
          <cell r="F75">
            <v>196</v>
          </cell>
        </row>
        <row r="76">
          <cell r="B76">
            <v>223214</v>
          </cell>
          <cell r="C76">
            <v>590247</v>
          </cell>
          <cell r="D76" t="str">
            <v>FRENTE PTA TEMPERO 713X196X18+COR</v>
          </cell>
          <cell r="E76">
            <v>713</v>
          </cell>
          <cell r="F76">
            <v>196</v>
          </cell>
        </row>
        <row r="77">
          <cell r="B77">
            <v>223200</v>
          </cell>
          <cell r="C77">
            <v>590043</v>
          </cell>
          <cell r="D77" t="str">
            <v>FRENTE 713X196X18+COR</v>
          </cell>
          <cell r="E77">
            <v>713</v>
          </cell>
          <cell r="F77">
            <v>196</v>
          </cell>
        </row>
        <row r="78">
          <cell r="B78">
            <v>223201</v>
          </cell>
          <cell r="C78">
            <v>590044</v>
          </cell>
          <cell r="D78" t="str">
            <v>FRENTE 713X296X18+COR</v>
          </cell>
          <cell r="E78">
            <v>713</v>
          </cell>
          <cell r="F78">
            <v>296</v>
          </cell>
        </row>
        <row r="79">
          <cell r="B79">
            <v>223202</v>
          </cell>
          <cell r="C79">
            <v>590045</v>
          </cell>
          <cell r="D79" t="str">
            <v>FRENTE 713X346X18+COR</v>
          </cell>
          <cell r="E79">
            <v>713</v>
          </cell>
          <cell r="F79">
            <v>346</v>
          </cell>
        </row>
        <row r="80">
          <cell r="B80">
            <v>223203</v>
          </cell>
          <cell r="C80">
            <v>590046</v>
          </cell>
          <cell r="D80" t="str">
            <v>FRENTE 713X396X18+COR</v>
          </cell>
          <cell r="E80">
            <v>713</v>
          </cell>
          <cell r="F80">
            <v>396</v>
          </cell>
        </row>
        <row r="81">
          <cell r="B81">
            <v>223204</v>
          </cell>
          <cell r="C81">
            <v>590047</v>
          </cell>
          <cell r="D81" t="str">
            <v>FRENTE 713X446X18+COR</v>
          </cell>
          <cell r="E81">
            <v>713</v>
          </cell>
          <cell r="F81">
            <v>446</v>
          </cell>
        </row>
        <row r="82">
          <cell r="B82">
            <v>223205</v>
          </cell>
          <cell r="C82">
            <v>590048</v>
          </cell>
          <cell r="D82" t="str">
            <v>FRENTE CTO 90 713X482X18+COR</v>
          </cell>
          <cell r="E82">
            <v>713</v>
          </cell>
          <cell r="F82">
            <v>482</v>
          </cell>
        </row>
        <row r="83">
          <cell r="B83">
            <v>223206</v>
          </cell>
          <cell r="C83">
            <v>590049</v>
          </cell>
          <cell r="D83" t="str">
            <v>FRENTE CTO 90 713X502X18+COR</v>
          </cell>
          <cell r="E83">
            <v>713</v>
          </cell>
          <cell r="F83">
            <v>502</v>
          </cell>
        </row>
        <row r="84">
          <cell r="B84">
            <v>223207</v>
          </cell>
          <cell r="C84">
            <v>590050</v>
          </cell>
          <cell r="D84" t="str">
            <v>FRENTE 713X496X18+COR</v>
          </cell>
          <cell r="E84">
            <v>713</v>
          </cell>
          <cell r="F84">
            <v>496</v>
          </cell>
        </row>
        <row r="85">
          <cell r="B85">
            <v>223209</v>
          </cell>
          <cell r="C85">
            <v>590052</v>
          </cell>
          <cell r="D85" t="str">
            <v>FRENTE CTO RETO/CTO 90 713X521X18+COR</v>
          </cell>
          <cell r="E85">
            <v>713</v>
          </cell>
          <cell r="F85">
            <v>521</v>
          </cell>
        </row>
        <row r="86">
          <cell r="B86">
            <v>223210</v>
          </cell>
          <cell r="C86">
            <v>590053</v>
          </cell>
          <cell r="D86" t="str">
            <v>FRENTE CTO 90 713X542X18+COR</v>
          </cell>
          <cell r="E86">
            <v>713</v>
          </cell>
          <cell r="F86">
            <v>542</v>
          </cell>
        </row>
        <row r="87">
          <cell r="B87">
            <v>223211</v>
          </cell>
          <cell r="C87">
            <v>590054</v>
          </cell>
          <cell r="D87" t="str">
            <v>FRENTE 713X546X18+COR</v>
          </cell>
          <cell r="E87">
            <v>713</v>
          </cell>
          <cell r="F87">
            <v>546</v>
          </cell>
        </row>
        <row r="88">
          <cell r="B88">
            <v>223212</v>
          </cell>
          <cell r="C88">
            <v>590055</v>
          </cell>
          <cell r="D88" t="str">
            <v>FRENTE 713X596X18+COR</v>
          </cell>
          <cell r="E88">
            <v>713</v>
          </cell>
          <cell r="F88">
            <v>596</v>
          </cell>
        </row>
        <row r="89">
          <cell r="B89">
            <v>223215</v>
          </cell>
          <cell r="C89">
            <v>590904</v>
          </cell>
          <cell r="D89" t="str">
            <v>FRENTE S/DOB 713X596X18+COR</v>
          </cell>
          <cell r="E89">
            <v>713</v>
          </cell>
          <cell r="F89">
            <v>596</v>
          </cell>
        </row>
        <row r="90">
          <cell r="B90"/>
          <cell r="C90"/>
          <cell r="D90"/>
          <cell r="E90"/>
          <cell r="F90"/>
        </row>
        <row r="91">
          <cell r="B91">
            <v>223300</v>
          </cell>
          <cell r="C91">
            <v>590056</v>
          </cell>
          <cell r="D91" t="str">
            <v>FRENTE 895X296X18+COR</v>
          </cell>
          <cell r="E91">
            <v>895</v>
          </cell>
          <cell r="F91">
            <v>296</v>
          </cell>
        </row>
        <row r="92">
          <cell r="B92">
            <v>223301</v>
          </cell>
          <cell r="C92">
            <v>590057</v>
          </cell>
          <cell r="D92" t="str">
            <v>FRENTE 895X346X18+COR</v>
          </cell>
          <cell r="E92">
            <v>895</v>
          </cell>
          <cell r="F92">
            <v>346</v>
          </cell>
        </row>
        <row r="93">
          <cell r="B93">
            <v>223302</v>
          </cell>
          <cell r="C93">
            <v>590058</v>
          </cell>
          <cell r="D93" t="str">
            <v>FRENTE 895X396X18+COR</v>
          </cell>
          <cell r="E93">
            <v>895</v>
          </cell>
          <cell r="F93">
            <v>396</v>
          </cell>
        </row>
        <row r="94">
          <cell r="B94">
            <v>223303</v>
          </cell>
          <cell r="C94">
            <v>590059</v>
          </cell>
          <cell r="D94" t="str">
            <v>FRENTE 895X446X18+COR</v>
          </cell>
          <cell r="E94">
            <v>895</v>
          </cell>
          <cell r="F94">
            <v>446</v>
          </cell>
        </row>
        <row r="95">
          <cell r="B95">
            <v>223304</v>
          </cell>
          <cell r="C95">
            <v>590060</v>
          </cell>
          <cell r="D95" t="str">
            <v>FRENTE 895X496X18+COR</v>
          </cell>
          <cell r="E95">
            <v>895</v>
          </cell>
          <cell r="F95">
            <v>496</v>
          </cell>
        </row>
        <row r="96">
          <cell r="B96">
            <v>223306</v>
          </cell>
          <cell r="C96">
            <v>590062</v>
          </cell>
          <cell r="D96" t="str">
            <v>FRENTE CTO RETO/CTO 90 895X521X18+COR</v>
          </cell>
          <cell r="E96">
            <v>895</v>
          </cell>
          <cell r="F96">
            <v>521</v>
          </cell>
        </row>
        <row r="97">
          <cell r="B97">
            <v>223307</v>
          </cell>
          <cell r="C97">
            <v>590063</v>
          </cell>
          <cell r="D97" t="str">
            <v>FRENTE CTO 90 895X542X18+COR</v>
          </cell>
          <cell r="E97">
            <v>895</v>
          </cell>
          <cell r="F97">
            <v>542</v>
          </cell>
        </row>
        <row r="98">
          <cell r="B98">
            <v>223308</v>
          </cell>
          <cell r="C98">
            <v>590064</v>
          </cell>
          <cell r="D98" t="str">
            <v>FRENTE 895X546X18+COR</v>
          </cell>
          <cell r="E98">
            <v>895</v>
          </cell>
          <cell r="F98">
            <v>546</v>
          </cell>
        </row>
        <row r="99">
          <cell r="B99">
            <v>223309</v>
          </cell>
          <cell r="C99">
            <v>590065</v>
          </cell>
          <cell r="D99" t="str">
            <v>FRENTE 895X596X18+COR</v>
          </cell>
          <cell r="E99">
            <v>895</v>
          </cell>
          <cell r="F99">
            <v>596</v>
          </cell>
        </row>
        <row r="100">
          <cell r="B100">
            <v>223310</v>
          </cell>
          <cell r="C100">
            <v>590905</v>
          </cell>
          <cell r="D100" t="str">
            <v>FRENTE S/DOB 895X596X18+COR</v>
          </cell>
          <cell r="E100">
            <v>895</v>
          </cell>
          <cell r="F100">
            <v>596</v>
          </cell>
        </row>
        <row r="101">
          <cell r="B101"/>
          <cell r="C101"/>
          <cell r="D101"/>
          <cell r="E101"/>
          <cell r="F101"/>
        </row>
        <row r="102">
          <cell r="B102">
            <v>223400</v>
          </cell>
          <cell r="C102">
            <v>590066</v>
          </cell>
          <cell r="D102" t="str">
            <v>FRENTE 1075X296X18+COR</v>
          </cell>
          <cell r="E102">
            <v>1075</v>
          </cell>
          <cell r="F102">
            <v>296</v>
          </cell>
        </row>
        <row r="103">
          <cell r="B103">
            <v>223401</v>
          </cell>
          <cell r="C103">
            <v>590067</v>
          </cell>
          <cell r="D103" t="str">
            <v>FRENTE 1075X346X18+COR</v>
          </cell>
          <cell r="E103">
            <v>1075</v>
          </cell>
          <cell r="F103">
            <v>346</v>
          </cell>
        </row>
        <row r="104">
          <cell r="B104">
            <v>223402</v>
          </cell>
          <cell r="C104">
            <v>590068</v>
          </cell>
          <cell r="D104" t="str">
            <v>FRENTE 1075X396X18+COR</v>
          </cell>
          <cell r="E104">
            <v>1075</v>
          </cell>
          <cell r="F104">
            <v>396</v>
          </cell>
        </row>
        <row r="105">
          <cell r="B105">
            <v>223403</v>
          </cell>
          <cell r="C105">
            <v>590069</v>
          </cell>
          <cell r="D105" t="str">
            <v>FRENTE 1075X446X18+COR</v>
          </cell>
          <cell r="E105">
            <v>1075</v>
          </cell>
          <cell r="F105">
            <v>446</v>
          </cell>
        </row>
        <row r="106">
          <cell r="B106">
            <v>223404</v>
          </cell>
          <cell r="C106">
            <v>590070</v>
          </cell>
          <cell r="D106" t="str">
            <v>FRENTE 1075X496X18+COR</v>
          </cell>
          <cell r="E106">
            <v>1075</v>
          </cell>
          <cell r="F106">
            <v>496</v>
          </cell>
        </row>
        <row r="107">
          <cell r="B107">
            <v>223406</v>
          </cell>
          <cell r="C107">
            <v>590072</v>
          </cell>
          <cell r="D107" t="str">
            <v>FRENTE CTO RETO/CTO 90 1075X521X18+COR</v>
          </cell>
          <cell r="E107">
            <v>1075</v>
          </cell>
          <cell r="F107">
            <v>521</v>
          </cell>
        </row>
        <row r="108">
          <cell r="B108">
            <v>223407</v>
          </cell>
          <cell r="C108">
            <v>590073</v>
          </cell>
          <cell r="D108" t="str">
            <v>FRENTE CTO 90 1075X542X18+COR</v>
          </cell>
          <cell r="E108">
            <v>1075</v>
          </cell>
          <cell r="F108">
            <v>542</v>
          </cell>
        </row>
        <row r="109">
          <cell r="B109">
            <v>223408</v>
          </cell>
          <cell r="C109">
            <v>590074</v>
          </cell>
          <cell r="D109" t="str">
            <v>FRENTE 1075X546X18+COR</v>
          </cell>
          <cell r="E109">
            <v>1075</v>
          </cell>
          <cell r="F109">
            <v>546</v>
          </cell>
        </row>
        <row r="110">
          <cell r="B110">
            <v>223409</v>
          </cell>
          <cell r="C110">
            <v>590075</v>
          </cell>
          <cell r="D110" t="str">
            <v>FRENTE 1075X596X18+COR</v>
          </cell>
          <cell r="E110">
            <v>1075</v>
          </cell>
          <cell r="F110">
            <v>596</v>
          </cell>
        </row>
        <row r="111">
          <cell r="B111">
            <v>223410</v>
          </cell>
          <cell r="C111">
            <v>590906</v>
          </cell>
          <cell r="D111" t="str">
            <v>FRENTE S/DOB 1075X596X18+COR</v>
          </cell>
          <cell r="E111">
            <v>1075</v>
          </cell>
          <cell r="F111">
            <v>596</v>
          </cell>
        </row>
        <row r="112">
          <cell r="B112"/>
          <cell r="C112"/>
          <cell r="D112"/>
          <cell r="E112"/>
          <cell r="F112"/>
        </row>
        <row r="113">
          <cell r="B113">
            <v>223513</v>
          </cell>
          <cell r="C113">
            <v>590139</v>
          </cell>
          <cell r="D113" t="str">
            <v>FRENTE 1255X346X18+COR</v>
          </cell>
          <cell r="E113">
            <v>1255</v>
          </cell>
          <cell r="F113">
            <v>346</v>
          </cell>
        </row>
        <row r="114">
          <cell r="B114">
            <v>223500</v>
          </cell>
          <cell r="C114">
            <v>590076</v>
          </cell>
          <cell r="D114" t="str">
            <v>FRENTE 1255X396X18+COR</v>
          </cell>
          <cell r="E114">
            <v>1255</v>
          </cell>
          <cell r="F114">
            <v>396</v>
          </cell>
        </row>
        <row r="115">
          <cell r="B115">
            <v>223514</v>
          </cell>
          <cell r="C115">
            <v>590140</v>
          </cell>
          <cell r="D115" t="str">
            <v>FRENTE 1255X446X18+COR</v>
          </cell>
          <cell r="E115">
            <v>1255</v>
          </cell>
          <cell r="F115">
            <v>446</v>
          </cell>
        </row>
        <row r="116">
          <cell r="B116">
            <v>223501</v>
          </cell>
          <cell r="C116">
            <v>590077</v>
          </cell>
          <cell r="D116" t="str">
            <v>FRENTE 1255X496X18+COR</v>
          </cell>
          <cell r="E116">
            <v>1255</v>
          </cell>
          <cell r="F116">
            <v>496</v>
          </cell>
        </row>
        <row r="117">
          <cell r="B117">
            <v>223502</v>
          </cell>
          <cell r="C117">
            <v>590078</v>
          </cell>
          <cell r="D117" t="str">
            <v>FRENTE 1255X596X18+COR</v>
          </cell>
          <cell r="E117">
            <v>1255</v>
          </cell>
          <cell r="F117">
            <v>596</v>
          </cell>
        </row>
        <row r="118">
          <cell r="B118">
            <v>223512</v>
          </cell>
          <cell r="C118">
            <v>590907</v>
          </cell>
          <cell r="D118" t="str">
            <v>FRENTE S/DOB 1255X596X18+COR</v>
          </cell>
          <cell r="E118">
            <v>1255</v>
          </cell>
          <cell r="F118">
            <v>596</v>
          </cell>
        </row>
        <row r="119">
          <cell r="B119"/>
          <cell r="C119"/>
          <cell r="D119"/>
          <cell r="E119"/>
          <cell r="F119"/>
        </row>
        <row r="120">
          <cell r="B120">
            <v>223515</v>
          </cell>
          <cell r="C120">
            <v>590141</v>
          </cell>
          <cell r="D120" t="str">
            <v>FRENTE 1795X346X18+COR</v>
          </cell>
          <cell r="E120">
            <v>1795</v>
          </cell>
          <cell r="F120">
            <v>346</v>
          </cell>
        </row>
        <row r="121">
          <cell r="B121">
            <v>223503</v>
          </cell>
          <cell r="C121">
            <v>590079</v>
          </cell>
          <cell r="D121" t="str">
            <v>FRENTE 1795X396X18+COR</v>
          </cell>
          <cell r="E121">
            <v>1795</v>
          </cell>
          <cell r="F121">
            <v>396</v>
          </cell>
        </row>
        <row r="122">
          <cell r="B122">
            <v>223516</v>
          </cell>
          <cell r="C122">
            <v>590142</v>
          </cell>
          <cell r="D122" t="str">
            <v>FRENTE 1795X446X18+COR</v>
          </cell>
          <cell r="E122">
            <v>1795</v>
          </cell>
          <cell r="F122">
            <v>446</v>
          </cell>
        </row>
        <row r="123">
          <cell r="B123">
            <v>223504</v>
          </cell>
          <cell r="C123">
            <v>590080</v>
          </cell>
          <cell r="D123" t="str">
            <v>FRENTE 1795X496X18+COR</v>
          </cell>
          <cell r="E123">
            <v>1795</v>
          </cell>
          <cell r="F123">
            <v>496</v>
          </cell>
        </row>
        <row r="124">
          <cell r="B124">
            <v>223505</v>
          </cell>
          <cell r="C124">
            <v>590081</v>
          </cell>
          <cell r="D124" t="str">
            <v>FRENTE 1795X596X18+COR</v>
          </cell>
          <cell r="E124">
            <v>1795</v>
          </cell>
          <cell r="F124">
            <v>596</v>
          </cell>
        </row>
        <row r="125">
          <cell r="B125">
            <v>223583</v>
          </cell>
          <cell r="C125">
            <v>590908</v>
          </cell>
          <cell r="D125" t="str">
            <v>FRENTE S/DOB 1795X596X18+COR</v>
          </cell>
          <cell r="E125">
            <v>1795</v>
          </cell>
          <cell r="F125">
            <v>596</v>
          </cell>
        </row>
        <row r="126">
          <cell r="B126"/>
          <cell r="C126"/>
          <cell r="D126"/>
          <cell r="E126"/>
          <cell r="F126"/>
        </row>
        <row r="127">
          <cell r="B127">
            <v>223517</v>
          </cell>
          <cell r="C127">
            <v>590885</v>
          </cell>
          <cell r="D127" t="str">
            <v>FRENTE 1975X346X18+COR</v>
          </cell>
          <cell r="E127">
            <v>1975</v>
          </cell>
          <cell r="F127">
            <v>346</v>
          </cell>
        </row>
        <row r="128">
          <cell r="B128">
            <v>223506</v>
          </cell>
          <cell r="C128">
            <v>590082</v>
          </cell>
          <cell r="D128" t="str">
            <v>FRENTE 1975X396X18+COR</v>
          </cell>
          <cell r="E128">
            <v>1975</v>
          </cell>
          <cell r="F128">
            <v>396</v>
          </cell>
        </row>
        <row r="129">
          <cell r="B129">
            <v>223518</v>
          </cell>
          <cell r="C129">
            <v>590886</v>
          </cell>
          <cell r="D129" t="str">
            <v>FRENTE 1975X446X18+COR</v>
          </cell>
          <cell r="E129">
            <v>1975</v>
          </cell>
          <cell r="F129">
            <v>446</v>
          </cell>
        </row>
        <row r="130">
          <cell r="B130">
            <v>223507</v>
          </cell>
          <cell r="C130">
            <v>590083</v>
          </cell>
          <cell r="D130" t="str">
            <v>FRENTE 1975X496X18+COR</v>
          </cell>
          <cell r="E130">
            <v>1975</v>
          </cell>
          <cell r="F130">
            <v>496</v>
          </cell>
        </row>
        <row r="131">
          <cell r="B131">
            <v>223508</v>
          </cell>
          <cell r="C131">
            <v>590084</v>
          </cell>
          <cell r="D131" t="str">
            <v>FRENTE 1975X596X18+COR</v>
          </cell>
          <cell r="E131">
            <v>1975</v>
          </cell>
          <cell r="F131">
            <v>596</v>
          </cell>
        </row>
        <row r="132">
          <cell r="B132">
            <v>223584</v>
          </cell>
          <cell r="C132">
            <v>590909</v>
          </cell>
          <cell r="D132" t="str">
            <v>FRENTE S/DOB 1975X596X18+COR</v>
          </cell>
          <cell r="E132">
            <v>1975</v>
          </cell>
          <cell r="F132">
            <v>596</v>
          </cell>
        </row>
        <row r="133">
          <cell r="B133"/>
          <cell r="C133"/>
          <cell r="D133"/>
          <cell r="E133"/>
          <cell r="F133"/>
        </row>
        <row r="134">
          <cell r="B134">
            <v>223547</v>
          </cell>
          <cell r="C134">
            <v>590887</v>
          </cell>
          <cell r="D134" t="str">
            <v>FRENTE 2155X346X18+COR</v>
          </cell>
          <cell r="E134">
            <v>2155</v>
          </cell>
          <cell r="F134">
            <v>346</v>
          </cell>
        </row>
        <row r="135">
          <cell r="B135">
            <v>223509</v>
          </cell>
          <cell r="C135">
            <v>590085</v>
          </cell>
          <cell r="D135" t="str">
            <v>FRENTE 2155X396X18+COR</v>
          </cell>
          <cell r="E135">
            <v>2155</v>
          </cell>
          <cell r="F135">
            <v>396</v>
          </cell>
        </row>
        <row r="136">
          <cell r="B136">
            <v>223548</v>
          </cell>
          <cell r="C136">
            <v>590888</v>
          </cell>
          <cell r="D136" t="str">
            <v>FRENTE 2155X446X18+COR</v>
          </cell>
          <cell r="E136">
            <v>2155</v>
          </cell>
          <cell r="F136">
            <v>446</v>
          </cell>
        </row>
        <row r="137">
          <cell r="B137">
            <v>223510</v>
          </cell>
          <cell r="C137">
            <v>590086</v>
          </cell>
          <cell r="D137" t="str">
            <v>FRENTE 2155X496X18+COR</v>
          </cell>
          <cell r="E137">
            <v>2155</v>
          </cell>
          <cell r="F137">
            <v>496</v>
          </cell>
        </row>
        <row r="138">
          <cell r="B138">
            <v>223511</v>
          </cell>
          <cell r="C138">
            <v>590087</v>
          </cell>
          <cell r="D138" t="str">
            <v>FRENTE 2155X596X18+COR</v>
          </cell>
          <cell r="E138">
            <v>2155</v>
          </cell>
          <cell r="F138">
            <v>596</v>
          </cell>
        </row>
        <row r="139">
          <cell r="B139">
            <v>223585</v>
          </cell>
          <cell r="C139">
            <v>590910</v>
          </cell>
          <cell r="D139" t="str">
            <v>FRENTE S/DOB 2155X596X18+COR</v>
          </cell>
          <cell r="E139">
            <v>2155</v>
          </cell>
          <cell r="F139">
            <v>596</v>
          </cell>
        </row>
        <row r="140">
          <cell r="B140"/>
          <cell r="C140"/>
          <cell r="D140"/>
          <cell r="E140"/>
          <cell r="F140"/>
        </row>
        <row r="141">
          <cell r="B141">
            <v>223550</v>
          </cell>
          <cell r="C141">
            <v>590174</v>
          </cell>
          <cell r="D141" t="str">
            <v>FRENTE 2335X346X18+COR</v>
          </cell>
          <cell r="E141">
            <v>2335</v>
          </cell>
          <cell r="F141">
            <v>346</v>
          </cell>
        </row>
        <row r="142">
          <cell r="B142">
            <v>223551</v>
          </cell>
          <cell r="C142">
            <v>590889</v>
          </cell>
          <cell r="D142" t="str">
            <v>FRENTE 2335X396X18+COR</v>
          </cell>
          <cell r="E142">
            <v>2335</v>
          </cell>
          <cell r="F142">
            <v>396</v>
          </cell>
        </row>
        <row r="143">
          <cell r="B143">
            <v>223552</v>
          </cell>
          <cell r="C143">
            <v>590176</v>
          </cell>
          <cell r="D143" t="str">
            <v>FRENTE 2335X446X18+COR</v>
          </cell>
          <cell r="E143">
            <v>2335</v>
          </cell>
          <cell r="F143">
            <v>446</v>
          </cell>
        </row>
        <row r="144">
          <cell r="B144">
            <v>223553</v>
          </cell>
          <cell r="C144">
            <v>590890</v>
          </cell>
          <cell r="D144" t="str">
            <v>FRENTE 2335X496X18+COR</v>
          </cell>
          <cell r="E144">
            <v>2335</v>
          </cell>
          <cell r="F144">
            <v>496</v>
          </cell>
        </row>
        <row r="145">
          <cell r="B145">
            <v>223554</v>
          </cell>
          <cell r="C145">
            <v>590891</v>
          </cell>
          <cell r="D145" t="str">
            <v>FRENTE 2335X596X18+COR</v>
          </cell>
          <cell r="E145">
            <v>2335</v>
          </cell>
          <cell r="F145">
            <v>596</v>
          </cell>
        </row>
        <row r="146">
          <cell r="B146">
            <v>223586</v>
          </cell>
          <cell r="C146">
            <v>590911</v>
          </cell>
          <cell r="D146" t="str">
            <v>FRENTE S/DOB 2335X596X18+COR</v>
          </cell>
          <cell r="E146">
            <v>2335</v>
          </cell>
          <cell r="F146">
            <v>596</v>
          </cell>
        </row>
        <row r="147">
          <cell r="B147"/>
          <cell r="C147"/>
          <cell r="D147"/>
          <cell r="E147"/>
          <cell r="F147"/>
        </row>
        <row r="148">
          <cell r="B148">
            <v>223610</v>
          </cell>
          <cell r="C148">
            <v>590088</v>
          </cell>
          <cell r="D148" t="str">
            <v>FRENTE GAV 175X296X18+COR</v>
          </cell>
          <cell r="E148">
            <v>175</v>
          </cell>
          <cell r="F148">
            <v>296</v>
          </cell>
        </row>
        <row r="149">
          <cell r="B149">
            <v>223611</v>
          </cell>
          <cell r="C149">
            <v>590089</v>
          </cell>
          <cell r="D149" t="str">
            <v>FRENTE GAV 175X396X18+COR</v>
          </cell>
          <cell r="E149">
            <v>175</v>
          </cell>
          <cell r="F149">
            <v>396</v>
          </cell>
        </row>
        <row r="150">
          <cell r="B150">
            <v>223612</v>
          </cell>
          <cell r="C150">
            <v>590090</v>
          </cell>
          <cell r="D150" t="str">
            <v>FRENTE GAV 175X446X18+COR</v>
          </cell>
          <cell r="E150">
            <v>175</v>
          </cell>
          <cell r="F150">
            <v>446</v>
          </cell>
        </row>
        <row r="151">
          <cell r="B151">
            <v>223613</v>
          </cell>
          <cell r="C151">
            <v>590091</v>
          </cell>
          <cell r="D151" t="str">
            <v>FRENTE GAV 175X496X18+COR</v>
          </cell>
          <cell r="E151">
            <v>175</v>
          </cell>
          <cell r="F151">
            <v>496</v>
          </cell>
        </row>
        <row r="152">
          <cell r="B152">
            <v>223614</v>
          </cell>
          <cell r="C152">
            <v>590092</v>
          </cell>
          <cell r="D152" t="str">
            <v>FRENTE GAV 175X546X18+COR</v>
          </cell>
          <cell r="E152">
            <v>175</v>
          </cell>
          <cell r="F152">
            <v>546</v>
          </cell>
        </row>
        <row r="153">
          <cell r="B153">
            <v>223615</v>
          </cell>
          <cell r="C153">
            <v>590093</v>
          </cell>
          <cell r="D153" t="str">
            <v>FRENTE GAV 175X596X18+COR</v>
          </cell>
          <cell r="E153">
            <v>175</v>
          </cell>
          <cell r="F153">
            <v>596</v>
          </cell>
        </row>
        <row r="154">
          <cell r="B154">
            <v>223616</v>
          </cell>
          <cell r="C154">
            <v>590094</v>
          </cell>
          <cell r="D154" t="str">
            <v>FRENTE GAV 175X696X18+COR</v>
          </cell>
          <cell r="E154">
            <v>175</v>
          </cell>
          <cell r="F154">
            <v>696</v>
          </cell>
        </row>
        <row r="155">
          <cell r="B155">
            <v>223617</v>
          </cell>
          <cell r="C155">
            <v>590095</v>
          </cell>
          <cell r="D155" t="str">
            <v>FRENTE GAV 175X796X18+COR</v>
          </cell>
          <cell r="E155">
            <v>175</v>
          </cell>
          <cell r="F155">
            <v>796</v>
          </cell>
        </row>
        <row r="156">
          <cell r="B156">
            <v>223618</v>
          </cell>
          <cell r="C156">
            <v>590096</v>
          </cell>
          <cell r="D156" t="str">
            <v>FRENTE GAV 175X896X18+COR</v>
          </cell>
          <cell r="E156">
            <v>175</v>
          </cell>
          <cell r="F156">
            <v>896</v>
          </cell>
        </row>
        <row r="157">
          <cell r="B157">
            <v>223619</v>
          </cell>
          <cell r="C157">
            <v>590097</v>
          </cell>
          <cell r="D157" t="str">
            <v>FRENTE GAV 175X996X18+COR</v>
          </cell>
          <cell r="E157">
            <v>175</v>
          </cell>
          <cell r="F157">
            <v>996</v>
          </cell>
        </row>
        <row r="158">
          <cell r="B158">
            <v>223620</v>
          </cell>
          <cell r="C158">
            <v>590098</v>
          </cell>
          <cell r="D158" t="str">
            <v>FRENTE GAV 175X1096X18+COR</v>
          </cell>
          <cell r="E158">
            <v>175</v>
          </cell>
          <cell r="F158">
            <v>1096</v>
          </cell>
        </row>
        <row r="159">
          <cell r="B159">
            <v>223621</v>
          </cell>
          <cell r="C159">
            <v>590099</v>
          </cell>
          <cell r="D159" t="str">
            <v>FRENTE GAV 175X1196X18+COR</v>
          </cell>
          <cell r="E159">
            <v>175</v>
          </cell>
          <cell r="F159">
            <v>1196</v>
          </cell>
        </row>
        <row r="160">
          <cell r="B160"/>
          <cell r="C160"/>
          <cell r="D160"/>
          <cell r="E160"/>
          <cell r="F160"/>
        </row>
        <row r="161">
          <cell r="B161">
            <v>223630</v>
          </cell>
          <cell r="C161">
            <v>590101</v>
          </cell>
          <cell r="D161" t="str">
            <v>FRENTE GAV TDBOX 175X296X18+COR</v>
          </cell>
          <cell r="E161">
            <v>175</v>
          </cell>
          <cell r="F161">
            <v>296</v>
          </cell>
        </row>
        <row r="162">
          <cell r="B162">
            <v>223631</v>
          </cell>
          <cell r="C162">
            <v>590102</v>
          </cell>
          <cell r="D162" t="str">
            <v>FRENTE GAV TDBOX 175X396X18+COR</v>
          </cell>
          <cell r="E162">
            <v>175</v>
          </cell>
          <cell r="F162">
            <v>396</v>
          </cell>
        </row>
        <row r="163">
          <cell r="B163">
            <v>223632</v>
          </cell>
          <cell r="C163">
            <v>590103</v>
          </cell>
          <cell r="D163" t="str">
            <v>FRENTE GAV TDBOX 175X446X18+COR</v>
          </cell>
          <cell r="E163">
            <v>175</v>
          </cell>
          <cell r="F163">
            <v>446</v>
          </cell>
        </row>
        <row r="164">
          <cell r="B164">
            <v>223633</v>
          </cell>
          <cell r="C164">
            <v>590104</v>
          </cell>
          <cell r="D164" t="str">
            <v>FRENTE GAV TDBOX 175X496X18+COR</v>
          </cell>
          <cell r="E164">
            <v>175</v>
          </cell>
          <cell r="F164">
            <v>496</v>
          </cell>
        </row>
        <row r="165">
          <cell r="B165">
            <v>223634</v>
          </cell>
          <cell r="C165">
            <v>590105</v>
          </cell>
          <cell r="D165" t="str">
            <v>FRENTE GAV TDBOX 175X546X18+COR</v>
          </cell>
          <cell r="E165">
            <v>175</v>
          </cell>
          <cell r="F165">
            <v>546</v>
          </cell>
        </row>
        <row r="166">
          <cell r="B166">
            <v>223635</v>
          </cell>
          <cell r="C166">
            <v>590106</v>
          </cell>
          <cell r="D166" t="str">
            <v>FRENTE GAV TDBOX 175X596X18+COR</v>
          </cell>
          <cell r="E166">
            <v>175</v>
          </cell>
          <cell r="F166">
            <v>596</v>
          </cell>
        </row>
        <row r="167">
          <cell r="B167">
            <v>223636</v>
          </cell>
          <cell r="C167">
            <v>590107</v>
          </cell>
          <cell r="D167" t="str">
            <v>FRENTE GAV TDBOX 175X696X18+COR</v>
          </cell>
          <cell r="E167">
            <v>175</v>
          </cell>
          <cell r="F167">
            <v>696</v>
          </cell>
        </row>
        <row r="168">
          <cell r="B168">
            <v>223637</v>
          </cell>
          <cell r="C168">
            <v>590108</v>
          </cell>
          <cell r="D168" t="str">
            <v>FRENTE GAV TDBOX 175X796X18+COR</v>
          </cell>
          <cell r="E168">
            <v>175</v>
          </cell>
          <cell r="F168">
            <v>796</v>
          </cell>
        </row>
        <row r="169">
          <cell r="B169">
            <v>223638</v>
          </cell>
          <cell r="C169">
            <v>590109</v>
          </cell>
          <cell r="D169" t="str">
            <v>FRENTE GAV TDBOX 175X896X18+COR</v>
          </cell>
          <cell r="E169">
            <v>175</v>
          </cell>
          <cell r="F169">
            <v>896</v>
          </cell>
        </row>
        <row r="170">
          <cell r="B170">
            <v>223639</v>
          </cell>
          <cell r="C170">
            <v>590110</v>
          </cell>
          <cell r="D170" t="str">
            <v>FRENTE GAV TDBOX 175X996X18+COR</v>
          </cell>
          <cell r="E170">
            <v>175</v>
          </cell>
          <cell r="F170">
            <v>996</v>
          </cell>
        </row>
        <row r="171">
          <cell r="B171">
            <v>223640</v>
          </cell>
          <cell r="C171">
            <v>590111</v>
          </cell>
          <cell r="D171" t="str">
            <v>FRENTE GAV TDBOX 175X1096X18+COR</v>
          </cell>
          <cell r="E171">
            <v>175</v>
          </cell>
          <cell r="F171">
            <v>1096</v>
          </cell>
        </row>
        <row r="172">
          <cell r="B172">
            <v>223641</v>
          </cell>
          <cell r="C172">
            <v>590112</v>
          </cell>
          <cell r="D172" t="str">
            <v>FRENTE GAV TDBOX 175X1196X18+COR</v>
          </cell>
          <cell r="E172">
            <v>175</v>
          </cell>
          <cell r="F172">
            <v>1196</v>
          </cell>
        </row>
        <row r="173">
          <cell r="B173"/>
          <cell r="C173"/>
          <cell r="D173"/>
          <cell r="E173"/>
          <cell r="F173"/>
        </row>
        <row r="174">
          <cell r="B174">
            <v>223650</v>
          </cell>
          <cell r="C174">
            <v>590114</v>
          </cell>
          <cell r="D174" t="str">
            <v>FRENTE GAV 355X396X18+COR</v>
          </cell>
          <cell r="E174">
            <v>355</v>
          </cell>
          <cell r="F174">
            <v>396</v>
          </cell>
        </row>
        <row r="175">
          <cell r="B175">
            <v>223651</v>
          </cell>
          <cell r="C175">
            <v>590115</v>
          </cell>
          <cell r="D175" t="str">
            <v>FRENTE GAV 355X446X18+COR</v>
          </cell>
          <cell r="E175">
            <v>355</v>
          </cell>
          <cell r="F175">
            <v>446</v>
          </cell>
        </row>
        <row r="176">
          <cell r="B176">
            <v>223652</v>
          </cell>
          <cell r="C176">
            <v>590116</v>
          </cell>
          <cell r="D176" t="str">
            <v>FRENTE GAV 355X496X18+COR</v>
          </cell>
          <cell r="E176">
            <v>355</v>
          </cell>
          <cell r="F176">
            <v>496</v>
          </cell>
        </row>
        <row r="177">
          <cell r="B177">
            <v>223653</v>
          </cell>
          <cell r="C177">
            <v>590117</v>
          </cell>
          <cell r="D177" t="str">
            <v>FRENTE GAV 355X546X18+COR</v>
          </cell>
          <cell r="E177">
            <v>355</v>
          </cell>
          <cell r="F177">
            <v>546</v>
          </cell>
        </row>
        <row r="178">
          <cell r="B178">
            <v>223654</v>
          </cell>
          <cell r="C178">
            <v>590118</v>
          </cell>
          <cell r="D178" t="str">
            <v>FRENTE GAV 355X596X18+COR</v>
          </cell>
          <cell r="E178">
            <v>355</v>
          </cell>
          <cell r="F178">
            <v>596</v>
          </cell>
        </row>
        <row r="179">
          <cell r="B179">
            <v>223655</v>
          </cell>
          <cell r="C179">
            <v>590119</v>
          </cell>
          <cell r="D179" t="str">
            <v>FRENTE GAV 355X696X18+COR</v>
          </cell>
          <cell r="E179">
            <v>355</v>
          </cell>
          <cell r="F179">
            <v>696</v>
          </cell>
        </row>
        <row r="180">
          <cell r="B180">
            <v>223656</v>
          </cell>
          <cell r="C180">
            <v>590120</v>
          </cell>
          <cell r="D180" t="str">
            <v>FRENTE GAV 355X796X18+COR</v>
          </cell>
          <cell r="E180">
            <v>355</v>
          </cell>
          <cell r="F180">
            <v>796</v>
          </cell>
        </row>
        <row r="181">
          <cell r="B181">
            <v>223657</v>
          </cell>
          <cell r="C181">
            <v>590121</v>
          </cell>
          <cell r="D181" t="str">
            <v>FRENTE GAV 355X896X18+COR</v>
          </cell>
          <cell r="E181">
            <v>355</v>
          </cell>
          <cell r="F181">
            <v>896</v>
          </cell>
        </row>
        <row r="182">
          <cell r="B182">
            <v>223658</v>
          </cell>
          <cell r="C182">
            <v>590122</v>
          </cell>
          <cell r="D182" t="str">
            <v>FRENTE GAV 355X996X18+COR</v>
          </cell>
          <cell r="E182">
            <v>355</v>
          </cell>
          <cell r="F182">
            <v>996</v>
          </cell>
        </row>
        <row r="183">
          <cell r="B183">
            <v>223659</v>
          </cell>
          <cell r="C183">
            <v>590123</v>
          </cell>
          <cell r="D183" t="str">
            <v>FRENTE GAV 355X1096X18+COR</v>
          </cell>
          <cell r="E183">
            <v>355</v>
          </cell>
          <cell r="F183">
            <v>1096</v>
          </cell>
        </row>
        <row r="184">
          <cell r="B184">
            <v>223660</v>
          </cell>
          <cell r="C184">
            <v>590124</v>
          </cell>
          <cell r="D184" t="str">
            <v>FRENTE GAV 355X1196X18+COR</v>
          </cell>
          <cell r="E184">
            <v>355</v>
          </cell>
          <cell r="F184">
            <v>1196</v>
          </cell>
        </row>
        <row r="185">
          <cell r="B185"/>
          <cell r="C185"/>
          <cell r="D185"/>
          <cell r="E185"/>
          <cell r="F185"/>
        </row>
        <row r="186">
          <cell r="B186">
            <v>223670</v>
          </cell>
          <cell r="C186">
            <v>590126</v>
          </cell>
          <cell r="D186" t="str">
            <v>FRENTE GAV TDBOX 355X396X18+COR</v>
          </cell>
          <cell r="E186">
            <v>355</v>
          </cell>
          <cell r="F186">
            <v>396</v>
          </cell>
        </row>
        <row r="187">
          <cell r="B187">
            <v>223671</v>
          </cell>
          <cell r="C187">
            <v>590127</v>
          </cell>
          <cell r="D187" t="str">
            <v>FRENTE GAV TDBOX 355X446X18+COR</v>
          </cell>
          <cell r="E187">
            <v>355</v>
          </cell>
          <cell r="F187">
            <v>446</v>
          </cell>
        </row>
        <row r="188">
          <cell r="B188">
            <v>223672</v>
          </cell>
          <cell r="C188">
            <v>590128</v>
          </cell>
          <cell r="D188" t="str">
            <v>FRENTE GAV TDBOX 355X496X18+COR</v>
          </cell>
          <cell r="E188">
            <v>355</v>
          </cell>
          <cell r="F188">
            <v>496</v>
          </cell>
        </row>
        <row r="189">
          <cell r="B189">
            <v>223673</v>
          </cell>
          <cell r="C189">
            <v>590129</v>
          </cell>
          <cell r="D189" t="str">
            <v>FRENTE GAV TDBOX 355X546X18+COR</v>
          </cell>
          <cell r="E189">
            <v>355</v>
          </cell>
          <cell r="F189">
            <v>546</v>
          </cell>
        </row>
        <row r="190">
          <cell r="B190">
            <v>223674</v>
          </cell>
          <cell r="C190">
            <v>590130</v>
          </cell>
          <cell r="D190" t="str">
            <v>FRENTE GAV TDBOX 355X596X18+COR</v>
          </cell>
          <cell r="E190">
            <v>355</v>
          </cell>
          <cell r="F190">
            <v>596</v>
          </cell>
        </row>
        <row r="191">
          <cell r="B191">
            <v>223675</v>
          </cell>
          <cell r="C191">
            <v>590131</v>
          </cell>
          <cell r="D191" t="str">
            <v>FRENTE GAV TDBOX 355X696X18+COR</v>
          </cell>
          <cell r="E191">
            <v>355</v>
          </cell>
          <cell r="F191">
            <v>696</v>
          </cell>
        </row>
        <row r="192">
          <cell r="B192">
            <v>223676</v>
          </cell>
          <cell r="C192">
            <v>590132</v>
          </cell>
          <cell r="D192" t="str">
            <v>FRENTE GAV TDBOX 355X796X18+COR</v>
          </cell>
          <cell r="E192">
            <v>355</v>
          </cell>
          <cell r="F192">
            <v>796</v>
          </cell>
        </row>
        <row r="193">
          <cell r="B193">
            <v>223677</v>
          </cell>
          <cell r="C193">
            <v>590133</v>
          </cell>
          <cell r="D193" t="str">
            <v>FRENTE GAV TDBOX 355X896X18+COR</v>
          </cell>
          <cell r="E193">
            <v>355</v>
          </cell>
          <cell r="F193">
            <v>896</v>
          </cell>
        </row>
        <row r="194">
          <cell r="B194">
            <v>223678</v>
          </cell>
          <cell r="C194">
            <v>590134</v>
          </cell>
          <cell r="D194" t="str">
            <v>FRENTE GAV TDBOX 355X996X18+COR</v>
          </cell>
          <cell r="E194">
            <v>355</v>
          </cell>
          <cell r="F194">
            <v>996</v>
          </cell>
        </row>
        <row r="195">
          <cell r="B195">
            <v>223679</v>
          </cell>
          <cell r="C195">
            <v>590135</v>
          </cell>
          <cell r="D195" t="str">
            <v>FRENTE GAV TDBOX 355X1096X18+COR</v>
          </cell>
          <cell r="E195">
            <v>355</v>
          </cell>
          <cell r="F195">
            <v>1096</v>
          </cell>
        </row>
        <row r="196">
          <cell r="B196">
            <v>223680</v>
          </cell>
          <cell r="C196">
            <v>590136</v>
          </cell>
          <cell r="D196" t="str">
            <v>FRENTE GAV TDBOX 355X1196X18+COR</v>
          </cell>
          <cell r="E196">
            <v>355</v>
          </cell>
          <cell r="F196">
            <v>1196</v>
          </cell>
        </row>
        <row r="197">
          <cell r="B197"/>
          <cell r="C197"/>
          <cell r="D197"/>
          <cell r="E197"/>
          <cell r="F197"/>
        </row>
        <row r="198">
          <cell r="B198">
            <v>223690</v>
          </cell>
          <cell r="C198">
            <v>590138</v>
          </cell>
          <cell r="D198" t="str">
            <v>FRENTE TÁBUA DE PASSAR 175X396X18+COR</v>
          </cell>
          <cell r="E198">
            <v>175</v>
          </cell>
          <cell r="F198">
            <v>396</v>
          </cell>
        </row>
        <row r="199">
          <cell r="B199"/>
          <cell r="C199"/>
          <cell r="D199"/>
          <cell r="E199"/>
          <cell r="F199"/>
        </row>
        <row r="200">
          <cell r="B200">
            <v>223710</v>
          </cell>
          <cell r="C200">
            <v>590143</v>
          </cell>
          <cell r="D200" t="str">
            <v>FRENTE LINE 895X895X18+COR</v>
          </cell>
          <cell r="E200">
            <v>895</v>
          </cell>
          <cell r="F200">
            <v>895</v>
          </cell>
        </row>
        <row r="201">
          <cell r="B201">
            <v>223711</v>
          </cell>
          <cell r="C201">
            <v>590144</v>
          </cell>
          <cell r="D201" t="str">
            <v>FRENTE LINE 895X996X18+COR</v>
          </cell>
          <cell r="E201">
            <v>895</v>
          </cell>
          <cell r="F201">
            <v>996</v>
          </cell>
        </row>
        <row r="202">
          <cell r="B202">
            <v>223712</v>
          </cell>
          <cell r="C202">
            <v>590145</v>
          </cell>
          <cell r="D202" t="str">
            <v>FRENTE LINE 895X1096X18+COR</v>
          </cell>
          <cell r="E202">
            <v>895</v>
          </cell>
          <cell r="F202">
            <v>1096</v>
          </cell>
        </row>
        <row r="203">
          <cell r="B203">
            <v>223713</v>
          </cell>
          <cell r="C203">
            <v>590146</v>
          </cell>
          <cell r="D203" t="str">
            <v>FRENTE LINE 895X1196X18+COR</v>
          </cell>
          <cell r="E203">
            <v>895</v>
          </cell>
          <cell r="F203">
            <v>1196</v>
          </cell>
        </row>
        <row r="204">
          <cell r="B204"/>
          <cell r="C204"/>
          <cell r="D204"/>
          <cell r="E204"/>
          <cell r="F204"/>
        </row>
        <row r="205">
          <cell r="B205">
            <v>223715</v>
          </cell>
          <cell r="C205">
            <v>590147</v>
          </cell>
          <cell r="D205" t="str">
            <v>FRENTE LINE 1075X896X18+COR</v>
          </cell>
          <cell r="E205">
            <v>1075</v>
          </cell>
          <cell r="F205">
            <v>896</v>
          </cell>
        </row>
        <row r="206">
          <cell r="B206">
            <v>223716</v>
          </cell>
          <cell r="C206">
            <v>590148</v>
          </cell>
          <cell r="D206" t="str">
            <v>FRENTE LINE 1075X996X18+COR</v>
          </cell>
          <cell r="E206">
            <v>1075</v>
          </cell>
          <cell r="F206">
            <v>996</v>
          </cell>
        </row>
        <row r="207">
          <cell r="B207">
            <v>223717</v>
          </cell>
          <cell r="C207">
            <v>590149</v>
          </cell>
          <cell r="D207" t="str">
            <v>FRENTE LINE 1075X1096X18+COR</v>
          </cell>
          <cell r="E207">
            <v>1075</v>
          </cell>
          <cell r="F207">
            <v>1096</v>
          </cell>
        </row>
        <row r="208">
          <cell r="B208"/>
          <cell r="C208"/>
          <cell r="D208"/>
          <cell r="E208"/>
          <cell r="F208"/>
        </row>
        <row r="209">
          <cell r="B209">
            <v>223720</v>
          </cell>
          <cell r="C209">
            <v>590650</v>
          </cell>
          <cell r="D209" t="str">
            <v>FRENTE DESL LINE  516X618X18+COR</v>
          </cell>
          <cell r="E209">
            <v>516</v>
          </cell>
          <cell r="F209">
            <v>618</v>
          </cell>
        </row>
        <row r="210">
          <cell r="B210">
            <v>223721</v>
          </cell>
          <cell r="C210">
            <v>590651</v>
          </cell>
          <cell r="D210" t="str">
            <v>FRENTE DESL LINE  516X718X18+COR</v>
          </cell>
          <cell r="E210">
            <v>516</v>
          </cell>
          <cell r="F210">
            <v>718</v>
          </cell>
        </row>
        <row r="211">
          <cell r="B211">
            <v>223722</v>
          </cell>
          <cell r="C211">
            <v>590652</v>
          </cell>
          <cell r="D211" t="str">
            <v>FRENTE DESL LINE  516X818X18+COR</v>
          </cell>
          <cell r="E211">
            <v>516</v>
          </cell>
          <cell r="F211">
            <v>818</v>
          </cell>
        </row>
        <row r="212">
          <cell r="B212">
            <v>223723</v>
          </cell>
          <cell r="C212">
            <v>590653</v>
          </cell>
          <cell r="D212" t="str">
            <v>FRENTE DESL LINE  516X918X18+COR</v>
          </cell>
          <cell r="E212">
            <v>516</v>
          </cell>
          <cell r="F212">
            <v>918</v>
          </cell>
        </row>
        <row r="213">
          <cell r="B213">
            <v>223724</v>
          </cell>
          <cell r="C213">
            <v>590654</v>
          </cell>
          <cell r="D213" t="str">
            <v>FRENTE DESL LINE  516X1018X18+COR</v>
          </cell>
          <cell r="E213">
            <v>516</v>
          </cell>
          <cell r="F213">
            <v>1018</v>
          </cell>
        </row>
        <row r="214">
          <cell r="B214">
            <v>223725</v>
          </cell>
          <cell r="C214">
            <v>590655</v>
          </cell>
          <cell r="D214" t="str">
            <v>FRENTE DESL LINE  516X1118X18+COR</v>
          </cell>
          <cell r="E214">
            <v>516</v>
          </cell>
          <cell r="F214">
            <v>1118</v>
          </cell>
        </row>
        <row r="215">
          <cell r="B215">
            <v>223726</v>
          </cell>
          <cell r="C215">
            <v>590656</v>
          </cell>
          <cell r="D215" t="str">
            <v>FRENTE DESL LINE  516X1218X18+COR</v>
          </cell>
          <cell r="E215">
            <v>516</v>
          </cell>
          <cell r="F215">
            <v>1218</v>
          </cell>
        </row>
        <row r="216">
          <cell r="B216"/>
          <cell r="C216"/>
          <cell r="D216"/>
          <cell r="E216"/>
          <cell r="F216"/>
        </row>
        <row r="217">
          <cell r="B217">
            <v>223727</v>
          </cell>
          <cell r="C217">
            <v>590657</v>
          </cell>
          <cell r="D217" t="str">
            <v>FRENTE DESL LINE  696X618X18+COR</v>
          </cell>
          <cell r="E217">
            <v>696</v>
          </cell>
          <cell r="F217">
            <v>618</v>
          </cell>
        </row>
        <row r="218">
          <cell r="B218">
            <v>223728</v>
          </cell>
          <cell r="C218">
            <v>590658</v>
          </cell>
          <cell r="D218" t="str">
            <v>FRENTE DESL LINE  696X718X18+COR</v>
          </cell>
          <cell r="E218">
            <v>696</v>
          </cell>
          <cell r="F218">
            <v>718</v>
          </cell>
        </row>
        <row r="219">
          <cell r="B219">
            <v>223729</v>
          </cell>
          <cell r="C219">
            <v>590659</v>
          </cell>
          <cell r="D219" t="str">
            <v>FRENTE DESL LINE  696X818X18+COR</v>
          </cell>
          <cell r="E219">
            <v>696</v>
          </cell>
          <cell r="F219">
            <v>818</v>
          </cell>
        </row>
        <row r="220">
          <cell r="B220">
            <v>223730</v>
          </cell>
          <cell r="C220">
            <v>590660</v>
          </cell>
          <cell r="D220" t="str">
            <v>FRENTE DESL LINE  696X918X18+COR</v>
          </cell>
          <cell r="E220">
            <v>696</v>
          </cell>
          <cell r="F220">
            <v>918</v>
          </cell>
        </row>
        <row r="221">
          <cell r="B221">
            <v>223731</v>
          </cell>
          <cell r="C221">
            <v>590661</v>
          </cell>
          <cell r="D221" t="str">
            <v>FRENTE DESL LINE  696X1018X18+COR</v>
          </cell>
          <cell r="E221">
            <v>696</v>
          </cell>
          <cell r="F221">
            <v>1018</v>
          </cell>
        </row>
        <row r="222">
          <cell r="B222">
            <v>223732</v>
          </cell>
          <cell r="C222">
            <v>590662</v>
          </cell>
          <cell r="D222" t="str">
            <v>FRENTE DESL LINE  696X1118X18+COR</v>
          </cell>
          <cell r="E222">
            <v>696</v>
          </cell>
          <cell r="F222">
            <v>1118</v>
          </cell>
        </row>
        <row r="223">
          <cell r="B223">
            <v>223733</v>
          </cell>
          <cell r="C223">
            <v>590663</v>
          </cell>
          <cell r="D223" t="str">
            <v>FRENTE DESL LINE  696X1218X18+COR</v>
          </cell>
          <cell r="E223">
            <v>696</v>
          </cell>
          <cell r="F223">
            <v>1218</v>
          </cell>
        </row>
        <row r="224">
          <cell r="B224"/>
          <cell r="C224"/>
          <cell r="D224"/>
          <cell r="E224"/>
          <cell r="F224"/>
        </row>
        <row r="225">
          <cell r="B225">
            <v>223734</v>
          </cell>
          <cell r="C225">
            <v>590664</v>
          </cell>
          <cell r="D225" t="str">
            <v>FRENTE DESL LINE  876X618X18+COR</v>
          </cell>
          <cell r="E225">
            <v>876</v>
          </cell>
          <cell r="F225">
            <v>618</v>
          </cell>
        </row>
        <row r="226">
          <cell r="B226">
            <v>223735</v>
          </cell>
          <cell r="C226">
            <v>590665</v>
          </cell>
          <cell r="D226" t="str">
            <v>FRENTE DESL LINE  876X718X18+COR</v>
          </cell>
          <cell r="E226">
            <v>876</v>
          </cell>
          <cell r="F226">
            <v>718</v>
          </cell>
        </row>
        <row r="227">
          <cell r="B227">
            <v>223736</v>
          </cell>
          <cell r="C227">
            <v>590666</v>
          </cell>
          <cell r="D227" t="str">
            <v>FRENTE DESL LINE  876X818X18+COR</v>
          </cell>
          <cell r="E227">
            <v>876</v>
          </cell>
          <cell r="F227">
            <v>818</v>
          </cell>
        </row>
        <row r="228">
          <cell r="B228">
            <v>223737</v>
          </cell>
          <cell r="C228">
            <v>590667</v>
          </cell>
          <cell r="D228" t="str">
            <v>FRENTE DESL LINE  876X918X18+COR</v>
          </cell>
          <cell r="E228">
            <v>876</v>
          </cell>
          <cell r="F228">
            <v>918</v>
          </cell>
        </row>
        <row r="229">
          <cell r="B229">
            <v>223738</v>
          </cell>
          <cell r="C229">
            <v>590668</v>
          </cell>
          <cell r="D229" t="str">
            <v>FRENTE DESL LINE  876X1018X18+COR</v>
          </cell>
          <cell r="E229">
            <v>876</v>
          </cell>
          <cell r="F229">
            <v>1018</v>
          </cell>
        </row>
        <row r="230">
          <cell r="B230">
            <v>223739</v>
          </cell>
          <cell r="C230">
            <v>590669</v>
          </cell>
          <cell r="D230" t="str">
            <v>FRENTE DESL LINE  876X1118X18+COR</v>
          </cell>
          <cell r="E230">
            <v>876</v>
          </cell>
          <cell r="F230">
            <v>1118</v>
          </cell>
        </row>
        <row r="231">
          <cell r="B231">
            <v>223740</v>
          </cell>
          <cell r="C231">
            <v>590670</v>
          </cell>
          <cell r="D231" t="str">
            <v>FRENTE DESL LINE  876X1218X18+COR</v>
          </cell>
          <cell r="E231">
            <v>876</v>
          </cell>
          <cell r="F231">
            <v>1218</v>
          </cell>
        </row>
        <row r="232">
          <cell r="B232"/>
          <cell r="C232"/>
          <cell r="D232"/>
          <cell r="E232"/>
          <cell r="F232"/>
        </row>
        <row r="233">
          <cell r="B233">
            <v>223741</v>
          </cell>
          <cell r="C233">
            <v>590671</v>
          </cell>
          <cell r="D233" t="str">
            <v>FRENTE DESL LINE  1056X618X18+COR</v>
          </cell>
          <cell r="E233">
            <v>1056</v>
          </cell>
          <cell r="F233">
            <v>618</v>
          </cell>
        </row>
        <row r="234">
          <cell r="B234">
            <v>223742</v>
          </cell>
          <cell r="C234">
            <v>590672</v>
          </cell>
          <cell r="D234" t="str">
            <v>FRENTE DESL LINE  1056X718X18+COR</v>
          </cell>
          <cell r="E234">
            <v>1056</v>
          </cell>
          <cell r="F234">
            <v>718</v>
          </cell>
        </row>
        <row r="235">
          <cell r="B235">
            <v>223743</v>
          </cell>
          <cell r="C235">
            <v>590673</v>
          </cell>
          <cell r="D235" t="str">
            <v>FRENTE DESL LINE  1056X818X18+COR</v>
          </cell>
          <cell r="E235">
            <v>1056</v>
          </cell>
          <cell r="F235">
            <v>818</v>
          </cell>
        </row>
        <row r="236">
          <cell r="B236">
            <v>223744</v>
          </cell>
          <cell r="C236">
            <v>590674</v>
          </cell>
          <cell r="D236" t="str">
            <v>FRENTE DESL LINE  1056X918X18+COR</v>
          </cell>
          <cell r="E236">
            <v>1056</v>
          </cell>
          <cell r="F236">
            <v>918</v>
          </cell>
        </row>
        <row r="237">
          <cell r="B237">
            <v>223745</v>
          </cell>
          <cell r="C237">
            <v>590675</v>
          </cell>
          <cell r="D237" t="str">
            <v>FRENTE DESL LINE  1056X1018X18+COR</v>
          </cell>
          <cell r="E237">
            <v>1056</v>
          </cell>
          <cell r="F237">
            <v>1018</v>
          </cell>
        </row>
        <row r="238">
          <cell r="B238">
            <v>223746</v>
          </cell>
          <cell r="C238">
            <v>590676</v>
          </cell>
          <cell r="D238" t="str">
            <v>FRENTE DESL LINE  1056X1118X18+COR</v>
          </cell>
          <cell r="E238">
            <v>1056</v>
          </cell>
          <cell r="F238">
            <v>1118</v>
          </cell>
        </row>
        <row r="239">
          <cell r="B239">
            <v>223747</v>
          </cell>
          <cell r="C239">
            <v>590677</v>
          </cell>
          <cell r="D239" t="str">
            <v>FRENTE DESL LINE  1056X1218X18+COR</v>
          </cell>
          <cell r="E239">
            <v>1056</v>
          </cell>
          <cell r="F239">
            <v>1218</v>
          </cell>
        </row>
        <row r="241">
          <cell r="B241">
            <v>223695</v>
          </cell>
          <cell r="C241">
            <v>591080</v>
          </cell>
          <cell r="D241" t="str">
            <v>FRENTE FALSA GAV 355X396X18+COR</v>
          </cell>
          <cell r="E241">
            <v>355</v>
          </cell>
          <cell r="F241">
            <v>396</v>
          </cell>
        </row>
        <row r="242">
          <cell r="B242">
            <v>223696</v>
          </cell>
          <cell r="C242">
            <v>591081</v>
          </cell>
          <cell r="D242" t="str">
            <v>FRENTE FALSA GAV 355X446X18+COR</v>
          </cell>
          <cell r="E242">
            <v>355</v>
          </cell>
          <cell r="F242">
            <v>446</v>
          </cell>
        </row>
        <row r="243">
          <cell r="B243">
            <v>223697</v>
          </cell>
          <cell r="C243">
            <v>591082</v>
          </cell>
          <cell r="D243" t="str">
            <v>FRENTE FALSA GAV 355X496X18+COR</v>
          </cell>
          <cell r="E243">
            <v>355</v>
          </cell>
          <cell r="F243">
            <v>496</v>
          </cell>
        </row>
        <row r="244">
          <cell r="B244">
            <v>223698</v>
          </cell>
          <cell r="C244">
            <v>591083</v>
          </cell>
          <cell r="D244" t="str">
            <v>FRENTE FALSA GAV 355X546X18+COR</v>
          </cell>
          <cell r="E244">
            <v>355</v>
          </cell>
          <cell r="F244">
            <v>546</v>
          </cell>
        </row>
        <row r="245">
          <cell r="B245">
            <v>223699</v>
          </cell>
          <cell r="C245">
            <v>591084</v>
          </cell>
          <cell r="D245" t="str">
            <v>FRENTE FALSA GAV 355X596X18+COR</v>
          </cell>
          <cell r="E245">
            <v>355</v>
          </cell>
          <cell r="F245">
            <v>596</v>
          </cell>
        </row>
        <row r="246">
          <cell r="B246">
            <v>223708</v>
          </cell>
          <cell r="C246">
            <v>591085</v>
          </cell>
          <cell r="D246" t="str">
            <v>FRENTE FALSA GAV 355X696X18+COR</v>
          </cell>
          <cell r="E246">
            <v>355</v>
          </cell>
          <cell r="F246">
            <v>696</v>
          </cell>
        </row>
        <row r="247">
          <cell r="B247">
            <v>223709</v>
          </cell>
          <cell r="C247">
            <v>591086</v>
          </cell>
          <cell r="D247" t="str">
            <v>FRENTE FALSA GAV 355X796X18+COR</v>
          </cell>
          <cell r="E247">
            <v>355</v>
          </cell>
          <cell r="F247">
            <v>796</v>
          </cell>
        </row>
        <row r="248">
          <cell r="B248">
            <v>223714</v>
          </cell>
          <cell r="C248">
            <v>591087</v>
          </cell>
          <cell r="D248" t="str">
            <v>FRENTE FALSA GAV 355X896X18+COR</v>
          </cell>
          <cell r="E248">
            <v>355</v>
          </cell>
          <cell r="F248">
            <v>896</v>
          </cell>
        </row>
        <row r="249">
          <cell r="B249">
            <v>223718</v>
          </cell>
          <cell r="C249">
            <v>591088</v>
          </cell>
          <cell r="D249" t="str">
            <v>FRENTE FALSA GAV 355X996X18+COR</v>
          </cell>
          <cell r="E249">
            <v>355</v>
          </cell>
          <cell r="F249">
            <v>996</v>
          </cell>
        </row>
        <row r="250">
          <cell r="B250">
            <v>223748</v>
          </cell>
          <cell r="C250">
            <v>591089</v>
          </cell>
          <cell r="D250" t="str">
            <v>FRENTE FALSA GAV 355X1096X18+COR</v>
          </cell>
          <cell r="E250">
            <v>355</v>
          </cell>
          <cell r="F250">
            <v>1096</v>
          </cell>
        </row>
        <row r="251">
          <cell r="B251">
            <v>223749</v>
          </cell>
          <cell r="C251">
            <v>591090</v>
          </cell>
          <cell r="D251" t="str">
            <v>FRENTE FALSA GAV 355X1196X18+COR</v>
          </cell>
          <cell r="E251">
            <v>355</v>
          </cell>
          <cell r="F251">
            <v>1196</v>
          </cell>
        </row>
        <row r="252">
          <cell r="B252"/>
          <cell r="C252"/>
          <cell r="D252"/>
          <cell r="E252"/>
          <cell r="F252"/>
        </row>
        <row r="253">
          <cell r="B253">
            <v>223778</v>
          </cell>
          <cell r="C253">
            <v>591091</v>
          </cell>
          <cell r="D253" t="str">
            <v>FRENTE FALSA GAV 535X396X18+COR</v>
          </cell>
          <cell r="E253">
            <v>535</v>
          </cell>
          <cell r="F253">
            <v>396</v>
          </cell>
        </row>
        <row r="254">
          <cell r="B254">
            <v>223779</v>
          </cell>
          <cell r="C254">
            <v>591092</v>
          </cell>
          <cell r="D254" t="str">
            <v>FRENTE FALSA GAV 535X446X18+COR</v>
          </cell>
          <cell r="E254">
            <v>535</v>
          </cell>
          <cell r="F254">
            <v>446</v>
          </cell>
        </row>
        <row r="255">
          <cell r="B255">
            <v>223780</v>
          </cell>
          <cell r="C255">
            <v>591093</v>
          </cell>
          <cell r="D255" t="str">
            <v>FRENTE FALSA GAV 535X496X18+COR</v>
          </cell>
          <cell r="E255">
            <v>535</v>
          </cell>
          <cell r="F255">
            <v>496</v>
          </cell>
        </row>
        <row r="256">
          <cell r="B256">
            <v>223781</v>
          </cell>
          <cell r="C256">
            <v>591094</v>
          </cell>
          <cell r="D256" t="str">
            <v>FRENTE FALSA GAV 535X546X18+COR</v>
          </cell>
          <cell r="E256">
            <v>535</v>
          </cell>
          <cell r="F256">
            <v>546</v>
          </cell>
        </row>
        <row r="257">
          <cell r="B257">
            <v>223782</v>
          </cell>
          <cell r="C257">
            <v>591095</v>
          </cell>
          <cell r="D257" t="str">
            <v>FRENTE FALSA GAV 535X596X18+COR</v>
          </cell>
          <cell r="E257">
            <v>535</v>
          </cell>
          <cell r="F257">
            <v>596</v>
          </cell>
        </row>
        <row r="258">
          <cell r="B258">
            <v>223783</v>
          </cell>
          <cell r="C258">
            <v>591096</v>
          </cell>
          <cell r="D258" t="str">
            <v>FRENTE FALSA GAV 535X696X18+COR</v>
          </cell>
          <cell r="E258">
            <v>535</v>
          </cell>
          <cell r="F258">
            <v>696</v>
          </cell>
        </row>
        <row r="259">
          <cell r="B259">
            <v>223784</v>
          </cell>
          <cell r="C259">
            <v>591097</v>
          </cell>
          <cell r="D259" t="str">
            <v>FRENTE FALSA GAV 535X796X18+COR</v>
          </cell>
          <cell r="E259">
            <v>535</v>
          </cell>
          <cell r="F259">
            <v>796</v>
          </cell>
        </row>
        <row r="260">
          <cell r="B260">
            <v>223785</v>
          </cell>
          <cell r="C260">
            <v>591098</v>
          </cell>
          <cell r="D260" t="str">
            <v>FRENTE FALSA GAV 535X896X18+COR</v>
          </cell>
          <cell r="E260">
            <v>535</v>
          </cell>
          <cell r="F260">
            <v>896</v>
          </cell>
        </row>
        <row r="261">
          <cell r="B261">
            <v>223786</v>
          </cell>
          <cell r="C261">
            <v>591099</v>
          </cell>
          <cell r="D261" t="str">
            <v>FRENTE FALSA GAV 535X996X18+COR</v>
          </cell>
          <cell r="E261">
            <v>535</v>
          </cell>
          <cell r="F261">
            <v>996</v>
          </cell>
        </row>
        <row r="262">
          <cell r="B262"/>
          <cell r="C262"/>
          <cell r="D262"/>
          <cell r="E262"/>
          <cell r="F262"/>
        </row>
        <row r="263">
          <cell r="B263">
            <v>223787</v>
          </cell>
          <cell r="C263">
            <v>591100</v>
          </cell>
          <cell r="D263" t="str">
            <v>FRENTE FALSA GAV 713X396X18+COR</v>
          </cell>
          <cell r="E263">
            <v>713</v>
          </cell>
          <cell r="F263">
            <v>396</v>
          </cell>
        </row>
        <row r="264">
          <cell r="B264">
            <v>223788</v>
          </cell>
          <cell r="C264">
            <v>591101</v>
          </cell>
          <cell r="D264" t="str">
            <v>FRENTE FALSA GAV 713X446X18+COR</v>
          </cell>
          <cell r="E264">
            <v>713</v>
          </cell>
          <cell r="F264">
            <v>446</v>
          </cell>
        </row>
        <row r="265">
          <cell r="B265">
            <v>223789</v>
          </cell>
          <cell r="C265">
            <v>591102</v>
          </cell>
          <cell r="D265" t="str">
            <v>FRENTE FALSA GAV 713X496X18+COR</v>
          </cell>
          <cell r="E265">
            <v>713</v>
          </cell>
          <cell r="F265">
            <v>496</v>
          </cell>
        </row>
        <row r="266">
          <cell r="B266">
            <v>223790</v>
          </cell>
          <cell r="C266">
            <v>591103</v>
          </cell>
          <cell r="D266" t="str">
            <v>FRENTE FALSA GAV 713X546X18+COR</v>
          </cell>
          <cell r="E266">
            <v>713</v>
          </cell>
          <cell r="F266">
            <v>546</v>
          </cell>
        </row>
        <row r="267">
          <cell r="B267">
            <v>223791</v>
          </cell>
          <cell r="C267">
            <v>591104</v>
          </cell>
          <cell r="D267" t="str">
            <v>FRENTE FALSA GAV 713X596X18+COR</v>
          </cell>
          <cell r="E267">
            <v>713</v>
          </cell>
          <cell r="F267">
            <v>596</v>
          </cell>
        </row>
        <row r="268">
          <cell r="B268">
            <v>223792</v>
          </cell>
          <cell r="C268">
            <v>591105</v>
          </cell>
          <cell r="D268" t="str">
            <v>FRENTE FALSA GAV 713X696X18+COR</v>
          </cell>
          <cell r="E268">
            <v>713</v>
          </cell>
          <cell r="F268">
            <v>696</v>
          </cell>
        </row>
        <row r="269">
          <cell r="B269">
            <v>223793</v>
          </cell>
          <cell r="C269">
            <v>591106</v>
          </cell>
          <cell r="D269" t="str">
            <v>FRENTE FALSA GAV 713X796X18+COR</v>
          </cell>
          <cell r="E269">
            <v>713</v>
          </cell>
          <cell r="F269">
            <v>796</v>
          </cell>
        </row>
        <row r="270">
          <cell r="B270">
            <v>223794</v>
          </cell>
          <cell r="C270">
            <v>591107</v>
          </cell>
          <cell r="D270" t="str">
            <v>FRENTE FALSA GAV 713X896X18+COR</v>
          </cell>
          <cell r="E270">
            <v>713</v>
          </cell>
          <cell r="F270">
            <v>896</v>
          </cell>
        </row>
        <row r="271">
          <cell r="B271">
            <v>223795</v>
          </cell>
          <cell r="C271">
            <v>591108</v>
          </cell>
          <cell r="D271" t="str">
            <v>FRENTE FALSA GAV 713X996X18+COR</v>
          </cell>
          <cell r="E271">
            <v>713</v>
          </cell>
          <cell r="F271">
            <v>996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PERFIL ALUM CG"/>
      <sheetName val="VIDROS CG"/>
    </sheetNames>
    <sheetDataSet>
      <sheetData sheetId="0">
        <row r="5">
          <cell r="A5">
            <v>595000</v>
          </cell>
          <cell r="B5">
            <v>1200</v>
          </cell>
          <cell r="C5">
            <v>1300</v>
          </cell>
          <cell r="D5">
            <v>1800</v>
          </cell>
          <cell r="E5">
            <v>1000</v>
          </cell>
          <cell r="F5" t="str">
            <v>CABECEIRA SUP/INF CG 196X45X18+COR</v>
          </cell>
          <cell r="G5">
            <v>196</v>
          </cell>
          <cell r="H5">
            <v>45</v>
          </cell>
          <cell r="I5">
            <v>18</v>
          </cell>
        </row>
        <row r="6">
          <cell r="A6">
            <v>595001</v>
          </cell>
          <cell r="B6">
            <v>1200</v>
          </cell>
          <cell r="C6">
            <v>1300</v>
          </cell>
          <cell r="D6">
            <v>1800</v>
          </cell>
          <cell r="E6">
            <v>1000</v>
          </cell>
          <cell r="F6" t="str">
            <v>CABECEIRA SUP/INF CG 296X45X18+COR</v>
          </cell>
          <cell r="G6">
            <v>296</v>
          </cell>
          <cell r="H6">
            <v>45</v>
          </cell>
          <cell r="I6">
            <v>18</v>
          </cell>
        </row>
        <row r="7">
          <cell r="A7">
            <v>595002</v>
          </cell>
          <cell r="B7">
            <v>1200</v>
          </cell>
          <cell r="C7">
            <v>1300</v>
          </cell>
          <cell r="D7">
            <v>1800</v>
          </cell>
          <cell r="E7">
            <v>1000</v>
          </cell>
          <cell r="F7" t="str">
            <v>CABECEIRA SUP/INF CG 346X45X18+COR</v>
          </cell>
          <cell r="G7">
            <v>346</v>
          </cell>
          <cell r="H7">
            <v>45</v>
          </cell>
          <cell r="I7">
            <v>18</v>
          </cell>
        </row>
        <row r="8">
          <cell r="A8">
            <v>595003</v>
          </cell>
          <cell r="B8">
            <v>1200</v>
          </cell>
          <cell r="C8">
            <v>1300</v>
          </cell>
          <cell r="D8">
            <v>1800</v>
          </cell>
          <cell r="E8">
            <v>1000</v>
          </cell>
          <cell r="F8" t="str">
            <v>CABECEIRA SUP/INF CG 396X45X18+COR</v>
          </cell>
          <cell r="G8">
            <v>396</v>
          </cell>
          <cell r="H8">
            <v>45</v>
          </cell>
          <cell r="I8">
            <v>18</v>
          </cell>
        </row>
        <row r="9">
          <cell r="A9">
            <v>595004</v>
          </cell>
          <cell r="B9">
            <v>1200</v>
          </cell>
          <cell r="C9">
            <v>1300</v>
          </cell>
          <cell r="D9">
            <v>1800</v>
          </cell>
          <cell r="E9">
            <v>1000</v>
          </cell>
          <cell r="F9" t="str">
            <v>CABECEIRA SUP/INF CG 446X45X18+COR</v>
          </cell>
          <cell r="G9">
            <v>446</v>
          </cell>
          <cell r="H9">
            <v>45</v>
          </cell>
          <cell r="I9">
            <v>18</v>
          </cell>
        </row>
        <row r="10">
          <cell r="A10">
            <v>595005</v>
          </cell>
          <cell r="B10">
            <v>1200</v>
          </cell>
          <cell r="C10">
            <v>1300</v>
          </cell>
          <cell r="D10">
            <v>1800</v>
          </cell>
          <cell r="E10">
            <v>1000</v>
          </cell>
          <cell r="F10" t="str">
            <v>CABECEIRA SUP/INF CG 482X45X18+COR</v>
          </cell>
          <cell r="G10">
            <v>482</v>
          </cell>
          <cell r="H10">
            <v>45</v>
          </cell>
          <cell r="I10">
            <v>18</v>
          </cell>
        </row>
        <row r="11">
          <cell r="A11">
            <v>595006</v>
          </cell>
          <cell r="B11">
            <v>1200</v>
          </cell>
          <cell r="C11">
            <v>1300</v>
          </cell>
          <cell r="D11">
            <v>1800</v>
          </cell>
          <cell r="E11">
            <v>1000</v>
          </cell>
          <cell r="F11" t="str">
            <v>CABECEIRA SUP/INF CG 502X45X18+COR</v>
          </cell>
          <cell r="G11">
            <v>502</v>
          </cell>
          <cell r="H11">
            <v>45</v>
          </cell>
          <cell r="I11">
            <v>18</v>
          </cell>
        </row>
        <row r="12">
          <cell r="A12">
            <v>595007</v>
          </cell>
          <cell r="B12">
            <v>1200</v>
          </cell>
          <cell r="C12">
            <v>1300</v>
          </cell>
          <cell r="D12">
            <v>1800</v>
          </cell>
          <cell r="E12">
            <v>1000</v>
          </cell>
          <cell r="F12" t="str">
            <v>CABECEIRA SUP/INF CG 496X45X18+COR</v>
          </cell>
          <cell r="G12">
            <v>496</v>
          </cell>
          <cell r="H12">
            <v>45</v>
          </cell>
          <cell r="I12">
            <v>18</v>
          </cell>
        </row>
        <row r="13">
          <cell r="A13">
            <v>595009</v>
          </cell>
          <cell r="B13">
            <v>1200</v>
          </cell>
          <cell r="C13">
            <v>1300</v>
          </cell>
          <cell r="D13">
            <v>1800</v>
          </cell>
          <cell r="E13">
            <v>1000</v>
          </cell>
          <cell r="F13" t="str">
            <v>CABECEIRA SUP/INF CG 521X45X18+COR</v>
          </cell>
          <cell r="G13">
            <v>521</v>
          </cell>
          <cell r="H13">
            <v>45</v>
          </cell>
          <cell r="I13">
            <v>18</v>
          </cell>
        </row>
        <row r="14">
          <cell r="A14">
            <v>595010</v>
          </cell>
          <cell r="B14">
            <v>1200</v>
          </cell>
          <cell r="C14">
            <v>1300</v>
          </cell>
          <cell r="D14">
            <v>1800</v>
          </cell>
          <cell r="E14">
            <v>1000</v>
          </cell>
          <cell r="F14" t="str">
            <v>CABECEIRA SUP/INF CG 542X45X18+COR</v>
          </cell>
          <cell r="G14">
            <v>542</v>
          </cell>
          <cell r="H14">
            <v>45</v>
          </cell>
          <cell r="I14">
            <v>18</v>
          </cell>
        </row>
        <row r="15">
          <cell r="A15">
            <v>595011</v>
          </cell>
          <cell r="B15">
            <v>1200</v>
          </cell>
          <cell r="C15">
            <v>1300</v>
          </cell>
          <cell r="D15">
            <v>1800</v>
          </cell>
          <cell r="E15">
            <v>1000</v>
          </cell>
          <cell r="F15" t="str">
            <v>CABECEIRA SUP/INF CG 546X45X18+COR</v>
          </cell>
          <cell r="G15">
            <v>546</v>
          </cell>
          <cell r="H15">
            <v>45</v>
          </cell>
          <cell r="I15">
            <v>18</v>
          </cell>
        </row>
        <row r="16">
          <cell r="A16">
            <v>595012</v>
          </cell>
          <cell r="B16">
            <v>1200</v>
          </cell>
          <cell r="C16">
            <v>1300</v>
          </cell>
          <cell r="D16">
            <v>1800</v>
          </cell>
          <cell r="E16">
            <v>1000</v>
          </cell>
          <cell r="F16" t="str">
            <v>CABECEIRA SUP/INF CG 596X45X18+COR</v>
          </cell>
          <cell r="G16">
            <v>596</v>
          </cell>
          <cell r="H16">
            <v>45</v>
          </cell>
          <cell r="I16">
            <v>18</v>
          </cell>
        </row>
        <row r="17">
          <cell r="A17">
            <v>595013</v>
          </cell>
          <cell r="B17">
            <v>1200</v>
          </cell>
          <cell r="C17">
            <v>1300</v>
          </cell>
          <cell r="D17">
            <v>1800</v>
          </cell>
          <cell r="E17">
            <v>1000</v>
          </cell>
          <cell r="F17" t="str">
            <v>CABECEIRA SUP/INF CG 696X45X18+COR</v>
          </cell>
          <cell r="G17">
            <v>696</v>
          </cell>
          <cell r="H17">
            <v>45</v>
          </cell>
          <cell r="I17">
            <v>18</v>
          </cell>
        </row>
        <row r="18">
          <cell r="A18">
            <v>595014</v>
          </cell>
          <cell r="B18">
            <v>1200</v>
          </cell>
          <cell r="C18">
            <v>1300</v>
          </cell>
          <cell r="D18">
            <v>1800</v>
          </cell>
          <cell r="E18">
            <v>1000</v>
          </cell>
          <cell r="F18" t="str">
            <v>CABECEIRA SUP/INF CG 796X45X18+COR</v>
          </cell>
          <cell r="G18">
            <v>796</v>
          </cell>
          <cell r="H18">
            <v>45</v>
          </cell>
          <cell r="I18">
            <v>18</v>
          </cell>
        </row>
        <row r="19">
          <cell r="A19">
            <v>595907</v>
          </cell>
          <cell r="B19">
            <v>1200</v>
          </cell>
          <cell r="C19">
            <v>1300</v>
          </cell>
          <cell r="D19">
            <v>1800</v>
          </cell>
          <cell r="E19">
            <v>1000</v>
          </cell>
          <cell r="F19" t="str">
            <v>CABECEIRA SUP/INF CG 895X45X18+COR</v>
          </cell>
          <cell r="G19">
            <v>895</v>
          </cell>
          <cell r="H19">
            <v>45</v>
          </cell>
          <cell r="I19">
            <v>18</v>
          </cell>
        </row>
        <row r="20">
          <cell r="A20">
            <v>595015</v>
          </cell>
          <cell r="B20">
            <v>1200</v>
          </cell>
          <cell r="C20">
            <v>1300</v>
          </cell>
          <cell r="D20">
            <v>1800</v>
          </cell>
          <cell r="E20">
            <v>1000</v>
          </cell>
          <cell r="F20" t="str">
            <v>CABECEIRA SUP/INF CG 896X45X18+COR</v>
          </cell>
          <cell r="G20">
            <v>896</v>
          </cell>
          <cell r="H20">
            <v>45</v>
          </cell>
          <cell r="I20">
            <v>18</v>
          </cell>
        </row>
        <row r="21">
          <cell r="A21">
            <v>595016</v>
          </cell>
          <cell r="B21">
            <v>1200</v>
          </cell>
          <cell r="C21">
            <v>1300</v>
          </cell>
          <cell r="D21">
            <v>1800</v>
          </cell>
          <cell r="E21">
            <v>1000</v>
          </cell>
          <cell r="F21" t="str">
            <v>CABECEIRA SUP/INF CG 996X45X18+COR</v>
          </cell>
          <cell r="G21">
            <v>996</v>
          </cell>
          <cell r="H21">
            <v>45</v>
          </cell>
          <cell r="I21">
            <v>18</v>
          </cell>
        </row>
        <row r="22">
          <cell r="A22">
            <v>595017</v>
          </cell>
          <cell r="B22">
            <v>1200</v>
          </cell>
          <cell r="C22">
            <v>1300</v>
          </cell>
          <cell r="D22">
            <v>1800</v>
          </cell>
          <cell r="E22">
            <v>1000</v>
          </cell>
          <cell r="F22" t="str">
            <v>CABECEIRA SUP/INF CG 1096X45X18+COR</v>
          </cell>
          <cell r="G22">
            <v>1096</v>
          </cell>
          <cell r="H22">
            <v>45</v>
          </cell>
          <cell r="I22">
            <v>18</v>
          </cell>
        </row>
        <row r="23">
          <cell r="A23">
            <v>595018</v>
          </cell>
          <cell r="B23">
            <v>1200</v>
          </cell>
          <cell r="C23">
            <v>1300</v>
          </cell>
          <cell r="D23">
            <v>1800</v>
          </cell>
          <cell r="E23">
            <v>1000</v>
          </cell>
          <cell r="F23" t="str">
            <v>CABECEIRA SUP/INF CG 1196X45X18+COR</v>
          </cell>
          <cell r="G23">
            <v>1196</v>
          </cell>
          <cell r="H23">
            <v>45</v>
          </cell>
          <cell r="I23">
            <v>18</v>
          </cell>
        </row>
        <row r="24">
          <cell r="A24">
            <v>595019</v>
          </cell>
          <cell r="B24">
            <v>1200</v>
          </cell>
          <cell r="C24">
            <v>1300</v>
          </cell>
          <cell r="D24">
            <v>1800</v>
          </cell>
          <cell r="E24">
            <v>1000</v>
          </cell>
          <cell r="F24" t="str">
            <v>CABECEIRA SUP/INF CG 1396X45X18+COR</v>
          </cell>
          <cell r="G24">
            <v>1396</v>
          </cell>
          <cell r="H24">
            <v>45</v>
          </cell>
          <cell r="I24">
            <v>18</v>
          </cell>
        </row>
        <row r="25">
          <cell r="A25"/>
          <cell r="G25"/>
          <cell r="H25"/>
          <cell r="I25"/>
        </row>
        <row r="26">
          <cell r="A26">
            <v>595020</v>
          </cell>
          <cell r="B26">
            <v>1200</v>
          </cell>
          <cell r="C26">
            <v>1300</v>
          </cell>
          <cell r="D26">
            <v>1800</v>
          </cell>
          <cell r="E26">
            <v>1000</v>
          </cell>
          <cell r="F26" t="str">
            <v>CABECEIRA INF TAB PASSAR CG 396X45X18 C/FURO DOB+COR</v>
          </cell>
          <cell r="G26">
            <v>396</v>
          </cell>
          <cell r="H26">
            <v>45</v>
          </cell>
          <cell r="I26">
            <v>18</v>
          </cell>
        </row>
        <row r="27">
          <cell r="A27">
            <v>595021</v>
          </cell>
          <cell r="B27">
            <v>1200</v>
          </cell>
          <cell r="C27">
            <v>1300</v>
          </cell>
          <cell r="D27">
            <v>1800</v>
          </cell>
          <cell r="E27">
            <v>1000</v>
          </cell>
          <cell r="F27" t="str">
            <v>CABECEIRA SUP CG 596X45X18 C/FURO DOB+COR</v>
          </cell>
          <cell r="G27">
            <v>596</v>
          </cell>
          <cell r="H27">
            <v>45</v>
          </cell>
          <cell r="I27">
            <v>18</v>
          </cell>
        </row>
        <row r="28">
          <cell r="A28">
            <v>595022</v>
          </cell>
          <cell r="B28">
            <v>1200</v>
          </cell>
          <cell r="C28">
            <v>1300</v>
          </cell>
          <cell r="D28">
            <v>1800</v>
          </cell>
          <cell r="E28">
            <v>1000</v>
          </cell>
          <cell r="F28" t="str">
            <v>CABECEIRA SUP CG 696X45X18 C/FURO DOB+COR</v>
          </cell>
          <cell r="G28">
            <v>696</v>
          </cell>
          <cell r="H28">
            <v>45</v>
          </cell>
          <cell r="I28">
            <v>18</v>
          </cell>
        </row>
        <row r="29">
          <cell r="A29">
            <v>595023</v>
          </cell>
          <cell r="B29">
            <v>1200</v>
          </cell>
          <cell r="C29">
            <v>1300</v>
          </cell>
          <cell r="D29">
            <v>1800</v>
          </cell>
          <cell r="E29">
            <v>1000</v>
          </cell>
          <cell r="F29" t="str">
            <v>CABECEIRA SUP CG 796X45X18 C/FURO DOB+COR</v>
          </cell>
          <cell r="G29">
            <v>796</v>
          </cell>
          <cell r="H29">
            <v>45</v>
          </cell>
          <cell r="I29">
            <v>18</v>
          </cell>
        </row>
        <row r="30">
          <cell r="A30">
            <v>595024</v>
          </cell>
          <cell r="B30">
            <v>1200</v>
          </cell>
          <cell r="C30">
            <v>1300</v>
          </cell>
          <cell r="D30">
            <v>1800</v>
          </cell>
          <cell r="E30">
            <v>1000</v>
          </cell>
          <cell r="F30" t="str">
            <v>CABECEIRA SUP CG 896X45X18 C/FURO DOB+COR</v>
          </cell>
          <cell r="G30">
            <v>896</v>
          </cell>
          <cell r="H30">
            <v>45</v>
          </cell>
          <cell r="I30">
            <v>18</v>
          </cell>
        </row>
        <row r="31">
          <cell r="A31">
            <v>595025</v>
          </cell>
          <cell r="B31">
            <v>1200</v>
          </cell>
          <cell r="C31">
            <v>1300</v>
          </cell>
          <cell r="D31">
            <v>1800</v>
          </cell>
          <cell r="E31">
            <v>1000</v>
          </cell>
          <cell r="F31" t="str">
            <v>CABECEIRA SUP CG 996X45X18 C/FURO DOB+COR</v>
          </cell>
          <cell r="G31">
            <v>996</v>
          </cell>
          <cell r="H31">
            <v>45</v>
          </cell>
          <cell r="I31">
            <v>18</v>
          </cell>
        </row>
        <row r="32">
          <cell r="A32">
            <v>595026</v>
          </cell>
          <cell r="B32">
            <v>1200</v>
          </cell>
          <cell r="C32">
            <v>1300</v>
          </cell>
          <cell r="D32">
            <v>1800</v>
          </cell>
          <cell r="E32">
            <v>1000</v>
          </cell>
          <cell r="F32" t="str">
            <v>CABECEIRA SUP CG 1096X45X18 C/FURO DOB+COR</v>
          </cell>
          <cell r="G32">
            <v>1096</v>
          </cell>
          <cell r="H32">
            <v>45</v>
          </cell>
          <cell r="I32">
            <v>18</v>
          </cell>
        </row>
        <row r="33">
          <cell r="A33">
            <v>595027</v>
          </cell>
          <cell r="B33">
            <v>1200</v>
          </cell>
          <cell r="C33">
            <v>1300</v>
          </cell>
          <cell r="D33">
            <v>1800</v>
          </cell>
          <cell r="E33">
            <v>1000</v>
          </cell>
          <cell r="F33" t="str">
            <v>CABECEIRA SUP CG 1196X45X18 C/FURO DOB+COR</v>
          </cell>
          <cell r="G33">
            <v>1196</v>
          </cell>
          <cell r="H33">
            <v>45</v>
          </cell>
          <cell r="I33">
            <v>18</v>
          </cell>
        </row>
        <row r="34">
          <cell r="A34">
            <v>595028</v>
          </cell>
          <cell r="B34">
            <v>1200</v>
          </cell>
          <cell r="C34">
            <v>1300</v>
          </cell>
          <cell r="D34">
            <v>1800</v>
          </cell>
          <cell r="E34">
            <v>1000</v>
          </cell>
          <cell r="F34" t="str">
            <v>CABECEIRA SUP CG 1396X45X18 C/FURO DOB+COR</v>
          </cell>
          <cell r="G34">
            <v>1396</v>
          </cell>
          <cell r="H34">
            <v>45</v>
          </cell>
          <cell r="I34">
            <v>18</v>
          </cell>
        </row>
        <row r="35">
          <cell r="A35"/>
          <cell r="G35"/>
          <cell r="H35"/>
          <cell r="I35"/>
        </row>
        <row r="36">
          <cell r="A36">
            <v>595029</v>
          </cell>
          <cell r="B36">
            <v>1200</v>
          </cell>
          <cell r="C36">
            <v>1300</v>
          </cell>
          <cell r="D36">
            <v>1800</v>
          </cell>
          <cell r="E36">
            <v>1000</v>
          </cell>
          <cell r="F36" t="str">
            <v>LATERAL DIR CG 355X45X18 C/MARC+COR</v>
          </cell>
          <cell r="G36">
            <v>355</v>
          </cell>
          <cell r="H36">
            <v>45</v>
          </cell>
          <cell r="I36">
            <v>18</v>
          </cell>
        </row>
        <row r="37">
          <cell r="A37">
            <v>595078</v>
          </cell>
          <cell r="B37">
            <v>1200</v>
          </cell>
          <cell r="C37">
            <v>1300</v>
          </cell>
          <cell r="D37">
            <v>1800</v>
          </cell>
          <cell r="E37">
            <v>1000</v>
          </cell>
          <cell r="F37" t="str">
            <v>LATERAL DIR CG 445X45X18 C/MARC+COR</v>
          </cell>
          <cell r="G37">
            <v>445</v>
          </cell>
          <cell r="H37">
            <v>45</v>
          </cell>
          <cell r="I37">
            <v>18</v>
          </cell>
        </row>
        <row r="38">
          <cell r="A38">
            <v>595030</v>
          </cell>
          <cell r="B38">
            <v>1200</v>
          </cell>
          <cell r="C38">
            <v>1300</v>
          </cell>
          <cell r="D38">
            <v>1800</v>
          </cell>
          <cell r="E38">
            <v>1000</v>
          </cell>
          <cell r="F38" t="str">
            <v>LATERAL DIR CG 535X45X18 C/MARC+COR</v>
          </cell>
          <cell r="G38">
            <v>535</v>
          </cell>
          <cell r="H38">
            <v>45</v>
          </cell>
          <cell r="I38">
            <v>18</v>
          </cell>
        </row>
        <row r="39">
          <cell r="A39">
            <v>595031</v>
          </cell>
          <cell r="B39">
            <v>1200</v>
          </cell>
          <cell r="C39">
            <v>1300</v>
          </cell>
          <cell r="D39">
            <v>1800</v>
          </cell>
          <cell r="E39">
            <v>1000</v>
          </cell>
          <cell r="F39" t="str">
            <v>LATERAL ESQ CG 355X45X18 C/MARC+COR</v>
          </cell>
          <cell r="G39">
            <v>355</v>
          </cell>
          <cell r="H39">
            <v>45</v>
          </cell>
          <cell r="I39">
            <v>18</v>
          </cell>
        </row>
        <row r="40">
          <cell r="A40">
            <v>595079</v>
          </cell>
          <cell r="B40">
            <v>1200</v>
          </cell>
          <cell r="C40">
            <v>1300</v>
          </cell>
          <cell r="D40">
            <v>1800</v>
          </cell>
          <cell r="E40">
            <v>1000</v>
          </cell>
          <cell r="F40" t="str">
            <v>LATERAL ESQ CG 445X45X18 C/MARC+COR</v>
          </cell>
          <cell r="G40">
            <v>445</v>
          </cell>
          <cell r="H40">
            <v>45</v>
          </cell>
          <cell r="I40">
            <v>18</v>
          </cell>
        </row>
        <row r="41">
          <cell r="A41">
            <v>595032</v>
          </cell>
          <cell r="B41">
            <v>1200</v>
          </cell>
          <cell r="C41">
            <v>1300</v>
          </cell>
          <cell r="D41">
            <v>1800</v>
          </cell>
          <cell r="E41">
            <v>1000</v>
          </cell>
          <cell r="F41" t="str">
            <v>LATERAL ESQ CG 535X45X18 C/MARC+COR</v>
          </cell>
          <cell r="G41">
            <v>535</v>
          </cell>
          <cell r="H41">
            <v>45</v>
          </cell>
          <cell r="I41">
            <v>18</v>
          </cell>
        </row>
        <row r="42">
          <cell r="A42"/>
          <cell r="G42"/>
          <cell r="H42"/>
          <cell r="I42"/>
        </row>
        <row r="43">
          <cell r="A43">
            <v>595033</v>
          </cell>
          <cell r="B43">
            <v>1200</v>
          </cell>
          <cell r="C43">
            <v>1300</v>
          </cell>
          <cell r="D43">
            <v>1800</v>
          </cell>
          <cell r="E43">
            <v>1000</v>
          </cell>
          <cell r="F43" t="str">
            <v>LATERAL DIR AVT CG 355X45X18 C/MARC+COR</v>
          </cell>
          <cell r="G43">
            <v>355</v>
          </cell>
          <cell r="H43">
            <v>45</v>
          </cell>
          <cell r="I43">
            <v>18</v>
          </cell>
        </row>
        <row r="44">
          <cell r="A44">
            <v>595094</v>
          </cell>
          <cell r="B44">
            <v>1200</v>
          </cell>
          <cell r="C44">
            <v>1300</v>
          </cell>
          <cell r="D44">
            <v>1800</v>
          </cell>
          <cell r="E44">
            <v>1000</v>
          </cell>
          <cell r="F44" t="str">
            <v>LATERAL DIR AVT CG 445X45X18 C/MARC+COR</v>
          </cell>
          <cell r="G44">
            <v>445</v>
          </cell>
          <cell r="H44">
            <v>45</v>
          </cell>
          <cell r="I44">
            <v>18</v>
          </cell>
        </row>
        <row r="45">
          <cell r="A45">
            <v>595034</v>
          </cell>
          <cell r="B45">
            <v>1200</v>
          </cell>
          <cell r="C45">
            <v>1300</v>
          </cell>
          <cell r="D45">
            <v>1800</v>
          </cell>
          <cell r="E45">
            <v>1000</v>
          </cell>
          <cell r="F45" t="str">
            <v>LATERAL DIR AVT CG 535X45X18 C/MARC+COR</v>
          </cell>
          <cell r="G45">
            <v>535</v>
          </cell>
          <cell r="H45">
            <v>45</v>
          </cell>
          <cell r="I45">
            <v>18</v>
          </cell>
        </row>
        <row r="46">
          <cell r="A46">
            <v>595035</v>
          </cell>
          <cell r="B46">
            <v>1200</v>
          </cell>
          <cell r="C46">
            <v>1300</v>
          </cell>
          <cell r="D46">
            <v>1800</v>
          </cell>
          <cell r="E46">
            <v>1000</v>
          </cell>
          <cell r="F46" t="str">
            <v>LATERAL ESQ AVT CG 355X45X18 C/MARC+COR</v>
          </cell>
          <cell r="G46">
            <v>355</v>
          </cell>
          <cell r="H46">
            <v>45</v>
          </cell>
          <cell r="I46">
            <v>18</v>
          </cell>
        </row>
        <row r="47">
          <cell r="A47">
            <v>595095</v>
          </cell>
          <cell r="B47">
            <v>1200</v>
          </cell>
          <cell r="C47">
            <v>1300</v>
          </cell>
          <cell r="D47">
            <v>1800</v>
          </cell>
          <cell r="E47">
            <v>1000</v>
          </cell>
          <cell r="F47" t="str">
            <v>LATERAL ESQ AVT CG 445X45X18 C/MARC+COR</v>
          </cell>
          <cell r="G47">
            <v>445</v>
          </cell>
          <cell r="H47">
            <v>45</v>
          </cell>
          <cell r="I47">
            <v>18</v>
          </cell>
        </row>
        <row r="48">
          <cell r="A48">
            <v>595036</v>
          </cell>
          <cell r="B48">
            <v>1200</v>
          </cell>
          <cell r="C48">
            <v>1300</v>
          </cell>
          <cell r="D48">
            <v>1800</v>
          </cell>
          <cell r="E48">
            <v>1000</v>
          </cell>
          <cell r="F48" t="str">
            <v>LATERAL ESQ AVT CG 535X45X18 C/MARC+COR</v>
          </cell>
          <cell r="G48">
            <v>535</v>
          </cell>
          <cell r="H48">
            <v>45</v>
          </cell>
          <cell r="I48">
            <v>18</v>
          </cell>
        </row>
        <row r="49">
          <cell r="A49"/>
          <cell r="B49"/>
          <cell r="C49"/>
          <cell r="D49"/>
          <cell r="E49"/>
          <cell r="F49"/>
          <cell r="G49"/>
          <cell r="H49"/>
          <cell r="I49"/>
        </row>
        <row r="50">
          <cell r="A50">
            <v>595037</v>
          </cell>
          <cell r="B50">
            <v>1200</v>
          </cell>
          <cell r="C50">
            <v>1300</v>
          </cell>
          <cell r="D50">
            <v>1800</v>
          </cell>
          <cell r="E50">
            <v>1000</v>
          </cell>
          <cell r="F50" t="str">
            <v>LATERAL ESQ CG 535X45X18+COR</v>
          </cell>
          <cell r="G50">
            <v>535</v>
          </cell>
          <cell r="H50">
            <v>45</v>
          </cell>
          <cell r="I50">
            <v>18</v>
          </cell>
        </row>
        <row r="51">
          <cell r="A51">
            <v>595038</v>
          </cell>
          <cell r="B51">
            <v>1200</v>
          </cell>
          <cell r="C51">
            <v>1300</v>
          </cell>
          <cell r="D51">
            <v>1800</v>
          </cell>
          <cell r="E51">
            <v>1000</v>
          </cell>
          <cell r="F51" t="str">
            <v>LATERAL ESQ CG 713X45X18+COR</v>
          </cell>
          <cell r="G51">
            <v>713</v>
          </cell>
          <cell r="H51">
            <v>45</v>
          </cell>
          <cell r="I51">
            <v>18</v>
          </cell>
        </row>
        <row r="52">
          <cell r="A52">
            <v>595039</v>
          </cell>
          <cell r="B52">
            <v>1200</v>
          </cell>
          <cell r="C52">
            <v>1300</v>
          </cell>
          <cell r="D52">
            <v>1800</v>
          </cell>
          <cell r="E52">
            <v>1000</v>
          </cell>
          <cell r="F52" t="str">
            <v>LATERAL ESQ CG 895X45X18+COR</v>
          </cell>
          <cell r="G52">
            <v>895</v>
          </cell>
          <cell r="H52">
            <v>45</v>
          </cell>
          <cell r="I52">
            <v>18</v>
          </cell>
        </row>
        <row r="53">
          <cell r="A53">
            <v>595040</v>
          </cell>
          <cell r="B53">
            <v>1200</v>
          </cell>
          <cell r="C53">
            <v>1300</v>
          </cell>
          <cell r="D53">
            <v>1800</v>
          </cell>
          <cell r="E53">
            <v>1000</v>
          </cell>
          <cell r="F53" t="str">
            <v>LATERAL ESQ CG 1075X45X18+COR</v>
          </cell>
          <cell r="G53">
            <v>1075</v>
          </cell>
          <cell r="H53">
            <v>45</v>
          </cell>
          <cell r="I53">
            <v>18</v>
          </cell>
        </row>
        <row r="54">
          <cell r="A54">
            <v>595041</v>
          </cell>
          <cell r="B54">
            <v>1200</v>
          </cell>
          <cell r="C54">
            <v>1300</v>
          </cell>
          <cell r="D54">
            <v>1800</v>
          </cell>
          <cell r="E54">
            <v>1000</v>
          </cell>
          <cell r="F54" t="str">
            <v>LATERAL ESQ CG 1255X45X18+COR</v>
          </cell>
          <cell r="G54">
            <v>1255</v>
          </cell>
          <cell r="H54">
            <v>45</v>
          </cell>
          <cell r="I54">
            <v>18</v>
          </cell>
        </row>
        <row r="55">
          <cell r="A55">
            <v>595042</v>
          </cell>
          <cell r="B55">
            <v>1200</v>
          </cell>
          <cell r="C55">
            <v>1300</v>
          </cell>
          <cell r="D55">
            <v>1800</v>
          </cell>
          <cell r="E55">
            <v>1000</v>
          </cell>
          <cell r="F55" t="str">
            <v>LATERAL ESQ CG 1795X45X18+COR</v>
          </cell>
          <cell r="G55">
            <v>1795</v>
          </cell>
          <cell r="H55">
            <v>45</v>
          </cell>
          <cell r="I55">
            <v>18</v>
          </cell>
        </row>
        <row r="56">
          <cell r="A56">
            <v>595043</v>
          </cell>
          <cell r="B56">
            <v>1200</v>
          </cell>
          <cell r="C56">
            <v>1300</v>
          </cell>
          <cell r="D56">
            <v>1800</v>
          </cell>
          <cell r="E56">
            <v>1000</v>
          </cell>
          <cell r="F56" t="str">
            <v>LATERAL ESQ CG 1975X45X18+COR</v>
          </cell>
          <cell r="G56">
            <v>1975</v>
          </cell>
          <cell r="H56">
            <v>45</v>
          </cell>
          <cell r="I56">
            <v>18</v>
          </cell>
        </row>
        <row r="57">
          <cell r="A57">
            <v>595044</v>
          </cell>
          <cell r="B57">
            <v>1200</v>
          </cell>
          <cell r="C57">
            <v>1300</v>
          </cell>
          <cell r="D57">
            <v>1800</v>
          </cell>
          <cell r="E57">
            <v>1000</v>
          </cell>
          <cell r="F57" t="str">
            <v>LATERAL ESQ CG 2155X45X18+COR</v>
          </cell>
          <cell r="G57">
            <v>2155</v>
          </cell>
          <cell r="H57">
            <v>45</v>
          </cell>
          <cell r="I57">
            <v>18</v>
          </cell>
        </row>
        <row r="58">
          <cell r="A58">
            <v>595971</v>
          </cell>
          <cell r="B58">
            <v>1200</v>
          </cell>
          <cell r="C58">
            <v>1300</v>
          </cell>
          <cell r="D58">
            <v>1800</v>
          </cell>
          <cell r="E58">
            <v>1000</v>
          </cell>
          <cell r="F58" t="str">
            <v>LATERAL ESQ CG 2335X45X18+COR</v>
          </cell>
          <cell r="G58">
            <v>2335</v>
          </cell>
          <cell r="H58">
            <v>45</v>
          </cell>
          <cell r="I58">
            <v>18</v>
          </cell>
        </row>
        <row r="59">
          <cell r="A59">
            <v>595056</v>
          </cell>
          <cell r="B59">
            <v>1200</v>
          </cell>
          <cell r="C59">
            <v>1300</v>
          </cell>
          <cell r="D59">
            <v>1800</v>
          </cell>
          <cell r="E59">
            <v>1000</v>
          </cell>
          <cell r="F59" t="str">
            <v>LATERAL DIR/ESQ CG 355X45X18+COR</v>
          </cell>
          <cell r="G59">
            <v>355</v>
          </cell>
          <cell r="H59">
            <v>45</v>
          </cell>
          <cell r="I59">
            <v>18</v>
          </cell>
        </row>
        <row r="60">
          <cell r="A60">
            <v>595055</v>
          </cell>
          <cell r="B60">
            <v>1200</v>
          </cell>
          <cell r="C60">
            <v>1300</v>
          </cell>
          <cell r="D60">
            <v>1800</v>
          </cell>
          <cell r="E60">
            <v>1000</v>
          </cell>
          <cell r="F60" t="str">
            <v>LATERAL DIR/ESQ TAB PASSAR CG 175X45X18+COR</v>
          </cell>
          <cell r="G60">
            <v>175</v>
          </cell>
          <cell r="H60">
            <v>45</v>
          </cell>
          <cell r="I60">
            <v>18</v>
          </cell>
        </row>
        <row r="61">
          <cell r="A61"/>
          <cell r="G61"/>
          <cell r="H61"/>
          <cell r="I61"/>
        </row>
        <row r="62">
          <cell r="A62">
            <v>595045</v>
          </cell>
          <cell r="B62">
            <v>1200</v>
          </cell>
          <cell r="C62">
            <v>1300</v>
          </cell>
          <cell r="D62">
            <v>1800</v>
          </cell>
          <cell r="E62">
            <v>1000</v>
          </cell>
          <cell r="F62" t="str">
            <v>LATERAL DIR PTA TEMP TDBOX CG 713X45X18 C/MARC+COR</v>
          </cell>
          <cell r="G62">
            <v>713</v>
          </cell>
          <cell r="H62">
            <v>45</v>
          </cell>
          <cell r="I62">
            <v>18</v>
          </cell>
        </row>
        <row r="63">
          <cell r="A63">
            <v>595046</v>
          </cell>
          <cell r="B63">
            <v>1200</v>
          </cell>
          <cell r="C63">
            <v>1300</v>
          </cell>
          <cell r="D63">
            <v>1800</v>
          </cell>
          <cell r="E63">
            <v>1000</v>
          </cell>
          <cell r="F63" t="str">
            <v>LATERAL ESQ PTA TEMP TDBOX CG 713X45X18 C/MARC+COR</v>
          </cell>
          <cell r="G63">
            <v>713</v>
          </cell>
          <cell r="H63">
            <v>45</v>
          </cell>
          <cell r="I63">
            <v>18</v>
          </cell>
        </row>
        <row r="64">
          <cell r="A64"/>
          <cell r="G64"/>
          <cell r="H64"/>
          <cell r="I64"/>
        </row>
        <row r="65">
          <cell r="A65">
            <v>595047</v>
          </cell>
          <cell r="B65">
            <v>1200</v>
          </cell>
          <cell r="C65">
            <v>1300</v>
          </cell>
          <cell r="D65">
            <v>1800</v>
          </cell>
          <cell r="E65">
            <v>1000</v>
          </cell>
          <cell r="F65" t="str">
            <v>LATERAL DIR CG 535X45X18 C/FURO DOB+COR</v>
          </cell>
          <cell r="G65">
            <v>535</v>
          </cell>
          <cell r="H65">
            <v>45</v>
          </cell>
          <cell r="I65">
            <v>18</v>
          </cell>
        </row>
        <row r="66">
          <cell r="A66">
            <v>595048</v>
          </cell>
          <cell r="B66">
            <v>1200</v>
          </cell>
          <cell r="C66">
            <v>1300</v>
          </cell>
          <cell r="D66">
            <v>1800</v>
          </cell>
          <cell r="E66">
            <v>1000</v>
          </cell>
          <cell r="F66" t="str">
            <v>LATERAL DIR CG 713X45X18 C/FURO DOB+COR</v>
          </cell>
          <cell r="G66">
            <v>713</v>
          </cell>
          <cell r="H66">
            <v>45</v>
          </cell>
          <cell r="I66">
            <v>18</v>
          </cell>
        </row>
        <row r="67">
          <cell r="A67">
            <v>595049</v>
          </cell>
          <cell r="B67">
            <v>1200</v>
          </cell>
          <cell r="C67">
            <v>1300</v>
          </cell>
          <cell r="D67">
            <v>1800</v>
          </cell>
          <cell r="E67">
            <v>1000</v>
          </cell>
          <cell r="F67" t="str">
            <v>LATERAL DIR CG 895X45X18 C/FURO DOB+COR</v>
          </cell>
          <cell r="G67">
            <v>895</v>
          </cell>
          <cell r="H67">
            <v>45</v>
          </cell>
          <cell r="I67">
            <v>18</v>
          </cell>
        </row>
        <row r="68">
          <cell r="A68">
            <v>595050</v>
          </cell>
          <cell r="B68">
            <v>1200</v>
          </cell>
          <cell r="C68">
            <v>1300</v>
          </cell>
          <cell r="D68">
            <v>1800</v>
          </cell>
          <cell r="E68">
            <v>1000</v>
          </cell>
          <cell r="F68" t="str">
            <v>LATERAL DIR CG 1075X45X18 C/FURO DOB+COR</v>
          </cell>
          <cell r="G68">
            <v>1075</v>
          </cell>
          <cell r="H68">
            <v>45</v>
          </cell>
          <cell r="I68">
            <v>18</v>
          </cell>
        </row>
        <row r="69">
          <cell r="A69">
            <v>595051</v>
          </cell>
          <cell r="B69">
            <v>1200</v>
          </cell>
          <cell r="C69">
            <v>1300</v>
          </cell>
          <cell r="D69">
            <v>1800</v>
          </cell>
          <cell r="E69">
            <v>1000</v>
          </cell>
          <cell r="F69" t="str">
            <v>LATERAL DIR CG 1255X45X18 C/FURO DOB+COR</v>
          </cell>
          <cell r="G69">
            <v>1255</v>
          </cell>
          <cell r="H69">
            <v>45</v>
          </cell>
          <cell r="I69">
            <v>18</v>
          </cell>
        </row>
        <row r="70">
          <cell r="A70">
            <v>595052</v>
          </cell>
          <cell r="B70">
            <v>1200</v>
          </cell>
          <cell r="C70">
            <v>1300</v>
          </cell>
          <cell r="D70">
            <v>1800</v>
          </cell>
          <cell r="E70">
            <v>1000</v>
          </cell>
          <cell r="F70" t="str">
            <v>LATERAL DIR CG 1795X45X18 C/FURO DOB+COR</v>
          </cell>
          <cell r="G70">
            <v>1795</v>
          </cell>
          <cell r="H70">
            <v>45</v>
          </cell>
          <cell r="I70">
            <v>18</v>
          </cell>
        </row>
        <row r="71">
          <cell r="A71">
            <v>595053</v>
          </cell>
          <cell r="B71">
            <v>1200</v>
          </cell>
          <cell r="C71">
            <v>1300</v>
          </cell>
          <cell r="D71">
            <v>1800</v>
          </cell>
          <cell r="E71">
            <v>1000</v>
          </cell>
          <cell r="F71" t="str">
            <v>LATERAL DIR CG 1975X45X18 C/FURO DOB+COR</v>
          </cell>
          <cell r="G71">
            <v>1975</v>
          </cell>
          <cell r="H71">
            <v>45</v>
          </cell>
          <cell r="I71">
            <v>18</v>
          </cell>
        </row>
        <row r="72">
          <cell r="A72">
            <v>595054</v>
          </cell>
          <cell r="B72">
            <v>1200</v>
          </cell>
          <cell r="C72">
            <v>1300</v>
          </cell>
          <cell r="D72">
            <v>1800</v>
          </cell>
          <cell r="E72">
            <v>1000</v>
          </cell>
          <cell r="F72" t="str">
            <v>LATERAL DIR CG 2155X45X18 C/FURO DOB+COR</v>
          </cell>
          <cell r="G72">
            <v>2155</v>
          </cell>
          <cell r="H72">
            <v>45</v>
          </cell>
          <cell r="I72">
            <v>18</v>
          </cell>
        </row>
        <row r="73">
          <cell r="A73">
            <v>595972</v>
          </cell>
          <cell r="B73">
            <v>1200</v>
          </cell>
          <cell r="C73">
            <v>1300</v>
          </cell>
          <cell r="D73">
            <v>1800</v>
          </cell>
          <cell r="E73">
            <v>1000</v>
          </cell>
          <cell r="F73" t="str">
            <v>LATERAL DIR CG 2335X45X18 C/FURO DOB+COR</v>
          </cell>
          <cell r="G73">
            <v>2335</v>
          </cell>
          <cell r="H73">
            <v>45</v>
          </cell>
          <cell r="I73">
            <v>18</v>
          </cell>
        </row>
        <row r="74">
          <cell r="A74"/>
          <cell r="G74"/>
          <cell r="H74"/>
          <cell r="I74"/>
        </row>
        <row r="75">
          <cell r="A75">
            <v>595057</v>
          </cell>
          <cell r="B75">
            <v>1200</v>
          </cell>
          <cell r="C75">
            <v>1300</v>
          </cell>
          <cell r="D75">
            <v>1800</v>
          </cell>
          <cell r="E75">
            <v>1000</v>
          </cell>
          <cell r="F75" t="str">
            <v>LATERAL DIR GAV CG 175X45X18+COR</v>
          </cell>
          <cell r="G75">
            <v>175</v>
          </cell>
          <cell r="H75">
            <v>45</v>
          </cell>
          <cell r="I75">
            <v>18</v>
          </cell>
        </row>
        <row r="76">
          <cell r="A76">
            <v>595058</v>
          </cell>
          <cell r="B76">
            <v>1200</v>
          </cell>
          <cell r="C76">
            <v>1300</v>
          </cell>
          <cell r="D76">
            <v>1800</v>
          </cell>
          <cell r="E76">
            <v>1000</v>
          </cell>
          <cell r="F76" t="str">
            <v>LATERAL DIR GAV TDBOX CG 175X45X18 C/MARC+COR</v>
          </cell>
          <cell r="G76">
            <v>175</v>
          </cell>
          <cell r="H76">
            <v>45</v>
          </cell>
          <cell r="I76">
            <v>18</v>
          </cell>
        </row>
        <row r="77">
          <cell r="A77">
            <v>595059</v>
          </cell>
          <cell r="B77">
            <v>1200</v>
          </cell>
          <cell r="C77">
            <v>1300</v>
          </cell>
          <cell r="D77">
            <v>1800</v>
          </cell>
          <cell r="E77">
            <v>1000</v>
          </cell>
          <cell r="F77" t="str">
            <v>LATERAL DIR GAV CG 355X45X18+COR</v>
          </cell>
          <cell r="G77">
            <v>355</v>
          </cell>
          <cell r="H77">
            <v>45</v>
          </cell>
          <cell r="I77">
            <v>18</v>
          </cell>
        </row>
        <row r="78">
          <cell r="A78">
            <v>595128</v>
          </cell>
          <cell r="B78">
            <v>1200</v>
          </cell>
          <cell r="C78">
            <v>1300</v>
          </cell>
          <cell r="D78">
            <v>1800</v>
          </cell>
          <cell r="E78">
            <v>1000</v>
          </cell>
          <cell r="F78" t="str">
            <v>LATERAL DIR GAV MAIOR CG 355X45X18+COR</v>
          </cell>
          <cell r="G78">
            <v>355</v>
          </cell>
          <cell r="H78">
            <v>45</v>
          </cell>
          <cell r="I78">
            <v>18</v>
          </cell>
        </row>
        <row r="79">
          <cell r="A79">
            <v>595060</v>
          </cell>
          <cell r="B79">
            <v>1200</v>
          </cell>
          <cell r="C79">
            <v>1300</v>
          </cell>
          <cell r="D79">
            <v>1800</v>
          </cell>
          <cell r="E79">
            <v>1000</v>
          </cell>
          <cell r="F79" t="str">
            <v>LATERAL DIR GAV TDBOX CG 355X45X18 C/MARC+COR</v>
          </cell>
          <cell r="G79">
            <v>355</v>
          </cell>
          <cell r="H79">
            <v>45</v>
          </cell>
          <cell r="I79">
            <v>18</v>
          </cell>
        </row>
        <row r="80">
          <cell r="A80"/>
          <cell r="G80"/>
          <cell r="H80"/>
          <cell r="I80"/>
        </row>
        <row r="81">
          <cell r="A81">
            <v>595061</v>
          </cell>
          <cell r="B81">
            <v>1200</v>
          </cell>
          <cell r="C81">
            <v>1300</v>
          </cell>
          <cell r="D81">
            <v>1800</v>
          </cell>
          <cell r="E81">
            <v>1000</v>
          </cell>
          <cell r="F81" t="str">
            <v>LATERAL ESQ GAV CG 175X45X18+COR</v>
          </cell>
          <cell r="G81">
            <v>175</v>
          </cell>
          <cell r="H81">
            <v>45</v>
          </cell>
          <cell r="I81">
            <v>18</v>
          </cell>
        </row>
        <row r="82">
          <cell r="A82">
            <v>595062</v>
          </cell>
          <cell r="B82">
            <v>1200</v>
          </cell>
          <cell r="C82">
            <v>1300</v>
          </cell>
          <cell r="D82">
            <v>1800</v>
          </cell>
          <cell r="E82">
            <v>1000</v>
          </cell>
          <cell r="F82" t="str">
            <v>LATERAL ESQ GAV TDBOX CG 175X45X18 C/MARC+COR</v>
          </cell>
          <cell r="G82">
            <v>175</v>
          </cell>
          <cell r="H82">
            <v>45</v>
          </cell>
          <cell r="I82">
            <v>18</v>
          </cell>
        </row>
        <row r="83">
          <cell r="A83">
            <v>595063</v>
          </cell>
          <cell r="B83">
            <v>1200</v>
          </cell>
          <cell r="C83">
            <v>1300</v>
          </cell>
          <cell r="D83">
            <v>1800</v>
          </cell>
          <cell r="E83">
            <v>1000</v>
          </cell>
          <cell r="F83" t="str">
            <v>LATERAL ESQ GAV CG 355X45X18+COR</v>
          </cell>
          <cell r="G83">
            <v>355</v>
          </cell>
          <cell r="H83">
            <v>45</v>
          </cell>
          <cell r="I83">
            <v>18</v>
          </cell>
        </row>
        <row r="84">
          <cell r="A84">
            <v>595129</v>
          </cell>
          <cell r="B84">
            <v>1200</v>
          </cell>
          <cell r="C84">
            <v>1300</v>
          </cell>
          <cell r="D84">
            <v>1800</v>
          </cell>
          <cell r="E84">
            <v>1000</v>
          </cell>
          <cell r="F84" t="str">
            <v>LATERAL ESQ GAV MAIOR CG 355X45X18+COR</v>
          </cell>
          <cell r="G84">
            <v>355</v>
          </cell>
          <cell r="H84">
            <v>45</v>
          </cell>
          <cell r="I84">
            <v>18</v>
          </cell>
        </row>
        <row r="85">
          <cell r="A85">
            <v>595064</v>
          </cell>
          <cell r="B85">
            <v>1200</v>
          </cell>
          <cell r="C85">
            <v>1300</v>
          </cell>
          <cell r="D85">
            <v>1800</v>
          </cell>
          <cell r="E85">
            <v>1000</v>
          </cell>
          <cell r="F85" t="str">
            <v>LATERAL ESQ GAV TDBOX CG 355X45X18 C/MARC+COR</v>
          </cell>
          <cell r="G85">
            <v>355</v>
          </cell>
          <cell r="H85">
            <v>45</v>
          </cell>
          <cell r="I85">
            <v>18</v>
          </cell>
        </row>
        <row r="86">
          <cell r="A86"/>
          <cell r="B86"/>
          <cell r="C86"/>
          <cell r="D86"/>
          <cell r="E86"/>
          <cell r="F86"/>
          <cell r="G86"/>
          <cell r="H86"/>
          <cell r="I86"/>
        </row>
        <row r="87">
          <cell r="A87">
            <v>595065</v>
          </cell>
          <cell r="B87">
            <v>1200</v>
          </cell>
          <cell r="C87">
            <v>1300</v>
          </cell>
          <cell r="D87">
            <v>1800</v>
          </cell>
          <cell r="E87">
            <v>1000</v>
          </cell>
          <cell r="F87" t="str">
            <v>LATERAL DIR PTA TEMP CG 713X45X18+COR</v>
          </cell>
          <cell r="G87">
            <v>713</v>
          </cell>
          <cell r="H87">
            <v>45</v>
          </cell>
          <cell r="I87">
            <v>18</v>
          </cell>
        </row>
        <row r="88">
          <cell r="A88">
            <v>595066</v>
          </cell>
          <cell r="B88">
            <v>1200</v>
          </cell>
          <cell r="C88">
            <v>1300</v>
          </cell>
          <cell r="D88">
            <v>1800</v>
          </cell>
          <cell r="E88">
            <v>1000</v>
          </cell>
          <cell r="F88" t="str">
            <v>LATERAL ESQ PTA TEMP CG 713X45X18+COR</v>
          </cell>
          <cell r="G88">
            <v>713</v>
          </cell>
          <cell r="H88">
            <v>45</v>
          </cell>
          <cell r="I88">
            <v>18</v>
          </cell>
        </row>
        <row r="89">
          <cell r="A89"/>
          <cell r="B89"/>
          <cell r="C89"/>
          <cell r="D89"/>
          <cell r="E89"/>
          <cell r="F89"/>
          <cell r="G89"/>
          <cell r="H89"/>
          <cell r="I89"/>
        </row>
        <row r="90">
          <cell r="A90">
            <v>595067</v>
          </cell>
          <cell r="B90">
            <v>1200</v>
          </cell>
          <cell r="C90">
            <v>1300</v>
          </cell>
          <cell r="D90">
            <v>1800</v>
          </cell>
          <cell r="E90" t="str">
            <v>-</v>
          </cell>
          <cell r="F90" t="str">
            <v>LATERAL DIR/ESQ CG 516X45X18+COR</v>
          </cell>
          <cell r="G90">
            <v>516</v>
          </cell>
          <cell r="H90">
            <v>45</v>
          </cell>
          <cell r="I90">
            <v>18</v>
          </cell>
        </row>
        <row r="91">
          <cell r="A91">
            <v>595068</v>
          </cell>
          <cell r="B91">
            <v>1200</v>
          </cell>
          <cell r="C91">
            <v>1300</v>
          </cell>
          <cell r="D91">
            <v>1800</v>
          </cell>
          <cell r="E91" t="str">
            <v>-</v>
          </cell>
          <cell r="F91" t="str">
            <v>LATERAL DIR/ESQ CG 696X45X18+COR</v>
          </cell>
          <cell r="G91">
            <v>696</v>
          </cell>
          <cell r="H91">
            <v>45</v>
          </cell>
          <cell r="I91">
            <v>18</v>
          </cell>
        </row>
        <row r="92">
          <cell r="A92">
            <v>595069</v>
          </cell>
          <cell r="B92">
            <v>1200</v>
          </cell>
          <cell r="C92">
            <v>1300</v>
          </cell>
          <cell r="D92">
            <v>1800</v>
          </cell>
          <cell r="E92" t="str">
            <v>-</v>
          </cell>
          <cell r="F92" t="str">
            <v>LATERAL DIR/ESQ CG 876X45X18+COR</v>
          </cell>
          <cell r="G92">
            <v>876</v>
          </cell>
          <cell r="H92">
            <v>45</v>
          </cell>
          <cell r="I92">
            <v>18</v>
          </cell>
        </row>
        <row r="93">
          <cell r="A93">
            <v>595070</v>
          </cell>
          <cell r="B93">
            <v>1200</v>
          </cell>
          <cell r="C93">
            <v>1300</v>
          </cell>
          <cell r="D93">
            <v>1800</v>
          </cell>
          <cell r="E93" t="str">
            <v>-</v>
          </cell>
          <cell r="F93" t="str">
            <v>LATERAL DIR/ESQ CG 1056X45X18+COR</v>
          </cell>
          <cell r="G93">
            <v>1056</v>
          </cell>
          <cell r="H93">
            <v>45</v>
          </cell>
          <cell r="I93">
            <v>18</v>
          </cell>
        </row>
        <row r="94">
          <cell r="A94"/>
          <cell r="B94"/>
          <cell r="C94"/>
          <cell r="D94"/>
          <cell r="E94"/>
          <cell r="F94"/>
          <cell r="G94"/>
          <cell r="H94"/>
          <cell r="I94"/>
        </row>
        <row r="95">
          <cell r="A95">
            <v>595071</v>
          </cell>
          <cell r="B95">
            <v>1200</v>
          </cell>
          <cell r="C95">
            <v>1300</v>
          </cell>
          <cell r="D95">
            <v>1800</v>
          </cell>
          <cell r="E95" t="str">
            <v>-</v>
          </cell>
          <cell r="F95" t="str">
            <v>CABECEIRA SUP/INF CG 618X45X18+COR</v>
          </cell>
          <cell r="G95">
            <v>618</v>
          </cell>
          <cell r="H95">
            <v>45</v>
          </cell>
          <cell r="I95">
            <v>18</v>
          </cell>
        </row>
        <row r="96">
          <cell r="A96">
            <v>595072</v>
          </cell>
          <cell r="B96">
            <v>1200</v>
          </cell>
          <cell r="C96">
            <v>1300</v>
          </cell>
          <cell r="D96">
            <v>1800</v>
          </cell>
          <cell r="E96" t="str">
            <v>-</v>
          </cell>
          <cell r="F96" t="str">
            <v>CABECEIRA SUP/INF CG 718X45X18+COR</v>
          </cell>
          <cell r="G96">
            <v>718</v>
          </cell>
          <cell r="H96">
            <v>45</v>
          </cell>
          <cell r="I96">
            <v>18</v>
          </cell>
        </row>
        <row r="97">
          <cell r="A97">
            <v>595073</v>
          </cell>
          <cell r="B97">
            <v>1200</v>
          </cell>
          <cell r="C97">
            <v>1300</v>
          </cell>
          <cell r="D97">
            <v>1800</v>
          </cell>
          <cell r="E97" t="str">
            <v>-</v>
          </cell>
          <cell r="F97" t="str">
            <v>CABECEIRA SUP/INF CG 818X45X18+COR</v>
          </cell>
          <cell r="G97">
            <v>818</v>
          </cell>
          <cell r="H97">
            <v>45</v>
          </cell>
          <cell r="I97">
            <v>18</v>
          </cell>
        </row>
        <row r="98">
          <cell r="A98">
            <v>595074</v>
          </cell>
          <cell r="B98">
            <v>1200</v>
          </cell>
          <cell r="C98">
            <v>1300</v>
          </cell>
          <cell r="D98">
            <v>1800</v>
          </cell>
          <cell r="E98" t="str">
            <v>-</v>
          </cell>
          <cell r="F98" t="str">
            <v>CABECEIRA SUP/INF CG 918X45X18+COR</v>
          </cell>
          <cell r="G98">
            <v>918</v>
          </cell>
          <cell r="H98">
            <v>45</v>
          </cell>
          <cell r="I98">
            <v>18</v>
          </cell>
        </row>
        <row r="99">
          <cell r="A99">
            <v>595075</v>
          </cell>
          <cell r="B99">
            <v>1200</v>
          </cell>
          <cell r="C99">
            <v>1300</v>
          </cell>
          <cell r="D99">
            <v>1800</v>
          </cell>
          <cell r="E99" t="str">
            <v>-</v>
          </cell>
          <cell r="F99" t="str">
            <v>CABECEIRA SUP/INF CG 1018X45X18+COR</v>
          </cell>
          <cell r="G99">
            <v>1018</v>
          </cell>
          <cell r="H99">
            <v>45</v>
          </cell>
          <cell r="I99">
            <v>18</v>
          </cell>
        </row>
        <row r="100">
          <cell r="A100">
            <v>595076</v>
          </cell>
          <cell r="B100">
            <v>1200</v>
          </cell>
          <cell r="C100">
            <v>1300</v>
          </cell>
          <cell r="D100">
            <v>1800</v>
          </cell>
          <cell r="E100" t="str">
            <v>-</v>
          </cell>
          <cell r="F100" t="str">
            <v>CABECEIRA SUP/INF CG 1118X45X18+COR</v>
          </cell>
          <cell r="G100">
            <v>1118</v>
          </cell>
          <cell r="H100">
            <v>45</v>
          </cell>
          <cell r="I100">
            <v>18</v>
          </cell>
        </row>
        <row r="101">
          <cell r="A101">
            <v>595077</v>
          </cell>
          <cell r="B101">
            <v>1200</v>
          </cell>
          <cell r="C101">
            <v>1300</v>
          </cell>
          <cell r="D101">
            <v>1800</v>
          </cell>
          <cell r="E101" t="str">
            <v>-</v>
          </cell>
          <cell r="F101" t="str">
            <v>CABECEIRA SUP/INF CG 1218X45X18+COR</v>
          </cell>
          <cell r="G101">
            <v>1218</v>
          </cell>
          <cell r="H101">
            <v>45</v>
          </cell>
          <cell r="I101">
            <v>18</v>
          </cell>
        </row>
        <row r="102">
          <cell r="A102"/>
          <cell r="B102"/>
          <cell r="C102"/>
          <cell r="D102"/>
          <cell r="E102"/>
          <cell r="F102"/>
          <cell r="G102"/>
          <cell r="H102"/>
          <cell r="I102"/>
        </row>
        <row r="103">
          <cell r="A103">
            <v>595910</v>
          </cell>
          <cell r="B103">
            <v>1200</v>
          </cell>
          <cell r="C103">
            <v>1300</v>
          </cell>
          <cell r="D103">
            <v>1800</v>
          </cell>
          <cell r="E103">
            <v>1000</v>
          </cell>
          <cell r="F103" t="str">
            <v>LATERAL DIR GAV FALSA CG 355X45X18+COR</v>
          </cell>
          <cell r="G103">
            <v>355</v>
          </cell>
          <cell r="H103">
            <v>45</v>
          </cell>
          <cell r="I103">
            <v>18</v>
          </cell>
        </row>
        <row r="104">
          <cell r="A104">
            <v>595911</v>
          </cell>
          <cell r="B104">
            <v>1200</v>
          </cell>
          <cell r="C104">
            <v>1300</v>
          </cell>
          <cell r="D104">
            <v>1800</v>
          </cell>
          <cell r="E104">
            <v>1000</v>
          </cell>
          <cell r="F104" t="str">
            <v>LATERAL DIR GAV FALSA CG 535X45X18+COR</v>
          </cell>
          <cell r="G104">
            <v>535</v>
          </cell>
          <cell r="H104">
            <v>45</v>
          </cell>
          <cell r="I104">
            <v>18</v>
          </cell>
        </row>
        <row r="105">
          <cell r="A105">
            <v>595912</v>
          </cell>
          <cell r="B105">
            <v>1200</v>
          </cell>
          <cell r="C105">
            <v>1300</v>
          </cell>
          <cell r="D105">
            <v>1800</v>
          </cell>
          <cell r="E105">
            <v>1000</v>
          </cell>
          <cell r="F105" t="str">
            <v>LATERAL DIR GAV FALSA CG 713X45X18+COR</v>
          </cell>
          <cell r="G105">
            <v>713</v>
          </cell>
          <cell r="H105">
            <v>45</v>
          </cell>
          <cell r="I105">
            <v>18</v>
          </cell>
        </row>
        <row r="106">
          <cell r="A106"/>
          <cell r="B106"/>
          <cell r="C106"/>
          <cell r="D106"/>
          <cell r="E106"/>
          <cell r="F106"/>
          <cell r="G106"/>
          <cell r="H106"/>
          <cell r="I106"/>
        </row>
        <row r="107">
          <cell r="A107">
            <v>595913</v>
          </cell>
          <cell r="B107">
            <v>1200</v>
          </cell>
          <cell r="C107">
            <v>1300</v>
          </cell>
          <cell r="D107">
            <v>1800</v>
          </cell>
          <cell r="E107">
            <v>1000</v>
          </cell>
          <cell r="F107" t="str">
            <v>LATERAL ESQ GAV FALSA CG 355X45X18+COR</v>
          </cell>
          <cell r="G107">
            <v>355</v>
          </cell>
          <cell r="H107">
            <v>45</v>
          </cell>
          <cell r="I107">
            <v>18</v>
          </cell>
        </row>
        <row r="108">
          <cell r="A108">
            <v>595914</v>
          </cell>
          <cell r="B108">
            <v>1200</v>
          </cell>
          <cell r="C108">
            <v>1300</v>
          </cell>
          <cell r="D108">
            <v>1800</v>
          </cell>
          <cell r="E108">
            <v>1000</v>
          </cell>
          <cell r="F108" t="str">
            <v>LATERAL ESQ GAV FALSA CG 535X45X18+COR</v>
          </cell>
          <cell r="G108">
            <v>535</v>
          </cell>
          <cell r="H108">
            <v>45</v>
          </cell>
          <cell r="I108">
            <v>18</v>
          </cell>
        </row>
        <row r="109">
          <cell r="A109">
            <v>595915</v>
          </cell>
          <cell r="B109">
            <v>1200</v>
          </cell>
          <cell r="C109">
            <v>1300</v>
          </cell>
          <cell r="D109">
            <v>1800</v>
          </cell>
          <cell r="E109">
            <v>1000</v>
          </cell>
          <cell r="F109" t="str">
            <v>LATERAL ESQ GAV FALSA CG 713X45X18+COR</v>
          </cell>
          <cell r="G109">
            <v>713</v>
          </cell>
          <cell r="H109">
            <v>45</v>
          </cell>
          <cell r="I109">
            <v>18</v>
          </cell>
        </row>
        <row r="110">
          <cell r="A110"/>
          <cell r="B110"/>
          <cell r="C110"/>
          <cell r="D110"/>
          <cell r="E110"/>
          <cell r="F110"/>
          <cell r="G110"/>
          <cell r="H110"/>
          <cell r="I110"/>
        </row>
        <row r="111">
          <cell r="A111">
            <v>595916</v>
          </cell>
          <cell r="B111">
            <v>1200</v>
          </cell>
          <cell r="C111">
            <v>1300</v>
          </cell>
          <cell r="D111">
            <v>1800</v>
          </cell>
          <cell r="E111">
            <v>1000</v>
          </cell>
          <cell r="F111" t="str">
            <v>LATERAL DIR GAV FALSA MAIOR CG 535X45X18+COR</v>
          </cell>
          <cell r="G111">
            <v>535</v>
          </cell>
          <cell r="H111">
            <v>45</v>
          </cell>
          <cell r="I111">
            <v>18</v>
          </cell>
        </row>
        <row r="112">
          <cell r="A112">
            <v>595917</v>
          </cell>
          <cell r="B112">
            <v>1200</v>
          </cell>
          <cell r="C112">
            <v>1300</v>
          </cell>
          <cell r="D112">
            <v>1800</v>
          </cell>
          <cell r="E112">
            <v>1000</v>
          </cell>
          <cell r="F112" t="str">
            <v>LATERAL DIR GAV FALSA MAIOR CG 713X45X18+COR</v>
          </cell>
          <cell r="G112">
            <v>713</v>
          </cell>
          <cell r="H112">
            <v>45</v>
          </cell>
          <cell r="I112">
            <v>18</v>
          </cell>
        </row>
        <row r="113">
          <cell r="A113">
            <v>595918</v>
          </cell>
          <cell r="B113">
            <v>1200</v>
          </cell>
          <cell r="C113">
            <v>1300</v>
          </cell>
          <cell r="D113">
            <v>1800</v>
          </cell>
          <cell r="E113">
            <v>1000</v>
          </cell>
          <cell r="F113" t="str">
            <v>LATERAL ESQ GAV FALSA MAIOR CG 535X45X18+COR</v>
          </cell>
          <cell r="G113">
            <v>535</v>
          </cell>
          <cell r="H113">
            <v>45</v>
          </cell>
          <cell r="I113">
            <v>18</v>
          </cell>
        </row>
        <row r="114">
          <cell r="A114">
            <v>595919</v>
          </cell>
          <cell r="B114">
            <v>1200</v>
          </cell>
          <cell r="C114">
            <v>1300</v>
          </cell>
          <cell r="D114">
            <v>1800</v>
          </cell>
          <cell r="E114">
            <v>1000</v>
          </cell>
          <cell r="F114" t="str">
            <v>LATERAL ESQ GAV FALSA MAIOR CG 713X45X18+COR</v>
          </cell>
          <cell r="G114">
            <v>713</v>
          </cell>
          <cell r="H114">
            <v>45</v>
          </cell>
          <cell r="I114">
            <v>18</v>
          </cell>
        </row>
      </sheetData>
      <sheetData sheetId="1">
        <row r="5">
          <cell r="A5" t="str">
            <v>VIDRO 349X590X4</v>
          </cell>
          <cell r="B5">
            <v>121001</v>
          </cell>
          <cell r="C5">
            <v>181021001</v>
          </cell>
          <cell r="D5" t="str">
            <v>05</v>
          </cell>
          <cell r="E5" t="str">
            <v>26</v>
          </cell>
          <cell r="F5" t="str">
            <v>27</v>
          </cell>
          <cell r="G5">
            <v>25</v>
          </cell>
          <cell r="H5">
            <v>28</v>
          </cell>
          <cell r="I5">
            <v>19</v>
          </cell>
          <cell r="J5" t="str">
            <v>13</v>
          </cell>
          <cell r="K5" t="str">
            <v>15</v>
          </cell>
          <cell r="L5" t="str">
            <v>38</v>
          </cell>
          <cell r="M5" t="str">
            <v>44</v>
          </cell>
          <cell r="N5" t="str">
            <v>08</v>
          </cell>
          <cell r="O5" t="str">
            <v>10</v>
          </cell>
          <cell r="P5" t="str">
            <v>21</v>
          </cell>
          <cell r="Q5" t="str">
            <v>12</v>
          </cell>
          <cell r="R5" t="str">
            <v>06</v>
          </cell>
          <cell r="S5" t="str">
            <v>09</v>
          </cell>
        </row>
        <row r="6">
          <cell r="A6" t="str">
            <v>VIDRO 349X690X4</v>
          </cell>
          <cell r="B6">
            <v>121002</v>
          </cell>
          <cell r="C6">
            <v>181021002</v>
          </cell>
          <cell r="D6" t="str">
            <v>05</v>
          </cell>
          <cell r="E6" t="str">
            <v>26</v>
          </cell>
          <cell r="F6" t="str">
            <v>27</v>
          </cell>
          <cell r="G6">
            <v>25</v>
          </cell>
          <cell r="H6">
            <v>28</v>
          </cell>
          <cell r="I6">
            <v>19</v>
          </cell>
          <cell r="J6" t="str">
            <v>13</v>
          </cell>
          <cell r="K6" t="str">
            <v>15</v>
          </cell>
          <cell r="L6" t="str">
            <v>38</v>
          </cell>
          <cell r="M6" t="str">
            <v>44</v>
          </cell>
          <cell r="N6" t="str">
            <v>08</v>
          </cell>
          <cell r="O6" t="str">
            <v>10</v>
          </cell>
          <cell r="P6" t="str">
            <v>21</v>
          </cell>
          <cell r="Q6" t="str">
            <v>12</v>
          </cell>
          <cell r="R6" t="str">
            <v>06</v>
          </cell>
          <cell r="S6" t="str">
            <v>09</v>
          </cell>
        </row>
        <row r="7">
          <cell r="A7" t="str">
            <v>VIDRO 349X790X4</v>
          </cell>
          <cell r="B7">
            <v>121003</v>
          </cell>
          <cell r="C7">
            <v>181021003</v>
          </cell>
          <cell r="D7" t="str">
            <v>05</v>
          </cell>
          <cell r="E7" t="str">
            <v>26</v>
          </cell>
          <cell r="F7" t="str">
            <v>27</v>
          </cell>
          <cell r="G7">
            <v>25</v>
          </cell>
          <cell r="H7">
            <v>28</v>
          </cell>
          <cell r="I7">
            <v>19</v>
          </cell>
          <cell r="J7" t="str">
            <v>13</v>
          </cell>
          <cell r="K7" t="str">
            <v>15</v>
          </cell>
          <cell r="L7" t="str">
            <v>38</v>
          </cell>
          <cell r="M7" t="str">
            <v>44</v>
          </cell>
          <cell r="N7" t="str">
            <v>08</v>
          </cell>
          <cell r="O7" t="str">
            <v>10</v>
          </cell>
          <cell r="P7" t="str">
            <v>21</v>
          </cell>
          <cell r="Q7" t="str">
            <v>12</v>
          </cell>
          <cell r="R7" t="str">
            <v>06</v>
          </cell>
          <cell r="S7" t="str">
            <v>09</v>
          </cell>
        </row>
        <row r="8">
          <cell r="A8" t="str">
            <v>VIDRO 349X890X4</v>
          </cell>
          <cell r="B8">
            <v>121004</v>
          </cell>
          <cell r="C8">
            <v>181021004</v>
          </cell>
          <cell r="D8" t="str">
            <v>05</v>
          </cell>
          <cell r="E8" t="str">
            <v>26</v>
          </cell>
          <cell r="F8" t="str">
            <v>27</v>
          </cell>
          <cell r="G8">
            <v>25</v>
          </cell>
          <cell r="H8">
            <v>28</v>
          </cell>
          <cell r="I8">
            <v>19</v>
          </cell>
          <cell r="J8" t="str">
            <v>13</v>
          </cell>
          <cell r="K8" t="str">
            <v>15</v>
          </cell>
          <cell r="L8" t="str">
            <v>38</v>
          </cell>
          <cell r="M8" t="str">
            <v>44</v>
          </cell>
          <cell r="N8" t="str">
            <v>08</v>
          </cell>
          <cell r="O8" t="str">
            <v>10</v>
          </cell>
          <cell r="P8" t="str">
            <v>21</v>
          </cell>
          <cell r="Q8" t="str">
            <v>12</v>
          </cell>
          <cell r="R8" t="str">
            <v>06</v>
          </cell>
          <cell r="S8" t="str">
            <v>09</v>
          </cell>
        </row>
        <row r="9">
          <cell r="A9" t="str">
            <v>VIDRO 349X990X4</v>
          </cell>
          <cell r="B9">
            <v>121005</v>
          </cell>
          <cell r="C9">
            <v>181021005</v>
          </cell>
          <cell r="D9" t="str">
            <v>05</v>
          </cell>
          <cell r="E9" t="str">
            <v>26</v>
          </cell>
          <cell r="F9" t="str">
            <v>27</v>
          </cell>
          <cell r="G9">
            <v>25</v>
          </cell>
          <cell r="H9">
            <v>28</v>
          </cell>
          <cell r="I9">
            <v>19</v>
          </cell>
          <cell r="J9" t="str">
            <v>13</v>
          </cell>
          <cell r="K9" t="str">
            <v>15</v>
          </cell>
          <cell r="L9" t="str">
            <v>38</v>
          </cell>
          <cell r="M9" t="str">
            <v>44</v>
          </cell>
          <cell r="N9" t="str">
            <v>08</v>
          </cell>
          <cell r="O9" t="str">
            <v>10</v>
          </cell>
          <cell r="P9" t="str">
            <v>21</v>
          </cell>
          <cell r="Q9" t="str">
            <v>12</v>
          </cell>
          <cell r="R9" t="str">
            <v>06</v>
          </cell>
          <cell r="S9" t="str">
            <v>09</v>
          </cell>
        </row>
        <row r="10">
          <cell r="A10" t="str">
            <v>VIDRO 349X1090X4</v>
          </cell>
          <cell r="B10">
            <v>121006</v>
          </cell>
          <cell r="C10">
            <v>181021006</v>
          </cell>
          <cell r="D10" t="str">
            <v>05</v>
          </cell>
          <cell r="E10" t="str">
            <v>26</v>
          </cell>
          <cell r="F10" t="str">
            <v>27</v>
          </cell>
          <cell r="G10">
            <v>25</v>
          </cell>
          <cell r="H10">
            <v>28</v>
          </cell>
          <cell r="I10">
            <v>19</v>
          </cell>
          <cell r="J10" t="str">
            <v>13</v>
          </cell>
          <cell r="K10" t="str">
            <v>15</v>
          </cell>
          <cell r="L10" t="str">
            <v>38</v>
          </cell>
          <cell r="M10" t="str">
            <v>44</v>
          </cell>
          <cell r="N10" t="str">
            <v>08</v>
          </cell>
          <cell r="O10" t="str">
            <v>10</v>
          </cell>
          <cell r="P10" t="str">
            <v>21</v>
          </cell>
          <cell r="Q10" t="str">
            <v>12</v>
          </cell>
          <cell r="R10" t="str">
            <v>06</v>
          </cell>
          <cell r="S10" t="str">
            <v>09</v>
          </cell>
        </row>
        <row r="11">
          <cell r="A11" t="str">
            <v>VIDRO 349X1190X4</v>
          </cell>
          <cell r="B11">
            <v>121007</v>
          </cell>
          <cell r="C11">
            <v>181021007</v>
          </cell>
          <cell r="D11" t="str">
            <v>05</v>
          </cell>
          <cell r="E11" t="str">
            <v>26</v>
          </cell>
          <cell r="F11" t="str">
            <v>27</v>
          </cell>
          <cell r="G11">
            <v>25</v>
          </cell>
          <cell r="H11">
            <v>28</v>
          </cell>
          <cell r="I11">
            <v>19</v>
          </cell>
          <cell r="J11" t="str">
            <v>13</v>
          </cell>
          <cell r="K11" t="str">
            <v>15</v>
          </cell>
          <cell r="L11" t="str">
            <v>38</v>
          </cell>
          <cell r="M11" t="str">
            <v>44</v>
          </cell>
          <cell r="N11" t="str">
            <v>08</v>
          </cell>
          <cell r="O11" t="str">
            <v>10</v>
          </cell>
          <cell r="P11" t="str">
            <v>21</v>
          </cell>
          <cell r="Q11" t="str">
            <v>12</v>
          </cell>
          <cell r="R11" t="str">
            <v>06</v>
          </cell>
          <cell r="S11" t="str">
            <v>09</v>
          </cell>
        </row>
        <row r="12">
          <cell r="A12" t="str">
            <v>VIDRO 349X1390X4</v>
          </cell>
          <cell r="B12">
            <v>121008</v>
          </cell>
          <cell r="C12">
            <v>181021008</v>
          </cell>
          <cell r="D12" t="str">
            <v>05</v>
          </cell>
          <cell r="E12" t="str">
            <v>26</v>
          </cell>
          <cell r="F12" t="str">
            <v>27</v>
          </cell>
          <cell r="G12">
            <v>25</v>
          </cell>
          <cell r="H12">
            <v>28</v>
          </cell>
          <cell r="I12">
            <v>19</v>
          </cell>
          <cell r="J12" t="str">
            <v>13</v>
          </cell>
          <cell r="K12" t="str">
            <v>15</v>
          </cell>
          <cell r="L12" t="str">
            <v>38</v>
          </cell>
          <cell r="M12" t="str">
            <v>44</v>
          </cell>
          <cell r="N12" t="str">
            <v>08</v>
          </cell>
          <cell r="O12" t="str">
            <v>10</v>
          </cell>
          <cell r="P12" t="str">
            <v>21</v>
          </cell>
          <cell r="Q12" t="str">
            <v>12</v>
          </cell>
          <cell r="R12" t="str">
            <v>06</v>
          </cell>
          <cell r="S12" t="str">
            <v>09</v>
          </cell>
        </row>
        <row r="13">
          <cell r="A13" t="str">
            <v>VIDRO 439X590X4</v>
          </cell>
          <cell r="B13">
            <v>121540</v>
          </cell>
          <cell r="C13">
            <v>181021540</v>
          </cell>
          <cell r="D13" t="str">
            <v>05</v>
          </cell>
          <cell r="E13" t="str">
            <v>26</v>
          </cell>
          <cell r="F13" t="str">
            <v>27</v>
          </cell>
          <cell r="G13">
            <v>25</v>
          </cell>
          <cell r="H13">
            <v>28</v>
          </cell>
          <cell r="I13">
            <v>19</v>
          </cell>
          <cell r="J13" t="str">
            <v>13</v>
          </cell>
          <cell r="K13" t="str">
            <v>15</v>
          </cell>
          <cell r="L13" t="str">
            <v>38</v>
          </cell>
          <cell r="M13" t="str">
            <v>44</v>
          </cell>
          <cell r="N13" t="str">
            <v>08</v>
          </cell>
          <cell r="O13" t="str">
            <v>10</v>
          </cell>
          <cell r="P13" t="str">
            <v>21</v>
          </cell>
          <cell r="Q13" t="str">
            <v>12</v>
          </cell>
          <cell r="R13" t="str">
            <v>06</v>
          </cell>
          <cell r="S13" t="str">
            <v>09</v>
          </cell>
        </row>
        <row r="14">
          <cell r="A14" t="str">
            <v>VIDRO 439X690X4</v>
          </cell>
          <cell r="B14">
            <v>121541</v>
          </cell>
          <cell r="C14">
            <v>181021541</v>
          </cell>
          <cell r="D14" t="str">
            <v>05</v>
          </cell>
          <cell r="E14" t="str">
            <v>26</v>
          </cell>
          <cell r="F14" t="str">
            <v>27</v>
          </cell>
          <cell r="G14">
            <v>25</v>
          </cell>
          <cell r="H14">
            <v>28</v>
          </cell>
          <cell r="I14">
            <v>19</v>
          </cell>
          <cell r="J14" t="str">
            <v>13</v>
          </cell>
          <cell r="K14" t="str">
            <v>15</v>
          </cell>
          <cell r="L14" t="str">
            <v>38</v>
          </cell>
          <cell r="M14" t="str">
            <v>44</v>
          </cell>
          <cell r="N14" t="str">
            <v>08</v>
          </cell>
          <cell r="O14" t="str">
            <v>10</v>
          </cell>
          <cell r="P14" t="str">
            <v>21</v>
          </cell>
          <cell r="Q14" t="str">
            <v>12</v>
          </cell>
          <cell r="R14" t="str">
            <v>06</v>
          </cell>
          <cell r="S14" t="str">
            <v>09</v>
          </cell>
        </row>
        <row r="15">
          <cell r="A15" t="str">
            <v>VIDRO 439X790X4</v>
          </cell>
          <cell r="B15">
            <v>121542</v>
          </cell>
          <cell r="C15">
            <v>181021542</v>
          </cell>
          <cell r="D15" t="str">
            <v>05</v>
          </cell>
          <cell r="E15" t="str">
            <v>26</v>
          </cell>
          <cell r="F15" t="str">
            <v>27</v>
          </cell>
          <cell r="G15">
            <v>25</v>
          </cell>
          <cell r="H15">
            <v>28</v>
          </cell>
          <cell r="I15">
            <v>19</v>
          </cell>
          <cell r="J15" t="str">
            <v>13</v>
          </cell>
          <cell r="K15" t="str">
            <v>15</v>
          </cell>
          <cell r="L15" t="str">
            <v>38</v>
          </cell>
          <cell r="M15" t="str">
            <v>44</v>
          </cell>
          <cell r="N15" t="str">
            <v>08</v>
          </cell>
          <cell r="O15" t="str">
            <v>10</v>
          </cell>
          <cell r="P15" t="str">
            <v>21</v>
          </cell>
          <cell r="Q15" t="str">
            <v>12</v>
          </cell>
          <cell r="R15" t="str">
            <v>06</v>
          </cell>
          <cell r="S15" t="str">
            <v>09</v>
          </cell>
        </row>
        <row r="16">
          <cell r="A16" t="str">
            <v>VIDRO 439X890X4</v>
          </cell>
          <cell r="B16">
            <v>121543</v>
          </cell>
          <cell r="C16">
            <v>181021543</v>
          </cell>
          <cell r="D16" t="str">
            <v>05</v>
          </cell>
          <cell r="E16" t="str">
            <v>26</v>
          </cell>
          <cell r="F16" t="str">
            <v>27</v>
          </cell>
          <cell r="G16">
            <v>25</v>
          </cell>
          <cell r="H16">
            <v>28</v>
          </cell>
          <cell r="I16">
            <v>19</v>
          </cell>
          <cell r="J16" t="str">
            <v>13</v>
          </cell>
          <cell r="K16" t="str">
            <v>15</v>
          </cell>
          <cell r="L16" t="str">
            <v>38</v>
          </cell>
          <cell r="M16" t="str">
            <v>44</v>
          </cell>
          <cell r="N16" t="str">
            <v>08</v>
          </cell>
          <cell r="O16" t="str">
            <v>10</v>
          </cell>
          <cell r="P16" t="str">
            <v>21</v>
          </cell>
          <cell r="Q16" t="str">
            <v>12</v>
          </cell>
          <cell r="R16" t="str">
            <v>06</v>
          </cell>
          <cell r="S16" t="str">
            <v>09</v>
          </cell>
        </row>
        <row r="17">
          <cell r="A17" t="str">
            <v>VIDRO 439X990X4</v>
          </cell>
          <cell r="B17">
            <v>121544</v>
          </cell>
          <cell r="C17">
            <v>181021544</v>
          </cell>
          <cell r="D17" t="str">
            <v>05</v>
          </cell>
          <cell r="E17" t="str">
            <v>26</v>
          </cell>
          <cell r="F17" t="str">
            <v>27</v>
          </cell>
          <cell r="G17">
            <v>25</v>
          </cell>
          <cell r="H17">
            <v>28</v>
          </cell>
          <cell r="I17">
            <v>19</v>
          </cell>
          <cell r="J17" t="str">
            <v>13</v>
          </cell>
          <cell r="K17" t="str">
            <v>15</v>
          </cell>
          <cell r="L17" t="str">
            <v>38</v>
          </cell>
          <cell r="M17" t="str">
            <v>44</v>
          </cell>
          <cell r="N17" t="str">
            <v>08</v>
          </cell>
          <cell r="O17" t="str">
            <v>10</v>
          </cell>
          <cell r="P17" t="str">
            <v>21</v>
          </cell>
          <cell r="Q17" t="str">
            <v>12</v>
          </cell>
          <cell r="R17" t="str">
            <v>06</v>
          </cell>
          <cell r="S17" t="str">
            <v>09</v>
          </cell>
        </row>
        <row r="18">
          <cell r="A18" t="str">
            <v>VIDRO 439X1090X4</v>
          </cell>
          <cell r="B18">
            <v>121545</v>
          </cell>
          <cell r="C18">
            <v>181021545</v>
          </cell>
          <cell r="D18" t="str">
            <v>05</v>
          </cell>
          <cell r="E18" t="str">
            <v>26</v>
          </cell>
          <cell r="F18" t="str">
            <v>27</v>
          </cell>
          <cell r="G18">
            <v>25</v>
          </cell>
          <cell r="H18">
            <v>28</v>
          </cell>
          <cell r="I18">
            <v>19</v>
          </cell>
          <cell r="J18" t="str">
            <v>13</v>
          </cell>
          <cell r="K18" t="str">
            <v>15</v>
          </cell>
          <cell r="L18" t="str">
            <v>38</v>
          </cell>
          <cell r="M18" t="str">
            <v>44</v>
          </cell>
          <cell r="N18" t="str">
            <v>08</v>
          </cell>
          <cell r="O18" t="str">
            <v>10</v>
          </cell>
          <cell r="P18" t="str">
            <v>21</v>
          </cell>
          <cell r="Q18" t="str">
            <v>12</v>
          </cell>
          <cell r="R18" t="str">
            <v>06</v>
          </cell>
          <cell r="S18" t="str">
            <v>09</v>
          </cell>
        </row>
        <row r="19">
          <cell r="A19" t="str">
            <v>VIDRO 439X1190X4</v>
          </cell>
          <cell r="B19">
            <v>121546</v>
          </cell>
          <cell r="C19">
            <v>181021546</v>
          </cell>
          <cell r="D19" t="str">
            <v>05</v>
          </cell>
          <cell r="E19" t="str">
            <v>26</v>
          </cell>
          <cell r="F19" t="str">
            <v>27</v>
          </cell>
          <cell r="G19">
            <v>25</v>
          </cell>
          <cell r="H19">
            <v>28</v>
          </cell>
          <cell r="I19">
            <v>19</v>
          </cell>
          <cell r="J19" t="str">
            <v>13</v>
          </cell>
          <cell r="K19" t="str">
            <v>15</v>
          </cell>
          <cell r="L19" t="str">
            <v>38</v>
          </cell>
          <cell r="M19" t="str">
            <v>44</v>
          </cell>
          <cell r="N19" t="str">
            <v>08</v>
          </cell>
          <cell r="O19" t="str">
            <v>10</v>
          </cell>
          <cell r="P19" t="str">
            <v>21</v>
          </cell>
          <cell r="Q19" t="str">
            <v>12</v>
          </cell>
          <cell r="R19" t="str">
            <v>06</v>
          </cell>
          <cell r="S19" t="str">
            <v>09</v>
          </cell>
        </row>
        <row r="20">
          <cell r="A20" t="str">
            <v>VIDRO 439X1390X4</v>
          </cell>
          <cell r="B20">
            <v>121547</v>
          </cell>
          <cell r="C20">
            <v>181021547</v>
          </cell>
          <cell r="D20" t="str">
            <v>05</v>
          </cell>
          <cell r="E20" t="str">
            <v>26</v>
          </cell>
          <cell r="F20" t="str">
            <v>27</v>
          </cell>
          <cell r="G20">
            <v>25</v>
          </cell>
          <cell r="H20">
            <v>28</v>
          </cell>
          <cell r="I20">
            <v>19</v>
          </cell>
          <cell r="J20" t="str">
            <v>13</v>
          </cell>
          <cell r="K20" t="str">
            <v>15</v>
          </cell>
          <cell r="L20" t="str">
            <v>38</v>
          </cell>
          <cell r="M20" t="str">
            <v>44</v>
          </cell>
          <cell r="N20" t="str">
            <v>08</v>
          </cell>
          <cell r="O20" t="str">
            <v>10</v>
          </cell>
          <cell r="P20" t="str">
            <v>21</v>
          </cell>
          <cell r="Q20" t="str">
            <v>12</v>
          </cell>
          <cell r="R20" t="str">
            <v>06</v>
          </cell>
          <cell r="S20" t="str">
            <v>09</v>
          </cell>
        </row>
        <row r="21">
          <cell r="A21" t="str">
            <v>VIDRO 529X590X4</v>
          </cell>
          <cell r="B21">
            <v>121009</v>
          </cell>
          <cell r="C21">
            <v>181021009</v>
          </cell>
          <cell r="D21" t="str">
            <v>05</v>
          </cell>
          <cell r="E21" t="str">
            <v>26</v>
          </cell>
          <cell r="F21" t="str">
            <v>27</v>
          </cell>
          <cell r="G21">
            <v>25</v>
          </cell>
          <cell r="H21">
            <v>28</v>
          </cell>
          <cell r="I21">
            <v>19</v>
          </cell>
          <cell r="J21" t="str">
            <v>13</v>
          </cell>
          <cell r="K21" t="str">
            <v>15</v>
          </cell>
          <cell r="L21" t="str">
            <v>38</v>
          </cell>
          <cell r="M21" t="str">
            <v>44</v>
          </cell>
          <cell r="N21" t="str">
            <v>08</v>
          </cell>
          <cell r="O21" t="str">
            <v>10</v>
          </cell>
          <cell r="P21" t="str">
            <v>21</v>
          </cell>
          <cell r="Q21" t="str">
            <v>12</v>
          </cell>
          <cell r="R21" t="str">
            <v>06</v>
          </cell>
          <cell r="S21" t="str">
            <v>09</v>
          </cell>
        </row>
        <row r="22">
          <cell r="A22" t="str">
            <v>VIDRO 529X690X4</v>
          </cell>
          <cell r="B22">
            <v>121010</v>
          </cell>
          <cell r="C22">
            <v>181021010</v>
          </cell>
          <cell r="D22" t="str">
            <v>05</v>
          </cell>
          <cell r="E22" t="str">
            <v>26</v>
          </cell>
          <cell r="F22" t="str">
            <v>27</v>
          </cell>
          <cell r="G22">
            <v>25</v>
          </cell>
          <cell r="H22">
            <v>28</v>
          </cell>
          <cell r="I22">
            <v>19</v>
          </cell>
          <cell r="J22" t="str">
            <v>13</v>
          </cell>
          <cell r="K22" t="str">
            <v>15</v>
          </cell>
          <cell r="L22" t="str">
            <v>38</v>
          </cell>
          <cell r="M22" t="str">
            <v>44</v>
          </cell>
          <cell r="N22" t="str">
            <v>08</v>
          </cell>
          <cell r="O22" t="str">
            <v>10</v>
          </cell>
          <cell r="P22" t="str">
            <v>21</v>
          </cell>
          <cell r="Q22" t="str">
            <v>12</v>
          </cell>
          <cell r="R22" t="str">
            <v>06</v>
          </cell>
          <cell r="S22" t="str">
            <v>09</v>
          </cell>
        </row>
        <row r="23">
          <cell r="A23" t="str">
            <v>VIDRO 529X790X4</v>
          </cell>
          <cell r="B23">
            <v>121011</v>
          </cell>
          <cell r="C23">
            <v>181021011</v>
          </cell>
          <cell r="D23" t="str">
            <v>05</v>
          </cell>
          <cell r="E23" t="str">
            <v>26</v>
          </cell>
          <cell r="F23" t="str">
            <v>27</v>
          </cell>
          <cell r="G23">
            <v>25</v>
          </cell>
          <cell r="H23">
            <v>28</v>
          </cell>
          <cell r="I23">
            <v>19</v>
          </cell>
          <cell r="J23" t="str">
            <v>13</v>
          </cell>
          <cell r="K23" t="str">
            <v>15</v>
          </cell>
          <cell r="L23" t="str">
            <v>38</v>
          </cell>
          <cell r="M23" t="str">
            <v>44</v>
          </cell>
          <cell r="N23" t="str">
            <v>08</v>
          </cell>
          <cell r="O23" t="str">
            <v>10</v>
          </cell>
          <cell r="P23" t="str">
            <v>21</v>
          </cell>
          <cell r="Q23" t="str">
            <v>12</v>
          </cell>
          <cell r="R23" t="str">
            <v>06</v>
          </cell>
          <cell r="S23" t="str">
            <v>09</v>
          </cell>
        </row>
        <row r="24">
          <cell r="A24" t="str">
            <v>VIDRO 529X890X4</v>
          </cell>
          <cell r="B24">
            <v>121012</v>
          </cell>
          <cell r="C24">
            <v>181021012</v>
          </cell>
          <cell r="D24" t="str">
            <v>05</v>
          </cell>
          <cell r="E24" t="str">
            <v>26</v>
          </cell>
          <cell r="F24" t="str">
            <v>27</v>
          </cell>
          <cell r="G24">
            <v>25</v>
          </cell>
          <cell r="H24">
            <v>28</v>
          </cell>
          <cell r="I24">
            <v>19</v>
          </cell>
          <cell r="J24" t="str">
            <v>13</v>
          </cell>
          <cell r="K24" t="str">
            <v>15</v>
          </cell>
          <cell r="L24" t="str">
            <v>38</v>
          </cell>
          <cell r="M24" t="str">
            <v>44</v>
          </cell>
          <cell r="N24" t="str">
            <v>08</v>
          </cell>
          <cell r="O24" t="str">
            <v>10</v>
          </cell>
          <cell r="P24" t="str">
            <v>21</v>
          </cell>
          <cell r="Q24" t="str">
            <v>12</v>
          </cell>
          <cell r="R24" t="str">
            <v>06</v>
          </cell>
          <cell r="S24" t="str">
            <v>09</v>
          </cell>
        </row>
        <row r="25">
          <cell r="A25" t="str">
            <v>VIDRO 529X990X4</v>
          </cell>
          <cell r="B25">
            <v>121013</v>
          </cell>
          <cell r="C25">
            <v>181021013</v>
          </cell>
          <cell r="D25" t="str">
            <v>05</v>
          </cell>
          <cell r="E25" t="str">
            <v>26</v>
          </cell>
          <cell r="F25" t="str">
            <v>27</v>
          </cell>
          <cell r="G25">
            <v>25</v>
          </cell>
          <cell r="H25">
            <v>28</v>
          </cell>
          <cell r="I25">
            <v>19</v>
          </cell>
          <cell r="J25" t="str">
            <v>13</v>
          </cell>
          <cell r="K25" t="str">
            <v>15</v>
          </cell>
          <cell r="L25" t="str">
            <v>38</v>
          </cell>
          <cell r="M25" t="str">
            <v>44</v>
          </cell>
          <cell r="N25" t="str">
            <v>08</v>
          </cell>
          <cell r="O25" t="str">
            <v>10</v>
          </cell>
          <cell r="P25" t="str">
            <v>21</v>
          </cell>
          <cell r="Q25" t="str">
            <v>12</v>
          </cell>
          <cell r="R25" t="str">
            <v>06</v>
          </cell>
          <cell r="S25" t="str">
            <v>09</v>
          </cell>
        </row>
        <row r="26">
          <cell r="A26" t="str">
            <v>VIDRO 529X1090X4</v>
          </cell>
          <cell r="B26">
            <v>121014</v>
          </cell>
          <cell r="C26">
            <v>181021014</v>
          </cell>
          <cell r="D26" t="str">
            <v>05</v>
          </cell>
          <cell r="E26" t="str">
            <v>26</v>
          </cell>
          <cell r="F26" t="str">
            <v>27</v>
          </cell>
          <cell r="G26">
            <v>25</v>
          </cell>
          <cell r="H26">
            <v>28</v>
          </cell>
          <cell r="I26">
            <v>19</v>
          </cell>
          <cell r="J26" t="str">
            <v>13</v>
          </cell>
          <cell r="K26" t="str">
            <v>15</v>
          </cell>
          <cell r="L26" t="str">
            <v>38</v>
          </cell>
          <cell r="M26" t="str">
            <v>44</v>
          </cell>
          <cell r="N26" t="str">
            <v>08</v>
          </cell>
          <cell r="O26" t="str">
            <v>10</v>
          </cell>
          <cell r="P26" t="str">
            <v>21</v>
          </cell>
          <cell r="Q26" t="str">
            <v>12</v>
          </cell>
          <cell r="R26" t="str">
            <v>06</v>
          </cell>
          <cell r="S26" t="str">
            <v>09</v>
          </cell>
        </row>
        <row r="27">
          <cell r="A27" t="str">
            <v>VIDRO 529X1190X4</v>
          </cell>
          <cell r="B27">
            <v>121015</v>
          </cell>
          <cell r="C27">
            <v>181021015</v>
          </cell>
          <cell r="D27" t="str">
            <v>05</v>
          </cell>
          <cell r="E27" t="str">
            <v>26</v>
          </cell>
          <cell r="F27" t="str">
            <v>27</v>
          </cell>
          <cell r="G27">
            <v>25</v>
          </cell>
          <cell r="H27">
            <v>28</v>
          </cell>
          <cell r="I27">
            <v>19</v>
          </cell>
          <cell r="J27" t="str">
            <v>13</v>
          </cell>
          <cell r="K27" t="str">
            <v>15</v>
          </cell>
          <cell r="L27" t="str">
            <v>38</v>
          </cell>
          <cell r="M27" t="str">
            <v>44</v>
          </cell>
          <cell r="N27" t="str">
            <v>08</v>
          </cell>
          <cell r="O27" t="str">
            <v>10</v>
          </cell>
          <cell r="P27" t="str">
            <v>21</v>
          </cell>
          <cell r="Q27" t="str">
            <v>12</v>
          </cell>
          <cell r="R27" t="str">
            <v>06</v>
          </cell>
          <cell r="S27" t="str">
            <v>09</v>
          </cell>
        </row>
        <row r="28">
          <cell r="A28" t="str">
            <v>VIDRO 529X1390X4</v>
          </cell>
          <cell r="B28">
            <v>121016</v>
          </cell>
          <cell r="C28">
            <v>181021016</v>
          </cell>
          <cell r="D28" t="str">
            <v>05</v>
          </cell>
          <cell r="E28" t="str">
            <v>26</v>
          </cell>
          <cell r="F28" t="str">
            <v>27</v>
          </cell>
          <cell r="G28">
            <v>25</v>
          </cell>
          <cell r="H28">
            <v>28</v>
          </cell>
          <cell r="I28">
            <v>19</v>
          </cell>
          <cell r="J28" t="str">
            <v>13</v>
          </cell>
          <cell r="K28" t="str">
            <v>15</v>
          </cell>
          <cell r="L28" t="str">
            <v>38</v>
          </cell>
          <cell r="M28" t="str">
            <v>44</v>
          </cell>
          <cell r="N28" t="str">
            <v>08</v>
          </cell>
          <cell r="O28" t="str">
            <v>10</v>
          </cell>
          <cell r="P28" t="str">
            <v>21</v>
          </cell>
          <cell r="Q28" t="str">
            <v>12</v>
          </cell>
          <cell r="R28" t="str">
            <v>06</v>
          </cell>
          <cell r="S28" t="str">
            <v>09</v>
          </cell>
        </row>
        <row r="29">
          <cell r="A29" t="str">
            <v>VIDRO 529X290X4</v>
          </cell>
          <cell r="B29">
            <v>121017</v>
          </cell>
          <cell r="C29">
            <v>181021017</v>
          </cell>
          <cell r="D29" t="str">
            <v>05</v>
          </cell>
          <cell r="E29" t="str">
            <v>26</v>
          </cell>
          <cell r="F29" t="str">
            <v>27</v>
          </cell>
          <cell r="G29">
            <v>25</v>
          </cell>
          <cell r="H29">
            <v>28</v>
          </cell>
          <cell r="I29">
            <v>19</v>
          </cell>
          <cell r="J29" t="str">
            <v>13</v>
          </cell>
          <cell r="K29" t="str">
            <v>15</v>
          </cell>
          <cell r="L29" t="str">
            <v>38</v>
          </cell>
          <cell r="M29" t="str">
            <v>44</v>
          </cell>
          <cell r="N29" t="str">
            <v>08</v>
          </cell>
          <cell r="O29" t="str">
            <v>10</v>
          </cell>
          <cell r="P29" t="str">
            <v>21</v>
          </cell>
          <cell r="Q29" t="str">
            <v>12</v>
          </cell>
          <cell r="R29" t="str">
            <v>06</v>
          </cell>
          <cell r="S29" t="str">
            <v>09</v>
          </cell>
        </row>
        <row r="30">
          <cell r="A30" t="str">
            <v>VIDRO 529X340X4</v>
          </cell>
          <cell r="B30">
            <v>121018</v>
          </cell>
          <cell r="C30">
            <v>181021018</v>
          </cell>
          <cell r="D30" t="str">
            <v>05</v>
          </cell>
          <cell r="E30" t="str">
            <v>26</v>
          </cell>
          <cell r="F30" t="str">
            <v>27</v>
          </cell>
          <cell r="G30">
            <v>25</v>
          </cell>
          <cell r="H30">
            <v>28</v>
          </cell>
          <cell r="I30">
            <v>19</v>
          </cell>
          <cell r="J30" t="str">
            <v>13</v>
          </cell>
          <cell r="K30" t="str">
            <v>15</v>
          </cell>
          <cell r="L30" t="str">
            <v>38</v>
          </cell>
          <cell r="M30" t="str">
            <v>44</v>
          </cell>
          <cell r="N30" t="str">
            <v>08</v>
          </cell>
          <cell r="O30" t="str">
            <v>10</v>
          </cell>
          <cell r="P30" t="str">
            <v>21</v>
          </cell>
          <cell r="Q30" t="str">
            <v>12</v>
          </cell>
          <cell r="R30" t="str">
            <v>06</v>
          </cell>
          <cell r="S30" t="str">
            <v>09</v>
          </cell>
        </row>
        <row r="31">
          <cell r="A31" t="str">
            <v>VIDRO 529X390X4</v>
          </cell>
          <cell r="B31">
            <v>121019</v>
          </cell>
          <cell r="C31">
            <v>181021019</v>
          </cell>
          <cell r="D31" t="str">
            <v>05</v>
          </cell>
          <cell r="E31" t="str">
            <v>26</v>
          </cell>
          <cell r="F31" t="str">
            <v>27</v>
          </cell>
          <cell r="G31">
            <v>25</v>
          </cell>
          <cell r="H31">
            <v>28</v>
          </cell>
          <cell r="I31">
            <v>19</v>
          </cell>
          <cell r="J31" t="str">
            <v>13</v>
          </cell>
          <cell r="K31" t="str">
            <v>15</v>
          </cell>
          <cell r="L31" t="str">
            <v>38</v>
          </cell>
          <cell r="M31" t="str">
            <v>44</v>
          </cell>
          <cell r="N31" t="str">
            <v>08</v>
          </cell>
          <cell r="O31" t="str">
            <v>10</v>
          </cell>
          <cell r="P31" t="str">
            <v>21</v>
          </cell>
          <cell r="Q31" t="str">
            <v>12</v>
          </cell>
          <cell r="R31" t="str">
            <v>06</v>
          </cell>
          <cell r="S31" t="str">
            <v>09</v>
          </cell>
        </row>
        <row r="32">
          <cell r="A32" t="str">
            <v>VIDRO 529X440X4</v>
          </cell>
          <cell r="B32">
            <v>121020</v>
          </cell>
          <cell r="C32">
            <v>181021020</v>
          </cell>
          <cell r="D32" t="str">
            <v>05</v>
          </cell>
          <cell r="E32" t="str">
            <v>26</v>
          </cell>
          <cell r="F32" t="str">
            <v>27</v>
          </cell>
          <cell r="G32">
            <v>25</v>
          </cell>
          <cell r="H32">
            <v>28</v>
          </cell>
          <cell r="I32">
            <v>19</v>
          </cell>
          <cell r="J32" t="str">
            <v>13</v>
          </cell>
          <cell r="K32" t="str">
            <v>15</v>
          </cell>
          <cell r="L32" t="str">
            <v>38</v>
          </cell>
          <cell r="M32" t="str">
            <v>44</v>
          </cell>
          <cell r="N32" t="str">
            <v>08</v>
          </cell>
          <cell r="O32" t="str">
            <v>10</v>
          </cell>
          <cell r="P32" t="str">
            <v>21</v>
          </cell>
          <cell r="Q32" t="str">
            <v>12</v>
          </cell>
          <cell r="R32" t="str">
            <v>06</v>
          </cell>
          <cell r="S32" t="str">
            <v>09</v>
          </cell>
        </row>
        <row r="33">
          <cell r="A33" t="str">
            <v>VIDRO 529X490X4</v>
          </cell>
          <cell r="B33">
            <v>121021</v>
          </cell>
          <cell r="C33">
            <v>181021021</v>
          </cell>
          <cell r="D33" t="str">
            <v>05</v>
          </cell>
          <cell r="E33" t="str">
            <v>26</v>
          </cell>
          <cell r="F33" t="str">
            <v>27</v>
          </cell>
          <cell r="G33">
            <v>25</v>
          </cell>
          <cell r="H33">
            <v>28</v>
          </cell>
          <cell r="I33">
            <v>19</v>
          </cell>
          <cell r="J33" t="str">
            <v>13</v>
          </cell>
          <cell r="K33" t="str">
            <v>15</v>
          </cell>
          <cell r="L33" t="str">
            <v>38</v>
          </cell>
          <cell r="M33" t="str">
            <v>44</v>
          </cell>
          <cell r="N33" t="str">
            <v>08</v>
          </cell>
          <cell r="O33" t="str">
            <v>10</v>
          </cell>
          <cell r="P33" t="str">
            <v>21</v>
          </cell>
          <cell r="Q33" t="str">
            <v>12</v>
          </cell>
          <cell r="R33" t="str">
            <v>06</v>
          </cell>
          <cell r="S33" t="str">
            <v>09</v>
          </cell>
        </row>
        <row r="34">
          <cell r="A34" t="str">
            <v>VIDRO 529X515X4</v>
          </cell>
          <cell r="B34">
            <v>121023</v>
          </cell>
          <cell r="C34">
            <v>181021023</v>
          </cell>
          <cell r="D34" t="str">
            <v>05</v>
          </cell>
          <cell r="E34" t="str">
            <v>26</v>
          </cell>
          <cell r="F34" t="str">
            <v>27</v>
          </cell>
          <cell r="G34">
            <v>25</v>
          </cell>
          <cell r="H34">
            <v>28</v>
          </cell>
          <cell r="I34">
            <v>19</v>
          </cell>
          <cell r="J34" t="str">
            <v>13</v>
          </cell>
          <cell r="K34" t="str">
            <v>15</v>
          </cell>
          <cell r="L34" t="str">
            <v>38</v>
          </cell>
          <cell r="M34" t="str">
            <v>44</v>
          </cell>
          <cell r="N34" t="str">
            <v>08</v>
          </cell>
          <cell r="O34" t="str">
            <v>10</v>
          </cell>
          <cell r="P34" t="str">
            <v>21</v>
          </cell>
          <cell r="Q34" t="str">
            <v>12</v>
          </cell>
          <cell r="R34" t="str">
            <v>06</v>
          </cell>
          <cell r="S34" t="str">
            <v>09</v>
          </cell>
        </row>
        <row r="35">
          <cell r="A35" t="str">
            <v>VIDRO 529X536X4</v>
          </cell>
          <cell r="B35">
            <v>121024</v>
          </cell>
          <cell r="C35">
            <v>181021024</v>
          </cell>
          <cell r="D35" t="str">
            <v>05</v>
          </cell>
          <cell r="E35" t="str">
            <v>26</v>
          </cell>
          <cell r="F35" t="str">
            <v>27</v>
          </cell>
          <cell r="G35">
            <v>25</v>
          </cell>
          <cell r="H35">
            <v>28</v>
          </cell>
          <cell r="I35">
            <v>19</v>
          </cell>
          <cell r="J35" t="str">
            <v>13</v>
          </cell>
          <cell r="K35" t="str">
            <v>15</v>
          </cell>
          <cell r="L35" t="str">
            <v>38</v>
          </cell>
          <cell r="M35" t="str">
            <v>44</v>
          </cell>
          <cell r="N35" t="str">
            <v>08</v>
          </cell>
          <cell r="O35" t="str">
            <v>10</v>
          </cell>
          <cell r="P35" t="str">
            <v>21</v>
          </cell>
          <cell r="Q35" t="str">
            <v>12</v>
          </cell>
          <cell r="R35" t="str">
            <v>06</v>
          </cell>
          <cell r="S35" t="str">
            <v>09</v>
          </cell>
        </row>
        <row r="36">
          <cell r="A36" t="str">
            <v>VIDRO 529X540X4</v>
          </cell>
          <cell r="B36">
            <v>121025</v>
          </cell>
          <cell r="C36">
            <v>181021025</v>
          </cell>
          <cell r="D36" t="str">
            <v>05</v>
          </cell>
          <cell r="E36" t="str">
            <v>26</v>
          </cell>
          <cell r="F36" t="str">
            <v>27</v>
          </cell>
          <cell r="G36">
            <v>25</v>
          </cell>
          <cell r="H36">
            <v>28</v>
          </cell>
          <cell r="I36">
            <v>19</v>
          </cell>
          <cell r="J36" t="str">
            <v>13</v>
          </cell>
          <cell r="K36" t="str">
            <v>15</v>
          </cell>
          <cell r="L36" t="str">
            <v>38</v>
          </cell>
          <cell r="M36" t="str">
            <v>44</v>
          </cell>
          <cell r="N36" t="str">
            <v>08</v>
          </cell>
          <cell r="O36" t="str">
            <v>10</v>
          </cell>
          <cell r="P36" t="str">
            <v>21</v>
          </cell>
          <cell r="Q36" t="str">
            <v>12</v>
          </cell>
          <cell r="R36" t="str">
            <v>06</v>
          </cell>
          <cell r="S36" t="str">
            <v>09</v>
          </cell>
        </row>
        <row r="37">
          <cell r="A37" t="str">
            <v>VIDRO 707X190X4</v>
          </cell>
          <cell r="B37">
            <v>121026</v>
          </cell>
          <cell r="C37">
            <v>181021026</v>
          </cell>
          <cell r="D37" t="str">
            <v>05</v>
          </cell>
          <cell r="E37" t="str">
            <v>26</v>
          </cell>
          <cell r="F37" t="str">
            <v>27</v>
          </cell>
          <cell r="G37">
            <v>25</v>
          </cell>
          <cell r="H37">
            <v>28</v>
          </cell>
          <cell r="I37">
            <v>19</v>
          </cell>
          <cell r="J37" t="str">
            <v>13</v>
          </cell>
          <cell r="K37" t="str">
            <v>15</v>
          </cell>
          <cell r="L37" t="str">
            <v>38</v>
          </cell>
          <cell r="M37" t="str">
            <v>44</v>
          </cell>
          <cell r="N37" t="str">
            <v>08</v>
          </cell>
          <cell r="O37" t="str">
            <v>10</v>
          </cell>
          <cell r="P37" t="str">
            <v>21</v>
          </cell>
          <cell r="Q37" t="str">
            <v>12</v>
          </cell>
          <cell r="R37" t="str">
            <v>06</v>
          </cell>
          <cell r="S37" t="str">
            <v>09</v>
          </cell>
        </row>
        <row r="38">
          <cell r="A38" t="str">
            <v>VIDRO 707X290X4</v>
          </cell>
          <cell r="B38">
            <v>121027</v>
          </cell>
          <cell r="C38">
            <v>181021027</v>
          </cell>
          <cell r="D38" t="str">
            <v>05</v>
          </cell>
          <cell r="E38" t="str">
            <v>26</v>
          </cell>
          <cell r="F38" t="str">
            <v>27</v>
          </cell>
          <cell r="G38">
            <v>25</v>
          </cell>
          <cell r="H38">
            <v>28</v>
          </cell>
          <cell r="I38">
            <v>19</v>
          </cell>
          <cell r="J38" t="str">
            <v>13</v>
          </cell>
          <cell r="K38" t="str">
            <v>15</v>
          </cell>
          <cell r="L38" t="str">
            <v>38</v>
          </cell>
          <cell r="M38" t="str">
            <v>44</v>
          </cell>
          <cell r="N38" t="str">
            <v>08</v>
          </cell>
          <cell r="O38" t="str">
            <v>10</v>
          </cell>
          <cell r="P38" t="str">
            <v>21</v>
          </cell>
          <cell r="Q38" t="str">
            <v>12</v>
          </cell>
          <cell r="R38" t="str">
            <v>06</v>
          </cell>
          <cell r="S38" t="str">
            <v>09</v>
          </cell>
        </row>
        <row r="39">
          <cell r="A39" t="str">
            <v>VIDRO 707X340X4</v>
          </cell>
          <cell r="B39">
            <v>121028</v>
          </cell>
          <cell r="C39">
            <v>181021028</v>
          </cell>
          <cell r="D39" t="str">
            <v>05</v>
          </cell>
          <cell r="E39" t="str">
            <v>26</v>
          </cell>
          <cell r="F39" t="str">
            <v>27</v>
          </cell>
          <cell r="G39">
            <v>25</v>
          </cell>
          <cell r="H39">
            <v>28</v>
          </cell>
          <cell r="I39">
            <v>19</v>
          </cell>
          <cell r="J39" t="str">
            <v>13</v>
          </cell>
          <cell r="K39" t="str">
            <v>15</v>
          </cell>
          <cell r="L39" t="str">
            <v>38</v>
          </cell>
          <cell r="M39" t="str">
            <v>44</v>
          </cell>
          <cell r="N39" t="str">
            <v>08</v>
          </cell>
          <cell r="O39" t="str">
            <v>10</v>
          </cell>
          <cell r="P39" t="str">
            <v>21</v>
          </cell>
          <cell r="Q39" t="str">
            <v>12</v>
          </cell>
          <cell r="R39" t="str">
            <v>06</v>
          </cell>
          <cell r="S39" t="str">
            <v>09</v>
          </cell>
        </row>
        <row r="40">
          <cell r="A40" t="str">
            <v>VIDRO 707X390X4</v>
          </cell>
          <cell r="B40">
            <v>121029</v>
          </cell>
          <cell r="C40">
            <v>181021029</v>
          </cell>
          <cell r="D40" t="str">
            <v>05</v>
          </cell>
          <cell r="E40" t="str">
            <v>26</v>
          </cell>
          <cell r="F40" t="str">
            <v>27</v>
          </cell>
          <cell r="G40">
            <v>25</v>
          </cell>
          <cell r="H40">
            <v>28</v>
          </cell>
          <cell r="I40">
            <v>19</v>
          </cell>
          <cell r="J40" t="str">
            <v>13</v>
          </cell>
          <cell r="K40" t="str">
            <v>15</v>
          </cell>
          <cell r="L40" t="str">
            <v>38</v>
          </cell>
          <cell r="M40" t="str">
            <v>44</v>
          </cell>
          <cell r="N40" t="str">
            <v>08</v>
          </cell>
          <cell r="O40" t="str">
            <v>10</v>
          </cell>
          <cell r="P40" t="str">
            <v>21</v>
          </cell>
          <cell r="Q40" t="str">
            <v>12</v>
          </cell>
          <cell r="R40" t="str">
            <v>06</v>
          </cell>
          <cell r="S40" t="str">
            <v>09</v>
          </cell>
        </row>
        <row r="41">
          <cell r="A41" t="str">
            <v>VIDRO 707X440X4</v>
          </cell>
          <cell r="B41">
            <v>121030</v>
          </cell>
          <cell r="C41">
            <v>181021030</v>
          </cell>
          <cell r="D41" t="str">
            <v>05</v>
          </cell>
          <cell r="E41" t="str">
            <v>26</v>
          </cell>
          <cell r="F41" t="str">
            <v>27</v>
          </cell>
          <cell r="G41">
            <v>25</v>
          </cell>
          <cell r="H41">
            <v>28</v>
          </cell>
          <cell r="I41">
            <v>19</v>
          </cell>
          <cell r="J41" t="str">
            <v>13</v>
          </cell>
          <cell r="K41" t="str">
            <v>15</v>
          </cell>
          <cell r="L41" t="str">
            <v>38</v>
          </cell>
          <cell r="M41" t="str">
            <v>44</v>
          </cell>
          <cell r="N41" t="str">
            <v>08</v>
          </cell>
          <cell r="O41" t="str">
            <v>10</v>
          </cell>
          <cell r="P41" t="str">
            <v>21</v>
          </cell>
          <cell r="Q41" t="str">
            <v>12</v>
          </cell>
          <cell r="R41" t="str">
            <v>06</v>
          </cell>
          <cell r="S41" t="str">
            <v>09</v>
          </cell>
        </row>
        <row r="42">
          <cell r="A42" t="str">
            <v>VIDRO 707X476X4</v>
          </cell>
          <cell r="B42">
            <v>121031</v>
          </cell>
          <cell r="C42">
            <v>181021031</v>
          </cell>
          <cell r="D42" t="str">
            <v>05</v>
          </cell>
          <cell r="E42" t="str">
            <v>26</v>
          </cell>
          <cell r="F42" t="str">
            <v>27</v>
          </cell>
          <cell r="G42">
            <v>25</v>
          </cell>
          <cell r="H42">
            <v>28</v>
          </cell>
          <cell r="I42">
            <v>19</v>
          </cell>
          <cell r="J42" t="str">
            <v>13</v>
          </cell>
          <cell r="K42" t="str">
            <v>15</v>
          </cell>
          <cell r="L42" t="str">
            <v>38</v>
          </cell>
          <cell r="M42" t="str">
            <v>44</v>
          </cell>
          <cell r="N42" t="str">
            <v>08</v>
          </cell>
          <cell r="O42" t="str">
            <v>10</v>
          </cell>
          <cell r="P42" t="str">
            <v>21</v>
          </cell>
          <cell r="Q42" t="str">
            <v>12</v>
          </cell>
          <cell r="R42" t="str">
            <v>06</v>
          </cell>
          <cell r="S42" t="str">
            <v>09</v>
          </cell>
        </row>
        <row r="43">
          <cell r="A43" t="str">
            <v>VIDRO 707X496X4</v>
          </cell>
          <cell r="B43">
            <v>121032</v>
          </cell>
          <cell r="C43">
            <v>181021032</v>
          </cell>
          <cell r="D43" t="str">
            <v>05</v>
          </cell>
          <cell r="E43" t="str">
            <v>26</v>
          </cell>
          <cell r="F43" t="str">
            <v>27</v>
          </cell>
          <cell r="G43">
            <v>25</v>
          </cell>
          <cell r="H43">
            <v>28</v>
          </cell>
          <cell r="I43">
            <v>19</v>
          </cell>
          <cell r="J43" t="str">
            <v>13</v>
          </cell>
          <cell r="K43" t="str">
            <v>15</v>
          </cell>
          <cell r="L43" t="str">
            <v>38</v>
          </cell>
          <cell r="M43" t="str">
            <v>44</v>
          </cell>
          <cell r="N43" t="str">
            <v>08</v>
          </cell>
          <cell r="O43" t="str">
            <v>10</v>
          </cell>
          <cell r="P43" t="str">
            <v>21</v>
          </cell>
          <cell r="Q43" t="str">
            <v>12</v>
          </cell>
          <cell r="R43" t="str">
            <v>06</v>
          </cell>
          <cell r="S43" t="str">
            <v>09</v>
          </cell>
        </row>
        <row r="44">
          <cell r="A44" t="str">
            <v>VIDRO 707X490X4</v>
          </cell>
          <cell r="B44">
            <v>121033</v>
          </cell>
          <cell r="C44">
            <v>181021033</v>
          </cell>
          <cell r="D44" t="str">
            <v>05</v>
          </cell>
          <cell r="E44" t="str">
            <v>26</v>
          </cell>
          <cell r="F44" t="str">
            <v>27</v>
          </cell>
          <cell r="G44">
            <v>25</v>
          </cell>
          <cell r="H44">
            <v>28</v>
          </cell>
          <cell r="I44">
            <v>19</v>
          </cell>
          <cell r="J44" t="str">
            <v>13</v>
          </cell>
          <cell r="K44" t="str">
            <v>15</v>
          </cell>
          <cell r="L44" t="str">
            <v>38</v>
          </cell>
          <cell r="M44" t="str">
            <v>44</v>
          </cell>
          <cell r="N44" t="str">
            <v>08</v>
          </cell>
          <cell r="O44" t="str">
            <v>10</v>
          </cell>
          <cell r="P44" t="str">
            <v>21</v>
          </cell>
          <cell r="Q44" t="str">
            <v>12</v>
          </cell>
          <cell r="R44" t="str">
            <v>06</v>
          </cell>
          <cell r="S44" t="str">
            <v>09</v>
          </cell>
        </row>
        <row r="45">
          <cell r="A45" t="str">
            <v>VIDRO 707X515X4</v>
          </cell>
          <cell r="B45">
            <v>121035</v>
          </cell>
          <cell r="C45">
            <v>181021035</v>
          </cell>
          <cell r="D45" t="str">
            <v>05</v>
          </cell>
          <cell r="E45" t="str">
            <v>26</v>
          </cell>
          <cell r="F45" t="str">
            <v>27</v>
          </cell>
          <cell r="G45">
            <v>25</v>
          </cell>
          <cell r="H45">
            <v>28</v>
          </cell>
          <cell r="I45">
            <v>19</v>
          </cell>
          <cell r="J45" t="str">
            <v>13</v>
          </cell>
          <cell r="K45" t="str">
            <v>15</v>
          </cell>
          <cell r="L45" t="str">
            <v>38</v>
          </cell>
          <cell r="M45" t="str">
            <v>44</v>
          </cell>
          <cell r="N45" t="str">
            <v>08</v>
          </cell>
          <cell r="O45" t="str">
            <v>10</v>
          </cell>
          <cell r="P45" t="str">
            <v>21</v>
          </cell>
          <cell r="Q45" t="str">
            <v>12</v>
          </cell>
          <cell r="R45" t="str">
            <v>06</v>
          </cell>
          <cell r="S45" t="str">
            <v>09</v>
          </cell>
        </row>
        <row r="46">
          <cell r="A46" t="str">
            <v>VIDRO 707X536X4</v>
          </cell>
          <cell r="B46">
            <v>121036</v>
          </cell>
          <cell r="C46">
            <v>181021036</v>
          </cell>
          <cell r="D46" t="str">
            <v>05</v>
          </cell>
          <cell r="E46" t="str">
            <v>26</v>
          </cell>
          <cell r="F46" t="str">
            <v>27</v>
          </cell>
          <cell r="G46">
            <v>25</v>
          </cell>
          <cell r="H46">
            <v>28</v>
          </cell>
          <cell r="I46">
            <v>19</v>
          </cell>
          <cell r="J46" t="str">
            <v>13</v>
          </cell>
          <cell r="K46" t="str">
            <v>15</v>
          </cell>
          <cell r="L46" t="str">
            <v>38</v>
          </cell>
          <cell r="M46" t="str">
            <v>44</v>
          </cell>
          <cell r="N46" t="str">
            <v>08</v>
          </cell>
          <cell r="O46" t="str">
            <v>10</v>
          </cell>
          <cell r="P46" t="str">
            <v>21</v>
          </cell>
          <cell r="Q46" t="str">
            <v>12</v>
          </cell>
          <cell r="R46" t="str">
            <v>06</v>
          </cell>
          <cell r="S46" t="str">
            <v>09</v>
          </cell>
        </row>
        <row r="47">
          <cell r="A47" t="str">
            <v>VIDRO 707X540X4</v>
          </cell>
          <cell r="B47">
            <v>121037</v>
          </cell>
          <cell r="C47">
            <v>181021037</v>
          </cell>
          <cell r="D47" t="str">
            <v>05</v>
          </cell>
          <cell r="E47" t="str">
            <v>26</v>
          </cell>
          <cell r="F47" t="str">
            <v>27</v>
          </cell>
          <cell r="G47">
            <v>25</v>
          </cell>
          <cell r="H47">
            <v>28</v>
          </cell>
          <cell r="I47">
            <v>19</v>
          </cell>
          <cell r="J47" t="str">
            <v>13</v>
          </cell>
          <cell r="K47" t="str">
            <v>15</v>
          </cell>
          <cell r="L47" t="str">
            <v>38</v>
          </cell>
          <cell r="M47" t="str">
            <v>44</v>
          </cell>
          <cell r="N47" t="str">
            <v>08</v>
          </cell>
          <cell r="O47" t="str">
            <v>10</v>
          </cell>
          <cell r="P47" t="str">
            <v>21</v>
          </cell>
          <cell r="Q47" t="str">
            <v>12</v>
          </cell>
          <cell r="R47" t="str">
            <v>06</v>
          </cell>
          <cell r="S47" t="str">
            <v>09</v>
          </cell>
        </row>
        <row r="48">
          <cell r="A48" t="str">
            <v>VIDRO 707X590X4</v>
          </cell>
          <cell r="B48">
            <v>121038</v>
          </cell>
          <cell r="C48">
            <v>181021038</v>
          </cell>
          <cell r="D48" t="str">
            <v>05</v>
          </cell>
          <cell r="E48" t="str">
            <v>26</v>
          </cell>
          <cell r="F48" t="str">
            <v>27</v>
          </cell>
          <cell r="G48">
            <v>25</v>
          </cell>
          <cell r="H48">
            <v>28</v>
          </cell>
          <cell r="I48">
            <v>19</v>
          </cell>
          <cell r="J48" t="str">
            <v>13</v>
          </cell>
          <cell r="K48" t="str">
            <v>15</v>
          </cell>
          <cell r="L48" t="str">
            <v>38</v>
          </cell>
          <cell r="M48" t="str">
            <v>44</v>
          </cell>
          <cell r="N48" t="str">
            <v>08</v>
          </cell>
          <cell r="O48" t="str">
            <v>10</v>
          </cell>
          <cell r="P48" t="str">
            <v>21</v>
          </cell>
          <cell r="Q48" t="str">
            <v>12</v>
          </cell>
          <cell r="R48" t="str">
            <v>06</v>
          </cell>
          <cell r="S48" t="str">
            <v>09</v>
          </cell>
        </row>
        <row r="49">
          <cell r="A49" t="str">
            <v>VIDRO 707X690X4</v>
          </cell>
          <cell r="B49">
            <v>124205</v>
          </cell>
          <cell r="C49">
            <v>181024205</v>
          </cell>
          <cell r="D49" t="str">
            <v>05</v>
          </cell>
          <cell r="E49" t="str">
            <v>26</v>
          </cell>
          <cell r="F49" t="str">
            <v>27</v>
          </cell>
          <cell r="G49">
            <v>25</v>
          </cell>
          <cell r="H49">
            <v>28</v>
          </cell>
          <cell r="I49">
            <v>19</v>
          </cell>
          <cell r="J49" t="str">
            <v>13</v>
          </cell>
          <cell r="K49" t="str">
            <v>15</v>
          </cell>
          <cell r="L49" t="str">
            <v>38</v>
          </cell>
          <cell r="M49" t="str">
            <v>44</v>
          </cell>
          <cell r="N49" t="str">
            <v>08</v>
          </cell>
          <cell r="O49" t="str">
            <v>10</v>
          </cell>
          <cell r="P49" t="str">
            <v>21</v>
          </cell>
          <cell r="Q49" t="str">
            <v>12</v>
          </cell>
          <cell r="R49" t="str">
            <v>06</v>
          </cell>
          <cell r="S49" t="str">
            <v>09</v>
          </cell>
        </row>
        <row r="50">
          <cell r="A50" t="str">
            <v>VIDRO 707X790X4</v>
          </cell>
          <cell r="B50">
            <v>124206</v>
          </cell>
          <cell r="C50">
            <v>181024206</v>
          </cell>
          <cell r="D50" t="str">
            <v>05</v>
          </cell>
          <cell r="E50" t="str">
            <v>26</v>
          </cell>
          <cell r="F50" t="str">
            <v>27</v>
          </cell>
          <cell r="G50">
            <v>25</v>
          </cell>
          <cell r="H50">
            <v>28</v>
          </cell>
          <cell r="I50">
            <v>19</v>
          </cell>
          <cell r="J50" t="str">
            <v>13</v>
          </cell>
          <cell r="K50" t="str">
            <v>15</v>
          </cell>
          <cell r="L50" t="str">
            <v>38</v>
          </cell>
          <cell r="M50" t="str">
            <v>44</v>
          </cell>
          <cell r="N50" t="str">
            <v>08</v>
          </cell>
          <cell r="O50" t="str">
            <v>10</v>
          </cell>
          <cell r="P50" t="str">
            <v>21</v>
          </cell>
          <cell r="Q50" t="str">
            <v>12</v>
          </cell>
          <cell r="R50" t="str">
            <v>06</v>
          </cell>
          <cell r="S50" t="str">
            <v>09</v>
          </cell>
        </row>
        <row r="51">
          <cell r="A51" t="str">
            <v>VIDRO 707X890X4</v>
          </cell>
          <cell r="B51">
            <v>124207</v>
          </cell>
          <cell r="C51">
            <v>181024207</v>
          </cell>
          <cell r="D51" t="str">
            <v>05</v>
          </cell>
          <cell r="E51" t="str">
            <v>26</v>
          </cell>
          <cell r="F51" t="str">
            <v>27</v>
          </cell>
          <cell r="G51">
            <v>25</v>
          </cell>
          <cell r="H51">
            <v>28</v>
          </cell>
          <cell r="I51">
            <v>19</v>
          </cell>
          <cell r="J51" t="str">
            <v>13</v>
          </cell>
          <cell r="K51" t="str">
            <v>15</v>
          </cell>
          <cell r="L51" t="str">
            <v>38</v>
          </cell>
          <cell r="M51" t="str">
            <v>44</v>
          </cell>
          <cell r="N51" t="str">
            <v>08</v>
          </cell>
          <cell r="O51" t="str">
            <v>10</v>
          </cell>
          <cell r="P51" t="str">
            <v>21</v>
          </cell>
          <cell r="Q51" t="str">
            <v>12</v>
          </cell>
          <cell r="R51" t="str">
            <v>06</v>
          </cell>
          <cell r="S51" t="str">
            <v>09</v>
          </cell>
        </row>
        <row r="52">
          <cell r="A52" t="str">
            <v>VIDRO 707X990X4</v>
          </cell>
          <cell r="B52">
            <v>124208</v>
          </cell>
          <cell r="C52">
            <v>181024208</v>
          </cell>
          <cell r="D52" t="str">
            <v>05</v>
          </cell>
          <cell r="E52" t="str">
            <v>26</v>
          </cell>
          <cell r="F52" t="str">
            <v>27</v>
          </cell>
          <cell r="G52">
            <v>25</v>
          </cell>
          <cell r="H52">
            <v>28</v>
          </cell>
          <cell r="I52">
            <v>19</v>
          </cell>
          <cell r="J52" t="str">
            <v>13</v>
          </cell>
          <cell r="K52" t="str">
            <v>15</v>
          </cell>
          <cell r="L52" t="str">
            <v>38</v>
          </cell>
          <cell r="M52" t="str">
            <v>44</v>
          </cell>
          <cell r="N52" t="str">
            <v>08</v>
          </cell>
          <cell r="O52" t="str">
            <v>10</v>
          </cell>
          <cell r="P52" t="str">
            <v>21</v>
          </cell>
          <cell r="Q52" t="str">
            <v>12</v>
          </cell>
          <cell r="R52" t="str">
            <v>06</v>
          </cell>
          <cell r="S52" t="str">
            <v>09</v>
          </cell>
        </row>
        <row r="53">
          <cell r="A53" t="str">
            <v>VIDRO 889X290X4</v>
          </cell>
          <cell r="B53">
            <v>121039</v>
          </cell>
          <cell r="C53">
            <v>181021039</v>
          </cell>
          <cell r="D53" t="str">
            <v>05</v>
          </cell>
          <cell r="E53" t="str">
            <v>26</v>
          </cell>
          <cell r="F53" t="str">
            <v>27</v>
          </cell>
          <cell r="G53">
            <v>25</v>
          </cell>
          <cell r="H53">
            <v>28</v>
          </cell>
          <cell r="I53">
            <v>19</v>
          </cell>
          <cell r="J53" t="str">
            <v>13</v>
          </cell>
          <cell r="K53" t="str">
            <v>15</v>
          </cell>
          <cell r="L53" t="str">
            <v>38</v>
          </cell>
          <cell r="M53" t="str">
            <v>44</v>
          </cell>
          <cell r="N53" t="str">
            <v>08</v>
          </cell>
          <cell r="O53" t="str">
            <v>10</v>
          </cell>
          <cell r="P53" t="str">
            <v>21</v>
          </cell>
          <cell r="Q53" t="str">
            <v>12</v>
          </cell>
          <cell r="R53" t="str">
            <v>06</v>
          </cell>
          <cell r="S53" t="str">
            <v>09</v>
          </cell>
        </row>
        <row r="54">
          <cell r="A54" t="str">
            <v>VIDRO 889X340X4</v>
          </cell>
          <cell r="B54">
            <v>121040</v>
          </cell>
          <cell r="C54">
            <v>181021040</v>
          </cell>
          <cell r="D54" t="str">
            <v>05</v>
          </cell>
          <cell r="E54" t="str">
            <v>26</v>
          </cell>
          <cell r="F54" t="str">
            <v>27</v>
          </cell>
          <cell r="G54">
            <v>25</v>
          </cell>
          <cell r="H54">
            <v>28</v>
          </cell>
          <cell r="I54">
            <v>19</v>
          </cell>
          <cell r="J54" t="str">
            <v>13</v>
          </cell>
          <cell r="K54" t="str">
            <v>15</v>
          </cell>
          <cell r="L54" t="str">
            <v>38</v>
          </cell>
          <cell r="M54" t="str">
            <v>44</v>
          </cell>
          <cell r="N54" t="str">
            <v>08</v>
          </cell>
          <cell r="O54" t="str">
            <v>10</v>
          </cell>
          <cell r="P54" t="str">
            <v>21</v>
          </cell>
          <cell r="Q54" t="str">
            <v>12</v>
          </cell>
          <cell r="R54" t="str">
            <v>06</v>
          </cell>
          <cell r="S54" t="str">
            <v>09</v>
          </cell>
        </row>
        <row r="55">
          <cell r="A55" t="str">
            <v>VIDRO 889X390X4</v>
          </cell>
          <cell r="B55">
            <v>121041</v>
          </cell>
          <cell r="C55">
            <v>181021041</v>
          </cell>
          <cell r="D55" t="str">
            <v>05</v>
          </cell>
          <cell r="E55" t="str">
            <v>26</v>
          </cell>
          <cell r="F55" t="str">
            <v>27</v>
          </cell>
          <cell r="G55">
            <v>25</v>
          </cell>
          <cell r="H55">
            <v>28</v>
          </cell>
          <cell r="I55">
            <v>19</v>
          </cell>
          <cell r="J55" t="str">
            <v>13</v>
          </cell>
          <cell r="K55" t="str">
            <v>15</v>
          </cell>
          <cell r="L55" t="str">
            <v>38</v>
          </cell>
          <cell r="M55" t="str">
            <v>44</v>
          </cell>
          <cell r="N55" t="str">
            <v>08</v>
          </cell>
          <cell r="O55" t="str">
            <v>10</v>
          </cell>
          <cell r="P55" t="str">
            <v>21</v>
          </cell>
          <cell r="Q55" t="str">
            <v>12</v>
          </cell>
          <cell r="R55" t="str">
            <v>06</v>
          </cell>
          <cell r="S55" t="str">
            <v>09</v>
          </cell>
        </row>
        <row r="56">
          <cell r="A56" t="str">
            <v>VIDRO 889X440X4</v>
          </cell>
          <cell r="B56">
            <v>121042</v>
          </cell>
          <cell r="C56">
            <v>181021042</v>
          </cell>
          <cell r="D56" t="str">
            <v>05</v>
          </cell>
          <cell r="E56" t="str">
            <v>26</v>
          </cell>
          <cell r="F56" t="str">
            <v>27</v>
          </cell>
          <cell r="G56">
            <v>25</v>
          </cell>
          <cell r="H56">
            <v>28</v>
          </cell>
          <cell r="I56">
            <v>19</v>
          </cell>
          <cell r="J56" t="str">
            <v>13</v>
          </cell>
          <cell r="K56" t="str">
            <v>15</v>
          </cell>
          <cell r="L56" t="str">
            <v>38</v>
          </cell>
          <cell r="M56" t="str">
            <v>44</v>
          </cell>
          <cell r="N56" t="str">
            <v>08</v>
          </cell>
          <cell r="O56" t="str">
            <v>10</v>
          </cell>
          <cell r="P56" t="str">
            <v>21</v>
          </cell>
          <cell r="Q56" t="str">
            <v>12</v>
          </cell>
          <cell r="R56" t="str">
            <v>06</v>
          </cell>
          <cell r="S56" t="str">
            <v>09</v>
          </cell>
        </row>
        <row r="57">
          <cell r="A57" t="str">
            <v>VIDRO 889X490X4</v>
          </cell>
          <cell r="B57">
            <v>121043</v>
          </cell>
          <cell r="C57">
            <v>181021043</v>
          </cell>
          <cell r="D57" t="str">
            <v>05</v>
          </cell>
          <cell r="E57" t="str">
            <v>26</v>
          </cell>
          <cell r="F57" t="str">
            <v>27</v>
          </cell>
          <cell r="G57">
            <v>25</v>
          </cell>
          <cell r="H57">
            <v>28</v>
          </cell>
          <cell r="I57">
            <v>19</v>
          </cell>
          <cell r="J57" t="str">
            <v>13</v>
          </cell>
          <cell r="K57" t="str">
            <v>15</v>
          </cell>
          <cell r="L57" t="str">
            <v>38</v>
          </cell>
          <cell r="M57" t="str">
            <v>44</v>
          </cell>
          <cell r="N57" t="str">
            <v>08</v>
          </cell>
          <cell r="O57" t="str">
            <v>10</v>
          </cell>
          <cell r="P57" t="str">
            <v>21</v>
          </cell>
          <cell r="Q57" t="str">
            <v>12</v>
          </cell>
          <cell r="R57" t="str">
            <v>06</v>
          </cell>
          <cell r="S57" t="str">
            <v>09</v>
          </cell>
        </row>
        <row r="58">
          <cell r="A58" t="str">
            <v>VIDRO 889X515X4</v>
          </cell>
          <cell r="B58">
            <v>121045</v>
          </cell>
          <cell r="C58">
            <v>181021045</v>
          </cell>
          <cell r="D58" t="str">
            <v>05</v>
          </cell>
          <cell r="E58" t="str">
            <v>26</v>
          </cell>
          <cell r="F58" t="str">
            <v>27</v>
          </cell>
          <cell r="G58">
            <v>25</v>
          </cell>
          <cell r="H58">
            <v>28</v>
          </cell>
          <cell r="I58">
            <v>19</v>
          </cell>
          <cell r="J58" t="str">
            <v>13</v>
          </cell>
          <cell r="K58" t="str">
            <v>15</v>
          </cell>
          <cell r="L58" t="str">
            <v>38</v>
          </cell>
          <cell r="M58" t="str">
            <v>44</v>
          </cell>
          <cell r="N58" t="str">
            <v>08</v>
          </cell>
          <cell r="O58" t="str">
            <v>10</v>
          </cell>
          <cell r="P58" t="str">
            <v>21</v>
          </cell>
          <cell r="Q58" t="str">
            <v>12</v>
          </cell>
          <cell r="R58" t="str">
            <v>06</v>
          </cell>
          <cell r="S58" t="str">
            <v>09</v>
          </cell>
        </row>
        <row r="59">
          <cell r="A59" t="str">
            <v>VIDRO 889X536X4</v>
          </cell>
          <cell r="B59">
            <v>121046</v>
          </cell>
          <cell r="C59">
            <v>181021046</v>
          </cell>
          <cell r="D59" t="str">
            <v>05</v>
          </cell>
          <cell r="E59" t="str">
            <v>26</v>
          </cell>
          <cell r="F59" t="str">
            <v>27</v>
          </cell>
          <cell r="G59">
            <v>25</v>
          </cell>
          <cell r="H59">
            <v>28</v>
          </cell>
          <cell r="I59">
            <v>19</v>
          </cell>
          <cell r="J59" t="str">
            <v>13</v>
          </cell>
          <cell r="K59" t="str">
            <v>15</v>
          </cell>
          <cell r="L59" t="str">
            <v>38</v>
          </cell>
          <cell r="M59" t="str">
            <v>44</v>
          </cell>
          <cell r="N59" t="str">
            <v>08</v>
          </cell>
          <cell r="O59" t="str">
            <v>10</v>
          </cell>
          <cell r="P59" t="str">
            <v>21</v>
          </cell>
          <cell r="Q59" t="str">
            <v>12</v>
          </cell>
          <cell r="R59" t="str">
            <v>06</v>
          </cell>
          <cell r="S59" t="str">
            <v>09</v>
          </cell>
        </row>
        <row r="60">
          <cell r="A60" t="str">
            <v>VIDRO 889X540X4</v>
          </cell>
          <cell r="B60">
            <v>121047</v>
          </cell>
          <cell r="C60">
            <v>181021047</v>
          </cell>
          <cell r="D60" t="str">
            <v>05</v>
          </cell>
          <cell r="E60" t="str">
            <v>26</v>
          </cell>
          <cell r="F60" t="str">
            <v>27</v>
          </cell>
          <cell r="G60">
            <v>25</v>
          </cell>
          <cell r="H60">
            <v>28</v>
          </cell>
          <cell r="I60">
            <v>19</v>
          </cell>
          <cell r="J60" t="str">
            <v>13</v>
          </cell>
          <cell r="K60" t="str">
            <v>15</v>
          </cell>
          <cell r="L60" t="str">
            <v>38</v>
          </cell>
          <cell r="M60" t="str">
            <v>44</v>
          </cell>
          <cell r="N60" t="str">
            <v>08</v>
          </cell>
          <cell r="O60" t="str">
            <v>10</v>
          </cell>
          <cell r="P60" t="str">
            <v>21</v>
          </cell>
          <cell r="Q60" t="str">
            <v>12</v>
          </cell>
          <cell r="R60" t="str">
            <v>06</v>
          </cell>
          <cell r="S60" t="str">
            <v>09</v>
          </cell>
        </row>
        <row r="61">
          <cell r="A61" t="str">
            <v>VIDRO 889X590X4</v>
          </cell>
          <cell r="B61">
            <v>121048</v>
          </cell>
          <cell r="C61">
            <v>181021048</v>
          </cell>
          <cell r="D61" t="str">
            <v>05</v>
          </cell>
          <cell r="E61" t="str">
            <v>26</v>
          </cell>
          <cell r="F61" t="str">
            <v>27</v>
          </cell>
          <cell r="G61">
            <v>25</v>
          </cell>
          <cell r="H61">
            <v>28</v>
          </cell>
          <cell r="I61">
            <v>19</v>
          </cell>
          <cell r="J61" t="str">
            <v>13</v>
          </cell>
          <cell r="K61" t="str">
            <v>15</v>
          </cell>
          <cell r="L61" t="str">
            <v>38</v>
          </cell>
          <cell r="M61" t="str">
            <v>44</v>
          </cell>
          <cell r="N61" t="str">
            <v>08</v>
          </cell>
          <cell r="O61" t="str">
            <v>10</v>
          </cell>
          <cell r="P61" t="str">
            <v>21</v>
          </cell>
          <cell r="Q61" t="str">
            <v>12</v>
          </cell>
          <cell r="R61" t="str">
            <v>06</v>
          </cell>
          <cell r="S61" t="str">
            <v>09</v>
          </cell>
        </row>
        <row r="62">
          <cell r="A62" t="str">
            <v>VIDRO 1069X290X4</v>
          </cell>
          <cell r="B62">
            <v>121049</v>
          </cell>
          <cell r="C62">
            <v>181021049</v>
          </cell>
          <cell r="D62" t="str">
            <v>05</v>
          </cell>
          <cell r="E62" t="str">
            <v>26</v>
          </cell>
          <cell r="F62" t="str">
            <v>27</v>
          </cell>
          <cell r="G62">
            <v>25</v>
          </cell>
          <cell r="H62">
            <v>28</v>
          </cell>
          <cell r="I62">
            <v>19</v>
          </cell>
          <cell r="J62" t="str">
            <v>13</v>
          </cell>
          <cell r="K62" t="str">
            <v>15</v>
          </cell>
          <cell r="L62" t="str">
            <v>38</v>
          </cell>
          <cell r="M62" t="str">
            <v>44</v>
          </cell>
          <cell r="N62" t="str">
            <v>08</v>
          </cell>
          <cell r="O62" t="str">
            <v>10</v>
          </cell>
          <cell r="P62" t="str">
            <v>21</v>
          </cell>
          <cell r="Q62" t="str">
            <v>12</v>
          </cell>
          <cell r="R62" t="str">
            <v>06</v>
          </cell>
          <cell r="S62" t="str">
            <v>09</v>
          </cell>
        </row>
        <row r="63">
          <cell r="A63" t="str">
            <v>VIDRO 1069X340X4</v>
          </cell>
          <cell r="B63">
            <v>121050</v>
          </cell>
          <cell r="C63">
            <v>181021050</v>
          </cell>
          <cell r="D63" t="str">
            <v>05</v>
          </cell>
          <cell r="E63" t="str">
            <v>26</v>
          </cell>
          <cell r="F63" t="str">
            <v>27</v>
          </cell>
          <cell r="G63">
            <v>25</v>
          </cell>
          <cell r="H63">
            <v>28</v>
          </cell>
          <cell r="I63">
            <v>19</v>
          </cell>
          <cell r="J63" t="str">
            <v>13</v>
          </cell>
          <cell r="K63" t="str">
            <v>15</v>
          </cell>
          <cell r="L63" t="str">
            <v>38</v>
          </cell>
          <cell r="M63" t="str">
            <v>44</v>
          </cell>
          <cell r="N63" t="str">
            <v>08</v>
          </cell>
          <cell r="O63" t="str">
            <v>10</v>
          </cell>
          <cell r="P63" t="str">
            <v>21</v>
          </cell>
          <cell r="Q63" t="str">
            <v>12</v>
          </cell>
          <cell r="R63" t="str">
            <v>06</v>
          </cell>
          <cell r="S63" t="str">
            <v>09</v>
          </cell>
        </row>
        <row r="64">
          <cell r="A64" t="str">
            <v>VIDRO 1069X390X4</v>
          </cell>
          <cell r="B64">
            <v>121051</v>
          </cell>
          <cell r="C64">
            <v>181021051</v>
          </cell>
          <cell r="D64" t="str">
            <v>05</v>
          </cell>
          <cell r="E64" t="str">
            <v>26</v>
          </cell>
          <cell r="F64" t="str">
            <v>27</v>
          </cell>
          <cell r="G64">
            <v>25</v>
          </cell>
          <cell r="H64">
            <v>28</v>
          </cell>
          <cell r="I64">
            <v>19</v>
          </cell>
          <cell r="J64" t="str">
            <v>13</v>
          </cell>
          <cell r="K64" t="str">
            <v>15</v>
          </cell>
          <cell r="L64" t="str">
            <v>38</v>
          </cell>
          <cell r="M64" t="str">
            <v>44</v>
          </cell>
          <cell r="N64" t="str">
            <v>08</v>
          </cell>
          <cell r="O64" t="str">
            <v>10</v>
          </cell>
          <cell r="P64" t="str">
            <v>21</v>
          </cell>
          <cell r="Q64" t="str">
            <v>12</v>
          </cell>
          <cell r="R64" t="str">
            <v>06</v>
          </cell>
          <cell r="S64" t="str">
            <v>09</v>
          </cell>
        </row>
        <row r="65">
          <cell r="A65" t="str">
            <v>VIDRO 1069X440X4</v>
          </cell>
          <cell r="B65">
            <v>121052</v>
          </cell>
          <cell r="C65">
            <v>181021052</v>
          </cell>
          <cell r="D65" t="str">
            <v>05</v>
          </cell>
          <cell r="E65" t="str">
            <v>26</v>
          </cell>
          <cell r="F65" t="str">
            <v>27</v>
          </cell>
          <cell r="G65">
            <v>25</v>
          </cell>
          <cell r="H65">
            <v>28</v>
          </cell>
          <cell r="I65">
            <v>19</v>
          </cell>
          <cell r="J65" t="str">
            <v>13</v>
          </cell>
          <cell r="K65" t="str">
            <v>15</v>
          </cell>
          <cell r="L65" t="str">
            <v>38</v>
          </cell>
          <cell r="M65" t="str">
            <v>44</v>
          </cell>
          <cell r="N65" t="str">
            <v>08</v>
          </cell>
          <cell r="O65" t="str">
            <v>10</v>
          </cell>
          <cell r="P65" t="str">
            <v>21</v>
          </cell>
          <cell r="Q65" t="str">
            <v>12</v>
          </cell>
          <cell r="R65" t="str">
            <v>06</v>
          </cell>
          <cell r="S65" t="str">
            <v>09</v>
          </cell>
        </row>
        <row r="66">
          <cell r="A66" t="str">
            <v>VIDRO 1069X490X4</v>
          </cell>
          <cell r="B66">
            <v>121053</v>
          </cell>
          <cell r="C66">
            <v>181021053</v>
          </cell>
          <cell r="D66" t="str">
            <v>05</v>
          </cell>
          <cell r="E66" t="str">
            <v>26</v>
          </cell>
          <cell r="F66" t="str">
            <v>27</v>
          </cell>
          <cell r="G66">
            <v>25</v>
          </cell>
          <cell r="H66">
            <v>28</v>
          </cell>
          <cell r="I66">
            <v>19</v>
          </cell>
          <cell r="J66" t="str">
            <v>13</v>
          </cell>
          <cell r="K66" t="str">
            <v>15</v>
          </cell>
          <cell r="L66" t="str">
            <v>38</v>
          </cell>
          <cell r="M66" t="str">
            <v>44</v>
          </cell>
          <cell r="N66" t="str">
            <v>08</v>
          </cell>
          <cell r="O66" t="str">
            <v>10</v>
          </cell>
          <cell r="P66" t="str">
            <v>21</v>
          </cell>
          <cell r="Q66" t="str">
            <v>12</v>
          </cell>
          <cell r="R66" t="str">
            <v>06</v>
          </cell>
          <cell r="S66" t="str">
            <v>09</v>
          </cell>
        </row>
        <row r="67">
          <cell r="A67" t="str">
            <v>VIDRO 1069X515X4</v>
          </cell>
          <cell r="B67">
            <v>121055</v>
          </cell>
          <cell r="C67">
            <v>181021055</v>
          </cell>
          <cell r="D67" t="str">
            <v>05</v>
          </cell>
          <cell r="E67" t="str">
            <v>26</v>
          </cell>
          <cell r="F67" t="str">
            <v>27</v>
          </cell>
          <cell r="G67">
            <v>25</v>
          </cell>
          <cell r="H67">
            <v>28</v>
          </cell>
          <cell r="I67">
            <v>19</v>
          </cell>
          <cell r="J67" t="str">
            <v>13</v>
          </cell>
          <cell r="K67" t="str">
            <v>15</v>
          </cell>
          <cell r="L67" t="str">
            <v>38</v>
          </cell>
          <cell r="M67" t="str">
            <v>44</v>
          </cell>
          <cell r="N67" t="str">
            <v>08</v>
          </cell>
          <cell r="O67" t="str">
            <v>10</v>
          </cell>
          <cell r="P67" t="str">
            <v>21</v>
          </cell>
          <cell r="Q67" t="str">
            <v>12</v>
          </cell>
          <cell r="R67" t="str">
            <v>06</v>
          </cell>
          <cell r="S67" t="str">
            <v>09</v>
          </cell>
        </row>
        <row r="68">
          <cell r="A68" t="str">
            <v>VIDRO 1069X536X4</v>
          </cell>
          <cell r="B68">
            <v>121056</v>
          </cell>
          <cell r="C68">
            <v>181021056</v>
          </cell>
          <cell r="D68" t="str">
            <v>05</v>
          </cell>
          <cell r="E68" t="str">
            <v>26</v>
          </cell>
          <cell r="F68" t="str">
            <v>27</v>
          </cell>
          <cell r="G68">
            <v>25</v>
          </cell>
          <cell r="H68">
            <v>28</v>
          </cell>
          <cell r="I68">
            <v>19</v>
          </cell>
          <cell r="J68" t="str">
            <v>13</v>
          </cell>
          <cell r="K68" t="str">
            <v>15</v>
          </cell>
          <cell r="L68" t="str">
            <v>38</v>
          </cell>
          <cell r="M68" t="str">
            <v>44</v>
          </cell>
          <cell r="N68" t="str">
            <v>08</v>
          </cell>
          <cell r="O68" t="str">
            <v>10</v>
          </cell>
          <cell r="P68" t="str">
            <v>21</v>
          </cell>
          <cell r="Q68" t="str">
            <v>12</v>
          </cell>
          <cell r="R68" t="str">
            <v>06</v>
          </cell>
          <cell r="S68" t="str">
            <v>09</v>
          </cell>
        </row>
        <row r="69">
          <cell r="A69" t="str">
            <v>VIDRO 1069X540X4</v>
          </cell>
          <cell r="B69">
            <v>121057</v>
          </cell>
          <cell r="C69">
            <v>181021057</v>
          </cell>
          <cell r="D69" t="str">
            <v>05</v>
          </cell>
          <cell r="E69" t="str">
            <v>26</v>
          </cell>
          <cell r="F69" t="str">
            <v>27</v>
          </cell>
          <cell r="G69">
            <v>25</v>
          </cell>
          <cell r="H69">
            <v>28</v>
          </cell>
          <cell r="I69">
            <v>19</v>
          </cell>
          <cell r="J69" t="str">
            <v>13</v>
          </cell>
          <cell r="K69" t="str">
            <v>15</v>
          </cell>
          <cell r="L69" t="str">
            <v>38</v>
          </cell>
          <cell r="M69" t="str">
            <v>44</v>
          </cell>
          <cell r="N69" t="str">
            <v>08</v>
          </cell>
          <cell r="O69" t="str">
            <v>10</v>
          </cell>
          <cell r="P69" t="str">
            <v>21</v>
          </cell>
          <cell r="Q69" t="str">
            <v>12</v>
          </cell>
          <cell r="R69" t="str">
            <v>06</v>
          </cell>
          <cell r="S69" t="str">
            <v>09</v>
          </cell>
        </row>
        <row r="70">
          <cell r="A70" t="str">
            <v>VIDRO 1069X590X4</v>
          </cell>
          <cell r="B70">
            <v>121058</v>
          </cell>
          <cell r="C70">
            <v>181021058</v>
          </cell>
          <cell r="D70" t="str">
            <v>05</v>
          </cell>
          <cell r="E70" t="str">
            <v>26</v>
          </cell>
          <cell r="F70" t="str">
            <v>27</v>
          </cell>
          <cell r="G70">
            <v>25</v>
          </cell>
          <cell r="H70">
            <v>28</v>
          </cell>
          <cell r="I70">
            <v>19</v>
          </cell>
          <cell r="J70" t="str">
            <v>13</v>
          </cell>
          <cell r="K70" t="str">
            <v>15</v>
          </cell>
          <cell r="L70" t="str">
            <v>38</v>
          </cell>
          <cell r="M70" t="str">
            <v>44</v>
          </cell>
          <cell r="N70" t="str">
            <v>08</v>
          </cell>
          <cell r="O70" t="str">
            <v>10</v>
          </cell>
          <cell r="P70" t="str">
            <v>21</v>
          </cell>
          <cell r="Q70" t="str">
            <v>12</v>
          </cell>
          <cell r="R70" t="str">
            <v>06</v>
          </cell>
          <cell r="S70" t="str">
            <v>09</v>
          </cell>
        </row>
        <row r="71">
          <cell r="A71" t="str">
            <v>VIDRO 1249X340X4</v>
          </cell>
          <cell r="B71">
            <v>121788</v>
          </cell>
          <cell r="C71">
            <v>181012485</v>
          </cell>
          <cell r="D71" t="str">
            <v>05</v>
          </cell>
          <cell r="E71" t="str">
            <v>26</v>
          </cell>
          <cell r="F71" t="str">
            <v>27</v>
          </cell>
          <cell r="G71">
            <v>25</v>
          </cell>
          <cell r="H71">
            <v>28</v>
          </cell>
          <cell r="I71">
            <v>19</v>
          </cell>
          <cell r="J71" t="str">
            <v>13</v>
          </cell>
          <cell r="K71" t="str">
            <v>15</v>
          </cell>
          <cell r="L71" t="str">
            <v>38</v>
          </cell>
          <cell r="M71" t="str">
            <v>44</v>
          </cell>
          <cell r="N71" t="str">
            <v>08</v>
          </cell>
          <cell r="O71" t="str">
            <v>10</v>
          </cell>
          <cell r="P71" t="str">
            <v>21</v>
          </cell>
          <cell r="Q71" t="str">
            <v>12</v>
          </cell>
          <cell r="R71" t="str">
            <v>06</v>
          </cell>
          <cell r="S71" t="str">
            <v>09</v>
          </cell>
        </row>
        <row r="72">
          <cell r="A72" t="str">
            <v>VIDRO 1249X390X4</v>
          </cell>
          <cell r="B72">
            <v>121059</v>
          </cell>
          <cell r="C72">
            <v>181021059</v>
          </cell>
          <cell r="D72" t="str">
            <v>05</v>
          </cell>
          <cell r="E72" t="str">
            <v>26</v>
          </cell>
          <cell r="F72" t="str">
            <v>27</v>
          </cell>
          <cell r="G72">
            <v>25</v>
          </cell>
          <cell r="H72">
            <v>28</v>
          </cell>
          <cell r="I72">
            <v>19</v>
          </cell>
          <cell r="J72" t="str">
            <v>13</v>
          </cell>
          <cell r="K72" t="str">
            <v>15</v>
          </cell>
          <cell r="L72" t="str">
            <v>38</v>
          </cell>
          <cell r="M72" t="str">
            <v>44</v>
          </cell>
          <cell r="N72" t="str">
            <v>08</v>
          </cell>
          <cell r="O72" t="str">
            <v>10</v>
          </cell>
          <cell r="P72" t="str">
            <v>21</v>
          </cell>
          <cell r="Q72" t="str">
            <v>12</v>
          </cell>
          <cell r="R72" t="str">
            <v>06</v>
          </cell>
          <cell r="S72" t="str">
            <v>09</v>
          </cell>
        </row>
        <row r="73">
          <cell r="A73" t="str">
            <v>VIDRO 1249X440X4</v>
          </cell>
          <cell r="B73">
            <v>121789</v>
          </cell>
          <cell r="C73">
            <v>181012486</v>
          </cell>
          <cell r="D73" t="str">
            <v>05</v>
          </cell>
          <cell r="E73" t="str">
            <v>26</v>
          </cell>
          <cell r="F73" t="str">
            <v>27</v>
          </cell>
          <cell r="G73">
            <v>25</v>
          </cell>
          <cell r="H73">
            <v>28</v>
          </cell>
          <cell r="I73">
            <v>19</v>
          </cell>
          <cell r="J73" t="str">
            <v>13</v>
          </cell>
          <cell r="K73" t="str">
            <v>15</v>
          </cell>
          <cell r="L73" t="str">
            <v>38</v>
          </cell>
          <cell r="M73" t="str">
            <v>44</v>
          </cell>
          <cell r="N73" t="str">
            <v>08</v>
          </cell>
          <cell r="O73" t="str">
            <v>10</v>
          </cell>
          <cell r="P73" t="str">
            <v>21</v>
          </cell>
          <cell r="Q73" t="str">
            <v>12</v>
          </cell>
          <cell r="R73" t="str">
            <v>06</v>
          </cell>
          <cell r="S73" t="str">
            <v>09</v>
          </cell>
        </row>
        <row r="74">
          <cell r="A74" t="str">
            <v>VIDRO 1249X490X4</v>
          </cell>
          <cell r="B74">
            <v>121060</v>
          </cell>
          <cell r="C74">
            <v>181021060</v>
          </cell>
          <cell r="D74" t="str">
            <v>05</v>
          </cell>
          <cell r="E74" t="str">
            <v>26</v>
          </cell>
          <cell r="F74" t="str">
            <v>27</v>
          </cell>
          <cell r="G74">
            <v>25</v>
          </cell>
          <cell r="H74">
            <v>28</v>
          </cell>
          <cell r="I74">
            <v>19</v>
          </cell>
          <cell r="J74" t="str">
            <v>13</v>
          </cell>
          <cell r="K74" t="str">
            <v>15</v>
          </cell>
          <cell r="L74" t="str">
            <v>38</v>
          </cell>
          <cell r="M74" t="str">
            <v>44</v>
          </cell>
          <cell r="N74" t="str">
            <v>08</v>
          </cell>
          <cell r="O74" t="str">
            <v>10</v>
          </cell>
          <cell r="P74" t="str">
            <v>21</v>
          </cell>
          <cell r="Q74" t="str">
            <v>12</v>
          </cell>
          <cell r="R74" t="str">
            <v>06</v>
          </cell>
          <cell r="S74" t="str">
            <v>09</v>
          </cell>
        </row>
        <row r="75">
          <cell r="A75" t="str">
            <v>VIDRO 1249X590X4</v>
          </cell>
          <cell r="B75">
            <v>121061</v>
          </cell>
          <cell r="C75">
            <v>181021061</v>
          </cell>
          <cell r="D75" t="str">
            <v>05</v>
          </cell>
          <cell r="E75" t="str">
            <v>26</v>
          </cell>
          <cell r="F75" t="str">
            <v>27</v>
          </cell>
          <cell r="G75">
            <v>25</v>
          </cell>
          <cell r="H75">
            <v>28</v>
          </cell>
          <cell r="I75">
            <v>19</v>
          </cell>
          <cell r="J75" t="str">
            <v>13</v>
          </cell>
          <cell r="K75" t="str">
            <v>15</v>
          </cell>
          <cell r="L75" t="str">
            <v>38</v>
          </cell>
          <cell r="M75" t="str">
            <v>44</v>
          </cell>
          <cell r="N75" t="str">
            <v>08</v>
          </cell>
          <cell r="O75" t="str">
            <v>10</v>
          </cell>
          <cell r="P75" t="str">
            <v>21</v>
          </cell>
          <cell r="Q75" t="str">
            <v>12</v>
          </cell>
          <cell r="R75" t="str">
            <v>06</v>
          </cell>
          <cell r="S75" t="str">
            <v>09</v>
          </cell>
        </row>
        <row r="76">
          <cell r="A76" t="str">
            <v>VIDRO 1789X340X4</v>
          </cell>
          <cell r="B76">
            <v>121790</v>
          </cell>
          <cell r="C76">
            <v>181012487</v>
          </cell>
          <cell r="D76" t="str">
            <v>05</v>
          </cell>
          <cell r="E76" t="str">
            <v>26</v>
          </cell>
          <cell r="F76" t="str">
            <v>27</v>
          </cell>
          <cell r="G76">
            <v>25</v>
          </cell>
          <cell r="H76">
            <v>28</v>
          </cell>
          <cell r="I76">
            <v>19</v>
          </cell>
          <cell r="J76" t="str">
            <v>13</v>
          </cell>
          <cell r="K76" t="str">
            <v>15</v>
          </cell>
          <cell r="L76" t="str">
            <v>38</v>
          </cell>
          <cell r="M76" t="str">
            <v>44</v>
          </cell>
          <cell r="N76" t="str">
            <v>08</v>
          </cell>
          <cell r="O76" t="str">
            <v>10</v>
          </cell>
          <cell r="P76" t="str">
            <v>21</v>
          </cell>
          <cell r="Q76" t="str">
            <v>12</v>
          </cell>
          <cell r="R76" t="str">
            <v>06</v>
          </cell>
          <cell r="S76" t="str">
            <v>09</v>
          </cell>
        </row>
        <row r="77">
          <cell r="A77" t="str">
            <v>VIDRO 1789X390X4</v>
          </cell>
          <cell r="B77">
            <v>121062</v>
          </cell>
          <cell r="C77">
            <v>181021062</v>
          </cell>
          <cell r="D77" t="str">
            <v>05</v>
          </cell>
          <cell r="E77" t="str">
            <v>26</v>
          </cell>
          <cell r="F77" t="str">
            <v>27</v>
          </cell>
          <cell r="G77">
            <v>25</v>
          </cell>
          <cell r="H77">
            <v>28</v>
          </cell>
          <cell r="I77">
            <v>19</v>
          </cell>
          <cell r="J77" t="str">
            <v>13</v>
          </cell>
          <cell r="K77" t="str">
            <v>15</v>
          </cell>
          <cell r="L77" t="str">
            <v>38</v>
          </cell>
          <cell r="M77" t="str">
            <v>44</v>
          </cell>
          <cell r="N77" t="str">
            <v>08</v>
          </cell>
          <cell r="O77" t="str">
            <v>10</v>
          </cell>
          <cell r="P77" t="str">
            <v>21</v>
          </cell>
          <cell r="Q77" t="str">
            <v>12</v>
          </cell>
          <cell r="R77" t="str">
            <v>06</v>
          </cell>
          <cell r="S77" t="str">
            <v>09</v>
          </cell>
        </row>
        <row r="78">
          <cell r="A78" t="str">
            <v>VIDRO 1789X440X4</v>
          </cell>
          <cell r="B78">
            <v>121791</v>
          </cell>
          <cell r="C78">
            <v>181012488</v>
          </cell>
          <cell r="D78" t="str">
            <v>05</v>
          </cell>
          <cell r="E78" t="str">
            <v>26</v>
          </cell>
          <cell r="F78" t="str">
            <v>27</v>
          </cell>
          <cell r="G78">
            <v>25</v>
          </cell>
          <cell r="H78">
            <v>28</v>
          </cell>
          <cell r="I78">
            <v>19</v>
          </cell>
          <cell r="J78" t="str">
            <v>13</v>
          </cell>
          <cell r="K78" t="str">
            <v>15</v>
          </cell>
          <cell r="L78" t="str">
            <v>38</v>
          </cell>
          <cell r="M78" t="str">
            <v>44</v>
          </cell>
          <cell r="N78" t="str">
            <v>08</v>
          </cell>
          <cell r="O78" t="str">
            <v>10</v>
          </cell>
          <cell r="P78" t="str">
            <v>21</v>
          </cell>
          <cell r="Q78" t="str">
            <v>12</v>
          </cell>
          <cell r="R78" t="str">
            <v>06</v>
          </cell>
          <cell r="S78" t="str">
            <v>09</v>
          </cell>
        </row>
        <row r="79">
          <cell r="A79" t="str">
            <v>VIDRO 1789X490X4</v>
          </cell>
          <cell r="B79">
            <v>121063</v>
          </cell>
          <cell r="C79">
            <v>181021063</v>
          </cell>
          <cell r="D79" t="str">
            <v>05</v>
          </cell>
          <cell r="E79" t="str">
            <v>26</v>
          </cell>
          <cell r="F79" t="str">
            <v>27</v>
          </cell>
          <cell r="G79">
            <v>25</v>
          </cell>
          <cell r="H79">
            <v>28</v>
          </cell>
          <cell r="I79">
            <v>19</v>
          </cell>
          <cell r="J79" t="str">
            <v>13</v>
          </cell>
          <cell r="K79" t="str">
            <v>15</v>
          </cell>
          <cell r="L79" t="str">
            <v>38</v>
          </cell>
          <cell r="M79" t="str">
            <v>44</v>
          </cell>
          <cell r="N79" t="str">
            <v>08</v>
          </cell>
          <cell r="O79" t="str">
            <v>10</v>
          </cell>
          <cell r="P79" t="str">
            <v>21</v>
          </cell>
          <cell r="Q79" t="str">
            <v>12</v>
          </cell>
          <cell r="R79" t="str">
            <v>06</v>
          </cell>
          <cell r="S79" t="str">
            <v>09</v>
          </cell>
        </row>
        <row r="80">
          <cell r="A80" t="str">
            <v>VIDRO 1789X590X4</v>
          </cell>
          <cell r="B80">
            <v>121064</v>
          </cell>
          <cell r="C80">
            <v>181021064</v>
          </cell>
          <cell r="D80" t="str">
            <v>05</v>
          </cell>
          <cell r="E80" t="str">
            <v>26</v>
          </cell>
          <cell r="F80" t="str">
            <v>27</v>
          </cell>
          <cell r="G80">
            <v>25</v>
          </cell>
          <cell r="H80">
            <v>28</v>
          </cell>
          <cell r="I80">
            <v>19</v>
          </cell>
          <cell r="J80" t="str">
            <v>13</v>
          </cell>
          <cell r="K80" t="str">
            <v>15</v>
          </cell>
          <cell r="L80" t="str">
            <v>38</v>
          </cell>
          <cell r="M80" t="str">
            <v>44</v>
          </cell>
          <cell r="N80" t="str">
            <v>08</v>
          </cell>
          <cell r="O80" t="str">
            <v>10</v>
          </cell>
          <cell r="P80" t="str">
            <v>21</v>
          </cell>
          <cell r="Q80" t="str">
            <v>12</v>
          </cell>
          <cell r="R80" t="str">
            <v>06</v>
          </cell>
          <cell r="S80" t="str">
            <v>09</v>
          </cell>
        </row>
        <row r="81">
          <cell r="A81" t="str">
            <v>VIDRO 1969X340X4</v>
          </cell>
          <cell r="B81">
            <v>121792</v>
          </cell>
          <cell r="C81">
            <v>181012489</v>
          </cell>
          <cell r="D81" t="str">
            <v>05</v>
          </cell>
          <cell r="E81" t="str">
            <v>26</v>
          </cell>
          <cell r="F81" t="str">
            <v>27</v>
          </cell>
          <cell r="G81">
            <v>25</v>
          </cell>
          <cell r="H81">
            <v>28</v>
          </cell>
          <cell r="I81">
            <v>19</v>
          </cell>
          <cell r="J81" t="str">
            <v>13</v>
          </cell>
          <cell r="K81" t="str">
            <v>15</v>
          </cell>
          <cell r="L81" t="str">
            <v>38</v>
          </cell>
          <cell r="M81" t="str">
            <v>44</v>
          </cell>
          <cell r="N81" t="str">
            <v>08</v>
          </cell>
          <cell r="O81" t="str">
            <v>10</v>
          </cell>
          <cell r="P81" t="str">
            <v>21</v>
          </cell>
          <cell r="Q81" t="str">
            <v>12</v>
          </cell>
          <cell r="R81" t="str">
            <v>06</v>
          </cell>
          <cell r="S81" t="str">
            <v>09</v>
          </cell>
        </row>
        <row r="82">
          <cell r="A82" t="str">
            <v>VIDRO 1969X390X4</v>
          </cell>
          <cell r="B82">
            <v>121065</v>
          </cell>
          <cell r="C82">
            <v>181021065</v>
          </cell>
          <cell r="D82" t="str">
            <v>05</v>
          </cell>
          <cell r="E82" t="str">
            <v>26</v>
          </cell>
          <cell r="F82" t="str">
            <v>27</v>
          </cell>
          <cell r="G82">
            <v>25</v>
          </cell>
          <cell r="H82">
            <v>28</v>
          </cell>
          <cell r="I82">
            <v>19</v>
          </cell>
          <cell r="J82" t="str">
            <v>13</v>
          </cell>
          <cell r="K82" t="str">
            <v>15</v>
          </cell>
          <cell r="L82" t="str">
            <v>38</v>
          </cell>
          <cell r="M82" t="str">
            <v>44</v>
          </cell>
          <cell r="N82" t="str">
            <v>08</v>
          </cell>
          <cell r="O82" t="str">
            <v>10</v>
          </cell>
          <cell r="P82" t="str">
            <v>21</v>
          </cell>
          <cell r="Q82" t="str">
            <v>12</v>
          </cell>
          <cell r="R82" t="str">
            <v>06</v>
          </cell>
          <cell r="S82" t="str">
            <v>09</v>
          </cell>
        </row>
        <row r="83">
          <cell r="A83" t="str">
            <v>VIDRO 1969X440X4</v>
          </cell>
          <cell r="B83">
            <v>121793</v>
          </cell>
          <cell r="C83">
            <v>181012490</v>
          </cell>
          <cell r="D83" t="str">
            <v>05</v>
          </cell>
          <cell r="E83" t="str">
            <v>26</v>
          </cell>
          <cell r="F83" t="str">
            <v>27</v>
          </cell>
          <cell r="G83">
            <v>25</v>
          </cell>
          <cell r="H83">
            <v>28</v>
          </cell>
          <cell r="I83">
            <v>19</v>
          </cell>
          <cell r="J83" t="str">
            <v>13</v>
          </cell>
          <cell r="K83" t="str">
            <v>15</v>
          </cell>
          <cell r="L83" t="str">
            <v>38</v>
          </cell>
          <cell r="M83" t="str">
            <v>44</v>
          </cell>
          <cell r="N83" t="str">
            <v>08</v>
          </cell>
          <cell r="O83" t="str">
            <v>10</v>
          </cell>
          <cell r="P83" t="str">
            <v>21</v>
          </cell>
          <cell r="Q83" t="str">
            <v>12</v>
          </cell>
          <cell r="R83" t="str">
            <v>06</v>
          </cell>
          <cell r="S83" t="str">
            <v>09</v>
          </cell>
        </row>
        <row r="84">
          <cell r="A84" t="str">
            <v>VIDRO 1969X490X4</v>
          </cell>
          <cell r="B84">
            <v>121066</v>
          </cell>
          <cell r="C84">
            <v>181021066</v>
          </cell>
          <cell r="D84" t="str">
            <v>05</v>
          </cell>
          <cell r="E84" t="str">
            <v>26</v>
          </cell>
          <cell r="F84" t="str">
            <v>27</v>
          </cell>
          <cell r="G84">
            <v>25</v>
          </cell>
          <cell r="H84">
            <v>28</v>
          </cell>
          <cell r="I84">
            <v>19</v>
          </cell>
          <cell r="J84" t="str">
            <v>13</v>
          </cell>
          <cell r="K84" t="str">
            <v>15</v>
          </cell>
          <cell r="L84" t="str">
            <v>38</v>
          </cell>
          <cell r="M84" t="str">
            <v>44</v>
          </cell>
          <cell r="N84" t="str">
            <v>08</v>
          </cell>
          <cell r="O84" t="str">
            <v>10</v>
          </cell>
          <cell r="P84" t="str">
            <v>21</v>
          </cell>
          <cell r="Q84" t="str">
            <v>12</v>
          </cell>
          <cell r="R84" t="str">
            <v>06</v>
          </cell>
          <cell r="S84" t="str">
            <v>09</v>
          </cell>
        </row>
        <row r="85">
          <cell r="A85" t="str">
            <v>VIDRO 1969X590X4</v>
          </cell>
          <cell r="B85">
            <v>121067</v>
          </cell>
          <cell r="C85">
            <v>181021067</v>
          </cell>
          <cell r="D85" t="str">
            <v>05</v>
          </cell>
          <cell r="E85" t="str">
            <v>26</v>
          </cell>
          <cell r="F85" t="str">
            <v>27</v>
          </cell>
          <cell r="G85">
            <v>25</v>
          </cell>
          <cell r="H85">
            <v>28</v>
          </cell>
          <cell r="I85">
            <v>19</v>
          </cell>
          <cell r="J85" t="str">
            <v>13</v>
          </cell>
          <cell r="K85" t="str">
            <v>15</v>
          </cell>
          <cell r="L85" t="str">
            <v>38</v>
          </cell>
          <cell r="M85" t="str">
            <v>44</v>
          </cell>
          <cell r="N85" t="str">
            <v>08</v>
          </cell>
          <cell r="O85" t="str">
            <v>10</v>
          </cell>
          <cell r="P85" t="str">
            <v>21</v>
          </cell>
          <cell r="Q85" t="str">
            <v>12</v>
          </cell>
          <cell r="R85" t="str">
            <v>06</v>
          </cell>
          <cell r="S85" t="str">
            <v>09</v>
          </cell>
        </row>
        <row r="86">
          <cell r="A86" t="str">
            <v>VIDRO 2149X340X4</v>
          </cell>
          <cell r="B86">
            <v>121794</v>
          </cell>
          <cell r="C86">
            <v>181012491</v>
          </cell>
          <cell r="D86" t="str">
            <v>05</v>
          </cell>
          <cell r="E86" t="str">
            <v>26</v>
          </cell>
          <cell r="F86" t="str">
            <v>27</v>
          </cell>
          <cell r="G86">
            <v>25</v>
          </cell>
          <cell r="H86">
            <v>28</v>
          </cell>
          <cell r="I86">
            <v>19</v>
          </cell>
          <cell r="J86" t="str">
            <v>13</v>
          </cell>
          <cell r="K86" t="str">
            <v>15</v>
          </cell>
          <cell r="L86" t="str">
            <v>38</v>
          </cell>
          <cell r="M86" t="str">
            <v>44</v>
          </cell>
          <cell r="N86" t="str">
            <v>08</v>
          </cell>
          <cell r="O86" t="str">
            <v>10</v>
          </cell>
          <cell r="P86" t="str">
            <v>21</v>
          </cell>
          <cell r="Q86" t="str">
            <v>12</v>
          </cell>
          <cell r="R86" t="str">
            <v>06</v>
          </cell>
          <cell r="S86" t="str">
            <v>09</v>
          </cell>
        </row>
        <row r="87">
          <cell r="A87" t="str">
            <v>VIDRO 2149X390X4</v>
          </cell>
          <cell r="B87">
            <v>121068</v>
          </cell>
          <cell r="C87">
            <v>181021068</v>
          </cell>
          <cell r="D87" t="str">
            <v>05</v>
          </cell>
          <cell r="E87" t="str">
            <v>26</v>
          </cell>
          <cell r="F87" t="str">
            <v>27</v>
          </cell>
          <cell r="G87">
            <v>25</v>
          </cell>
          <cell r="H87">
            <v>28</v>
          </cell>
          <cell r="I87">
            <v>19</v>
          </cell>
          <cell r="J87" t="str">
            <v>13</v>
          </cell>
          <cell r="K87" t="str">
            <v>15</v>
          </cell>
          <cell r="L87" t="str">
            <v>38</v>
          </cell>
          <cell r="M87" t="str">
            <v>44</v>
          </cell>
          <cell r="N87" t="str">
            <v>08</v>
          </cell>
          <cell r="O87" t="str">
            <v>10</v>
          </cell>
          <cell r="P87" t="str">
            <v>21</v>
          </cell>
          <cell r="Q87" t="str">
            <v>12</v>
          </cell>
          <cell r="R87" t="str">
            <v>06</v>
          </cell>
          <cell r="S87" t="str">
            <v>09</v>
          </cell>
        </row>
        <row r="88">
          <cell r="A88" t="str">
            <v>VIDRO 2149X440X4</v>
          </cell>
          <cell r="B88">
            <v>121795</v>
          </cell>
          <cell r="C88">
            <v>181012492</v>
          </cell>
          <cell r="D88" t="str">
            <v>05</v>
          </cell>
          <cell r="E88" t="str">
            <v>26</v>
          </cell>
          <cell r="F88" t="str">
            <v>27</v>
          </cell>
          <cell r="G88">
            <v>25</v>
          </cell>
          <cell r="H88">
            <v>28</v>
          </cell>
          <cell r="I88">
            <v>19</v>
          </cell>
          <cell r="J88" t="str">
            <v>13</v>
          </cell>
          <cell r="K88" t="str">
            <v>15</v>
          </cell>
          <cell r="L88" t="str">
            <v>38</v>
          </cell>
          <cell r="M88" t="str">
            <v>44</v>
          </cell>
          <cell r="N88" t="str">
            <v>08</v>
          </cell>
          <cell r="O88" t="str">
            <v>10</v>
          </cell>
          <cell r="P88" t="str">
            <v>21</v>
          </cell>
          <cell r="Q88" t="str">
            <v>12</v>
          </cell>
          <cell r="R88" t="str">
            <v>06</v>
          </cell>
          <cell r="S88" t="str">
            <v>09</v>
          </cell>
        </row>
        <row r="89">
          <cell r="A89" t="str">
            <v>VIDRO 2149X490X4</v>
          </cell>
          <cell r="B89">
            <v>121069</v>
          </cell>
          <cell r="C89">
            <v>181021069</v>
          </cell>
          <cell r="D89" t="str">
            <v>05</v>
          </cell>
          <cell r="E89" t="str">
            <v>26</v>
          </cell>
          <cell r="F89" t="str">
            <v>27</v>
          </cell>
          <cell r="G89">
            <v>25</v>
          </cell>
          <cell r="H89">
            <v>28</v>
          </cell>
          <cell r="I89">
            <v>19</v>
          </cell>
          <cell r="J89" t="str">
            <v>13</v>
          </cell>
          <cell r="K89" t="str">
            <v>15</v>
          </cell>
          <cell r="L89" t="str">
            <v>38</v>
          </cell>
          <cell r="M89" t="str">
            <v>44</v>
          </cell>
          <cell r="N89" t="str">
            <v>08</v>
          </cell>
          <cell r="O89" t="str">
            <v>10</v>
          </cell>
          <cell r="P89" t="str">
            <v>21</v>
          </cell>
          <cell r="Q89" t="str">
            <v>12</v>
          </cell>
          <cell r="R89" t="str">
            <v>06</v>
          </cell>
          <cell r="S89" t="str">
            <v>09</v>
          </cell>
        </row>
        <row r="90">
          <cell r="A90" t="str">
            <v>VIDRO 2149X590X4</v>
          </cell>
          <cell r="B90">
            <v>121070</v>
          </cell>
          <cell r="C90">
            <v>181021070</v>
          </cell>
          <cell r="D90" t="str">
            <v>05</v>
          </cell>
          <cell r="E90" t="str">
            <v>26</v>
          </cell>
          <cell r="F90" t="str">
            <v>27</v>
          </cell>
          <cell r="G90">
            <v>25</v>
          </cell>
          <cell r="H90">
            <v>28</v>
          </cell>
          <cell r="I90">
            <v>19</v>
          </cell>
          <cell r="J90" t="str">
            <v>13</v>
          </cell>
          <cell r="K90" t="str">
            <v>15</v>
          </cell>
          <cell r="L90" t="str">
            <v>38</v>
          </cell>
          <cell r="M90" t="str">
            <v>44</v>
          </cell>
          <cell r="N90" t="str">
            <v>08</v>
          </cell>
          <cell r="O90" t="str">
            <v>10</v>
          </cell>
          <cell r="P90" t="str">
            <v>21</v>
          </cell>
          <cell r="Q90" t="str">
            <v>12</v>
          </cell>
          <cell r="R90" t="str">
            <v>06</v>
          </cell>
          <cell r="S90" t="str">
            <v>09</v>
          </cell>
        </row>
        <row r="91">
          <cell r="A91" t="str">
            <v>VIDRO 2329X340X4</v>
          </cell>
          <cell r="B91">
            <v>121796</v>
          </cell>
          <cell r="C91">
            <v>181012493</v>
          </cell>
          <cell r="D91" t="str">
            <v>05</v>
          </cell>
          <cell r="E91" t="str">
            <v>26</v>
          </cell>
          <cell r="F91" t="str">
            <v>27</v>
          </cell>
          <cell r="G91">
            <v>25</v>
          </cell>
          <cell r="H91">
            <v>28</v>
          </cell>
          <cell r="I91">
            <v>19</v>
          </cell>
          <cell r="J91" t="str">
            <v>13</v>
          </cell>
          <cell r="K91" t="str">
            <v>15</v>
          </cell>
          <cell r="L91" t="str">
            <v>38</v>
          </cell>
          <cell r="M91" t="str">
            <v>44</v>
          </cell>
          <cell r="N91" t="str">
            <v>08</v>
          </cell>
          <cell r="O91" t="str">
            <v>10</v>
          </cell>
          <cell r="P91" t="str">
            <v>21</v>
          </cell>
          <cell r="Q91" t="str">
            <v>12</v>
          </cell>
          <cell r="R91" t="str">
            <v>06</v>
          </cell>
          <cell r="S91" t="str">
            <v>09</v>
          </cell>
        </row>
        <row r="92">
          <cell r="A92" t="str">
            <v>VIDRO 2329X390X4</v>
          </cell>
          <cell r="B92">
            <v>121797</v>
          </cell>
          <cell r="C92">
            <v>181012494</v>
          </cell>
          <cell r="D92" t="str">
            <v>05</v>
          </cell>
          <cell r="E92" t="str">
            <v>26</v>
          </cell>
          <cell r="F92" t="str">
            <v>27</v>
          </cell>
          <cell r="G92">
            <v>25</v>
          </cell>
          <cell r="H92">
            <v>28</v>
          </cell>
          <cell r="I92">
            <v>19</v>
          </cell>
          <cell r="J92" t="str">
            <v>13</v>
          </cell>
          <cell r="K92" t="str">
            <v>15</v>
          </cell>
          <cell r="L92" t="str">
            <v>38</v>
          </cell>
          <cell r="M92" t="str">
            <v>44</v>
          </cell>
          <cell r="N92" t="str">
            <v>08</v>
          </cell>
          <cell r="O92" t="str">
            <v>10</v>
          </cell>
          <cell r="P92" t="str">
            <v>21</v>
          </cell>
          <cell r="Q92" t="str">
            <v>12</v>
          </cell>
          <cell r="R92" t="str">
            <v>06</v>
          </cell>
          <cell r="S92" t="str">
            <v>09</v>
          </cell>
        </row>
        <row r="93">
          <cell r="A93" t="str">
            <v>VIDRO 2329X440X4</v>
          </cell>
          <cell r="B93">
            <v>121798</v>
          </cell>
          <cell r="C93">
            <v>181012495</v>
          </cell>
          <cell r="D93" t="str">
            <v>05</v>
          </cell>
          <cell r="E93" t="str">
            <v>26</v>
          </cell>
          <cell r="F93" t="str">
            <v>27</v>
          </cell>
          <cell r="G93">
            <v>25</v>
          </cell>
          <cell r="H93">
            <v>28</v>
          </cell>
          <cell r="I93">
            <v>19</v>
          </cell>
          <cell r="J93" t="str">
            <v>13</v>
          </cell>
          <cell r="K93" t="str">
            <v>15</v>
          </cell>
          <cell r="L93" t="str">
            <v>38</v>
          </cell>
          <cell r="M93" t="str">
            <v>44</v>
          </cell>
          <cell r="N93" t="str">
            <v>08</v>
          </cell>
          <cell r="O93" t="str">
            <v>10</v>
          </cell>
          <cell r="P93" t="str">
            <v>21</v>
          </cell>
          <cell r="Q93" t="str">
            <v>12</v>
          </cell>
          <cell r="R93" t="str">
            <v>06</v>
          </cell>
          <cell r="S93" t="str">
            <v>09</v>
          </cell>
        </row>
        <row r="94">
          <cell r="A94" t="str">
            <v>VIDRO 2329X490X4</v>
          </cell>
          <cell r="B94">
            <v>121799</v>
          </cell>
          <cell r="C94">
            <v>181012496</v>
          </cell>
          <cell r="D94" t="str">
            <v>05</v>
          </cell>
          <cell r="E94" t="str">
            <v>26</v>
          </cell>
          <cell r="F94" t="str">
            <v>27</v>
          </cell>
          <cell r="G94">
            <v>25</v>
          </cell>
          <cell r="H94">
            <v>28</v>
          </cell>
          <cell r="I94">
            <v>19</v>
          </cell>
          <cell r="J94" t="str">
            <v>13</v>
          </cell>
          <cell r="K94" t="str">
            <v>15</v>
          </cell>
          <cell r="L94" t="str">
            <v>38</v>
          </cell>
          <cell r="M94" t="str">
            <v>44</v>
          </cell>
          <cell r="N94" t="str">
            <v>08</v>
          </cell>
          <cell r="O94" t="str">
            <v>10</v>
          </cell>
          <cell r="P94" t="str">
            <v>21</v>
          </cell>
          <cell r="Q94" t="str">
            <v>12</v>
          </cell>
          <cell r="R94" t="str">
            <v>06</v>
          </cell>
          <cell r="S94" t="str">
            <v>09</v>
          </cell>
        </row>
        <row r="95">
          <cell r="A95" t="str">
            <v>VIDRO 2329X590X4</v>
          </cell>
          <cell r="B95">
            <v>121000</v>
          </cell>
          <cell r="C95">
            <v>181012471</v>
          </cell>
          <cell r="D95" t="str">
            <v>05</v>
          </cell>
          <cell r="E95" t="str">
            <v>26</v>
          </cell>
          <cell r="F95" t="str">
            <v>27</v>
          </cell>
          <cell r="G95">
            <v>25</v>
          </cell>
          <cell r="H95">
            <v>28</v>
          </cell>
          <cell r="I95">
            <v>19</v>
          </cell>
          <cell r="J95" t="str">
            <v>13</v>
          </cell>
          <cell r="K95" t="str">
            <v>15</v>
          </cell>
          <cell r="L95" t="str">
            <v>38</v>
          </cell>
          <cell r="M95" t="str">
            <v>44</v>
          </cell>
          <cell r="N95" t="str">
            <v>08</v>
          </cell>
          <cell r="O95" t="str">
            <v>10</v>
          </cell>
          <cell r="P95" t="str">
            <v>21</v>
          </cell>
          <cell r="Q95" t="str">
            <v>12</v>
          </cell>
          <cell r="R95" t="str">
            <v>06</v>
          </cell>
          <cell r="S95" t="str">
            <v>09</v>
          </cell>
        </row>
        <row r="96">
          <cell r="A96" t="str">
            <v>VIDRO 169X290X4</v>
          </cell>
          <cell r="B96">
            <v>121071</v>
          </cell>
          <cell r="C96">
            <v>181021071</v>
          </cell>
          <cell r="D96" t="str">
            <v>05</v>
          </cell>
          <cell r="E96" t="str">
            <v>26</v>
          </cell>
          <cell r="F96" t="str">
            <v>27</v>
          </cell>
          <cell r="G96">
            <v>25</v>
          </cell>
          <cell r="H96">
            <v>28</v>
          </cell>
          <cell r="I96">
            <v>19</v>
          </cell>
          <cell r="J96" t="str">
            <v>13</v>
          </cell>
          <cell r="K96" t="str">
            <v>15</v>
          </cell>
          <cell r="L96" t="str">
            <v>38</v>
          </cell>
          <cell r="M96" t="str">
            <v>44</v>
          </cell>
          <cell r="N96" t="str">
            <v>08</v>
          </cell>
          <cell r="O96" t="str">
            <v>10</v>
          </cell>
          <cell r="P96" t="str">
            <v>21</v>
          </cell>
          <cell r="Q96" t="str">
            <v>12</v>
          </cell>
          <cell r="R96" t="str">
            <v>06</v>
          </cell>
          <cell r="S96" t="str">
            <v>09</v>
          </cell>
        </row>
        <row r="97">
          <cell r="A97" t="str">
            <v>VIDRO 169X390X4</v>
          </cell>
          <cell r="B97">
            <v>121072</v>
          </cell>
          <cell r="C97">
            <v>181021072</v>
          </cell>
          <cell r="D97" t="str">
            <v>05</v>
          </cell>
          <cell r="E97" t="str">
            <v>26</v>
          </cell>
          <cell r="F97" t="str">
            <v>27</v>
          </cell>
          <cell r="G97">
            <v>25</v>
          </cell>
          <cell r="H97">
            <v>28</v>
          </cell>
          <cell r="I97">
            <v>19</v>
          </cell>
          <cell r="J97" t="str">
            <v>13</v>
          </cell>
          <cell r="K97" t="str">
            <v>15</v>
          </cell>
          <cell r="L97" t="str">
            <v>38</v>
          </cell>
          <cell r="M97" t="str">
            <v>44</v>
          </cell>
          <cell r="N97" t="str">
            <v>08</v>
          </cell>
          <cell r="O97" t="str">
            <v>10</v>
          </cell>
          <cell r="P97" t="str">
            <v>21</v>
          </cell>
          <cell r="Q97" t="str">
            <v>12</v>
          </cell>
          <cell r="R97" t="str">
            <v>06</v>
          </cell>
          <cell r="S97" t="str">
            <v>09</v>
          </cell>
        </row>
        <row r="98">
          <cell r="A98" t="str">
            <v>VIDRO 169X440X4</v>
          </cell>
          <cell r="B98">
            <v>121073</v>
          </cell>
          <cell r="C98">
            <v>181021073</v>
          </cell>
          <cell r="D98" t="str">
            <v>05</v>
          </cell>
          <cell r="E98" t="str">
            <v>26</v>
          </cell>
          <cell r="F98" t="str">
            <v>27</v>
          </cell>
          <cell r="G98">
            <v>25</v>
          </cell>
          <cell r="H98">
            <v>28</v>
          </cell>
          <cell r="I98">
            <v>19</v>
          </cell>
          <cell r="J98" t="str">
            <v>13</v>
          </cell>
          <cell r="K98" t="str">
            <v>15</v>
          </cell>
          <cell r="L98" t="str">
            <v>38</v>
          </cell>
          <cell r="M98" t="str">
            <v>44</v>
          </cell>
          <cell r="N98" t="str">
            <v>08</v>
          </cell>
          <cell r="O98" t="str">
            <v>10</v>
          </cell>
          <cell r="P98" t="str">
            <v>21</v>
          </cell>
          <cell r="Q98" t="str">
            <v>12</v>
          </cell>
          <cell r="R98" t="str">
            <v>06</v>
          </cell>
          <cell r="S98" t="str">
            <v>09</v>
          </cell>
        </row>
        <row r="99">
          <cell r="A99" t="str">
            <v>VIDRO 169X490X4</v>
          </cell>
          <cell r="B99">
            <v>121074</v>
          </cell>
          <cell r="C99">
            <v>181021074</v>
          </cell>
          <cell r="D99" t="str">
            <v>05</v>
          </cell>
          <cell r="E99" t="str">
            <v>26</v>
          </cell>
          <cell r="F99" t="str">
            <v>27</v>
          </cell>
          <cell r="G99">
            <v>25</v>
          </cell>
          <cell r="H99">
            <v>28</v>
          </cell>
          <cell r="I99">
            <v>19</v>
          </cell>
          <cell r="J99" t="str">
            <v>13</v>
          </cell>
          <cell r="K99" t="str">
            <v>15</v>
          </cell>
          <cell r="L99" t="str">
            <v>38</v>
          </cell>
          <cell r="M99" t="str">
            <v>44</v>
          </cell>
          <cell r="N99" t="str">
            <v>08</v>
          </cell>
          <cell r="O99" t="str">
            <v>10</v>
          </cell>
          <cell r="P99" t="str">
            <v>21</v>
          </cell>
          <cell r="Q99" t="str">
            <v>12</v>
          </cell>
          <cell r="R99" t="str">
            <v>06</v>
          </cell>
          <cell r="S99" t="str">
            <v>09</v>
          </cell>
        </row>
        <row r="100">
          <cell r="A100" t="str">
            <v>VIDRO 169X540X4</v>
          </cell>
          <cell r="B100">
            <v>121075</v>
          </cell>
          <cell r="C100">
            <v>181021075</v>
          </cell>
          <cell r="D100" t="str">
            <v>05</v>
          </cell>
          <cell r="E100" t="str">
            <v>26</v>
          </cell>
          <cell r="F100" t="str">
            <v>27</v>
          </cell>
          <cell r="G100">
            <v>25</v>
          </cell>
          <cell r="H100">
            <v>28</v>
          </cell>
          <cell r="I100">
            <v>19</v>
          </cell>
          <cell r="J100" t="str">
            <v>13</v>
          </cell>
          <cell r="K100" t="str">
            <v>15</v>
          </cell>
          <cell r="L100" t="str">
            <v>38</v>
          </cell>
          <cell r="M100" t="str">
            <v>44</v>
          </cell>
          <cell r="N100" t="str">
            <v>08</v>
          </cell>
          <cell r="O100" t="str">
            <v>10</v>
          </cell>
          <cell r="P100" t="str">
            <v>21</v>
          </cell>
          <cell r="Q100" t="str">
            <v>12</v>
          </cell>
          <cell r="R100" t="str">
            <v>06</v>
          </cell>
          <cell r="S100" t="str">
            <v>09</v>
          </cell>
        </row>
        <row r="101">
          <cell r="A101" t="str">
            <v>VIDRO 169X590X4</v>
          </cell>
          <cell r="B101">
            <v>121076</v>
          </cell>
          <cell r="C101">
            <v>181021076</v>
          </cell>
          <cell r="D101" t="str">
            <v>05</v>
          </cell>
          <cell r="E101" t="str">
            <v>26</v>
          </cell>
          <cell r="F101" t="str">
            <v>27</v>
          </cell>
          <cell r="G101">
            <v>25</v>
          </cell>
          <cell r="H101">
            <v>28</v>
          </cell>
          <cell r="I101">
            <v>19</v>
          </cell>
          <cell r="J101" t="str">
            <v>13</v>
          </cell>
          <cell r="K101" t="str">
            <v>15</v>
          </cell>
          <cell r="L101" t="str">
            <v>38</v>
          </cell>
          <cell r="M101" t="str">
            <v>44</v>
          </cell>
          <cell r="N101" t="str">
            <v>08</v>
          </cell>
          <cell r="O101" t="str">
            <v>10</v>
          </cell>
          <cell r="P101" t="str">
            <v>21</v>
          </cell>
          <cell r="Q101" t="str">
            <v>12</v>
          </cell>
          <cell r="R101" t="str">
            <v>06</v>
          </cell>
          <cell r="S101" t="str">
            <v>09</v>
          </cell>
        </row>
        <row r="102">
          <cell r="A102" t="str">
            <v>VIDRO 169X690X4</v>
          </cell>
          <cell r="B102">
            <v>121077</v>
          </cell>
          <cell r="C102">
            <v>181021077</v>
          </cell>
          <cell r="D102" t="str">
            <v>05</v>
          </cell>
          <cell r="E102" t="str">
            <v>26</v>
          </cell>
          <cell r="F102" t="str">
            <v>27</v>
          </cell>
          <cell r="G102">
            <v>25</v>
          </cell>
          <cell r="H102">
            <v>28</v>
          </cell>
          <cell r="I102">
            <v>19</v>
          </cell>
          <cell r="J102" t="str">
            <v>13</v>
          </cell>
          <cell r="K102" t="str">
            <v>15</v>
          </cell>
          <cell r="L102" t="str">
            <v>38</v>
          </cell>
          <cell r="M102" t="str">
            <v>44</v>
          </cell>
          <cell r="N102" t="str">
            <v>08</v>
          </cell>
          <cell r="O102" t="str">
            <v>10</v>
          </cell>
          <cell r="P102" t="str">
            <v>21</v>
          </cell>
          <cell r="Q102" t="str">
            <v>12</v>
          </cell>
          <cell r="R102" t="str">
            <v>06</v>
          </cell>
          <cell r="S102" t="str">
            <v>09</v>
          </cell>
        </row>
        <row r="103">
          <cell r="A103" t="str">
            <v>VIDRO 169X790X4</v>
          </cell>
          <cell r="B103">
            <v>121078</v>
          </cell>
          <cell r="C103">
            <v>181021078</v>
          </cell>
          <cell r="D103" t="str">
            <v>05</v>
          </cell>
          <cell r="E103" t="str">
            <v>26</v>
          </cell>
          <cell r="F103" t="str">
            <v>27</v>
          </cell>
          <cell r="G103">
            <v>25</v>
          </cell>
          <cell r="H103">
            <v>28</v>
          </cell>
          <cell r="I103">
            <v>19</v>
          </cell>
          <cell r="J103" t="str">
            <v>13</v>
          </cell>
          <cell r="K103" t="str">
            <v>15</v>
          </cell>
          <cell r="L103" t="str">
            <v>38</v>
          </cell>
          <cell r="M103" t="str">
            <v>44</v>
          </cell>
          <cell r="N103" t="str">
            <v>08</v>
          </cell>
          <cell r="O103" t="str">
            <v>10</v>
          </cell>
          <cell r="P103" t="str">
            <v>21</v>
          </cell>
          <cell r="Q103" t="str">
            <v>12</v>
          </cell>
          <cell r="R103" t="str">
            <v>06</v>
          </cell>
          <cell r="S103" t="str">
            <v>09</v>
          </cell>
        </row>
        <row r="104">
          <cell r="A104" t="str">
            <v>VIDRO 169X890X4</v>
          </cell>
          <cell r="B104">
            <v>121079</v>
          </cell>
          <cell r="C104">
            <v>181021079</v>
          </cell>
          <cell r="D104" t="str">
            <v>05</v>
          </cell>
          <cell r="E104" t="str">
            <v>26</v>
          </cell>
          <cell r="F104" t="str">
            <v>27</v>
          </cell>
          <cell r="G104">
            <v>25</v>
          </cell>
          <cell r="H104">
            <v>28</v>
          </cell>
          <cell r="I104">
            <v>19</v>
          </cell>
          <cell r="J104" t="str">
            <v>13</v>
          </cell>
          <cell r="K104" t="str">
            <v>15</v>
          </cell>
          <cell r="L104" t="str">
            <v>38</v>
          </cell>
          <cell r="M104" t="str">
            <v>44</v>
          </cell>
          <cell r="N104" t="str">
            <v>08</v>
          </cell>
          <cell r="O104" t="str">
            <v>10</v>
          </cell>
          <cell r="P104" t="str">
            <v>21</v>
          </cell>
          <cell r="Q104" t="str">
            <v>12</v>
          </cell>
          <cell r="R104" t="str">
            <v>06</v>
          </cell>
          <cell r="S104" t="str">
            <v>09</v>
          </cell>
        </row>
        <row r="105">
          <cell r="A105" t="str">
            <v>VIDRO 169X990X4</v>
          </cell>
          <cell r="B105">
            <v>121080</v>
          </cell>
          <cell r="C105">
            <v>181021080</v>
          </cell>
          <cell r="D105" t="str">
            <v>05</v>
          </cell>
          <cell r="E105" t="str">
            <v>26</v>
          </cell>
          <cell r="F105" t="str">
            <v>27</v>
          </cell>
          <cell r="G105">
            <v>25</v>
          </cell>
          <cell r="H105">
            <v>28</v>
          </cell>
          <cell r="I105">
            <v>19</v>
          </cell>
          <cell r="J105" t="str">
            <v>13</v>
          </cell>
          <cell r="K105" t="str">
            <v>15</v>
          </cell>
          <cell r="L105" t="str">
            <v>38</v>
          </cell>
          <cell r="M105" t="str">
            <v>44</v>
          </cell>
          <cell r="N105" t="str">
            <v>08</v>
          </cell>
          <cell r="O105" t="str">
            <v>10</v>
          </cell>
          <cell r="P105" t="str">
            <v>21</v>
          </cell>
          <cell r="Q105" t="str">
            <v>12</v>
          </cell>
          <cell r="R105" t="str">
            <v>06</v>
          </cell>
          <cell r="S105" t="str">
            <v>09</v>
          </cell>
        </row>
        <row r="106">
          <cell r="A106" t="str">
            <v>VIDRO 169X1090X4</v>
          </cell>
          <cell r="B106">
            <v>121081</v>
          </cell>
          <cell r="C106">
            <v>181021081</v>
          </cell>
          <cell r="D106" t="str">
            <v>05</v>
          </cell>
          <cell r="E106" t="str">
            <v>26</v>
          </cell>
          <cell r="F106" t="str">
            <v>27</v>
          </cell>
          <cell r="G106">
            <v>25</v>
          </cell>
          <cell r="H106">
            <v>28</v>
          </cell>
          <cell r="I106">
            <v>19</v>
          </cell>
          <cell r="J106" t="str">
            <v>13</v>
          </cell>
          <cell r="K106" t="str">
            <v>15</v>
          </cell>
          <cell r="L106" t="str">
            <v>38</v>
          </cell>
          <cell r="M106" t="str">
            <v>44</v>
          </cell>
          <cell r="N106" t="str">
            <v>08</v>
          </cell>
          <cell r="O106" t="str">
            <v>10</v>
          </cell>
          <cell r="P106" t="str">
            <v>21</v>
          </cell>
          <cell r="Q106" t="str">
            <v>12</v>
          </cell>
          <cell r="R106" t="str">
            <v>06</v>
          </cell>
          <cell r="S106" t="str">
            <v>09</v>
          </cell>
        </row>
        <row r="107">
          <cell r="A107" t="str">
            <v>VIDRO 169X1190X4</v>
          </cell>
          <cell r="B107">
            <v>121082</v>
          </cell>
          <cell r="C107">
            <v>181021082</v>
          </cell>
          <cell r="D107" t="str">
            <v>05</v>
          </cell>
          <cell r="E107" t="str">
            <v>26</v>
          </cell>
          <cell r="F107" t="str">
            <v>27</v>
          </cell>
          <cell r="G107">
            <v>25</v>
          </cell>
          <cell r="H107">
            <v>28</v>
          </cell>
          <cell r="I107">
            <v>19</v>
          </cell>
          <cell r="J107" t="str">
            <v>13</v>
          </cell>
          <cell r="K107" t="str">
            <v>15</v>
          </cell>
          <cell r="L107" t="str">
            <v>38</v>
          </cell>
          <cell r="M107" t="str">
            <v>44</v>
          </cell>
          <cell r="N107" t="str">
            <v>08</v>
          </cell>
          <cell r="O107" t="str">
            <v>10</v>
          </cell>
          <cell r="P107" t="str">
            <v>21</v>
          </cell>
          <cell r="Q107" t="str">
            <v>12</v>
          </cell>
          <cell r="R107" t="str">
            <v>06</v>
          </cell>
          <cell r="S107" t="str">
            <v>09</v>
          </cell>
        </row>
        <row r="108">
          <cell r="A108" t="str">
            <v>VIDRO 169X1390X4</v>
          </cell>
          <cell r="B108">
            <v>121083</v>
          </cell>
          <cell r="C108">
            <v>181021083</v>
          </cell>
          <cell r="D108" t="str">
            <v>05</v>
          </cell>
          <cell r="E108" t="str">
            <v>26</v>
          </cell>
          <cell r="F108" t="str">
            <v>27</v>
          </cell>
          <cell r="G108">
            <v>25</v>
          </cell>
          <cell r="H108">
            <v>28</v>
          </cell>
          <cell r="I108">
            <v>19</v>
          </cell>
          <cell r="J108" t="str">
            <v>13</v>
          </cell>
          <cell r="K108" t="str">
            <v>15</v>
          </cell>
          <cell r="L108" t="str">
            <v>38</v>
          </cell>
          <cell r="M108" t="str">
            <v>44</v>
          </cell>
          <cell r="N108" t="str">
            <v>08</v>
          </cell>
          <cell r="O108" t="str">
            <v>10</v>
          </cell>
          <cell r="P108" t="str">
            <v>21</v>
          </cell>
          <cell r="Q108" t="str">
            <v>12</v>
          </cell>
          <cell r="R108" t="str">
            <v>06</v>
          </cell>
          <cell r="S108" t="str">
            <v>09</v>
          </cell>
        </row>
        <row r="109">
          <cell r="A109" t="str">
            <v>VIDRO 349X390X4</v>
          </cell>
          <cell r="B109">
            <v>121084</v>
          </cell>
          <cell r="C109">
            <v>181021084</v>
          </cell>
          <cell r="D109" t="str">
            <v>05</v>
          </cell>
          <cell r="E109" t="str">
            <v>26</v>
          </cell>
          <cell r="F109" t="str">
            <v>27</v>
          </cell>
          <cell r="G109">
            <v>25</v>
          </cell>
          <cell r="H109">
            <v>28</v>
          </cell>
          <cell r="I109">
            <v>19</v>
          </cell>
          <cell r="J109" t="str">
            <v>13</v>
          </cell>
          <cell r="K109" t="str">
            <v>15</v>
          </cell>
          <cell r="L109" t="str">
            <v>38</v>
          </cell>
          <cell r="M109" t="str">
            <v>44</v>
          </cell>
          <cell r="N109" t="str">
            <v>08</v>
          </cell>
          <cell r="O109" t="str">
            <v>10</v>
          </cell>
          <cell r="P109" t="str">
            <v>21</v>
          </cell>
          <cell r="Q109" t="str">
            <v>12</v>
          </cell>
          <cell r="R109" t="str">
            <v>06</v>
          </cell>
          <cell r="S109" t="str">
            <v>09</v>
          </cell>
        </row>
        <row r="110">
          <cell r="A110" t="str">
            <v>VIDRO 349X440X4</v>
          </cell>
          <cell r="B110">
            <v>121085</v>
          </cell>
          <cell r="C110">
            <v>181021085</v>
          </cell>
          <cell r="D110" t="str">
            <v>05</v>
          </cell>
          <cell r="E110" t="str">
            <v>26</v>
          </cell>
          <cell r="F110" t="str">
            <v>27</v>
          </cell>
          <cell r="G110">
            <v>25</v>
          </cell>
          <cell r="H110">
            <v>28</v>
          </cell>
          <cell r="I110">
            <v>19</v>
          </cell>
          <cell r="J110" t="str">
            <v>13</v>
          </cell>
          <cell r="K110" t="str">
            <v>15</v>
          </cell>
          <cell r="L110" t="str">
            <v>38</v>
          </cell>
          <cell r="M110" t="str">
            <v>44</v>
          </cell>
          <cell r="N110" t="str">
            <v>08</v>
          </cell>
          <cell r="O110" t="str">
            <v>10</v>
          </cell>
          <cell r="P110" t="str">
            <v>21</v>
          </cell>
          <cell r="Q110" t="str">
            <v>12</v>
          </cell>
          <cell r="R110" t="str">
            <v>06</v>
          </cell>
          <cell r="S110" t="str">
            <v>09</v>
          </cell>
        </row>
        <row r="111">
          <cell r="A111" t="str">
            <v>VIDRO 349X490X4</v>
          </cell>
          <cell r="B111">
            <v>121086</v>
          </cell>
          <cell r="C111">
            <v>181021086</v>
          </cell>
          <cell r="D111" t="str">
            <v>05</v>
          </cell>
          <cell r="E111" t="str">
            <v>26</v>
          </cell>
          <cell r="F111" t="str">
            <v>27</v>
          </cell>
          <cell r="G111">
            <v>25</v>
          </cell>
          <cell r="H111">
            <v>28</v>
          </cell>
          <cell r="I111">
            <v>19</v>
          </cell>
          <cell r="J111" t="str">
            <v>13</v>
          </cell>
          <cell r="K111" t="str">
            <v>15</v>
          </cell>
          <cell r="L111" t="str">
            <v>38</v>
          </cell>
          <cell r="M111" t="str">
            <v>44</v>
          </cell>
          <cell r="N111" t="str">
            <v>08</v>
          </cell>
          <cell r="O111" t="str">
            <v>10</v>
          </cell>
          <cell r="P111" t="str">
            <v>21</v>
          </cell>
          <cell r="Q111" t="str">
            <v>12</v>
          </cell>
          <cell r="R111" t="str">
            <v>06</v>
          </cell>
          <cell r="S111" t="str">
            <v>09</v>
          </cell>
        </row>
        <row r="112">
          <cell r="A112" t="str">
            <v>VIDRO 349X540X4</v>
          </cell>
          <cell r="B112">
            <v>121087</v>
          </cell>
          <cell r="C112">
            <v>181021087</v>
          </cell>
          <cell r="D112" t="str">
            <v>05</v>
          </cell>
          <cell r="E112" t="str">
            <v>26</v>
          </cell>
          <cell r="F112" t="str">
            <v>27</v>
          </cell>
          <cell r="G112">
            <v>25</v>
          </cell>
          <cell r="H112">
            <v>28</v>
          </cell>
          <cell r="I112">
            <v>19</v>
          </cell>
          <cell r="J112" t="str">
            <v>13</v>
          </cell>
          <cell r="K112" t="str">
            <v>15</v>
          </cell>
          <cell r="L112" t="str">
            <v>38</v>
          </cell>
          <cell r="M112" t="str">
            <v>44</v>
          </cell>
          <cell r="N112" t="str">
            <v>08</v>
          </cell>
          <cell r="O112" t="str">
            <v>10</v>
          </cell>
          <cell r="P112" t="str">
            <v>21</v>
          </cell>
          <cell r="Q112" t="str">
            <v>12</v>
          </cell>
          <cell r="R112" t="str">
            <v>06</v>
          </cell>
          <cell r="S112" t="str">
            <v>09</v>
          </cell>
        </row>
        <row r="113">
          <cell r="A113" t="str">
            <v>VIDRO 889X889X4</v>
          </cell>
          <cell r="B113">
            <v>121145</v>
          </cell>
          <cell r="C113">
            <v>181021145</v>
          </cell>
          <cell r="D113" t="str">
            <v>05</v>
          </cell>
          <cell r="E113" t="str">
            <v>26</v>
          </cell>
          <cell r="F113" t="str">
            <v>27</v>
          </cell>
          <cell r="G113">
            <v>25</v>
          </cell>
          <cell r="H113">
            <v>28</v>
          </cell>
          <cell r="I113">
            <v>19</v>
          </cell>
          <cell r="J113" t="str">
            <v>13</v>
          </cell>
          <cell r="K113" t="str">
            <v>15</v>
          </cell>
          <cell r="L113" t="str">
            <v>38</v>
          </cell>
          <cell r="M113" t="str">
            <v>44</v>
          </cell>
          <cell r="N113" t="str">
            <v>08</v>
          </cell>
          <cell r="O113" t="str">
            <v>10</v>
          </cell>
          <cell r="P113" t="str">
            <v>21</v>
          </cell>
          <cell r="Q113" t="str">
            <v>12</v>
          </cell>
          <cell r="R113" t="str">
            <v>06</v>
          </cell>
          <cell r="S113" t="str">
            <v>09</v>
          </cell>
        </row>
        <row r="114">
          <cell r="A114" t="str">
            <v>VIDRO 889X990X4</v>
          </cell>
          <cell r="B114">
            <v>121146</v>
          </cell>
          <cell r="C114">
            <v>181021146</v>
          </cell>
          <cell r="D114" t="str">
            <v>05</v>
          </cell>
          <cell r="E114" t="str">
            <v>26</v>
          </cell>
          <cell r="F114" t="str">
            <v>27</v>
          </cell>
          <cell r="G114">
            <v>25</v>
          </cell>
          <cell r="H114">
            <v>28</v>
          </cell>
          <cell r="I114">
            <v>19</v>
          </cell>
          <cell r="J114" t="str">
            <v>13</v>
          </cell>
          <cell r="K114" t="str">
            <v>15</v>
          </cell>
          <cell r="L114" t="str">
            <v>38</v>
          </cell>
          <cell r="M114" t="str">
            <v>44</v>
          </cell>
          <cell r="N114" t="str">
            <v>08</v>
          </cell>
          <cell r="O114" t="str">
            <v>10</v>
          </cell>
          <cell r="P114" t="str">
            <v>21</v>
          </cell>
          <cell r="Q114" t="str">
            <v>12</v>
          </cell>
          <cell r="R114" t="str">
            <v>06</v>
          </cell>
          <cell r="S114" t="str">
            <v>09</v>
          </cell>
        </row>
        <row r="115">
          <cell r="A115" t="str">
            <v>VIDRO 889X1090X4</v>
          </cell>
          <cell r="B115">
            <v>121147</v>
          </cell>
          <cell r="C115">
            <v>181021147</v>
          </cell>
          <cell r="D115" t="str">
            <v>05</v>
          </cell>
          <cell r="E115" t="str">
            <v>26</v>
          </cell>
          <cell r="F115" t="str">
            <v>27</v>
          </cell>
          <cell r="G115">
            <v>25</v>
          </cell>
          <cell r="H115">
            <v>28</v>
          </cell>
          <cell r="I115">
            <v>19</v>
          </cell>
          <cell r="J115" t="str">
            <v>13</v>
          </cell>
          <cell r="K115" t="str">
            <v>15</v>
          </cell>
          <cell r="L115" t="str">
            <v>38</v>
          </cell>
          <cell r="M115" t="str">
            <v>44</v>
          </cell>
          <cell r="N115" t="str">
            <v>08</v>
          </cell>
          <cell r="O115" t="str">
            <v>10</v>
          </cell>
          <cell r="P115" t="str">
            <v>21</v>
          </cell>
          <cell r="Q115" t="str">
            <v>12</v>
          </cell>
          <cell r="R115" t="str">
            <v>06</v>
          </cell>
          <cell r="S115" t="str">
            <v>09</v>
          </cell>
        </row>
        <row r="116">
          <cell r="A116" t="str">
            <v>VIDRO 889X1190X4</v>
          </cell>
          <cell r="B116">
            <v>121148</v>
          </cell>
          <cell r="C116">
            <v>181021148</v>
          </cell>
          <cell r="D116" t="str">
            <v>05</v>
          </cell>
          <cell r="E116" t="str">
            <v>26</v>
          </cell>
          <cell r="F116" t="str">
            <v>27</v>
          </cell>
          <cell r="G116">
            <v>25</v>
          </cell>
          <cell r="H116">
            <v>28</v>
          </cell>
          <cell r="I116">
            <v>19</v>
          </cell>
          <cell r="J116" t="str">
            <v>13</v>
          </cell>
          <cell r="K116" t="str">
            <v>15</v>
          </cell>
          <cell r="L116" t="str">
            <v>38</v>
          </cell>
          <cell r="M116" t="str">
            <v>44</v>
          </cell>
          <cell r="N116" t="str">
            <v>08</v>
          </cell>
          <cell r="O116" t="str">
            <v>10</v>
          </cell>
          <cell r="P116" t="str">
            <v>21</v>
          </cell>
          <cell r="Q116" t="str">
            <v>12</v>
          </cell>
          <cell r="R116" t="str">
            <v>06</v>
          </cell>
          <cell r="S116" t="str">
            <v>09</v>
          </cell>
        </row>
        <row r="117">
          <cell r="A117" t="str">
            <v>VIDRO 1069X890X4</v>
          </cell>
          <cell r="B117">
            <v>121149</v>
          </cell>
          <cell r="C117">
            <v>181021149</v>
          </cell>
          <cell r="D117" t="str">
            <v>05</v>
          </cell>
          <cell r="E117" t="str">
            <v>26</v>
          </cell>
          <cell r="F117" t="str">
            <v>27</v>
          </cell>
          <cell r="G117">
            <v>25</v>
          </cell>
          <cell r="H117">
            <v>28</v>
          </cell>
          <cell r="I117">
            <v>19</v>
          </cell>
          <cell r="J117" t="str">
            <v>13</v>
          </cell>
          <cell r="K117" t="str">
            <v>15</v>
          </cell>
          <cell r="L117" t="str">
            <v>38</v>
          </cell>
          <cell r="M117" t="str">
            <v>44</v>
          </cell>
          <cell r="N117" t="str">
            <v>08</v>
          </cell>
          <cell r="O117" t="str">
            <v>10</v>
          </cell>
          <cell r="P117" t="str">
            <v>21</v>
          </cell>
          <cell r="Q117" t="str">
            <v>12</v>
          </cell>
          <cell r="R117" t="str">
            <v>06</v>
          </cell>
          <cell r="S117" t="str">
            <v>09</v>
          </cell>
        </row>
        <row r="118">
          <cell r="A118" t="str">
            <v>VIDRO 1069X990X4</v>
          </cell>
          <cell r="B118">
            <v>121150</v>
          </cell>
          <cell r="C118">
            <v>181021150</v>
          </cell>
          <cell r="D118" t="str">
            <v>05</v>
          </cell>
          <cell r="E118" t="str">
            <v>26</v>
          </cell>
          <cell r="F118" t="str">
            <v>27</v>
          </cell>
          <cell r="G118">
            <v>25</v>
          </cell>
          <cell r="H118">
            <v>28</v>
          </cell>
          <cell r="I118">
            <v>19</v>
          </cell>
          <cell r="J118" t="str">
            <v>13</v>
          </cell>
          <cell r="K118" t="str">
            <v>15</v>
          </cell>
          <cell r="L118" t="str">
            <v>38</v>
          </cell>
          <cell r="M118" t="str">
            <v>44</v>
          </cell>
          <cell r="N118" t="str">
            <v>08</v>
          </cell>
          <cell r="O118" t="str">
            <v>10</v>
          </cell>
          <cell r="P118" t="str">
            <v>21</v>
          </cell>
          <cell r="Q118" t="str">
            <v>12</v>
          </cell>
          <cell r="R118" t="str">
            <v>06</v>
          </cell>
          <cell r="S118" t="str">
            <v>09</v>
          </cell>
        </row>
        <row r="119">
          <cell r="A119" t="str">
            <v>VIDRO 1069X1090X4</v>
          </cell>
          <cell r="B119">
            <v>121151</v>
          </cell>
          <cell r="C119">
            <v>181021151</v>
          </cell>
          <cell r="D119" t="str">
            <v>05</v>
          </cell>
          <cell r="E119" t="str">
            <v>26</v>
          </cell>
          <cell r="F119" t="str">
            <v>27</v>
          </cell>
          <cell r="G119">
            <v>25</v>
          </cell>
          <cell r="H119">
            <v>28</v>
          </cell>
          <cell r="I119">
            <v>19</v>
          </cell>
          <cell r="J119" t="str">
            <v>13</v>
          </cell>
          <cell r="K119" t="str">
            <v>15</v>
          </cell>
          <cell r="L119" t="str">
            <v>38</v>
          </cell>
          <cell r="M119" t="str">
            <v>44</v>
          </cell>
          <cell r="N119" t="str">
            <v>08</v>
          </cell>
          <cell r="O119" t="str">
            <v>10</v>
          </cell>
          <cell r="P119" t="str">
            <v>21</v>
          </cell>
          <cell r="Q119" t="str">
            <v>12</v>
          </cell>
          <cell r="R119" t="str">
            <v>06</v>
          </cell>
          <cell r="S119" t="str">
            <v>09</v>
          </cell>
        </row>
        <row r="120">
          <cell r="A120" t="str">
            <v>VIDRO 510X612X4</v>
          </cell>
          <cell r="B120">
            <v>121120</v>
          </cell>
          <cell r="C120">
            <v>181021120</v>
          </cell>
          <cell r="D120" t="str">
            <v>05</v>
          </cell>
          <cell r="E120" t="str">
            <v>26</v>
          </cell>
          <cell r="F120" t="str">
            <v>27</v>
          </cell>
          <cell r="G120">
            <v>25</v>
          </cell>
          <cell r="H120">
            <v>28</v>
          </cell>
          <cell r="I120">
            <v>19</v>
          </cell>
          <cell r="J120" t="str">
            <v>13</v>
          </cell>
          <cell r="K120" t="str">
            <v>15</v>
          </cell>
          <cell r="L120" t="str">
            <v>38</v>
          </cell>
          <cell r="M120" t="str">
            <v>44</v>
          </cell>
          <cell r="N120" t="str">
            <v>08</v>
          </cell>
          <cell r="O120" t="str">
            <v>10</v>
          </cell>
          <cell r="P120" t="str">
            <v>21</v>
          </cell>
          <cell r="Q120" t="str">
            <v>12</v>
          </cell>
          <cell r="R120" t="str">
            <v>06</v>
          </cell>
          <cell r="S120" t="str">
            <v>09</v>
          </cell>
        </row>
        <row r="121">
          <cell r="A121" t="str">
            <v>VIDRO 510X712X4</v>
          </cell>
          <cell r="B121">
            <v>121121</v>
          </cell>
          <cell r="C121">
            <v>181021121</v>
          </cell>
          <cell r="D121" t="str">
            <v>05</v>
          </cell>
          <cell r="E121" t="str">
            <v>26</v>
          </cell>
          <cell r="F121" t="str">
            <v>27</v>
          </cell>
          <cell r="G121">
            <v>25</v>
          </cell>
          <cell r="H121">
            <v>28</v>
          </cell>
          <cell r="I121">
            <v>19</v>
          </cell>
          <cell r="J121" t="str">
            <v>13</v>
          </cell>
          <cell r="K121" t="str">
            <v>15</v>
          </cell>
          <cell r="L121" t="str">
            <v>38</v>
          </cell>
          <cell r="M121" t="str">
            <v>44</v>
          </cell>
          <cell r="N121" t="str">
            <v>08</v>
          </cell>
          <cell r="O121" t="str">
            <v>10</v>
          </cell>
          <cell r="P121" t="str">
            <v>21</v>
          </cell>
          <cell r="Q121" t="str">
            <v>12</v>
          </cell>
          <cell r="R121" t="str">
            <v>06</v>
          </cell>
          <cell r="S121" t="str">
            <v>09</v>
          </cell>
        </row>
        <row r="122">
          <cell r="A122" t="str">
            <v>VIDRO 510X812X4</v>
          </cell>
          <cell r="B122">
            <v>121122</v>
          </cell>
          <cell r="C122">
            <v>181021122</v>
          </cell>
          <cell r="D122" t="str">
            <v>05</v>
          </cell>
          <cell r="E122" t="str">
            <v>26</v>
          </cell>
          <cell r="F122" t="str">
            <v>27</v>
          </cell>
          <cell r="G122">
            <v>25</v>
          </cell>
          <cell r="H122">
            <v>28</v>
          </cell>
          <cell r="I122">
            <v>19</v>
          </cell>
          <cell r="J122" t="str">
            <v>13</v>
          </cell>
          <cell r="K122" t="str">
            <v>15</v>
          </cell>
          <cell r="L122" t="str">
            <v>38</v>
          </cell>
          <cell r="M122" t="str">
            <v>44</v>
          </cell>
          <cell r="N122" t="str">
            <v>08</v>
          </cell>
          <cell r="O122" t="str">
            <v>10</v>
          </cell>
          <cell r="P122" t="str">
            <v>21</v>
          </cell>
          <cell r="Q122" t="str">
            <v>12</v>
          </cell>
          <cell r="R122" t="str">
            <v>06</v>
          </cell>
          <cell r="S122" t="str">
            <v>09</v>
          </cell>
        </row>
        <row r="123">
          <cell r="A123" t="str">
            <v>VIDRO 510X912X4</v>
          </cell>
          <cell r="B123">
            <v>121123</v>
          </cell>
          <cell r="C123">
            <v>181021123</v>
          </cell>
          <cell r="D123" t="str">
            <v>05</v>
          </cell>
          <cell r="E123" t="str">
            <v>26</v>
          </cell>
          <cell r="F123" t="str">
            <v>27</v>
          </cell>
          <cell r="G123">
            <v>25</v>
          </cell>
          <cell r="H123">
            <v>28</v>
          </cell>
          <cell r="I123">
            <v>19</v>
          </cell>
          <cell r="J123" t="str">
            <v>13</v>
          </cell>
          <cell r="K123" t="str">
            <v>15</v>
          </cell>
          <cell r="L123" t="str">
            <v>38</v>
          </cell>
          <cell r="M123" t="str">
            <v>44</v>
          </cell>
          <cell r="N123" t="str">
            <v>08</v>
          </cell>
          <cell r="O123" t="str">
            <v>10</v>
          </cell>
          <cell r="P123" t="str">
            <v>21</v>
          </cell>
          <cell r="Q123" t="str">
            <v>12</v>
          </cell>
          <cell r="R123" t="str">
            <v>06</v>
          </cell>
          <cell r="S123" t="str">
            <v>09</v>
          </cell>
        </row>
        <row r="124">
          <cell r="A124" t="str">
            <v>VIDRO 510X1012X4</v>
          </cell>
          <cell r="B124">
            <v>121124</v>
          </cell>
          <cell r="C124">
            <v>181021124</v>
          </cell>
          <cell r="D124" t="str">
            <v>05</v>
          </cell>
          <cell r="E124" t="str">
            <v>26</v>
          </cell>
          <cell r="F124" t="str">
            <v>27</v>
          </cell>
          <cell r="G124">
            <v>25</v>
          </cell>
          <cell r="H124">
            <v>28</v>
          </cell>
          <cell r="I124">
            <v>19</v>
          </cell>
          <cell r="J124" t="str">
            <v>13</v>
          </cell>
          <cell r="K124" t="str">
            <v>15</v>
          </cell>
          <cell r="L124" t="str">
            <v>38</v>
          </cell>
          <cell r="M124" t="str">
            <v>44</v>
          </cell>
          <cell r="N124" t="str">
            <v>08</v>
          </cell>
          <cell r="O124" t="str">
            <v>10</v>
          </cell>
          <cell r="P124" t="str">
            <v>21</v>
          </cell>
          <cell r="Q124" t="str">
            <v>12</v>
          </cell>
          <cell r="R124" t="str">
            <v>06</v>
          </cell>
          <cell r="S124" t="str">
            <v>09</v>
          </cell>
        </row>
        <row r="125">
          <cell r="A125" t="str">
            <v>VIDRO 510X1112X4</v>
          </cell>
          <cell r="B125">
            <v>121125</v>
          </cell>
          <cell r="C125">
            <v>181021125</v>
          </cell>
          <cell r="D125" t="str">
            <v>05</v>
          </cell>
          <cell r="E125" t="str">
            <v>26</v>
          </cell>
          <cell r="F125" t="str">
            <v>27</v>
          </cell>
          <cell r="G125">
            <v>25</v>
          </cell>
          <cell r="H125">
            <v>28</v>
          </cell>
          <cell r="I125">
            <v>19</v>
          </cell>
          <cell r="J125" t="str">
            <v>13</v>
          </cell>
          <cell r="K125" t="str">
            <v>15</v>
          </cell>
          <cell r="L125" t="str">
            <v>38</v>
          </cell>
          <cell r="M125" t="str">
            <v>44</v>
          </cell>
          <cell r="N125" t="str">
            <v>08</v>
          </cell>
          <cell r="O125" t="str">
            <v>10</v>
          </cell>
          <cell r="P125" t="str">
            <v>21</v>
          </cell>
          <cell r="Q125" t="str">
            <v>12</v>
          </cell>
          <cell r="R125" t="str">
            <v>06</v>
          </cell>
          <cell r="S125" t="str">
            <v>09</v>
          </cell>
        </row>
        <row r="126">
          <cell r="A126" t="str">
            <v>VIDRO 510X1212X4</v>
          </cell>
          <cell r="B126">
            <v>121126</v>
          </cell>
          <cell r="C126">
            <v>181021126</v>
          </cell>
          <cell r="D126" t="str">
            <v>05</v>
          </cell>
          <cell r="E126" t="str">
            <v>26</v>
          </cell>
          <cell r="F126" t="str">
            <v>27</v>
          </cell>
          <cell r="G126">
            <v>25</v>
          </cell>
          <cell r="H126">
            <v>28</v>
          </cell>
          <cell r="I126">
            <v>19</v>
          </cell>
          <cell r="J126" t="str">
            <v>13</v>
          </cell>
          <cell r="K126" t="str">
            <v>15</v>
          </cell>
          <cell r="L126" t="str">
            <v>38</v>
          </cell>
          <cell r="M126" t="str">
            <v>44</v>
          </cell>
          <cell r="N126" t="str">
            <v>08</v>
          </cell>
          <cell r="O126" t="str">
            <v>10</v>
          </cell>
          <cell r="P126" t="str">
            <v>21</v>
          </cell>
          <cell r="Q126" t="str">
            <v>12</v>
          </cell>
          <cell r="R126" t="str">
            <v>06</v>
          </cell>
          <cell r="S126" t="str">
            <v>09</v>
          </cell>
        </row>
        <row r="127">
          <cell r="A127" t="str">
            <v>VIDRO 690X612X4</v>
          </cell>
          <cell r="B127">
            <v>121127</v>
          </cell>
          <cell r="C127">
            <v>181021127</v>
          </cell>
          <cell r="D127" t="str">
            <v>05</v>
          </cell>
          <cell r="E127" t="str">
            <v>26</v>
          </cell>
          <cell r="F127" t="str">
            <v>27</v>
          </cell>
          <cell r="G127">
            <v>25</v>
          </cell>
          <cell r="H127">
            <v>28</v>
          </cell>
          <cell r="I127">
            <v>19</v>
          </cell>
          <cell r="J127" t="str">
            <v>13</v>
          </cell>
          <cell r="K127" t="str">
            <v>15</v>
          </cell>
          <cell r="L127" t="str">
            <v>38</v>
          </cell>
          <cell r="M127" t="str">
            <v>44</v>
          </cell>
          <cell r="N127" t="str">
            <v>08</v>
          </cell>
          <cell r="O127" t="str">
            <v>10</v>
          </cell>
          <cell r="P127" t="str">
            <v>21</v>
          </cell>
          <cell r="Q127" t="str">
            <v>12</v>
          </cell>
          <cell r="R127" t="str">
            <v>06</v>
          </cell>
          <cell r="S127" t="str">
            <v>09</v>
          </cell>
        </row>
        <row r="128">
          <cell r="A128" t="str">
            <v>VIDRO 690X712X4</v>
          </cell>
          <cell r="B128">
            <v>121128</v>
          </cell>
          <cell r="C128">
            <v>181021128</v>
          </cell>
          <cell r="D128" t="str">
            <v>05</v>
          </cell>
          <cell r="E128" t="str">
            <v>26</v>
          </cell>
          <cell r="F128" t="str">
            <v>27</v>
          </cell>
          <cell r="G128">
            <v>25</v>
          </cell>
          <cell r="H128">
            <v>28</v>
          </cell>
          <cell r="I128">
            <v>19</v>
          </cell>
          <cell r="J128" t="str">
            <v>13</v>
          </cell>
          <cell r="K128" t="str">
            <v>15</v>
          </cell>
          <cell r="L128" t="str">
            <v>38</v>
          </cell>
          <cell r="M128" t="str">
            <v>44</v>
          </cell>
          <cell r="N128" t="str">
            <v>08</v>
          </cell>
          <cell r="O128" t="str">
            <v>10</v>
          </cell>
          <cell r="P128" t="str">
            <v>21</v>
          </cell>
          <cell r="Q128" t="str">
            <v>12</v>
          </cell>
          <cell r="R128" t="str">
            <v>06</v>
          </cell>
          <cell r="S128" t="str">
            <v>09</v>
          </cell>
        </row>
        <row r="129">
          <cell r="A129" t="str">
            <v>VIDRO 690X812X4</v>
          </cell>
          <cell r="B129">
            <v>121129</v>
          </cell>
          <cell r="C129">
            <v>181021129</v>
          </cell>
          <cell r="D129" t="str">
            <v>05</v>
          </cell>
          <cell r="E129" t="str">
            <v>26</v>
          </cell>
          <cell r="F129" t="str">
            <v>27</v>
          </cell>
          <cell r="G129">
            <v>25</v>
          </cell>
          <cell r="H129">
            <v>28</v>
          </cell>
          <cell r="I129">
            <v>19</v>
          </cell>
          <cell r="J129" t="str">
            <v>13</v>
          </cell>
          <cell r="K129" t="str">
            <v>15</v>
          </cell>
          <cell r="L129" t="str">
            <v>38</v>
          </cell>
          <cell r="M129" t="str">
            <v>44</v>
          </cell>
          <cell r="N129" t="str">
            <v>08</v>
          </cell>
          <cell r="O129" t="str">
            <v>10</v>
          </cell>
          <cell r="P129" t="str">
            <v>21</v>
          </cell>
          <cell r="Q129" t="str">
            <v>12</v>
          </cell>
          <cell r="R129" t="str">
            <v>06</v>
          </cell>
          <cell r="S129" t="str">
            <v>09</v>
          </cell>
        </row>
        <row r="130">
          <cell r="A130" t="str">
            <v>VIDRO 690X912X4</v>
          </cell>
          <cell r="B130">
            <v>121130</v>
          </cell>
          <cell r="C130">
            <v>181021130</v>
          </cell>
          <cell r="D130" t="str">
            <v>05</v>
          </cell>
          <cell r="E130" t="str">
            <v>26</v>
          </cell>
          <cell r="F130" t="str">
            <v>27</v>
          </cell>
          <cell r="G130">
            <v>25</v>
          </cell>
          <cell r="H130">
            <v>28</v>
          </cell>
          <cell r="I130">
            <v>19</v>
          </cell>
          <cell r="J130" t="str">
            <v>13</v>
          </cell>
          <cell r="K130" t="str">
            <v>15</v>
          </cell>
          <cell r="L130" t="str">
            <v>38</v>
          </cell>
          <cell r="M130" t="str">
            <v>44</v>
          </cell>
          <cell r="N130" t="str">
            <v>08</v>
          </cell>
          <cell r="O130" t="str">
            <v>10</v>
          </cell>
          <cell r="P130" t="str">
            <v>21</v>
          </cell>
          <cell r="Q130" t="str">
            <v>12</v>
          </cell>
          <cell r="R130" t="str">
            <v>06</v>
          </cell>
          <cell r="S130" t="str">
            <v>09</v>
          </cell>
        </row>
        <row r="131">
          <cell r="A131" t="str">
            <v>VIDRO 690X1012X4</v>
          </cell>
          <cell r="B131">
            <v>121131</v>
          </cell>
          <cell r="C131">
            <v>181021131</v>
          </cell>
          <cell r="D131" t="str">
            <v>05</v>
          </cell>
          <cell r="E131" t="str">
            <v>26</v>
          </cell>
          <cell r="F131" t="str">
            <v>27</v>
          </cell>
          <cell r="G131">
            <v>25</v>
          </cell>
          <cell r="H131">
            <v>28</v>
          </cell>
          <cell r="I131">
            <v>19</v>
          </cell>
          <cell r="J131" t="str">
            <v>13</v>
          </cell>
          <cell r="K131" t="str">
            <v>15</v>
          </cell>
          <cell r="L131" t="str">
            <v>38</v>
          </cell>
          <cell r="M131" t="str">
            <v>44</v>
          </cell>
          <cell r="N131" t="str">
            <v>08</v>
          </cell>
          <cell r="O131" t="str">
            <v>10</v>
          </cell>
          <cell r="P131" t="str">
            <v>21</v>
          </cell>
          <cell r="Q131" t="str">
            <v>12</v>
          </cell>
          <cell r="R131" t="str">
            <v>06</v>
          </cell>
          <cell r="S131" t="str">
            <v>09</v>
          </cell>
        </row>
        <row r="132">
          <cell r="A132" t="str">
            <v>VIDRO 690X1112X4</v>
          </cell>
          <cell r="B132">
            <v>121132</v>
          </cell>
          <cell r="C132">
            <v>181021132</v>
          </cell>
          <cell r="D132" t="str">
            <v>05</v>
          </cell>
          <cell r="E132" t="str">
            <v>26</v>
          </cell>
          <cell r="F132" t="str">
            <v>27</v>
          </cell>
          <cell r="G132">
            <v>25</v>
          </cell>
          <cell r="H132">
            <v>28</v>
          </cell>
          <cell r="I132">
            <v>19</v>
          </cell>
          <cell r="J132" t="str">
            <v>13</v>
          </cell>
          <cell r="K132" t="str">
            <v>15</v>
          </cell>
          <cell r="L132" t="str">
            <v>38</v>
          </cell>
          <cell r="M132" t="str">
            <v>44</v>
          </cell>
          <cell r="N132" t="str">
            <v>08</v>
          </cell>
          <cell r="O132" t="str">
            <v>10</v>
          </cell>
          <cell r="P132" t="str">
            <v>21</v>
          </cell>
          <cell r="Q132" t="str">
            <v>12</v>
          </cell>
          <cell r="R132" t="str">
            <v>06</v>
          </cell>
          <cell r="S132" t="str">
            <v>09</v>
          </cell>
        </row>
        <row r="133">
          <cell r="A133" t="str">
            <v>VIDRO 690X1212X4</v>
          </cell>
          <cell r="B133">
            <v>121133</v>
          </cell>
          <cell r="C133">
            <v>181021133</v>
          </cell>
          <cell r="D133" t="str">
            <v>05</v>
          </cell>
          <cell r="E133" t="str">
            <v>26</v>
          </cell>
          <cell r="F133" t="str">
            <v>27</v>
          </cell>
          <cell r="G133">
            <v>25</v>
          </cell>
          <cell r="H133">
            <v>28</v>
          </cell>
          <cell r="I133">
            <v>19</v>
          </cell>
          <cell r="J133" t="str">
            <v>13</v>
          </cell>
          <cell r="K133" t="str">
            <v>15</v>
          </cell>
          <cell r="L133" t="str">
            <v>38</v>
          </cell>
          <cell r="M133" t="str">
            <v>44</v>
          </cell>
          <cell r="N133" t="str">
            <v>08</v>
          </cell>
          <cell r="O133" t="str">
            <v>10</v>
          </cell>
          <cell r="P133" t="str">
            <v>21</v>
          </cell>
          <cell r="Q133" t="str">
            <v>12</v>
          </cell>
          <cell r="R133" t="str">
            <v>06</v>
          </cell>
          <cell r="S133" t="str">
            <v>09</v>
          </cell>
        </row>
        <row r="134">
          <cell r="A134" t="str">
            <v>VIDRO 870X612X4</v>
          </cell>
          <cell r="B134">
            <v>121134</v>
          </cell>
          <cell r="C134">
            <v>181021134</v>
          </cell>
          <cell r="D134" t="str">
            <v>05</v>
          </cell>
          <cell r="E134" t="str">
            <v>26</v>
          </cell>
          <cell r="F134" t="str">
            <v>27</v>
          </cell>
          <cell r="G134">
            <v>25</v>
          </cell>
          <cell r="H134">
            <v>28</v>
          </cell>
          <cell r="I134">
            <v>19</v>
          </cell>
          <cell r="J134" t="str">
            <v>13</v>
          </cell>
          <cell r="K134" t="str">
            <v>15</v>
          </cell>
          <cell r="L134" t="str">
            <v>38</v>
          </cell>
          <cell r="M134" t="str">
            <v>44</v>
          </cell>
          <cell r="N134" t="str">
            <v>08</v>
          </cell>
          <cell r="O134" t="str">
            <v>10</v>
          </cell>
          <cell r="P134" t="str">
            <v>21</v>
          </cell>
          <cell r="Q134" t="str">
            <v>12</v>
          </cell>
          <cell r="R134" t="str">
            <v>06</v>
          </cell>
          <cell r="S134" t="str">
            <v>09</v>
          </cell>
        </row>
        <row r="135">
          <cell r="A135" t="str">
            <v>VIDRO 870X712X4</v>
          </cell>
          <cell r="B135">
            <v>121135</v>
          </cell>
          <cell r="C135">
            <v>181021135</v>
          </cell>
          <cell r="D135" t="str">
            <v>05</v>
          </cell>
          <cell r="E135" t="str">
            <v>26</v>
          </cell>
          <cell r="F135" t="str">
            <v>27</v>
          </cell>
          <cell r="G135">
            <v>25</v>
          </cell>
          <cell r="H135">
            <v>28</v>
          </cell>
          <cell r="I135">
            <v>19</v>
          </cell>
          <cell r="J135" t="str">
            <v>13</v>
          </cell>
          <cell r="K135" t="str">
            <v>15</v>
          </cell>
          <cell r="L135" t="str">
            <v>38</v>
          </cell>
          <cell r="M135" t="str">
            <v>44</v>
          </cell>
          <cell r="N135" t="str">
            <v>08</v>
          </cell>
          <cell r="O135" t="str">
            <v>10</v>
          </cell>
          <cell r="P135" t="str">
            <v>21</v>
          </cell>
          <cell r="Q135" t="str">
            <v>12</v>
          </cell>
          <cell r="R135" t="str">
            <v>06</v>
          </cell>
          <cell r="S135" t="str">
            <v>09</v>
          </cell>
        </row>
        <row r="136">
          <cell r="A136" t="str">
            <v>VIDRO 870X812X4</v>
          </cell>
          <cell r="B136">
            <v>121136</v>
          </cell>
          <cell r="C136">
            <v>181021136</v>
          </cell>
          <cell r="D136" t="str">
            <v>05</v>
          </cell>
          <cell r="E136" t="str">
            <v>26</v>
          </cell>
          <cell r="F136" t="str">
            <v>27</v>
          </cell>
          <cell r="G136">
            <v>25</v>
          </cell>
          <cell r="H136">
            <v>28</v>
          </cell>
          <cell r="I136">
            <v>19</v>
          </cell>
          <cell r="J136" t="str">
            <v>13</v>
          </cell>
          <cell r="K136" t="str">
            <v>15</v>
          </cell>
          <cell r="L136" t="str">
            <v>38</v>
          </cell>
          <cell r="M136" t="str">
            <v>44</v>
          </cell>
          <cell r="N136" t="str">
            <v>08</v>
          </cell>
          <cell r="O136" t="str">
            <v>10</v>
          </cell>
          <cell r="P136" t="str">
            <v>21</v>
          </cell>
          <cell r="Q136" t="str">
            <v>12</v>
          </cell>
          <cell r="R136" t="str">
            <v>06</v>
          </cell>
          <cell r="S136" t="str">
            <v>09</v>
          </cell>
        </row>
        <row r="137">
          <cell r="A137" t="str">
            <v>VIDRO 870X912X4</v>
          </cell>
          <cell r="B137">
            <v>121137</v>
          </cell>
          <cell r="C137">
            <v>181021137</v>
          </cell>
          <cell r="D137" t="str">
            <v>05</v>
          </cell>
          <cell r="E137" t="str">
            <v>26</v>
          </cell>
          <cell r="F137" t="str">
            <v>27</v>
          </cell>
          <cell r="G137">
            <v>25</v>
          </cell>
          <cell r="H137">
            <v>28</v>
          </cell>
          <cell r="I137">
            <v>19</v>
          </cell>
          <cell r="J137" t="str">
            <v>13</v>
          </cell>
          <cell r="K137" t="str">
            <v>15</v>
          </cell>
          <cell r="L137" t="str">
            <v>38</v>
          </cell>
          <cell r="M137" t="str">
            <v>44</v>
          </cell>
          <cell r="N137" t="str">
            <v>08</v>
          </cell>
          <cell r="O137" t="str">
            <v>10</v>
          </cell>
          <cell r="P137" t="str">
            <v>21</v>
          </cell>
          <cell r="Q137" t="str">
            <v>12</v>
          </cell>
          <cell r="R137" t="str">
            <v>06</v>
          </cell>
          <cell r="S137" t="str">
            <v>09</v>
          </cell>
        </row>
        <row r="138">
          <cell r="A138" t="str">
            <v>VIDRO 870X1012X4</v>
          </cell>
          <cell r="B138">
            <v>121138</v>
          </cell>
          <cell r="C138">
            <v>181021138</v>
          </cell>
          <cell r="D138" t="str">
            <v>05</v>
          </cell>
          <cell r="E138" t="str">
            <v>26</v>
          </cell>
          <cell r="F138" t="str">
            <v>27</v>
          </cell>
          <cell r="G138">
            <v>25</v>
          </cell>
          <cell r="H138">
            <v>28</v>
          </cell>
          <cell r="I138">
            <v>19</v>
          </cell>
          <cell r="J138" t="str">
            <v>13</v>
          </cell>
          <cell r="K138" t="str">
            <v>15</v>
          </cell>
          <cell r="L138" t="str">
            <v>38</v>
          </cell>
          <cell r="M138" t="str">
            <v>44</v>
          </cell>
          <cell r="N138" t="str">
            <v>08</v>
          </cell>
          <cell r="O138" t="str">
            <v>10</v>
          </cell>
          <cell r="P138" t="str">
            <v>21</v>
          </cell>
          <cell r="Q138" t="str">
            <v>12</v>
          </cell>
          <cell r="R138" t="str">
            <v>06</v>
          </cell>
          <cell r="S138" t="str">
            <v>09</v>
          </cell>
        </row>
        <row r="139">
          <cell r="A139" t="str">
            <v>VIDRO 870X1112X4</v>
          </cell>
          <cell r="B139">
            <v>121139</v>
          </cell>
          <cell r="C139">
            <v>181021139</v>
          </cell>
          <cell r="D139" t="str">
            <v>05</v>
          </cell>
          <cell r="E139" t="str">
            <v>26</v>
          </cell>
          <cell r="F139" t="str">
            <v>27</v>
          </cell>
          <cell r="G139">
            <v>25</v>
          </cell>
          <cell r="H139">
            <v>28</v>
          </cell>
          <cell r="I139">
            <v>19</v>
          </cell>
          <cell r="J139" t="str">
            <v>13</v>
          </cell>
          <cell r="K139" t="str">
            <v>15</v>
          </cell>
          <cell r="L139" t="str">
            <v>38</v>
          </cell>
          <cell r="M139" t="str">
            <v>44</v>
          </cell>
          <cell r="N139" t="str">
            <v>08</v>
          </cell>
          <cell r="O139" t="str">
            <v>10</v>
          </cell>
          <cell r="P139" t="str">
            <v>21</v>
          </cell>
          <cell r="Q139" t="str">
            <v>12</v>
          </cell>
          <cell r="R139" t="str">
            <v>06</v>
          </cell>
          <cell r="S139" t="str">
            <v>09</v>
          </cell>
        </row>
        <row r="140">
          <cell r="A140" t="str">
            <v>VIDRO 870X1212X4</v>
          </cell>
          <cell r="B140">
            <v>121140</v>
          </cell>
          <cell r="C140">
            <v>181021140</v>
          </cell>
          <cell r="D140" t="str">
            <v>05</v>
          </cell>
          <cell r="E140" t="str">
            <v>26</v>
          </cell>
          <cell r="F140" t="str">
            <v>27</v>
          </cell>
          <cell r="G140">
            <v>25</v>
          </cell>
          <cell r="H140">
            <v>28</v>
          </cell>
          <cell r="I140">
            <v>19</v>
          </cell>
          <cell r="J140" t="str">
            <v>13</v>
          </cell>
          <cell r="K140" t="str">
            <v>15</v>
          </cell>
          <cell r="L140" t="str">
            <v>38</v>
          </cell>
          <cell r="M140" t="str">
            <v>44</v>
          </cell>
          <cell r="N140" t="str">
            <v>08</v>
          </cell>
          <cell r="O140" t="str">
            <v>10</v>
          </cell>
          <cell r="P140" t="str">
            <v>21</v>
          </cell>
          <cell r="Q140" t="str">
            <v>12</v>
          </cell>
          <cell r="R140" t="str">
            <v>06</v>
          </cell>
          <cell r="S140" t="str">
            <v>09</v>
          </cell>
        </row>
        <row r="141">
          <cell r="A141" t="str">
            <v>VIDRO 1050X612X4</v>
          </cell>
          <cell r="B141">
            <v>121141</v>
          </cell>
          <cell r="C141">
            <v>181021141</v>
          </cell>
          <cell r="D141" t="str">
            <v>05</v>
          </cell>
          <cell r="E141" t="str">
            <v>26</v>
          </cell>
          <cell r="F141" t="str">
            <v>27</v>
          </cell>
          <cell r="G141">
            <v>25</v>
          </cell>
          <cell r="H141">
            <v>28</v>
          </cell>
          <cell r="I141">
            <v>19</v>
          </cell>
          <cell r="J141" t="str">
            <v>13</v>
          </cell>
          <cell r="K141" t="str">
            <v>15</v>
          </cell>
          <cell r="L141" t="str">
            <v>38</v>
          </cell>
          <cell r="M141" t="str">
            <v>44</v>
          </cell>
          <cell r="N141" t="str">
            <v>08</v>
          </cell>
          <cell r="O141" t="str">
            <v>10</v>
          </cell>
          <cell r="P141" t="str">
            <v>21</v>
          </cell>
          <cell r="Q141" t="str">
            <v>12</v>
          </cell>
          <cell r="R141" t="str">
            <v>06</v>
          </cell>
          <cell r="S141" t="str">
            <v>09</v>
          </cell>
        </row>
        <row r="142">
          <cell r="A142" t="str">
            <v>VIDRO 1050X712X4</v>
          </cell>
          <cell r="B142">
            <v>121142</v>
          </cell>
          <cell r="C142">
            <v>181021142</v>
          </cell>
          <cell r="D142" t="str">
            <v>05</v>
          </cell>
          <cell r="E142" t="str">
            <v>26</v>
          </cell>
          <cell r="F142" t="str">
            <v>27</v>
          </cell>
          <cell r="G142">
            <v>25</v>
          </cell>
          <cell r="H142">
            <v>28</v>
          </cell>
          <cell r="I142">
            <v>19</v>
          </cell>
          <cell r="J142" t="str">
            <v>13</v>
          </cell>
          <cell r="K142" t="str">
            <v>15</v>
          </cell>
          <cell r="L142" t="str">
            <v>38</v>
          </cell>
          <cell r="M142" t="str">
            <v>44</v>
          </cell>
          <cell r="N142" t="str">
            <v>08</v>
          </cell>
          <cell r="O142" t="str">
            <v>10</v>
          </cell>
          <cell r="P142" t="str">
            <v>21</v>
          </cell>
          <cell r="Q142" t="str">
            <v>12</v>
          </cell>
          <cell r="R142" t="str">
            <v>06</v>
          </cell>
          <cell r="S142" t="str">
            <v>09</v>
          </cell>
        </row>
        <row r="143">
          <cell r="A143" t="str">
            <v>VIDRO 1050X812X4</v>
          </cell>
          <cell r="B143">
            <v>121143</v>
          </cell>
          <cell r="C143">
            <v>181021143</v>
          </cell>
          <cell r="D143" t="str">
            <v>05</v>
          </cell>
          <cell r="E143" t="str">
            <v>26</v>
          </cell>
          <cell r="F143" t="str">
            <v>27</v>
          </cell>
          <cell r="G143">
            <v>25</v>
          </cell>
          <cell r="H143">
            <v>28</v>
          </cell>
          <cell r="I143">
            <v>19</v>
          </cell>
          <cell r="J143" t="str">
            <v>13</v>
          </cell>
          <cell r="K143" t="str">
            <v>15</v>
          </cell>
          <cell r="L143" t="str">
            <v>38</v>
          </cell>
          <cell r="M143" t="str">
            <v>44</v>
          </cell>
          <cell r="N143" t="str">
            <v>08</v>
          </cell>
          <cell r="O143" t="str">
            <v>10</v>
          </cell>
          <cell r="P143" t="str">
            <v>21</v>
          </cell>
          <cell r="Q143" t="str">
            <v>12</v>
          </cell>
          <cell r="R143" t="str">
            <v>06</v>
          </cell>
          <cell r="S143" t="str">
            <v>09</v>
          </cell>
        </row>
        <row r="144">
          <cell r="A144" t="str">
            <v>VIDRO 1050X912X4</v>
          </cell>
          <cell r="B144">
            <v>121144</v>
          </cell>
          <cell r="C144">
            <v>181021144</v>
          </cell>
          <cell r="D144" t="str">
            <v>05</v>
          </cell>
          <cell r="E144" t="str">
            <v>26</v>
          </cell>
          <cell r="F144" t="str">
            <v>27</v>
          </cell>
          <cell r="G144">
            <v>25</v>
          </cell>
          <cell r="H144">
            <v>28</v>
          </cell>
          <cell r="I144">
            <v>19</v>
          </cell>
          <cell r="J144" t="str">
            <v>13</v>
          </cell>
          <cell r="K144" t="str">
            <v>15</v>
          </cell>
          <cell r="L144" t="str">
            <v>38</v>
          </cell>
          <cell r="M144" t="str">
            <v>44</v>
          </cell>
          <cell r="N144" t="str">
            <v>08</v>
          </cell>
          <cell r="O144" t="str">
            <v>10</v>
          </cell>
          <cell r="P144" t="str">
            <v>21</v>
          </cell>
          <cell r="Q144" t="str">
            <v>12</v>
          </cell>
          <cell r="R144" t="str">
            <v>06</v>
          </cell>
          <cell r="S144" t="str">
            <v>09</v>
          </cell>
        </row>
        <row r="145">
          <cell r="A145" t="str">
            <v>VIDRO 1050X1012X4</v>
          </cell>
          <cell r="B145">
            <v>121218</v>
          </cell>
          <cell r="C145">
            <v>181021218</v>
          </cell>
          <cell r="D145" t="str">
            <v>05</v>
          </cell>
          <cell r="E145" t="str">
            <v>26</v>
          </cell>
          <cell r="F145" t="str">
            <v>27</v>
          </cell>
          <cell r="G145">
            <v>25</v>
          </cell>
          <cell r="H145">
            <v>28</v>
          </cell>
          <cell r="I145">
            <v>19</v>
          </cell>
          <cell r="J145" t="str">
            <v>13</v>
          </cell>
          <cell r="K145" t="str">
            <v>15</v>
          </cell>
          <cell r="L145" t="str">
            <v>38</v>
          </cell>
          <cell r="M145" t="str">
            <v>44</v>
          </cell>
          <cell r="N145" t="str">
            <v>08</v>
          </cell>
          <cell r="O145" t="str">
            <v>10</v>
          </cell>
          <cell r="P145" t="str">
            <v>21</v>
          </cell>
          <cell r="Q145" t="str">
            <v>12</v>
          </cell>
          <cell r="R145" t="str">
            <v>06</v>
          </cell>
          <cell r="S145" t="str">
            <v>09</v>
          </cell>
        </row>
        <row r="146">
          <cell r="A146" t="str">
            <v>VIDRO 1050X1112X4</v>
          </cell>
          <cell r="B146">
            <v>121219</v>
          </cell>
          <cell r="C146">
            <v>181021219</v>
          </cell>
          <cell r="D146" t="str">
            <v>05</v>
          </cell>
          <cell r="E146" t="str">
            <v>26</v>
          </cell>
          <cell r="F146" t="str">
            <v>27</v>
          </cell>
          <cell r="G146">
            <v>25</v>
          </cell>
          <cell r="H146">
            <v>28</v>
          </cell>
          <cell r="I146">
            <v>19</v>
          </cell>
          <cell r="J146" t="str">
            <v>13</v>
          </cell>
          <cell r="K146" t="str">
            <v>15</v>
          </cell>
          <cell r="L146" t="str">
            <v>38</v>
          </cell>
          <cell r="M146" t="str">
            <v>44</v>
          </cell>
          <cell r="N146" t="str">
            <v>08</v>
          </cell>
          <cell r="O146" t="str">
            <v>10</v>
          </cell>
          <cell r="P146" t="str">
            <v>21</v>
          </cell>
          <cell r="Q146" t="str">
            <v>12</v>
          </cell>
          <cell r="R146" t="str">
            <v>06</v>
          </cell>
          <cell r="S146" t="str">
            <v>09</v>
          </cell>
        </row>
        <row r="147">
          <cell r="A147" t="str">
            <v>VIDRO 1050X1212X4</v>
          </cell>
          <cell r="B147">
            <v>120095</v>
          </cell>
          <cell r="C147">
            <v>181020095</v>
          </cell>
          <cell r="D147" t="str">
            <v>05</v>
          </cell>
          <cell r="E147" t="str">
            <v>26</v>
          </cell>
          <cell r="F147" t="str">
            <v>27</v>
          </cell>
          <cell r="G147">
            <v>25</v>
          </cell>
          <cell r="H147">
            <v>28</v>
          </cell>
          <cell r="I147">
            <v>19</v>
          </cell>
          <cell r="J147" t="str">
            <v>13</v>
          </cell>
          <cell r="K147" t="str">
            <v>15</v>
          </cell>
          <cell r="L147" t="str">
            <v>38</v>
          </cell>
          <cell r="M147" t="str">
            <v>44</v>
          </cell>
          <cell r="N147" t="str">
            <v>08</v>
          </cell>
          <cell r="O147" t="str">
            <v>10</v>
          </cell>
          <cell r="P147" t="str">
            <v>21</v>
          </cell>
          <cell r="Q147" t="str">
            <v>12</v>
          </cell>
          <cell r="R147" t="str">
            <v>06</v>
          </cell>
          <cell r="S147" t="str">
            <v>09</v>
          </cell>
        </row>
        <row r="148">
          <cell r="A148" t="str">
            <v>COLOR GLASS DORMITÓRIO</v>
          </cell>
          <cell r="B148"/>
          <cell r="C148"/>
          <cell r="D148"/>
          <cell r="E148"/>
          <cell r="F148"/>
          <cell r="G148"/>
          <cell r="H148"/>
          <cell r="I148"/>
          <cell r="J148"/>
          <cell r="K148"/>
          <cell r="L148"/>
          <cell r="M148"/>
          <cell r="N148"/>
          <cell r="O148"/>
          <cell r="P148"/>
          <cell r="Q148"/>
          <cell r="R148"/>
          <cell r="S148"/>
        </row>
        <row r="149">
          <cell r="A149" t="str">
            <v>VIDRO 2204X331X4</v>
          </cell>
          <cell r="B149">
            <v>121766</v>
          </cell>
          <cell r="C149">
            <v>181021766</v>
          </cell>
          <cell r="D149" t="str">
            <v>05</v>
          </cell>
          <cell r="E149" t="str">
            <v>26</v>
          </cell>
          <cell r="F149" t="str">
            <v>27</v>
          </cell>
          <cell r="G149">
            <v>25</v>
          </cell>
          <cell r="H149">
            <v>28</v>
          </cell>
          <cell r="I149">
            <v>19</v>
          </cell>
          <cell r="J149" t="str">
            <v>13</v>
          </cell>
          <cell r="K149" t="str">
            <v>15</v>
          </cell>
          <cell r="L149" t="str">
            <v>38</v>
          </cell>
          <cell r="M149" t="str">
            <v>44</v>
          </cell>
          <cell r="N149" t="str">
            <v>08</v>
          </cell>
          <cell r="O149" t="str">
            <v>10</v>
          </cell>
          <cell r="P149" t="str">
            <v>21</v>
          </cell>
          <cell r="Q149" t="str">
            <v>12</v>
          </cell>
          <cell r="R149" t="str">
            <v>06</v>
          </cell>
          <cell r="S149" t="str">
            <v>09</v>
          </cell>
        </row>
        <row r="150">
          <cell r="A150" t="str">
            <v>VIDRO 2204X381X4</v>
          </cell>
          <cell r="B150">
            <v>121096</v>
          </cell>
          <cell r="C150">
            <v>181021096</v>
          </cell>
          <cell r="D150" t="str">
            <v>05</v>
          </cell>
          <cell r="E150" t="str">
            <v>26</v>
          </cell>
          <cell r="F150" t="str">
            <v>27</v>
          </cell>
          <cell r="G150">
            <v>25</v>
          </cell>
          <cell r="H150">
            <v>28</v>
          </cell>
          <cell r="I150">
            <v>19</v>
          </cell>
          <cell r="J150" t="str">
            <v>13</v>
          </cell>
          <cell r="K150" t="str">
            <v>15</v>
          </cell>
          <cell r="L150" t="str">
            <v>38</v>
          </cell>
          <cell r="M150" t="str">
            <v>44</v>
          </cell>
          <cell r="N150" t="str">
            <v>08</v>
          </cell>
          <cell r="O150" t="str">
            <v>10</v>
          </cell>
          <cell r="P150" t="str">
            <v>21</v>
          </cell>
          <cell r="Q150" t="str">
            <v>12</v>
          </cell>
          <cell r="R150" t="str">
            <v>06</v>
          </cell>
          <cell r="S150" t="str">
            <v>09</v>
          </cell>
        </row>
        <row r="151">
          <cell r="A151" t="str">
            <v>VIDRO 2204X429X4</v>
          </cell>
          <cell r="B151">
            <v>121097</v>
          </cell>
          <cell r="C151">
            <v>181021097</v>
          </cell>
          <cell r="D151" t="str">
            <v>05</v>
          </cell>
          <cell r="E151" t="str">
            <v>26</v>
          </cell>
          <cell r="F151" t="str">
            <v>27</v>
          </cell>
          <cell r="G151">
            <v>25</v>
          </cell>
          <cell r="H151">
            <v>28</v>
          </cell>
          <cell r="I151">
            <v>19</v>
          </cell>
          <cell r="J151" t="str">
            <v>13</v>
          </cell>
          <cell r="K151" t="str">
            <v>15</v>
          </cell>
          <cell r="L151" t="str">
            <v>38</v>
          </cell>
          <cell r="M151" t="str">
            <v>44</v>
          </cell>
          <cell r="N151" t="str">
            <v>08</v>
          </cell>
          <cell r="O151" t="str">
            <v>10</v>
          </cell>
          <cell r="P151" t="str">
            <v>21</v>
          </cell>
          <cell r="Q151" t="str">
            <v>12</v>
          </cell>
          <cell r="R151" t="str">
            <v>06</v>
          </cell>
          <cell r="S151" t="str">
            <v>09</v>
          </cell>
        </row>
        <row r="152">
          <cell r="A152" t="str">
            <v>VIDRO 2204X431X4</v>
          </cell>
          <cell r="B152">
            <v>121098</v>
          </cell>
          <cell r="C152">
            <v>181021098</v>
          </cell>
          <cell r="D152" t="str">
            <v>05</v>
          </cell>
          <cell r="E152" t="str">
            <v>26</v>
          </cell>
          <cell r="F152" t="str">
            <v>27</v>
          </cell>
          <cell r="G152">
            <v>25</v>
          </cell>
          <cell r="H152">
            <v>28</v>
          </cell>
          <cell r="I152">
            <v>19</v>
          </cell>
          <cell r="J152" t="str">
            <v>13</v>
          </cell>
          <cell r="K152" t="str">
            <v>15</v>
          </cell>
          <cell r="L152" t="str">
            <v>38</v>
          </cell>
          <cell r="M152" t="str">
            <v>44</v>
          </cell>
          <cell r="N152" t="str">
            <v>08</v>
          </cell>
          <cell r="O152" t="str">
            <v>10</v>
          </cell>
          <cell r="P152" t="str">
            <v>21</v>
          </cell>
          <cell r="Q152" t="str">
            <v>12</v>
          </cell>
          <cell r="R152" t="str">
            <v>06</v>
          </cell>
          <cell r="S152" t="str">
            <v>09</v>
          </cell>
        </row>
        <row r="153">
          <cell r="A153" t="str">
            <v>VIDRO 2204X467X4</v>
          </cell>
          <cell r="B153">
            <v>121099</v>
          </cell>
          <cell r="C153">
            <v>181021099</v>
          </cell>
          <cell r="D153" t="str">
            <v>05</v>
          </cell>
          <cell r="E153" t="str">
            <v>26</v>
          </cell>
          <cell r="F153" t="str">
            <v>27</v>
          </cell>
          <cell r="G153">
            <v>25</v>
          </cell>
          <cell r="H153">
            <v>28</v>
          </cell>
          <cell r="I153">
            <v>19</v>
          </cell>
          <cell r="J153" t="str">
            <v>13</v>
          </cell>
          <cell r="K153" t="str">
            <v>15</v>
          </cell>
          <cell r="L153" t="str">
            <v>38</v>
          </cell>
          <cell r="M153" t="str">
            <v>44</v>
          </cell>
          <cell r="N153" t="str">
            <v>08</v>
          </cell>
          <cell r="O153" t="str">
            <v>10</v>
          </cell>
          <cell r="P153" t="str">
            <v>21</v>
          </cell>
          <cell r="Q153" t="str">
            <v>12</v>
          </cell>
          <cell r="R153" t="str">
            <v>06</v>
          </cell>
          <cell r="S153" t="str">
            <v>09</v>
          </cell>
        </row>
        <row r="154">
          <cell r="A154" t="str">
            <v>VIDRO 2204X481X4</v>
          </cell>
          <cell r="B154">
            <v>121100</v>
          </cell>
          <cell r="C154">
            <v>181021100</v>
          </cell>
          <cell r="D154" t="str">
            <v>05</v>
          </cell>
          <cell r="E154" t="str">
            <v>26</v>
          </cell>
          <cell r="F154" t="str">
            <v>27</v>
          </cell>
          <cell r="G154">
            <v>25</v>
          </cell>
          <cell r="H154">
            <v>28</v>
          </cell>
          <cell r="I154">
            <v>19</v>
          </cell>
          <cell r="J154" t="str">
            <v>13</v>
          </cell>
          <cell r="K154" t="str">
            <v>15</v>
          </cell>
          <cell r="L154" t="str">
            <v>38</v>
          </cell>
          <cell r="M154" t="str">
            <v>44</v>
          </cell>
          <cell r="N154" t="str">
            <v>08</v>
          </cell>
          <cell r="O154" t="str">
            <v>10</v>
          </cell>
          <cell r="P154" t="str">
            <v>21</v>
          </cell>
          <cell r="Q154" t="str">
            <v>12</v>
          </cell>
          <cell r="R154" t="str">
            <v>06</v>
          </cell>
          <cell r="S154" t="str">
            <v>09</v>
          </cell>
        </row>
        <row r="155">
          <cell r="A155" t="str">
            <v>VIDRO 2204X487X4</v>
          </cell>
          <cell r="B155">
            <v>121101</v>
          </cell>
          <cell r="C155">
            <v>181021101</v>
          </cell>
          <cell r="D155" t="str">
            <v>05</v>
          </cell>
          <cell r="E155" t="str">
            <v>26</v>
          </cell>
          <cell r="F155" t="str">
            <v>27</v>
          </cell>
          <cell r="G155">
            <v>25</v>
          </cell>
          <cell r="H155">
            <v>28</v>
          </cell>
          <cell r="I155">
            <v>19</v>
          </cell>
          <cell r="J155" t="str">
            <v>13</v>
          </cell>
          <cell r="K155" t="str">
            <v>15</v>
          </cell>
          <cell r="L155" t="str">
            <v>38</v>
          </cell>
          <cell r="M155" t="str">
            <v>44</v>
          </cell>
          <cell r="N155" t="str">
            <v>08</v>
          </cell>
          <cell r="O155" t="str">
            <v>10</v>
          </cell>
          <cell r="P155" t="str">
            <v>21</v>
          </cell>
          <cell r="Q155" t="str">
            <v>12</v>
          </cell>
          <cell r="R155" t="str">
            <v>06</v>
          </cell>
          <cell r="S155" t="str">
            <v>09</v>
          </cell>
        </row>
        <row r="156">
          <cell r="A156" t="str">
            <v>VIDRO 2204X531X4</v>
          </cell>
          <cell r="B156">
            <v>121102</v>
          </cell>
          <cell r="C156">
            <v>181021102</v>
          </cell>
          <cell r="D156" t="str">
            <v>05</v>
          </cell>
          <cell r="E156" t="str">
            <v>26</v>
          </cell>
          <cell r="F156" t="str">
            <v>27</v>
          </cell>
          <cell r="G156">
            <v>25</v>
          </cell>
          <cell r="H156">
            <v>28</v>
          </cell>
          <cell r="I156">
            <v>19</v>
          </cell>
          <cell r="J156" t="str">
            <v>13</v>
          </cell>
          <cell r="K156" t="str">
            <v>15</v>
          </cell>
          <cell r="L156" t="str">
            <v>38</v>
          </cell>
          <cell r="M156" t="str">
            <v>44</v>
          </cell>
          <cell r="N156" t="str">
            <v>08</v>
          </cell>
          <cell r="O156" t="str">
            <v>10</v>
          </cell>
          <cell r="P156" t="str">
            <v>21</v>
          </cell>
          <cell r="Q156" t="str">
            <v>12</v>
          </cell>
          <cell r="R156" t="str">
            <v>06</v>
          </cell>
          <cell r="S156" t="str">
            <v>09</v>
          </cell>
        </row>
        <row r="157">
          <cell r="A157" t="str">
            <v>VIDRO 2204X581X4</v>
          </cell>
          <cell r="B157">
            <v>121103</v>
          </cell>
          <cell r="C157">
            <v>181021103</v>
          </cell>
          <cell r="D157" t="str">
            <v>05</v>
          </cell>
          <cell r="E157" t="str">
            <v>26</v>
          </cell>
          <cell r="F157" t="str">
            <v>27</v>
          </cell>
          <cell r="G157">
            <v>25</v>
          </cell>
          <cell r="H157">
            <v>28</v>
          </cell>
          <cell r="I157">
            <v>19</v>
          </cell>
          <cell r="J157" t="str">
            <v>13</v>
          </cell>
          <cell r="K157" t="str">
            <v>15</v>
          </cell>
          <cell r="L157" t="str">
            <v>38</v>
          </cell>
          <cell r="M157" t="str">
            <v>44</v>
          </cell>
          <cell r="N157" t="str">
            <v>08</v>
          </cell>
          <cell r="O157" t="str">
            <v>10</v>
          </cell>
          <cell r="P157" t="str">
            <v>21</v>
          </cell>
          <cell r="Q157" t="str">
            <v>12</v>
          </cell>
          <cell r="R157" t="str">
            <v>06</v>
          </cell>
          <cell r="S157" t="str">
            <v>09</v>
          </cell>
        </row>
        <row r="158">
          <cell r="A158" t="str">
            <v>VIDRO 2384X331X4</v>
          </cell>
          <cell r="B158">
            <v>121767</v>
          </cell>
          <cell r="C158">
            <v>181021767</v>
          </cell>
          <cell r="D158" t="str">
            <v>05</v>
          </cell>
          <cell r="E158" t="str">
            <v>26</v>
          </cell>
          <cell r="F158" t="str">
            <v>27</v>
          </cell>
          <cell r="G158">
            <v>25</v>
          </cell>
          <cell r="H158">
            <v>28</v>
          </cell>
          <cell r="I158">
            <v>19</v>
          </cell>
          <cell r="J158" t="str">
            <v>13</v>
          </cell>
          <cell r="K158" t="str">
            <v>15</v>
          </cell>
          <cell r="L158" t="str">
            <v>38</v>
          </cell>
          <cell r="M158" t="str">
            <v>44</v>
          </cell>
          <cell r="N158" t="str">
            <v>08</v>
          </cell>
          <cell r="O158" t="str">
            <v>10</v>
          </cell>
          <cell r="P158" t="str">
            <v>21</v>
          </cell>
          <cell r="Q158" t="str">
            <v>12</v>
          </cell>
          <cell r="R158" t="str">
            <v>06</v>
          </cell>
          <cell r="S158" t="str">
            <v>09</v>
          </cell>
        </row>
        <row r="159">
          <cell r="A159" t="str">
            <v>VIDRO 2384X381X4</v>
          </cell>
          <cell r="B159">
            <v>121104</v>
          </cell>
          <cell r="C159">
            <v>181021104</v>
          </cell>
          <cell r="D159" t="str">
            <v>05</v>
          </cell>
          <cell r="E159" t="str">
            <v>26</v>
          </cell>
          <cell r="F159" t="str">
            <v>27</v>
          </cell>
          <cell r="G159">
            <v>25</v>
          </cell>
          <cell r="H159">
            <v>28</v>
          </cell>
          <cell r="I159">
            <v>19</v>
          </cell>
          <cell r="J159" t="str">
            <v>13</v>
          </cell>
          <cell r="K159" t="str">
            <v>15</v>
          </cell>
          <cell r="L159" t="str">
            <v>38</v>
          </cell>
          <cell r="M159" t="str">
            <v>44</v>
          </cell>
          <cell r="N159" t="str">
            <v>08</v>
          </cell>
          <cell r="O159" t="str">
            <v>10</v>
          </cell>
          <cell r="P159" t="str">
            <v>21</v>
          </cell>
          <cell r="Q159" t="str">
            <v>12</v>
          </cell>
          <cell r="R159" t="str">
            <v>06</v>
          </cell>
          <cell r="S159" t="str">
            <v>09</v>
          </cell>
        </row>
        <row r="160">
          <cell r="A160" t="str">
            <v>VIDRO 2384X429X4</v>
          </cell>
          <cell r="B160">
            <v>121105</v>
          </cell>
          <cell r="C160">
            <v>181021105</v>
          </cell>
          <cell r="D160" t="str">
            <v>05</v>
          </cell>
          <cell r="E160" t="str">
            <v>26</v>
          </cell>
          <cell r="F160" t="str">
            <v>27</v>
          </cell>
          <cell r="G160">
            <v>25</v>
          </cell>
          <cell r="H160">
            <v>28</v>
          </cell>
          <cell r="I160">
            <v>19</v>
          </cell>
          <cell r="J160" t="str">
            <v>13</v>
          </cell>
          <cell r="K160" t="str">
            <v>15</v>
          </cell>
          <cell r="L160" t="str">
            <v>38</v>
          </cell>
          <cell r="M160" t="str">
            <v>44</v>
          </cell>
          <cell r="N160" t="str">
            <v>08</v>
          </cell>
          <cell r="O160" t="str">
            <v>10</v>
          </cell>
          <cell r="P160" t="str">
            <v>21</v>
          </cell>
          <cell r="Q160" t="str">
            <v>12</v>
          </cell>
          <cell r="R160" t="str">
            <v>06</v>
          </cell>
          <cell r="S160" t="str">
            <v>09</v>
          </cell>
        </row>
        <row r="161">
          <cell r="A161" t="str">
            <v>VIDRO 2384X431X4</v>
          </cell>
          <cell r="B161">
            <v>121106</v>
          </cell>
          <cell r="C161">
            <v>181021106</v>
          </cell>
          <cell r="D161" t="str">
            <v>05</v>
          </cell>
          <cell r="E161" t="str">
            <v>26</v>
          </cell>
          <cell r="F161" t="str">
            <v>27</v>
          </cell>
          <cell r="G161">
            <v>25</v>
          </cell>
          <cell r="H161">
            <v>28</v>
          </cell>
          <cell r="I161">
            <v>19</v>
          </cell>
          <cell r="J161" t="str">
            <v>13</v>
          </cell>
          <cell r="K161" t="str">
            <v>15</v>
          </cell>
          <cell r="L161" t="str">
            <v>38</v>
          </cell>
          <cell r="M161" t="str">
            <v>44</v>
          </cell>
          <cell r="N161" t="str">
            <v>08</v>
          </cell>
          <cell r="O161" t="str">
            <v>10</v>
          </cell>
          <cell r="P161" t="str">
            <v>21</v>
          </cell>
          <cell r="Q161" t="str">
            <v>12</v>
          </cell>
          <cell r="R161" t="str">
            <v>06</v>
          </cell>
          <cell r="S161" t="str">
            <v>09</v>
          </cell>
        </row>
        <row r="162">
          <cell r="A162" t="str">
            <v>VIDRO 2384X467X4</v>
          </cell>
          <cell r="B162">
            <v>121107</v>
          </cell>
          <cell r="C162">
            <v>181021107</v>
          </cell>
          <cell r="D162" t="str">
            <v>05</v>
          </cell>
          <cell r="E162" t="str">
            <v>26</v>
          </cell>
          <cell r="F162" t="str">
            <v>27</v>
          </cell>
          <cell r="G162">
            <v>25</v>
          </cell>
          <cell r="H162">
            <v>28</v>
          </cell>
          <cell r="I162">
            <v>19</v>
          </cell>
          <cell r="J162" t="str">
            <v>13</v>
          </cell>
          <cell r="K162" t="str">
            <v>15</v>
          </cell>
          <cell r="L162" t="str">
            <v>38</v>
          </cell>
          <cell r="M162" t="str">
            <v>44</v>
          </cell>
          <cell r="N162" t="str">
            <v>08</v>
          </cell>
          <cell r="O162" t="str">
            <v>10</v>
          </cell>
          <cell r="P162" t="str">
            <v>21</v>
          </cell>
          <cell r="Q162" t="str">
            <v>12</v>
          </cell>
          <cell r="R162" t="str">
            <v>06</v>
          </cell>
          <cell r="S162" t="str">
            <v>09</v>
          </cell>
        </row>
        <row r="163">
          <cell r="A163" t="str">
            <v>VIDRO 2384X481X4</v>
          </cell>
          <cell r="B163">
            <v>121108</v>
          </cell>
          <cell r="C163">
            <v>181021108</v>
          </cell>
          <cell r="D163" t="str">
            <v>05</v>
          </cell>
          <cell r="E163" t="str">
            <v>26</v>
          </cell>
          <cell r="F163" t="str">
            <v>27</v>
          </cell>
          <cell r="G163">
            <v>25</v>
          </cell>
          <cell r="H163">
            <v>28</v>
          </cell>
          <cell r="I163">
            <v>19</v>
          </cell>
          <cell r="J163" t="str">
            <v>13</v>
          </cell>
          <cell r="K163" t="str">
            <v>15</v>
          </cell>
          <cell r="L163" t="str">
            <v>38</v>
          </cell>
          <cell r="M163" t="str">
            <v>44</v>
          </cell>
          <cell r="N163" t="str">
            <v>08</v>
          </cell>
          <cell r="O163" t="str">
            <v>10</v>
          </cell>
          <cell r="P163" t="str">
            <v>21</v>
          </cell>
          <cell r="Q163" t="str">
            <v>12</v>
          </cell>
          <cell r="R163" t="str">
            <v>06</v>
          </cell>
          <cell r="S163" t="str">
            <v>09</v>
          </cell>
        </row>
        <row r="164">
          <cell r="A164" t="str">
            <v>VIDRO 2384X487X4</v>
          </cell>
          <cell r="B164">
            <v>121109</v>
          </cell>
          <cell r="C164">
            <v>181021109</v>
          </cell>
          <cell r="D164" t="str">
            <v>05</v>
          </cell>
          <cell r="E164" t="str">
            <v>26</v>
          </cell>
          <cell r="F164" t="str">
            <v>27</v>
          </cell>
          <cell r="G164">
            <v>25</v>
          </cell>
          <cell r="H164">
            <v>28</v>
          </cell>
          <cell r="I164">
            <v>19</v>
          </cell>
          <cell r="J164" t="str">
            <v>13</v>
          </cell>
          <cell r="K164" t="str">
            <v>15</v>
          </cell>
          <cell r="L164" t="str">
            <v>38</v>
          </cell>
          <cell r="M164" t="str">
            <v>44</v>
          </cell>
          <cell r="N164" t="str">
            <v>08</v>
          </cell>
          <cell r="O164" t="str">
            <v>10</v>
          </cell>
          <cell r="P164" t="str">
            <v>21</v>
          </cell>
          <cell r="Q164" t="str">
            <v>12</v>
          </cell>
          <cell r="R164" t="str">
            <v>06</v>
          </cell>
          <cell r="S164" t="str">
            <v>09</v>
          </cell>
        </row>
        <row r="165">
          <cell r="A165" t="str">
            <v>VIDRO 2384X531X4</v>
          </cell>
          <cell r="B165">
            <v>121110</v>
          </cell>
          <cell r="C165">
            <v>181021110</v>
          </cell>
          <cell r="D165" t="str">
            <v>05</v>
          </cell>
          <cell r="E165" t="str">
            <v>26</v>
          </cell>
          <cell r="F165" t="str">
            <v>27</v>
          </cell>
          <cell r="G165">
            <v>25</v>
          </cell>
          <cell r="H165">
            <v>28</v>
          </cell>
          <cell r="I165">
            <v>19</v>
          </cell>
          <cell r="J165" t="str">
            <v>13</v>
          </cell>
          <cell r="K165" t="str">
            <v>15</v>
          </cell>
          <cell r="L165" t="str">
            <v>38</v>
          </cell>
          <cell r="M165" t="str">
            <v>44</v>
          </cell>
          <cell r="N165" t="str">
            <v>08</v>
          </cell>
          <cell r="O165" t="str">
            <v>10</v>
          </cell>
          <cell r="P165" t="str">
            <v>21</v>
          </cell>
          <cell r="Q165" t="str">
            <v>12</v>
          </cell>
          <cell r="R165" t="str">
            <v>06</v>
          </cell>
          <cell r="S165" t="str">
            <v>09</v>
          </cell>
        </row>
        <row r="166">
          <cell r="A166" t="str">
            <v>VIDRO 2384X581X4</v>
          </cell>
          <cell r="B166">
            <v>121111</v>
          </cell>
          <cell r="C166">
            <v>181021111</v>
          </cell>
          <cell r="D166" t="str">
            <v>05</v>
          </cell>
          <cell r="E166" t="str">
            <v>26</v>
          </cell>
          <cell r="F166" t="str">
            <v>27</v>
          </cell>
          <cell r="G166">
            <v>25</v>
          </cell>
          <cell r="H166">
            <v>28</v>
          </cell>
          <cell r="I166">
            <v>19</v>
          </cell>
          <cell r="J166" t="str">
            <v>13</v>
          </cell>
          <cell r="K166" t="str">
            <v>15</v>
          </cell>
          <cell r="L166" t="str">
            <v>38</v>
          </cell>
          <cell r="M166" t="str">
            <v>44</v>
          </cell>
          <cell r="N166" t="str">
            <v>08</v>
          </cell>
          <cell r="O166" t="str">
            <v>10</v>
          </cell>
          <cell r="P166" t="str">
            <v>21</v>
          </cell>
          <cell r="Q166" t="str">
            <v>12</v>
          </cell>
          <cell r="R166" t="str">
            <v>06</v>
          </cell>
          <cell r="S166" t="str">
            <v>09</v>
          </cell>
        </row>
        <row r="167">
          <cell r="A167" t="str">
            <v>VIDRO 2564X331X4</v>
          </cell>
          <cell r="B167">
            <v>121768</v>
          </cell>
          <cell r="C167">
            <v>181021768</v>
          </cell>
          <cell r="D167" t="str">
            <v>05</v>
          </cell>
          <cell r="E167" t="str">
            <v>26</v>
          </cell>
          <cell r="F167" t="str">
            <v>27</v>
          </cell>
          <cell r="G167">
            <v>25</v>
          </cell>
          <cell r="H167">
            <v>28</v>
          </cell>
          <cell r="I167">
            <v>19</v>
          </cell>
          <cell r="J167" t="str">
            <v>13</v>
          </cell>
          <cell r="K167" t="str">
            <v>15</v>
          </cell>
          <cell r="L167" t="str">
            <v>38</v>
          </cell>
          <cell r="M167" t="str">
            <v>44</v>
          </cell>
          <cell r="N167" t="str">
            <v>08</v>
          </cell>
          <cell r="O167" t="str">
            <v>10</v>
          </cell>
          <cell r="P167" t="str">
            <v>21</v>
          </cell>
          <cell r="Q167" t="str">
            <v>12</v>
          </cell>
          <cell r="R167" t="str">
            <v>06</v>
          </cell>
          <cell r="S167" t="str">
            <v>09</v>
          </cell>
        </row>
        <row r="168">
          <cell r="A168" t="str">
            <v>VIDRO 2564X381X4</v>
          </cell>
          <cell r="B168">
            <v>121112</v>
          </cell>
          <cell r="C168">
            <v>181021112</v>
          </cell>
          <cell r="D168" t="str">
            <v>05</v>
          </cell>
          <cell r="E168" t="str">
            <v>26</v>
          </cell>
          <cell r="F168" t="str">
            <v>27</v>
          </cell>
          <cell r="G168">
            <v>25</v>
          </cell>
          <cell r="H168">
            <v>28</v>
          </cell>
          <cell r="I168">
            <v>19</v>
          </cell>
          <cell r="J168" t="str">
            <v>13</v>
          </cell>
          <cell r="K168" t="str">
            <v>15</v>
          </cell>
          <cell r="L168" t="str">
            <v>38</v>
          </cell>
          <cell r="M168" t="str">
            <v>44</v>
          </cell>
          <cell r="N168" t="str">
            <v>08</v>
          </cell>
          <cell r="O168" t="str">
            <v>10</v>
          </cell>
          <cell r="P168" t="str">
            <v>21</v>
          </cell>
          <cell r="Q168" t="str">
            <v>12</v>
          </cell>
          <cell r="R168" t="str">
            <v>06</v>
          </cell>
          <cell r="S168" t="str">
            <v>09</v>
          </cell>
        </row>
        <row r="169">
          <cell r="A169" t="str">
            <v>VIDRO 2564X429X4</v>
          </cell>
          <cell r="B169">
            <v>121113</v>
          </cell>
          <cell r="C169">
            <v>181021113</v>
          </cell>
          <cell r="D169" t="str">
            <v>05</v>
          </cell>
          <cell r="E169" t="str">
            <v>26</v>
          </cell>
          <cell r="F169" t="str">
            <v>27</v>
          </cell>
          <cell r="G169">
            <v>25</v>
          </cell>
          <cell r="H169">
            <v>28</v>
          </cell>
          <cell r="I169">
            <v>19</v>
          </cell>
          <cell r="J169" t="str">
            <v>13</v>
          </cell>
          <cell r="K169" t="str">
            <v>15</v>
          </cell>
          <cell r="L169" t="str">
            <v>38</v>
          </cell>
          <cell r="M169" t="str">
            <v>44</v>
          </cell>
          <cell r="N169" t="str">
            <v>08</v>
          </cell>
          <cell r="O169" t="str">
            <v>10</v>
          </cell>
          <cell r="P169" t="str">
            <v>21</v>
          </cell>
          <cell r="Q169" t="str">
            <v>12</v>
          </cell>
          <cell r="R169" t="str">
            <v>06</v>
          </cell>
          <cell r="S169" t="str">
            <v>09</v>
          </cell>
        </row>
        <row r="170">
          <cell r="A170" t="str">
            <v>VIDRO 2564X431X4</v>
          </cell>
          <cell r="B170">
            <v>121114</v>
          </cell>
          <cell r="C170">
            <v>181021114</v>
          </cell>
          <cell r="D170" t="str">
            <v>05</v>
          </cell>
          <cell r="E170" t="str">
            <v>26</v>
          </cell>
          <cell r="F170" t="str">
            <v>27</v>
          </cell>
          <cell r="G170">
            <v>25</v>
          </cell>
          <cell r="H170">
            <v>28</v>
          </cell>
          <cell r="I170">
            <v>19</v>
          </cell>
          <cell r="J170" t="str">
            <v>13</v>
          </cell>
          <cell r="K170" t="str">
            <v>15</v>
          </cell>
          <cell r="L170" t="str">
            <v>38</v>
          </cell>
          <cell r="M170" t="str">
            <v>44</v>
          </cell>
          <cell r="N170" t="str">
            <v>08</v>
          </cell>
          <cell r="O170" t="str">
            <v>10</v>
          </cell>
          <cell r="P170" t="str">
            <v>21</v>
          </cell>
          <cell r="Q170" t="str">
            <v>12</v>
          </cell>
          <cell r="R170" t="str">
            <v>06</v>
          </cell>
          <cell r="S170" t="str">
            <v>09</v>
          </cell>
        </row>
        <row r="171">
          <cell r="A171" t="str">
            <v>VIDRO 2564X467X4</v>
          </cell>
          <cell r="B171">
            <v>121115</v>
          </cell>
          <cell r="C171">
            <v>181021115</v>
          </cell>
          <cell r="D171" t="str">
            <v>05</v>
          </cell>
          <cell r="E171" t="str">
            <v>26</v>
          </cell>
          <cell r="F171" t="str">
            <v>27</v>
          </cell>
          <cell r="G171">
            <v>25</v>
          </cell>
          <cell r="H171">
            <v>28</v>
          </cell>
          <cell r="I171">
            <v>19</v>
          </cell>
          <cell r="J171" t="str">
            <v>13</v>
          </cell>
          <cell r="K171" t="str">
            <v>15</v>
          </cell>
          <cell r="L171" t="str">
            <v>38</v>
          </cell>
          <cell r="M171" t="str">
            <v>44</v>
          </cell>
          <cell r="N171" t="str">
            <v>08</v>
          </cell>
          <cell r="O171" t="str">
            <v>10</v>
          </cell>
          <cell r="P171" t="str">
            <v>21</v>
          </cell>
          <cell r="Q171" t="str">
            <v>12</v>
          </cell>
          <cell r="R171" t="str">
            <v>06</v>
          </cell>
          <cell r="S171" t="str">
            <v>09</v>
          </cell>
        </row>
        <row r="172">
          <cell r="A172" t="str">
            <v>VIDRO 2564X481X4</v>
          </cell>
          <cell r="B172">
            <v>121116</v>
          </cell>
          <cell r="C172">
            <v>181021116</v>
          </cell>
          <cell r="D172" t="str">
            <v>05</v>
          </cell>
          <cell r="E172" t="str">
            <v>26</v>
          </cell>
          <cell r="F172" t="str">
            <v>27</v>
          </cell>
          <cell r="G172">
            <v>25</v>
          </cell>
          <cell r="H172">
            <v>28</v>
          </cell>
          <cell r="I172">
            <v>19</v>
          </cell>
          <cell r="J172" t="str">
            <v>13</v>
          </cell>
          <cell r="K172" t="str">
            <v>15</v>
          </cell>
          <cell r="L172" t="str">
            <v>38</v>
          </cell>
          <cell r="M172" t="str">
            <v>44</v>
          </cell>
          <cell r="N172" t="str">
            <v>08</v>
          </cell>
          <cell r="O172" t="str">
            <v>10</v>
          </cell>
          <cell r="P172" t="str">
            <v>21</v>
          </cell>
          <cell r="Q172" t="str">
            <v>12</v>
          </cell>
          <cell r="R172" t="str">
            <v>06</v>
          </cell>
          <cell r="S172" t="str">
            <v>09</v>
          </cell>
        </row>
        <row r="173">
          <cell r="A173" t="str">
            <v>VIDRO 2564X487X4</v>
          </cell>
          <cell r="B173">
            <v>121117</v>
          </cell>
          <cell r="C173">
            <v>181021117</v>
          </cell>
          <cell r="D173" t="str">
            <v>05</v>
          </cell>
          <cell r="E173" t="str">
            <v>26</v>
          </cell>
          <cell r="F173" t="str">
            <v>27</v>
          </cell>
          <cell r="G173">
            <v>25</v>
          </cell>
          <cell r="H173">
            <v>28</v>
          </cell>
          <cell r="I173">
            <v>19</v>
          </cell>
          <cell r="J173" t="str">
            <v>13</v>
          </cell>
          <cell r="K173" t="str">
            <v>15</v>
          </cell>
          <cell r="L173" t="str">
            <v>38</v>
          </cell>
          <cell r="M173" t="str">
            <v>44</v>
          </cell>
          <cell r="N173" t="str">
            <v>08</v>
          </cell>
          <cell r="O173" t="str">
            <v>10</v>
          </cell>
          <cell r="P173" t="str">
            <v>21</v>
          </cell>
          <cell r="Q173" t="str">
            <v>12</v>
          </cell>
          <cell r="R173" t="str">
            <v>06</v>
          </cell>
          <cell r="S173" t="str">
            <v>09</v>
          </cell>
        </row>
        <row r="174">
          <cell r="A174" t="str">
            <v>VIDRO 2564X531X4</v>
          </cell>
          <cell r="B174">
            <v>121118</v>
          </cell>
          <cell r="C174">
            <v>181021118</v>
          </cell>
          <cell r="D174" t="str">
            <v>05</v>
          </cell>
          <cell r="E174" t="str">
            <v>26</v>
          </cell>
          <cell r="F174" t="str">
            <v>27</v>
          </cell>
          <cell r="G174">
            <v>25</v>
          </cell>
          <cell r="H174">
            <v>28</v>
          </cell>
          <cell r="I174">
            <v>19</v>
          </cell>
          <cell r="J174" t="str">
            <v>13</v>
          </cell>
          <cell r="K174" t="str">
            <v>15</v>
          </cell>
          <cell r="L174" t="str">
            <v>38</v>
          </cell>
          <cell r="M174" t="str">
            <v>44</v>
          </cell>
          <cell r="N174" t="str">
            <v>08</v>
          </cell>
          <cell r="O174" t="str">
            <v>10</v>
          </cell>
          <cell r="P174" t="str">
            <v>21</v>
          </cell>
          <cell r="Q174" t="str">
            <v>12</v>
          </cell>
          <cell r="R174" t="str">
            <v>06</v>
          </cell>
          <cell r="S174" t="str">
            <v>09</v>
          </cell>
        </row>
        <row r="175">
          <cell r="A175" t="str">
            <v>VIDRO 2564X581X4</v>
          </cell>
          <cell r="B175">
            <v>121119</v>
          </cell>
          <cell r="C175">
            <v>181021119</v>
          </cell>
          <cell r="D175" t="str">
            <v>05</v>
          </cell>
          <cell r="E175" t="str">
            <v>26</v>
          </cell>
          <cell r="F175" t="str">
            <v>27</v>
          </cell>
          <cell r="G175">
            <v>25</v>
          </cell>
          <cell r="H175">
            <v>28</v>
          </cell>
          <cell r="I175">
            <v>19</v>
          </cell>
          <cell r="J175" t="str">
            <v>13</v>
          </cell>
          <cell r="K175" t="str">
            <v>15</v>
          </cell>
          <cell r="L175" t="str">
            <v>38</v>
          </cell>
          <cell r="M175" t="str">
            <v>44</v>
          </cell>
          <cell r="N175" t="str">
            <v>08</v>
          </cell>
          <cell r="O175" t="str">
            <v>10</v>
          </cell>
          <cell r="P175" t="str">
            <v>21</v>
          </cell>
          <cell r="Q175" t="str">
            <v>12</v>
          </cell>
          <cell r="R175" t="str">
            <v>06</v>
          </cell>
          <cell r="S175" t="str">
            <v>09</v>
          </cell>
        </row>
        <row r="176">
          <cell r="A176" t="str">
            <v>VIDRO 2204X695X4</v>
          </cell>
          <cell r="B176">
            <v>121769</v>
          </cell>
          <cell r="C176">
            <v>181021769</v>
          </cell>
          <cell r="D176" t="str">
            <v>05</v>
          </cell>
          <cell r="E176" t="str">
            <v>26</v>
          </cell>
          <cell r="F176" t="str">
            <v>27</v>
          </cell>
          <cell r="G176">
            <v>25</v>
          </cell>
          <cell r="H176">
            <v>28</v>
          </cell>
          <cell r="I176">
            <v>19</v>
          </cell>
          <cell r="J176" t="str">
            <v>13</v>
          </cell>
          <cell r="K176" t="str">
            <v>15</v>
          </cell>
          <cell r="L176" t="str">
            <v>38</v>
          </cell>
          <cell r="M176" t="str">
            <v>44</v>
          </cell>
          <cell r="N176" t="str">
            <v>08</v>
          </cell>
          <cell r="O176" t="str">
            <v>10</v>
          </cell>
          <cell r="P176" t="str">
            <v>21</v>
          </cell>
          <cell r="Q176" t="str">
            <v>12</v>
          </cell>
          <cell r="R176" t="str">
            <v>06</v>
          </cell>
          <cell r="S176" t="str">
            <v>09</v>
          </cell>
        </row>
        <row r="177">
          <cell r="A177" t="str">
            <v>VIDRO 2204X795X4</v>
          </cell>
          <cell r="B177">
            <v>121152</v>
          </cell>
          <cell r="C177">
            <v>181021152</v>
          </cell>
          <cell r="D177" t="str">
            <v>05</v>
          </cell>
          <cell r="E177" t="str">
            <v>26</v>
          </cell>
          <cell r="F177" t="str">
            <v>27</v>
          </cell>
          <cell r="G177">
            <v>25</v>
          </cell>
          <cell r="H177">
            <v>28</v>
          </cell>
          <cell r="I177">
            <v>19</v>
          </cell>
          <cell r="J177" t="str">
            <v>13</v>
          </cell>
          <cell r="K177" t="str">
            <v>15</v>
          </cell>
          <cell r="L177" t="str">
            <v>38</v>
          </cell>
          <cell r="M177" t="str">
            <v>44</v>
          </cell>
          <cell r="N177" t="str">
            <v>08</v>
          </cell>
          <cell r="O177" t="str">
            <v>10</v>
          </cell>
          <cell r="P177" t="str">
            <v>21</v>
          </cell>
          <cell r="Q177" t="str">
            <v>12</v>
          </cell>
          <cell r="R177" t="str">
            <v>06</v>
          </cell>
          <cell r="S177" t="str">
            <v>09</v>
          </cell>
        </row>
        <row r="178">
          <cell r="A178" t="str">
            <v>VIDRO 2204X895X4</v>
          </cell>
          <cell r="B178">
            <v>121153</v>
          </cell>
          <cell r="C178">
            <v>181021153</v>
          </cell>
          <cell r="D178" t="str">
            <v>05</v>
          </cell>
          <cell r="E178" t="str">
            <v>26</v>
          </cell>
          <cell r="F178" t="str">
            <v>27</v>
          </cell>
          <cell r="G178">
            <v>25</v>
          </cell>
          <cell r="H178">
            <v>28</v>
          </cell>
          <cell r="I178">
            <v>19</v>
          </cell>
          <cell r="J178" t="str">
            <v>13</v>
          </cell>
          <cell r="K178" t="str">
            <v>15</v>
          </cell>
          <cell r="L178" t="str">
            <v>38</v>
          </cell>
          <cell r="M178" t="str">
            <v>44</v>
          </cell>
          <cell r="N178" t="str">
            <v>08</v>
          </cell>
          <cell r="O178" t="str">
            <v>10</v>
          </cell>
          <cell r="P178" t="str">
            <v>21</v>
          </cell>
          <cell r="Q178" t="str">
            <v>12</v>
          </cell>
          <cell r="R178" t="str">
            <v>06</v>
          </cell>
          <cell r="S178" t="str">
            <v>09</v>
          </cell>
        </row>
        <row r="179">
          <cell r="A179" t="str">
            <v>VIDRO 2204X995X4</v>
          </cell>
          <cell r="B179">
            <v>121154</v>
          </cell>
          <cell r="C179">
            <v>181021154</v>
          </cell>
          <cell r="D179" t="str">
            <v>05</v>
          </cell>
          <cell r="E179" t="str">
            <v>26</v>
          </cell>
          <cell r="F179" t="str">
            <v>27</v>
          </cell>
          <cell r="G179">
            <v>25</v>
          </cell>
          <cell r="H179">
            <v>28</v>
          </cell>
          <cell r="I179">
            <v>19</v>
          </cell>
          <cell r="J179" t="str">
            <v>13</v>
          </cell>
          <cell r="K179" t="str">
            <v>15</v>
          </cell>
          <cell r="L179" t="str">
            <v>38</v>
          </cell>
          <cell r="M179" t="str">
            <v>44</v>
          </cell>
          <cell r="N179" t="str">
            <v>08</v>
          </cell>
          <cell r="O179" t="str">
            <v>10</v>
          </cell>
          <cell r="P179" t="str">
            <v>21</v>
          </cell>
          <cell r="Q179" t="str">
            <v>12</v>
          </cell>
          <cell r="R179" t="str">
            <v>06</v>
          </cell>
          <cell r="S179" t="str">
            <v>09</v>
          </cell>
        </row>
        <row r="180">
          <cell r="A180" t="str">
            <v>VIDRO 2384X695X4</v>
          </cell>
          <cell r="B180">
            <v>121770</v>
          </cell>
          <cell r="C180">
            <v>181021770</v>
          </cell>
          <cell r="D180" t="str">
            <v>05</v>
          </cell>
          <cell r="E180" t="str">
            <v>26</v>
          </cell>
          <cell r="F180" t="str">
            <v>27</v>
          </cell>
          <cell r="G180">
            <v>25</v>
          </cell>
          <cell r="H180">
            <v>28</v>
          </cell>
          <cell r="I180">
            <v>19</v>
          </cell>
          <cell r="J180" t="str">
            <v>13</v>
          </cell>
          <cell r="K180" t="str">
            <v>15</v>
          </cell>
          <cell r="L180" t="str">
            <v>38</v>
          </cell>
          <cell r="M180" t="str">
            <v>44</v>
          </cell>
          <cell r="N180" t="str">
            <v>08</v>
          </cell>
          <cell r="O180" t="str">
            <v>10</v>
          </cell>
          <cell r="P180" t="str">
            <v>21</v>
          </cell>
          <cell r="Q180" t="str">
            <v>12</v>
          </cell>
          <cell r="R180" t="str">
            <v>06</v>
          </cell>
          <cell r="S180" t="str">
            <v>09</v>
          </cell>
        </row>
        <row r="181">
          <cell r="A181" t="str">
            <v>VIDRO 2384X795X4</v>
          </cell>
          <cell r="B181">
            <v>121155</v>
          </cell>
          <cell r="C181">
            <v>181021155</v>
          </cell>
          <cell r="D181" t="str">
            <v>05</v>
          </cell>
          <cell r="E181" t="str">
            <v>26</v>
          </cell>
          <cell r="F181" t="str">
            <v>27</v>
          </cell>
          <cell r="G181">
            <v>25</v>
          </cell>
          <cell r="H181">
            <v>28</v>
          </cell>
          <cell r="I181">
            <v>19</v>
          </cell>
          <cell r="J181" t="str">
            <v>13</v>
          </cell>
          <cell r="K181" t="str">
            <v>15</v>
          </cell>
          <cell r="L181" t="str">
            <v>38</v>
          </cell>
          <cell r="M181" t="str">
            <v>44</v>
          </cell>
          <cell r="N181" t="str">
            <v>08</v>
          </cell>
          <cell r="O181" t="str">
            <v>10</v>
          </cell>
          <cell r="P181" t="str">
            <v>21</v>
          </cell>
          <cell r="Q181" t="str">
            <v>12</v>
          </cell>
          <cell r="R181" t="str">
            <v>06</v>
          </cell>
          <cell r="S181" t="str">
            <v>09</v>
          </cell>
        </row>
        <row r="182">
          <cell r="A182" t="str">
            <v>VIDRO 2384X895X4</v>
          </cell>
          <cell r="B182">
            <v>121156</v>
          </cell>
          <cell r="C182">
            <v>181021156</v>
          </cell>
          <cell r="D182" t="str">
            <v>05</v>
          </cell>
          <cell r="E182" t="str">
            <v>26</v>
          </cell>
          <cell r="F182" t="str">
            <v>27</v>
          </cell>
          <cell r="G182">
            <v>25</v>
          </cell>
          <cell r="H182">
            <v>28</v>
          </cell>
          <cell r="I182">
            <v>19</v>
          </cell>
          <cell r="J182" t="str">
            <v>13</v>
          </cell>
          <cell r="K182" t="str">
            <v>15</v>
          </cell>
          <cell r="L182" t="str">
            <v>38</v>
          </cell>
          <cell r="M182" t="str">
            <v>44</v>
          </cell>
          <cell r="N182" t="str">
            <v>08</v>
          </cell>
          <cell r="O182" t="str">
            <v>10</v>
          </cell>
          <cell r="P182" t="str">
            <v>21</v>
          </cell>
          <cell r="Q182" t="str">
            <v>12</v>
          </cell>
          <cell r="R182" t="str">
            <v>06</v>
          </cell>
          <cell r="S182" t="str">
            <v>09</v>
          </cell>
        </row>
        <row r="183">
          <cell r="A183" t="str">
            <v>VIDRO 2384X995X4</v>
          </cell>
          <cell r="B183">
            <v>121157</v>
          </cell>
          <cell r="C183">
            <v>181021157</v>
          </cell>
          <cell r="D183" t="str">
            <v>05</v>
          </cell>
          <cell r="E183" t="str">
            <v>26</v>
          </cell>
          <cell r="F183" t="str">
            <v>27</v>
          </cell>
          <cell r="G183">
            <v>25</v>
          </cell>
          <cell r="H183">
            <v>28</v>
          </cell>
          <cell r="I183">
            <v>19</v>
          </cell>
          <cell r="J183" t="str">
            <v>13</v>
          </cell>
          <cell r="K183" t="str">
            <v>15</v>
          </cell>
          <cell r="L183" t="str">
            <v>38</v>
          </cell>
          <cell r="M183" t="str">
            <v>44</v>
          </cell>
          <cell r="N183" t="str">
            <v>08</v>
          </cell>
          <cell r="O183" t="str">
            <v>10</v>
          </cell>
          <cell r="P183" t="str">
            <v>21</v>
          </cell>
          <cell r="Q183" t="str">
            <v>12</v>
          </cell>
          <cell r="R183" t="str">
            <v>06</v>
          </cell>
          <cell r="S183" t="str">
            <v>09</v>
          </cell>
        </row>
        <row r="184">
          <cell r="A184" t="str">
            <v>VIDRO 2564X695X4</v>
          </cell>
          <cell r="B184">
            <v>121771</v>
          </cell>
          <cell r="C184">
            <v>181021771</v>
          </cell>
          <cell r="D184" t="str">
            <v>05</v>
          </cell>
          <cell r="E184" t="str">
            <v>26</v>
          </cell>
          <cell r="F184" t="str">
            <v>27</v>
          </cell>
          <cell r="G184">
            <v>25</v>
          </cell>
          <cell r="H184">
            <v>28</v>
          </cell>
          <cell r="I184">
            <v>19</v>
          </cell>
          <cell r="J184" t="str">
            <v>13</v>
          </cell>
          <cell r="K184" t="str">
            <v>15</v>
          </cell>
          <cell r="L184" t="str">
            <v>38</v>
          </cell>
          <cell r="M184" t="str">
            <v>44</v>
          </cell>
          <cell r="N184" t="str">
            <v>08</v>
          </cell>
          <cell r="O184" t="str">
            <v>10</v>
          </cell>
          <cell r="P184" t="str">
            <v>21</v>
          </cell>
          <cell r="Q184" t="str">
            <v>12</v>
          </cell>
          <cell r="R184" t="str">
            <v>06</v>
          </cell>
          <cell r="S184" t="str">
            <v>09</v>
          </cell>
        </row>
        <row r="185">
          <cell r="A185" t="str">
            <v>VIDRO 2564X795X4</v>
          </cell>
          <cell r="B185">
            <v>121158</v>
          </cell>
          <cell r="C185">
            <v>181021158</v>
          </cell>
          <cell r="D185" t="str">
            <v>05</v>
          </cell>
          <cell r="E185" t="str">
            <v>26</v>
          </cell>
          <cell r="F185" t="str">
            <v>27</v>
          </cell>
          <cell r="G185">
            <v>25</v>
          </cell>
          <cell r="H185">
            <v>28</v>
          </cell>
          <cell r="I185">
            <v>19</v>
          </cell>
          <cell r="J185" t="str">
            <v>13</v>
          </cell>
          <cell r="K185" t="str">
            <v>15</v>
          </cell>
          <cell r="L185" t="str">
            <v>38</v>
          </cell>
          <cell r="M185" t="str">
            <v>44</v>
          </cell>
          <cell r="N185" t="str">
            <v>08</v>
          </cell>
          <cell r="O185" t="str">
            <v>10</v>
          </cell>
          <cell r="P185" t="str">
            <v>21</v>
          </cell>
          <cell r="Q185" t="str">
            <v>12</v>
          </cell>
          <cell r="R185" t="str">
            <v>06</v>
          </cell>
          <cell r="S185" t="str">
            <v>09</v>
          </cell>
        </row>
        <row r="186">
          <cell r="A186" t="str">
            <v>VIDRO 2564X895X4</v>
          </cell>
          <cell r="B186">
            <v>121159</v>
          </cell>
          <cell r="C186">
            <v>181021159</v>
          </cell>
          <cell r="D186" t="str">
            <v>05</v>
          </cell>
          <cell r="E186" t="str">
            <v>26</v>
          </cell>
          <cell r="F186" t="str">
            <v>27</v>
          </cell>
          <cell r="G186">
            <v>25</v>
          </cell>
          <cell r="H186">
            <v>28</v>
          </cell>
          <cell r="I186">
            <v>19</v>
          </cell>
          <cell r="J186" t="str">
            <v>13</v>
          </cell>
          <cell r="K186" t="str">
            <v>15</v>
          </cell>
          <cell r="L186" t="str">
            <v>38</v>
          </cell>
          <cell r="M186" t="str">
            <v>44</v>
          </cell>
          <cell r="N186" t="str">
            <v>08</v>
          </cell>
          <cell r="O186" t="str">
            <v>10</v>
          </cell>
          <cell r="P186" t="str">
            <v>21</v>
          </cell>
          <cell r="Q186" t="str">
            <v>12</v>
          </cell>
          <cell r="R186" t="str">
            <v>06</v>
          </cell>
          <cell r="S186" t="str">
            <v>09</v>
          </cell>
        </row>
        <row r="187">
          <cell r="A187" t="str">
            <v>VIDRO 2564X995X4</v>
          </cell>
          <cell r="B187">
            <v>121160</v>
          </cell>
          <cell r="C187">
            <v>181021160</v>
          </cell>
          <cell r="D187" t="str">
            <v>05</v>
          </cell>
          <cell r="E187" t="str">
            <v>26</v>
          </cell>
          <cell r="F187" t="str">
            <v>27</v>
          </cell>
          <cell r="G187">
            <v>25</v>
          </cell>
          <cell r="H187">
            <v>28</v>
          </cell>
          <cell r="I187">
            <v>19</v>
          </cell>
          <cell r="J187" t="str">
            <v>13</v>
          </cell>
          <cell r="K187" t="str">
            <v>15</v>
          </cell>
          <cell r="L187" t="str">
            <v>38</v>
          </cell>
          <cell r="M187" t="str">
            <v>44</v>
          </cell>
          <cell r="N187" t="str">
            <v>08</v>
          </cell>
          <cell r="O187" t="str">
            <v>10</v>
          </cell>
          <cell r="P187" t="str">
            <v>21</v>
          </cell>
          <cell r="Q187" t="str">
            <v>12</v>
          </cell>
          <cell r="R187" t="str">
            <v>06</v>
          </cell>
          <cell r="S187" t="str">
            <v>09</v>
          </cell>
        </row>
        <row r="188">
          <cell r="A188" t="str">
            <v>VIDRO 2301X695X4</v>
          </cell>
          <cell r="B188">
            <v>121772</v>
          </cell>
          <cell r="C188">
            <v>181021772</v>
          </cell>
          <cell r="D188" t="str">
            <v>05</v>
          </cell>
          <cell r="E188" t="str">
            <v>26</v>
          </cell>
          <cell r="F188" t="str">
            <v>27</v>
          </cell>
          <cell r="G188">
            <v>25</v>
          </cell>
          <cell r="H188">
            <v>28</v>
          </cell>
          <cell r="I188">
            <v>19</v>
          </cell>
          <cell r="J188" t="str">
            <v>13</v>
          </cell>
          <cell r="K188" t="str">
            <v>15</v>
          </cell>
          <cell r="L188" t="str">
            <v>38</v>
          </cell>
          <cell r="M188" t="str">
            <v>44</v>
          </cell>
          <cell r="N188" t="str">
            <v>08</v>
          </cell>
          <cell r="O188" t="str">
            <v>10</v>
          </cell>
          <cell r="P188" t="str">
            <v>21</v>
          </cell>
          <cell r="Q188" t="str">
            <v>12</v>
          </cell>
          <cell r="R188" t="str">
            <v>06</v>
          </cell>
          <cell r="S188" t="str">
            <v>09</v>
          </cell>
        </row>
        <row r="189">
          <cell r="A189" t="str">
            <v>VIDRO 2301X795X4</v>
          </cell>
          <cell r="B189">
            <v>121161</v>
          </cell>
          <cell r="C189">
            <v>181021161</v>
          </cell>
          <cell r="D189" t="str">
            <v>05</v>
          </cell>
          <cell r="E189" t="str">
            <v>26</v>
          </cell>
          <cell r="F189" t="str">
            <v>27</v>
          </cell>
          <cell r="G189">
            <v>25</v>
          </cell>
          <cell r="H189">
            <v>28</v>
          </cell>
          <cell r="I189">
            <v>19</v>
          </cell>
          <cell r="J189" t="str">
            <v>13</v>
          </cell>
          <cell r="K189" t="str">
            <v>15</v>
          </cell>
          <cell r="L189" t="str">
            <v>38</v>
          </cell>
          <cell r="M189" t="str">
            <v>44</v>
          </cell>
          <cell r="N189" t="str">
            <v>08</v>
          </cell>
          <cell r="O189" t="str">
            <v>10</v>
          </cell>
          <cell r="P189" t="str">
            <v>21</v>
          </cell>
          <cell r="Q189" t="str">
            <v>12</v>
          </cell>
          <cell r="R189" t="str">
            <v>06</v>
          </cell>
          <cell r="S189" t="str">
            <v>09</v>
          </cell>
        </row>
        <row r="190">
          <cell r="A190" t="str">
            <v>VIDRO 2301X895X4</v>
          </cell>
          <cell r="B190">
            <v>121162</v>
          </cell>
          <cell r="C190">
            <v>181021162</v>
          </cell>
          <cell r="D190" t="str">
            <v>05</v>
          </cell>
          <cell r="E190" t="str">
            <v>26</v>
          </cell>
          <cell r="F190" t="str">
            <v>27</v>
          </cell>
          <cell r="G190">
            <v>25</v>
          </cell>
          <cell r="H190">
            <v>28</v>
          </cell>
          <cell r="I190">
            <v>19</v>
          </cell>
          <cell r="J190" t="str">
            <v>13</v>
          </cell>
          <cell r="K190" t="str">
            <v>15</v>
          </cell>
          <cell r="L190" t="str">
            <v>38</v>
          </cell>
          <cell r="M190" t="str">
            <v>44</v>
          </cell>
          <cell r="N190" t="str">
            <v>08</v>
          </cell>
          <cell r="O190" t="str">
            <v>10</v>
          </cell>
          <cell r="P190" t="str">
            <v>21</v>
          </cell>
          <cell r="Q190" t="str">
            <v>12</v>
          </cell>
          <cell r="R190" t="str">
            <v>06</v>
          </cell>
          <cell r="S190" t="str">
            <v>09</v>
          </cell>
        </row>
        <row r="191">
          <cell r="A191" t="str">
            <v>VIDRO 2301X995X4</v>
          </cell>
          <cell r="B191">
            <v>121163</v>
          </cell>
          <cell r="C191">
            <v>181021163</v>
          </cell>
          <cell r="D191" t="str">
            <v>05</v>
          </cell>
          <cell r="E191" t="str">
            <v>26</v>
          </cell>
          <cell r="F191" t="str">
            <v>27</v>
          </cell>
          <cell r="G191">
            <v>25</v>
          </cell>
          <cell r="H191">
            <v>28</v>
          </cell>
          <cell r="I191">
            <v>19</v>
          </cell>
          <cell r="J191" t="str">
            <v>13</v>
          </cell>
          <cell r="K191" t="str">
            <v>15</v>
          </cell>
          <cell r="L191" t="str">
            <v>38</v>
          </cell>
          <cell r="M191" t="str">
            <v>44</v>
          </cell>
          <cell r="N191" t="str">
            <v>08</v>
          </cell>
          <cell r="O191" t="str">
            <v>10</v>
          </cell>
          <cell r="P191" t="str">
            <v>21</v>
          </cell>
          <cell r="Q191" t="str">
            <v>12</v>
          </cell>
          <cell r="R191" t="str">
            <v>06</v>
          </cell>
          <cell r="S191" t="str">
            <v>09</v>
          </cell>
        </row>
        <row r="192">
          <cell r="A192" t="str">
            <v>VIDRO 2481X695X4</v>
          </cell>
          <cell r="B192">
            <v>121773</v>
          </cell>
          <cell r="C192">
            <v>181021773</v>
          </cell>
          <cell r="D192" t="str">
            <v>05</v>
          </cell>
          <cell r="E192" t="str">
            <v>26</v>
          </cell>
          <cell r="F192" t="str">
            <v>27</v>
          </cell>
          <cell r="G192">
            <v>25</v>
          </cell>
          <cell r="H192">
            <v>28</v>
          </cell>
          <cell r="I192">
            <v>19</v>
          </cell>
          <cell r="J192" t="str">
            <v>13</v>
          </cell>
          <cell r="K192" t="str">
            <v>15</v>
          </cell>
          <cell r="L192" t="str">
            <v>38</v>
          </cell>
          <cell r="M192" t="str">
            <v>44</v>
          </cell>
          <cell r="N192" t="str">
            <v>08</v>
          </cell>
          <cell r="O192" t="str">
            <v>10</v>
          </cell>
          <cell r="P192" t="str">
            <v>21</v>
          </cell>
          <cell r="Q192" t="str">
            <v>12</v>
          </cell>
          <cell r="R192" t="str">
            <v>06</v>
          </cell>
          <cell r="S192" t="str">
            <v>09</v>
          </cell>
        </row>
        <row r="193">
          <cell r="A193" t="str">
            <v>VIDRO 2481X795X4</v>
          </cell>
          <cell r="B193">
            <v>121164</v>
          </cell>
          <cell r="C193">
            <v>181021164</v>
          </cell>
          <cell r="D193" t="str">
            <v>05</v>
          </cell>
          <cell r="E193" t="str">
            <v>26</v>
          </cell>
          <cell r="F193" t="str">
            <v>27</v>
          </cell>
          <cell r="G193">
            <v>25</v>
          </cell>
          <cell r="H193">
            <v>28</v>
          </cell>
          <cell r="I193">
            <v>19</v>
          </cell>
          <cell r="J193" t="str">
            <v>13</v>
          </cell>
          <cell r="K193" t="str">
            <v>15</v>
          </cell>
          <cell r="L193" t="str">
            <v>38</v>
          </cell>
          <cell r="M193" t="str">
            <v>44</v>
          </cell>
          <cell r="N193" t="str">
            <v>08</v>
          </cell>
          <cell r="O193" t="str">
            <v>10</v>
          </cell>
          <cell r="P193" t="str">
            <v>21</v>
          </cell>
          <cell r="Q193" t="str">
            <v>12</v>
          </cell>
          <cell r="R193" t="str">
            <v>06</v>
          </cell>
          <cell r="S193" t="str">
            <v>09</v>
          </cell>
        </row>
        <row r="194">
          <cell r="A194" t="str">
            <v>VIDRO 2481X895X4</v>
          </cell>
          <cell r="B194">
            <v>121165</v>
          </cell>
          <cell r="C194">
            <v>181021165</v>
          </cell>
          <cell r="D194" t="str">
            <v>05</v>
          </cell>
          <cell r="E194" t="str">
            <v>26</v>
          </cell>
          <cell r="F194" t="str">
            <v>27</v>
          </cell>
          <cell r="G194">
            <v>25</v>
          </cell>
          <cell r="H194">
            <v>28</v>
          </cell>
          <cell r="I194">
            <v>19</v>
          </cell>
          <cell r="J194" t="str">
            <v>13</v>
          </cell>
          <cell r="K194" t="str">
            <v>15</v>
          </cell>
          <cell r="L194" t="str">
            <v>38</v>
          </cell>
          <cell r="M194" t="str">
            <v>44</v>
          </cell>
          <cell r="N194" t="str">
            <v>08</v>
          </cell>
          <cell r="O194" t="str">
            <v>10</v>
          </cell>
          <cell r="P194" t="str">
            <v>21</v>
          </cell>
          <cell r="Q194" t="str">
            <v>12</v>
          </cell>
          <cell r="R194" t="str">
            <v>06</v>
          </cell>
          <cell r="S194" t="str">
            <v>09</v>
          </cell>
        </row>
        <row r="195">
          <cell r="A195" t="str">
            <v>VIDRO 2481X995X4</v>
          </cell>
          <cell r="B195">
            <v>121166</v>
          </cell>
          <cell r="C195">
            <v>181021166</v>
          </cell>
          <cell r="D195" t="str">
            <v>05</v>
          </cell>
          <cell r="E195" t="str">
            <v>26</v>
          </cell>
          <cell r="F195" t="str">
            <v>27</v>
          </cell>
          <cell r="G195">
            <v>25</v>
          </cell>
          <cell r="H195">
            <v>28</v>
          </cell>
          <cell r="I195">
            <v>19</v>
          </cell>
          <cell r="J195" t="str">
            <v>13</v>
          </cell>
          <cell r="K195" t="str">
            <v>15</v>
          </cell>
          <cell r="L195" t="str">
            <v>38</v>
          </cell>
          <cell r="M195" t="str">
            <v>44</v>
          </cell>
          <cell r="N195" t="str">
            <v>08</v>
          </cell>
          <cell r="O195" t="str">
            <v>10</v>
          </cell>
          <cell r="P195" t="str">
            <v>21</v>
          </cell>
          <cell r="Q195" t="str">
            <v>12</v>
          </cell>
          <cell r="R195" t="str">
            <v>06</v>
          </cell>
          <cell r="S195" t="str">
            <v>09</v>
          </cell>
        </row>
      </sheetData>
    </sheetDataSet>
  </externalBook>
</externalLink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A40407-E6A4-43C9-BD36-EE3B1A27DCDE}">
  <sheetPr codeName="Planilha1"/>
  <dimension ref="A1:L54"/>
  <sheetViews>
    <sheetView tabSelected="1" zoomScale="70" zoomScaleNormal="70" workbookViewId="0">
      <selection activeCell="A28" sqref="A28"/>
    </sheetView>
  </sheetViews>
  <sheetFormatPr defaultRowHeight="12.75" x14ac:dyDescent="0.2"/>
  <cols>
    <col min="1" max="1" width="33.85546875" style="1" customWidth="1"/>
    <col min="2" max="2" width="14.7109375" style="1" bestFit="1" customWidth="1"/>
    <col min="3" max="3" width="13.42578125" style="1" customWidth="1"/>
    <col min="4" max="4" width="14.7109375" style="1" bestFit="1" customWidth="1"/>
    <col min="5" max="6" width="12.42578125" style="1" customWidth="1"/>
    <col min="7" max="7" width="70.85546875" style="1" bestFit="1" customWidth="1"/>
    <col min="8" max="8" width="22.28515625" style="1" bestFit="1" customWidth="1"/>
    <col min="9" max="16384" width="9.140625" style="1"/>
  </cols>
  <sheetData>
    <row r="1" spans="1:12" s="18" customFormat="1" ht="33.75" customHeight="1" thickBot="1" x14ac:dyDescent="0.35">
      <c r="A1" s="43" t="s">
        <v>78</v>
      </c>
      <c r="B1" s="44"/>
      <c r="C1" s="44"/>
      <c r="D1" s="44"/>
      <c r="E1" s="44"/>
      <c r="F1" s="44"/>
      <c r="G1" s="44"/>
      <c r="H1" s="44"/>
      <c r="I1" s="44"/>
      <c r="J1" s="44"/>
      <c r="K1" s="44"/>
      <c r="L1" s="45"/>
    </row>
    <row r="2" spans="1:12" s="18" customFormat="1" ht="60.75" customHeight="1" thickBot="1" x14ac:dyDescent="0.25">
      <c r="A2" s="46" t="s">
        <v>0</v>
      </c>
      <c r="B2" s="47"/>
      <c r="C2" s="48" t="s">
        <v>79</v>
      </c>
      <c r="D2" s="49"/>
      <c r="E2" s="49"/>
      <c r="F2" s="49"/>
      <c r="G2" s="49"/>
      <c r="H2" s="49"/>
      <c r="I2" s="49"/>
      <c r="J2" s="49"/>
      <c r="K2" s="49"/>
      <c r="L2" s="50"/>
    </row>
    <row r="3" spans="1:12" s="18" customFormat="1" ht="27.75" customHeight="1" x14ac:dyDescent="0.2">
      <c r="A3" s="51" t="s">
        <v>1</v>
      </c>
      <c r="B3" s="52" t="s">
        <v>2</v>
      </c>
      <c r="C3" s="53" t="s">
        <v>70</v>
      </c>
      <c r="D3" s="54"/>
      <c r="E3" s="54"/>
      <c r="F3" s="55"/>
      <c r="G3" s="56" t="s">
        <v>3</v>
      </c>
      <c r="H3" s="57"/>
      <c r="I3" s="58" t="s">
        <v>4</v>
      </c>
      <c r="J3" s="58"/>
      <c r="K3" s="59"/>
      <c r="L3" s="60" t="s">
        <v>71</v>
      </c>
    </row>
    <row r="4" spans="1:12" ht="34.5" customHeight="1" thickBot="1" x14ac:dyDescent="0.25">
      <c r="A4" s="61"/>
      <c r="B4" s="62"/>
      <c r="C4" s="63" t="s">
        <v>72</v>
      </c>
      <c r="D4" s="63" t="s">
        <v>73</v>
      </c>
      <c r="E4" s="63" t="s">
        <v>74</v>
      </c>
      <c r="F4" s="63" t="s">
        <v>75</v>
      </c>
      <c r="G4" s="64"/>
      <c r="H4" s="65"/>
      <c r="I4" s="66" t="s">
        <v>6</v>
      </c>
      <c r="J4" s="66" t="s">
        <v>7</v>
      </c>
      <c r="K4" s="67" t="s">
        <v>8</v>
      </c>
      <c r="L4" s="68"/>
    </row>
    <row r="5" spans="1:12" ht="18.75" customHeight="1" x14ac:dyDescent="0.2">
      <c r="A5" s="69">
        <v>223781</v>
      </c>
      <c r="B5" s="69">
        <f>VLOOKUP(A5,'[1]GG COZ ALUM'!$B$10:$F$271,2,FALSE)</f>
        <v>591094</v>
      </c>
      <c r="C5" s="6">
        <v>1205</v>
      </c>
      <c r="D5" s="6">
        <v>1305</v>
      </c>
      <c r="E5" s="6">
        <v>1805</v>
      </c>
      <c r="F5" s="6">
        <v>1005</v>
      </c>
      <c r="G5" s="40" t="str">
        <f>VLOOKUP(A5,'[1]GG COZ ALUM'!$B$10:$F$271,3,FALSE)</f>
        <v>FRENTE FALSA GAV 535X546X18+COR</v>
      </c>
      <c r="H5" s="6" t="s">
        <v>9</v>
      </c>
      <c r="I5" s="40">
        <f>VLOOKUP(A5,'[1]GG COZ ALUM'!$B$10:$F$271,4,FALSE)</f>
        <v>535</v>
      </c>
      <c r="J5" s="40">
        <f>VLOOKUP(A5,'[1]GG COZ ALUM'!$B$10:$F$271,5,FALSE)</f>
        <v>546</v>
      </c>
      <c r="K5" s="40">
        <v>18</v>
      </c>
      <c r="L5" s="68"/>
    </row>
    <row r="6" spans="1:12" ht="18.75" customHeight="1" x14ac:dyDescent="0.2">
      <c r="A6" s="41"/>
      <c r="B6" s="41"/>
      <c r="C6" s="6">
        <v>1227</v>
      </c>
      <c r="D6" s="6">
        <v>1327</v>
      </c>
      <c r="E6" s="6" t="s">
        <v>5</v>
      </c>
      <c r="F6" s="6">
        <v>1027</v>
      </c>
      <c r="G6" s="41" t="s">
        <v>80</v>
      </c>
      <c r="H6" s="6" t="s">
        <v>10</v>
      </c>
      <c r="I6" s="41">
        <v>355</v>
      </c>
      <c r="J6" s="41">
        <v>396</v>
      </c>
      <c r="K6" s="41">
        <v>18</v>
      </c>
      <c r="L6" s="68"/>
    </row>
    <row r="7" spans="1:12" ht="18.75" customHeight="1" x14ac:dyDescent="0.2">
      <c r="A7" s="41"/>
      <c r="B7" s="41"/>
      <c r="C7" s="6">
        <v>1226</v>
      </c>
      <c r="D7" s="6" t="s">
        <v>5</v>
      </c>
      <c r="E7" s="6">
        <v>1826</v>
      </c>
      <c r="F7" s="6">
        <v>1026</v>
      </c>
      <c r="G7" s="41" t="s">
        <v>80</v>
      </c>
      <c r="H7" s="6" t="s">
        <v>11</v>
      </c>
      <c r="I7" s="41">
        <v>355</v>
      </c>
      <c r="J7" s="41">
        <v>396</v>
      </c>
      <c r="K7" s="41">
        <v>18</v>
      </c>
      <c r="L7" s="68"/>
    </row>
    <row r="8" spans="1:12" ht="18.75" customHeight="1" x14ac:dyDescent="0.2">
      <c r="A8" s="41"/>
      <c r="B8" s="41"/>
      <c r="C8" s="6">
        <v>1225</v>
      </c>
      <c r="D8" s="6">
        <v>1325</v>
      </c>
      <c r="E8" s="6" t="s">
        <v>5</v>
      </c>
      <c r="F8" s="6">
        <v>1025</v>
      </c>
      <c r="G8" s="41" t="s">
        <v>80</v>
      </c>
      <c r="H8" s="6" t="s">
        <v>81</v>
      </c>
      <c r="I8" s="41">
        <v>355</v>
      </c>
      <c r="J8" s="41">
        <v>396</v>
      </c>
      <c r="K8" s="41">
        <v>18</v>
      </c>
      <c r="L8" s="68"/>
    </row>
    <row r="9" spans="1:12" ht="18.75" customHeight="1" x14ac:dyDescent="0.2">
      <c r="A9" s="41"/>
      <c r="B9" s="41"/>
      <c r="C9" s="6">
        <v>1228</v>
      </c>
      <c r="D9" s="6" t="s">
        <v>5</v>
      </c>
      <c r="E9" s="6">
        <v>1828</v>
      </c>
      <c r="F9" s="6">
        <v>1028</v>
      </c>
      <c r="G9" s="41" t="s">
        <v>80</v>
      </c>
      <c r="H9" s="6" t="s">
        <v>82</v>
      </c>
      <c r="I9" s="41">
        <v>355</v>
      </c>
      <c r="J9" s="41">
        <v>396</v>
      </c>
      <c r="K9" s="41">
        <v>18</v>
      </c>
      <c r="L9" s="68"/>
    </row>
    <row r="10" spans="1:12" ht="18.75" customHeight="1" x14ac:dyDescent="0.2">
      <c r="A10" s="41"/>
      <c r="B10" s="41"/>
      <c r="C10" s="6">
        <v>1219</v>
      </c>
      <c r="D10" s="6">
        <v>1319</v>
      </c>
      <c r="E10" s="6">
        <v>1819</v>
      </c>
      <c r="F10" s="6">
        <v>1019</v>
      </c>
      <c r="G10" s="41" t="s">
        <v>80</v>
      </c>
      <c r="H10" s="6" t="s">
        <v>83</v>
      </c>
      <c r="I10" s="41">
        <v>355</v>
      </c>
      <c r="J10" s="41">
        <v>396</v>
      </c>
      <c r="K10" s="41">
        <v>18</v>
      </c>
      <c r="L10" s="68"/>
    </row>
    <row r="11" spans="1:12" ht="18.75" customHeight="1" x14ac:dyDescent="0.2">
      <c r="A11" s="41"/>
      <c r="B11" s="41"/>
      <c r="C11" s="6">
        <v>1213</v>
      </c>
      <c r="D11" s="6">
        <v>1313</v>
      </c>
      <c r="E11" s="6">
        <v>1813</v>
      </c>
      <c r="F11" s="6">
        <v>1013</v>
      </c>
      <c r="G11" s="41" t="s">
        <v>80</v>
      </c>
      <c r="H11" s="6" t="s">
        <v>12</v>
      </c>
      <c r="I11" s="41">
        <v>355</v>
      </c>
      <c r="J11" s="41">
        <v>396</v>
      </c>
      <c r="K11" s="41">
        <v>18</v>
      </c>
      <c r="L11" s="68"/>
    </row>
    <row r="12" spans="1:12" ht="18.75" customHeight="1" x14ac:dyDescent="0.2">
      <c r="A12" s="41"/>
      <c r="B12" s="41"/>
      <c r="C12" s="6">
        <v>1215</v>
      </c>
      <c r="D12" s="6">
        <v>1315</v>
      </c>
      <c r="E12" s="6">
        <v>1815</v>
      </c>
      <c r="F12" s="6">
        <v>1015</v>
      </c>
      <c r="G12" s="41" t="s">
        <v>80</v>
      </c>
      <c r="H12" s="6" t="s">
        <v>13</v>
      </c>
      <c r="I12" s="41">
        <v>355</v>
      </c>
      <c r="J12" s="41">
        <v>396</v>
      </c>
      <c r="K12" s="41">
        <v>18</v>
      </c>
      <c r="L12" s="68"/>
    </row>
    <row r="13" spans="1:12" ht="18.75" customHeight="1" x14ac:dyDescent="0.2">
      <c r="A13" s="41"/>
      <c r="B13" s="41"/>
      <c r="C13" s="6">
        <v>1238</v>
      </c>
      <c r="D13" s="6">
        <v>1338</v>
      </c>
      <c r="E13" s="6">
        <v>1838</v>
      </c>
      <c r="F13" s="6">
        <v>1038</v>
      </c>
      <c r="G13" s="41" t="s">
        <v>80</v>
      </c>
      <c r="H13" s="6" t="s">
        <v>14</v>
      </c>
      <c r="I13" s="41">
        <v>355</v>
      </c>
      <c r="J13" s="41">
        <v>396</v>
      </c>
      <c r="K13" s="41">
        <v>18</v>
      </c>
      <c r="L13" s="68"/>
    </row>
    <row r="14" spans="1:12" ht="18.75" customHeight="1" x14ac:dyDescent="0.2">
      <c r="A14" s="41"/>
      <c r="B14" s="41"/>
      <c r="C14" s="6">
        <v>1244</v>
      </c>
      <c r="D14" s="6" t="s">
        <v>5</v>
      </c>
      <c r="E14" s="6">
        <v>1844</v>
      </c>
      <c r="F14" s="6">
        <v>1044</v>
      </c>
      <c r="G14" s="41" t="s">
        <v>80</v>
      </c>
      <c r="H14" s="6" t="s">
        <v>15</v>
      </c>
      <c r="I14" s="41">
        <v>355</v>
      </c>
      <c r="J14" s="41">
        <v>396</v>
      </c>
      <c r="K14" s="41">
        <v>18</v>
      </c>
      <c r="L14" s="68"/>
    </row>
    <row r="15" spans="1:12" ht="18.75" customHeight="1" x14ac:dyDescent="0.2">
      <c r="A15" s="41"/>
      <c r="B15" s="41"/>
      <c r="C15" s="6">
        <v>1208</v>
      </c>
      <c r="D15" s="6" t="s">
        <v>5</v>
      </c>
      <c r="E15" s="6">
        <v>1808</v>
      </c>
      <c r="F15" s="6">
        <v>1008</v>
      </c>
      <c r="G15" s="41" t="s">
        <v>80</v>
      </c>
      <c r="H15" s="6" t="s">
        <v>16</v>
      </c>
      <c r="I15" s="41">
        <v>355</v>
      </c>
      <c r="J15" s="41">
        <v>396</v>
      </c>
      <c r="K15" s="41">
        <v>18</v>
      </c>
      <c r="L15" s="68"/>
    </row>
    <row r="16" spans="1:12" ht="18.75" customHeight="1" x14ac:dyDescent="0.2">
      <c r="A16" s="41"/>
      <c r="B16" s="41"/>
      <c r="C16" s="6">
        <v>1210</v>
      </c>
      <c r="D16" s="6">
        <v>1310</v>
      </c>
      <c r="E16" s="6">
        <v>1810</v>
      </c>
      <c r="F16" s="6">
        <v>1010</v>
      </c>
      <c r="G16" s="41" t="s">
        <v>80</v>
      </c>
      <c r="H16" s="6" t="s">
        <v>17</v>
      </c>
      <c r="I16" s="41">
        <v>355</v>
      </c>
      <c r="J16" s="41">
        <v>396</v>
      </c>
      <c r="K16" s="41">
        <v>18</v>
      </c>
      <c r="L16" s="68"/>
    </row>
    <row r="17" spans="1:12" ht="18.75" customHeight="1" x14ac:dyDescent="0.2">
      <c r="A17" s="41"/>
      <c r="B17" s="41"/>
      <c r="C17" s="6">
        <v>1221</v>
      </c>
      <c r="D17" s="6">
        <v>1321</v>
      </c>
      <c r="E17" s="6">
        <v>1821</v>
      </c>
      <c r="F17" s="6">
        <v>1021</v>
      </c>
      <c r="G17" s="41" t="s">
        <v>80</v>
      </c>
      <c r="H17" s="6" t="s">
        <v>18</v>
      </c>
      <c r="I17" s="41">
        <v>355</v>
      </c>
      <c r="J17" s="41">
        <v>396</v>
      </c>
      <c r="K17" s="41">
        <v>18</v>
      </c>
      <c r="L17" s="68"/>
    </row>
    <row r="18" spans="1:12" ht="18.75" customHeight="1" x14ac:dyDescent="0.2">
      <c r="A18" s="41"/>
      <c r="B18" s="41"/>
      <c r="C18" s="6">
        <v>1212</v>
      </c>
      <c r="D18" s="6">
        <v>1312</v>
      </c>
      <c r="E18" s="6">
        <v>1812</v>
      </c>
      <c r="F18" s="6">
        <v>1012</v>
      </c>
      <c r="G18" s="41" t="s">
        <v>80</v>
      </c>
      <c r="H18" s="6" t="s">
        <v>19</v>
      </c>
      <c r="I18" s="41">
        <v>355</v>
      </c>
      <c r="J18" s="41">
        <v>396</v>
      </c>
      <c r="K18" s="41">
        <v>18</v>
      </c>
      <c r="L18" s="68"/>
    </row>
    <row r="19" spans="1:12" ht="18.75" customHeight="1" x14ac:dyDescent="0.2">
      <c r="A19" s="41"/>
      <c r="B19" s="41"/>
      <c r="C19" s="6">
        <v>1206</v>
      </c>
      <c r="D19" s="6">
        <v>1306</v>
      </c>
      <c r="E19" s="6">
        <v>1806</v>
      </c>
      <c r="F19" s="6">
        <v>1006</v>
      </c>
      <c r="G19" s="41" t="s">
        <v>80</v>
      </c>
      <c r="H19" s="6" t="s">
        <v>20</v>
      </c>
      <c r="I19" s="41">
        <v>355</v>
      </c>
      <c r="J19" s="41">
        <v>396</v>
      </c>
      <c r="K19" s="41">
        <v>18</v>
      </c>
      <c r="L19" s="68"/>
    </row>
    <row r="20" spans="1:12" ht="18.75" customHeight="1" thickBot="1" x14ac:dyDescent="0.25">
      <c r="A20" s="70"/>
      <c r="B20" s="70"/>
      <c r="C20" s="6">
        <v>1209</v>
      </c>
      <c r="D20" s="6">
        <v>1309</v>
      </c>
      <c r="E20" s="6">
        <v>1809</v>
      </c>
      <c r="F20" s="6">
        <v>1009</v>
      </c>
      <c r="G20" s="42" t="s">
        <v>80</v>
      </c>
      <c r="H20" s="6" t="s">
        <v>21</v>
      </c>
      <c r="I20" s="42">
        <v>355</v>
      </c>
      <c r="J20" s="42">
        <v>396</v>
      </c>
      <c r="K20" s="42">
        <v>18</v>
      </c>
      <c r="L20" s="68"/>
    </row>
    <row r="21" spans="1:12" ht="33" customHeight="1" x14ac:dyDescent="0.25">
      <c r="A21" s="71" t="s">
        <v>22</v>
      </c>
      <c r="B21" s="72"/>
      <c r="C21" s="72"/>
      <c r="D21" s="72"/>
      <c r="E21" s="72"/>
      <c r="F21" s="72"/>
      <c r="G21" s="72"/>
      <c r="H21" s="73"/>
      <c r="I21" s="72"/>
      <c r="J21" s="72"/>
      <c r="K21" s="74"/>
      <c r="L21" s="68"/>
    </row>
    <row r="22" spans="1:12" ht="28.5" customHeight="1" x14ac:dyDescent="0.2">
      <c r="A22" s="38" t="s">
        <v>23</v>
      </c>
      <c r="B22" s="39" t="s">
        <v>70</v>
      </c>
      <c r="C22" s="39"/>
      <c r="D22" s="39"/>
      <c r="E22" s="39"/>
      <c r="F22" s="7"/>
      <c r="G22" s="38" t="s">
        <v>3</v>
      </c>
      <c r="H22" s="38" t="s">
        <v>24</v>
      </c>
      <c r="I22" s="38" t="s">
        <v>25</v>
      </c>
      <c r="J22" s="38"/>
      <c r="K22" s="38"/>
      <c r="L22" s="75"/>
    </row>
    <row r="23" spans="1:12" ht="40.5" customHeight="1" x14ac:dyDescent="0.2">
      <c r="A23" s="38"/>
      <c r="B23" s="8" t="s">
        <v>72</v>
      </c>
      <c r="C23" s="8" t="s">
        <v>73</v>
      </c>
      <c r="D23" s="8" t="s">
        <v>74</v>
      </c>
      <c r="E23" s="8" t="s">
        <v>75</v>
      </c>
      <c r="F23" s="9"/>
      <c r="G23" s="38"/>
      <c r="H23" s="38"/>
      <c r="I23" s="10" t="s">
        <v>26</v>
      </c>
      <c r="J23" s="10" t="s">
        <v>7</v>
      </c>
      <c r="K23" s="10" t="s">
        <v>8</v>
      </c>
      <c r="L23" s="75"/>
    </row>
    <row r="24" spans="1:12" ht="24" customHeight="1" x14ac:dyDescent="0.2">
      <c r="A24" s="76">
        <v>595911</v>
      </c>
      <c r="B24" s="76">
        <v>1200</v>
      </c>
      <c r="C24" s="76">
        <v>1300</v>
      </c>
      <c r="D24" s="76">
        <v>1800</v>
      </c>
      <c r="E24" s="76">
        <v>1000</v>
      </c>
      <c r="F24" s="76"/>
      <c r="G24" s="77" t="str">
        <f>VLOOKUP(A24,'[2]PERFIL ALUM CG'!$A$5:$I$115,6,FALSE)</f>
        <v>LATERAL DIR GAV FALSA CG 535X45X18+COR</v>
      </c>
      <c r="H24" s="76">
        <v>1</v>
      </c>
      <c r="I24" s="76">
        <f>VLOOKUP(A24,'[2]PERFIL ALUM CG'!$A$5:$I$115,7,FALSE)</f>
        <v>535</v>
      </c>
      <c r="J24" s="76">
        <f>VLOOKUP(A24,'[2]PERFIL ALUM CG'!$A$5:$I$115,8,FALSE)</f>
        <v>45</v>
      </c>
      <c r="K24" s="78">
        <f>VLOOKUP(A24,'[2]PERFIL ALUM CG'!$A$5:$I$115,9,FALSE)</f>
        <v>18</v>
      </c>
      <c r="L24" s="75"/>
    </row>
    <row r="25" spans="1:12" ht="24" customHeight="1" x14ac:dyDescent="0.2">
      <c r="A25" s="76">
        <v>595914</v>
      </c>
      <c r="B25" s="76">
        <v>1200</v>
      </c>
      <c r="C25" s="76">
        <v>1300</v>
      </c>
      <c r="D25" s="76">
        <v>1800</v>
      </c>
      <c r="E25" s="76">
        <v>1000</v>
      </c>
      <c r="F25" s="76"/>
      <c r="G25" s="77" t="str">
        <f>VLOOKUP(A25,'[2]PERFIL ALUM CG'!$A$5:$I$115,6,FALSE)</f>
        <v>LATERAL ESQ GAV FALSA CG 535X45X18+COR</v>
      </c>
      <c r="H25" s="76">
        <v>1</v>
      </c>
      <c r="I25" s="76">
        <f>VLOOKUP(A25,'[2]PERFIL ALUM CG'!$A$5:$I$115,7,FALSE)</f>
        <v>535</v>
      </c>
      <c r="J25" s="76">
        <f>VLOOKUP(A25,'[2]PERFIL ALUM CG'!$A$5:$I$115,8,FALSE)</f>
        <v>45</v>
      </c>
      <c r="K25" s="78">
        <f>VLOOKUP(A25,'[2]PERFIL ALUM CG'!$A$5:$I$115,9,FALSE)</f>
        <v>18</v>
      </c>
      <c r="L25" s="75"/>
    </row>
    <row r="26" spans="1:12" ht="15" x14ac:dyDescent="0.2">
      <c r="A26" s="79">
        <v>595011</v>
      </c>
      <c r="B26" s="79">
        <v>1200</v>
      </c>
      <c r="C26" s="79">
        <v>1300</v>
      </c>
      <c r="D26" s="79">
        <v>1800</v>
      </c>
      <c r="E26" s="80">
        <v>1000</v>
      </c>
      <c r="F26" s="81"/>
      <c r="G26" s="81" t="str">
        <f>VLOOKUP(A26,'[2]PERFIL ALUM CG'!$A$5:$I$115,6,FALSE)</f>
        <v>CABECEIRA SUP/INF CG 546X45X18+COR</v>
      </c>
      <c r="H26" s="79">
        <v>2</v>
      </c>
      <c r="I26" s="79">
        <f>VLOOKUP(A26,'[2]PERFIL ALUM CG'!$A$5:$I$115,7,FALSE)</f>
        <v>546</v>
      </c>
      <c r="J26" s="79">
        <f>VLOOKUP(A26,'[2]PERFIL ALUM CG'!$A$5:$I$115,8,FALSE)</f>
        <v>45</v>
      </c>
      <c r="K26" s="82">
        <f>VLOOKUP(A26,'[2]PERFIL ALUM CG'!$A$5:$I$115,9,FALSE)</f>
        <v>18</v>
      </c>
      <c r="L26" s="75"/>
    </row>
    <row r="27" spans="1:12" ht="20.25" x14ac:dyDescent="0.3">
      <c r="A27" s="83"/>
      <c r="B27" s="84"/>
      <c r="C27" s="84"/>
      <c r="D27" s="84"/>
      <c r="E27" s="85"/>
      <c r="H27" s="84"/>
      <c r="I27" s="83"/>
      <c r="J27" s="83"/>
      <c r="K27" s="83"/>
      <c r="L27" s="68"/>
    </row>
    <row r="28" spans="1:12" ht="20.25" x14ac:dyDescent="0.3">
      <c r="A28" s="86">
        <v>1018758</v>
      </c>
      <c r="B28" s="11"/>
      <c r="C28" s="12"/>
      <c r="D28" s="12"/>
      <c r="E28" s="12"/>
      <c r="F28" s="12"/>
      <c r="G28" s="12" t="s">
        <v>76</v>
      </c>
      <c r="H28" s="13">
        <v>4</v>
      </c>
      <c r="I28" s="87" t="s">
        <v>84</v>
      </c>
      <c r="J28" s="12"/>
      <c r="K28" s="12"/>
      <c r="L28" s="68"/>
    </row>
    <row r="29" spans="1:12" ht="20.25" x14ac:dyDescent="0.3">
      <c r="A29" s="86">
        <v>1018359</v>
      </c>
      <c r="B29" s="11"/>
      <c r="C29" s="12"/>
      <c r="D29" s="12"/>
      <c r="E29" s="12"/>
      <c r="F29" s="12"/>
      <c r="G29" s="12" t="s">
        <v>27</v>
      </c>
      <c r="H29" s="13">
        <v>0.08</v>
      </c>
      <c r="I29" s="87" t="s">
        <v>84</v>
      </c>
      <c r="J29" s="12"/>
      <c r="K29" s="12"/>
      <c r="L29" s="68"/>
    </row>
    <row r="30" spans="1:12" ht="20.25" x14ac:dyDescent="0.3">
      <c r="A30" s="86">
        <v>1011929</v>
      </c>
      <c r="B30" s="11"/>
      <c r="C30" s="12"/>
      <c r="D30" s="12"/>
      <c r="E30" s="88"/>
      <c r="F30" s="88"/>
      <c r="G30" s="88" t="s">
        <v>77</v>
      </c>
      <c r="H30" s="89">
        <v>2.1619999999999999</v>
      </c>
      <c r="I30" s="87" t="s">
        <v>85</v>
      </c>
      <c r="J30" s="12"/>
      <c r="K30" s="12"/>
      <c r="L30" s="68"/>
    </row>
    <row r="31" spans="1:12" ht="20.25" x14ac:dyDescent="0.3">
      <c r="A31" s="86"/>
      <c r="B31" s="11"/>
      <c r="C31" s="12"/>
      <c r="D31" s="12"/>
      <c r="E31" s="88"/>
      <c r="F31" s="88"/>
      <c r="G31" s="88"/>
      <c r="H31" s="89"/>
      <c r="I31" s="13"/>
      <c r="J31" s="12"/>
      <c r="K31" s="12"/>
      <c r="L31" s="68"/>
    </row>
    <row r="32" spans="1:12" ht="20.25" x14ac:dyDescent="0.3">
      <c r="A32" s="86">
        <v>1020023</v>
      </c>
      <c r="B32" s="11"/>
      <c r="C32" s="12"/>
      <c r="D32" s="12"/>
      <c r="E32" s="12"/>
      <c r="F32" s="12"/>
      <c r="G32" s="12" t="s">
        <v>28</v>
      </c>
      <c r="H32" s="13">
        <v>4</v>
      </c>
      <c r="I32" s="87" t="s">
        <v>84</v>
      </c>
      <c r="J32" s="12"/>
      <c r="K32" s="12"/>
      <c r="L32" s="68"/>
    </row>
    <row r="33" spans="1:12" ht="20.25" x14ac:dyDescent="0.3">
      <c r="A33" s="11"/>
      <c r="B33" s="11"/>
      <c r="C33" s="12"/>
      <c r="D33" s="12"/>
      <c r="E33" s="12"/>
      <c r="F33" s="12"/>
      <c r="G33" s="12"/>
      <c r="H33" s="12"/>
      <c r="I33" s="13"/>
      <c r="J33" s="12"/>
      <c r="K33" s="90"/>
      <c r="L33" s="68"/>
    </row>
    <row r="34" spans="1:12" ht="20.25" x14ac:dyDescent="0.2">
      <c r="A34" s="91" t="s">
        <v>29</v>
      </c>
      <c r="B34" s="92"/>
      <c r="C34" s="92"/>
      <c r="D34" s="92"/>
      <c r="E34" s="92"/>
      <c r="F34" s="92"/>
      <c r="G34" s="92"/>
      <c r="H34" s="92"/>
      <c r="I34" s="92"/>
      <c r="J34" s="92"/>
      <c r="K34" s="92"/>
      <c r="L34" s="68"/>
    </row>
    <row r="35" spans="1:12" x14ac:dyDescent="0.2">
      <c r="A35" s="28" t="s">
        <v>30</v>
      </c>
      <c r="B35" s="29" t="s">
        <v>31</v>
      </c>
      <c r="C35" s="29" t="s">
        <v>32</v>
      </c>
      <c r="D35" s="29"/>
      <c r="E35" s="29"/>
      <c r="F35" s="29"/>
      <c r="G35" s="29" t="s">
        <v>3</v>
      </c>
      <c r="H35" s="29" t="s">
        <v>33</v>
      </c>
      <c r="I35" s="29" t="s">
        <v>25</v>
      </c>
      <c r="J35" s="29"/>
      <c r="K35" s="29"/>
      <c r="L35" s="68"/>
    </row>
    <row r="36" spans="1:12" x14ac:dyDescent="0.2">
      <c r="A36" s="28"/>
      <c r="B36" s="29"/>
      <c r="C36" s="5" t="s">
        <v>34</v>
      </c>
      <c r="D36" s="5" t="s">
        <v>35</v>
      </c>
      <c r="E36" s="5" t="s">
        <v>36</v>
      </c>
      <c r="F36" s="5" t="s">
        <v>37</v>
      </c>
      <c r="G36" s="29"/>
      <c r="H36" s="29"/>
      <c r="I36" s="29"/>
      <c r="J36" s="29"/>
      <c r="K36" s="29"/>
      <c r="L36" s="68"/>
    </row>
    <row r="37" spans="1:12" ht="19.5" customHeight="1" x14ac:dyDescent="0.25">
      <c r="A37" s="30">
        <f>VLOOKUP((CONCATENATE("VIDRO ",I37,"X",J37,"X",K37)),'[2]VIDROS CG'!$A$5:$S$195,3,FALSE)</f>
        <v>181021025</v>
      </c>
      <c r="B37" s="19" t="s">
        <v>38</v>
      </c>
      <c r="C37" s="14"/>
      <c r="D37" s="14"/>
      <c r="E37" s="14"/>
      <c r="F37" s="15"/>
      <c r="G37" s="20" t="str">
        <f>CONCATENATE("VIDRO CG PELIC ",I$37,"X",J$37,"X",K$37," - ESPELHO")</f>
        <v>VIDRO CG PELIC 529X540X4 - ESPELHO</v>
      </c>
      <c r="H37" s="33">
        <v>1</v>
      </c>
      <c r="I37" s="33">
        <f>I5-6</f>
        <v>529</v>
      </c>
      <c r="J37" s="33">
        <f>J5-6</f>
        <v>540</v>
      </c>
      <c r="K37" s="33">
        <v>4</v>
      </c>
      <c r="L37" s="68"/>
    </row>
    <row r="38" spans="1:12" ht="19.5" customHeight="1" x14ac:dyDescent="0.25">
      <c r="A38" s="31"/>
      <c r="B38" s="19">
        <v>26</v>
      </c>
      <c r="C38" s="14"/>
      <c r="D38" s="14"/>
      <c r="E38" s="14"/>
      <c r="F38" s="15"/>
      <c r="G38" s="20" t="str">
        <f>CONCATENATE("VIDRO CG PELIC ",I$37,"X",J$37,"X",K$37," - ESPELHO FUME")</f>
        <v>VIDRO CG PELIC 529X540X4 - ESPELHO FUME</v>
      </c>
      <c r="H38" s="33"/>
      <c r="I38" s="33"/>
      <c r="J38" s="33"/>
      <c r="K38" s="33"/>
      <c r="L38" s="68"/>
    </row>
    <row r="39" spans="1:12" s="21" customFormat="1" ht="18" x14ac:dyDescent="0.25">
      <c r="A39" s="32"/>
      <c r="B39" s="19">
        <v>27</v>
      </c>
      <c r="C39" s="14"/>
      <c r="D39" s="14"/>
      <c r="E39" s="14"/>
      <c r="F39" s="15"/>
      <c r="G39" s="20" t="str">
        <f>CONCATENATE("VIDRO CG PELIC ",I$37,"X",J$37,"X",K$37," - ESPELHO CHAMP")</f>
        <v>VIDRO CG PELIC 529X540X4 - ESPELHO CHAMP</v>
      </c>
      <c r="H39" s="33">
        <v>1</v>
      </c>
      <c r="I39" s="33">
        <v>349</v>
      </c>
      <c r="J39" s="33">
        <v>390</v>
      </c>
      <c r="K39" s="33">
        <v>4</v>
      </c>
      <c r="L39" s="68"/>
    </row>
    <row r="40" spans="1:12" s="21" customFormat="1" ht="18" x14ac:dyDescent="0.25">
      <c r="A40" s="35">
        <f>VLOOKUP((CONCATENATE("VIDRO ",I37,"X",J37,"X",K37)),'[2]VIDROS CG'!$A$5:$S$195,2,FALSE)</f>
        <v>121025</v>
      </c>
      <c r="B40" s="22">
        <v>25</v>
      </c>
      <c r="C40" s="14"/>
      <c r="D40" s="14"/>
      <c r="E40" s="14"/>
      <c r="F40" s="15"/>
      <c r="G40" s="23" t="str">
        <f>CONCATENATE("VIDRO CG TEMP ",I$37,"X",J$37,"X",K$37," - REFLETO")</f>
        <v>VIDRO CG TEMP 529X540X4 - REFLETO</v>
      </c>
      <c r="H40" s="33">
        <v>1</v>
      </c>
      <c r="I40" s="33">
        <v>349</v>
      </c>
      <c r="J40" s="33">
        <v>390</v>
      </c>
      <c r="K40" s="33">
        <v>4</v>
      </c>
      <c r="L40" s="68"/>
    </row>
    <row r="41" spans="1:12" s="21" customFormat="1" ht="18" x14ac:dyDescent="0.25">
      <c r="A41" s="36"/>
      <c r="B41" s="22">
        <v>28</v>
      </c>
      <c r="C41" s="14"/>
      <c r="D41" s="14"/>
      <c r="E41" s="14"/>
      <c r="F41" s="15"/>
      <c r="G41" s="23" t="str">
        <f>CONCATENATE("VIDRO CG TEMP ",I$37,"X",J$37,"X",K$37," - REFLETO CINZA")</f>
        <v>VIDRO CG TEMP 529X540X4 - REFLETO CINZA</v>
      </c>
      <c r="H41" s="33">
        <v>1</v>
      </c>
      <c r="I41" s="33">
        <v>349</v>
      </c>
      <c r="J41" s="33">
        <v>390</v>
      </c>
      <c r="K41" s="33">
        <v>4</v>
      </c>
      <c r="L41" s="68"/>
    </row>
    <row r="42" spans="1:12" s="21" customFormat="1" ht="18" x14ac:dyDescent="0.25">
      <c r="A42" s="36"/>
      <c r="B42" s="22">
        <v>19</v>
      </c>
      <c r="C42" s="14"/>
      <c r="D42" s="14"/>
      <c r="E42" s="14"/>
      <c r="F42" s="15"/>
      <c r="G42" s="23" t="str">
        <f>CONCATENATE("VIDRO CG TEMP ",I$37,"X",J$37,"X",K$37," - TRANSPARENTE")</f>
        <v>VIDRO CG TEMP 529X540X4 - TRANSPARENTE</v>
      </c>
      <c r="H42" s="33">
        <v>1</v>
      </c>
      <c r="I42" s="33">
        <v>349</v>
      </c>
      <c r="J42" s="33">
        <v>390</v>
      </c>
      <c r="K42" s="33">
        <v>4</v>
      </c>
      <c r="L42" s="68"/>
    </row>
    <row r="43" spans="1:12" s="21" customFormat="1" ht="18" x14ac:dyDescent="0.25">
      <c r="A43" s="36"/>
      <c r="B43" s="22">
        <v>13</v>
      </c>
      <c r="C43" s="14"/>
      <c r="D43" s="14"/>
      <c r="E43" s="14"/>
      <c r="F43" s="15"/>
      <c r="G43" s="23" t="str">
        <f>CONCATENATE("VIDRO CG PELIC/PELIC ",I$37,"X",J$37,"X",K$37," - ONIX")</f>
        <v>VIDRO CG PELIC/PELIC 529X540X4 - ONIX</v>
      </c>
      <c r="H43" s="33">
        <v>1</v>
      </c>
      <c r="I43" s="33">
        <v>349</v>
      </c>
      <c r="J43" s="33">
        <v>390</v>
      </c>
      <c r="K43" s="33">
        <v>4</v>
      </c>
      <c r="L43" s="68"/>
    </row>
    <row r="44" spans="1:12" s="21" customFormat="1" ht="18" x14ac:dyDescent="0.25">
      <c r="A44" s="36"/>
      <c r="B44" s="22">
        <v>15</v>
      </c>
      <c r="C44" s="14"/>
      <c r="D44" s="14"/>
      <c r="E44" s="14"/>
      <c r="F44" s="15"/>
      <c r="G44" s="23" t="str">
        <f>CONCATENATE("VIDRO CG PELIC/PELIC ",I$37,"X",J$37,"X",K$37," - GELO")</f>
        <v>VIDRO CG PELIC/PELIC 529X540X4 - GELO</v>
      </c>
      <c r="H44" s="33">
        <v>1</v>
      </c>
      <c r="I44" s="33">
        <v>349</v>
      </c>
      <c r="J44" s="33">
        <v>390</v>
      </c>
      <c r="K44" s="33">
        <v>4</v>
      </c>
      <c r="L44" s="68"/>
    </row>
    <row r="45" spans="1:12" s="21" customFormat="1" ht="18" x14ac:dyDescent="0.25">
      <c r="A45" s="36"/>
      <c r="B45" s="22">
        <v>38</v>
      </c>
      <c r="C45" s="14"/>
      <c r="D45" s="14"/>
      <c r="E45" s="14"/>
      <c r="F45" s="15"/>
      <c r="G45" s="23" t="str">
        <f>CONCATENATE("VIDRO CG PELIC/PELIC ",I$37,"X",J$37,"X",K$37," - NATA")</f>
        <v>VIDRO CG PELIC/PELIC 529X540X4 - NATA</v>
      </c>
      <c r="H45" s="33">
        <v>1</v>
      </c>
      <c r="I45" s="33">
        <v>349</v>
      </c>
      <c r="J45" s="33">
        <v>390</v>
      </c>
      <c r="K45" s="33">
        <v>4</v>
      </c>
      <c r="L45" s="68"/>
    </row>
    <row r="46" spans="1:12" s="21" customFormat="1" ht="18" x14ac:dyDescent="0.25">
      <c r="A46" s="36"/>
      <c r="B46" s="22">
        <v>44</v>
      </c>
      <c r="C46" s="14"/>
      <c r="D46" s="14"/>
      <c r="E46" s="14"/>
      <c r="F46" s="15"/>
      <c r="G46" s="23" t="str">
        <f>CONCATENATE("VIDRO CG PELIC/PELIC ",I$37,"X",J$37,"X",K$37," - BASALTO")</f>
        <v>VIDRO CG PELIC/PELIC 529X540X4 - BASALTO</v>
      </c>
      <c r="H46" s="33">
        <v>1</v>
      </c>
      <c r="I46" s="33">
        <v>349</v>
      </c>
      <c r="J46" s="33">
        <v>390</v>
      </c>
      <c r="K46" s="33">
        <v>4</v>
      </c>
      <c r="L46" s="68"/>
    </row>
    <row r="47" spans="1:12" s="21" customFormat="1" ht="18" x14ac:dyDescent="0.25">
      <c r="A47" s="36"/>
      <c r="B47" s="24" t="s">
        <v>39</v>
      </c>
      <c r="C47" s="14"/>
      <c r="D47" s="14"/>
      <c r="E47" s="14"/>
      <c r="F47" s="15"/>
      <c r="G47" s="23" t="str">
        <f>CONCATENATE("VIDRO CG PELIC/PELIC ",I$37,"X",J$37,"X",K$37," - PETROLEO")</f>
        <v>VIDRO CG PELIC/PELIC 529X540X4 - PETROLEO</v>
      </c>
      <c r="H47" s="33">
        <v>1</v>
      </c>
      <c r="I47" s="33">
        <v>349</v>
      </c>
      <c r="J47" s="33">
        <v>390</v>
      </c>
      <c r="K47" s="33">
        <v>4</v>
      </c>
      <c r="L47" s="68"/>
    </row>
    <row r="48" spans="1:12" s="21" customFormat="1" ht="18" x14ac:dyDescent="0.25">
      <c r="A48" s="36"/>
      <c r="B48" s="22">
        <v>10</v>
      </c>
      <c r="C48" s="14"/>
      <c r="D48" s="14"/>
      <c r="E48" s="14"/>
      <c r="F48" s="15"/>
      <c r="G48" s="23" t="str">
        <f>CONCATENATE("VIDRO CG PELIC/PELIC ",I$37,"X",J$37,"X",K$37," - SAND")</f>
        <v>VIDRO CG PELIC/PELIC 529X540X4 - SAND</v>
      </c>
      <c r="H48" s="33">
        <v>1</v>
      </c>
      <c r="I48" s="33">
        <v>349</v>
      </c>
      <c r="J48" s="33">
        <v>390</v>
      </c>
      <c r="K48" s="33">
        <v>4</v>
      </c>
      <c r="L48" s="68"/>
    </row>
    <row r="49" spans="1:12" s="21" customFormat="1" ht="18" x14ac:dyDescent="0.25">
      <c r="A49" s="36"/>
      <c r="B49" s="22">
        <v>21</v>
      </c>
      <c r="C49" s="14"/>
      <c r="D49" s="14"/>
      <c r="E49" s="14"/>
      <c r="F49" s="15"/>
      <c r="G49" s="23" t="str">
        <f>CONCATENATE("VIDRO CG PELIC/PELIC ",I$37,"X",J$37,"X",K$37," - FENDI")</f>
        <v>VIDRO CG PELIC/PELIC 529X540X4 - FENDI</v>
      </c>
      <c r="H49" s="33">
        <v>1</v>
      </c>
      <c r="I49" s="33">
        <v>349</v>
      </c>
      <c r="J49" s="33">
        <v>390</v>
      </c>
      <c r="K49" s="33">
        <v>4</v>
      </c>
      <c r="L49" s="68"/>
    </row>
    <row r="50" spans="1:12" s="21" customFormat="1" ht="18" x14ac:dyDescent="0.25">
      <c r="A50" s="36"/>
      <c r="B50" s="22">
        <v>12</v>
      </c>
      <c r="C50" s="14"/>
      <c r="D50" s="14"/>
      <c r="E50" s="14"/>
      <c r="F50" s="15"/>
      <c r="G50" s="23" t="str">
        <f>CONCATENATE("VIDRO EC CG PELIC/PELIC ",I$37,"X",J$37,"X",K$37," - BIANCO")</f>
        <v>VIDRO EC CG PELIC/PELIC 529X540X4 - BIANCO</v>
      </c>
      <c r="H50" s="33">
        <v>1</v>
      </c>
      <c r="I50" s="33">
        <v>349</v>
      </c>
      <c r="J50" s="33">
        <v>390</v>
      </c>
      <c r="K50" s="33">
        <v>4</v>
      </c>
      <c r="L50" s="68"/>
    </row>
    <row r="51" spans="1:12" s="21" customFormat="1" ht="18" x14ac:dyDescent="0.25">
      <c r="A51" s="36"/>
      <c r="B51" s="24" t="s">
        <v>40</v>
      </c>
      <c r="C51" s="14"/>
      <c r="D51" s="14"/>
      <c r="E51" s="14"/>
      <c r="F51" s="15"/>
      <c r="G51" s="23" t="str">
        <f>CONCATENATE("VIDRO CG PELIC/PELIC ",I$37,"X",J$37,"X",K$37," - SISAL")</f>
        <v>VIDRO CG PELIC/PELIC 529X540X4 - SISAL</v>
      </c>
      <c r="H51" s="33">
        <v>1</v>
      </c>
      <c r="I51" s="33">
        <v>349</v>
      </c>
      <c r="J51" s="33">
        <v>390</v>
      </c>
      <c r="K51" s="33">
        <v>4</v>
      </c>
      <c r="L51" s="68"/>
    </row>
    <row r="52" spans="1:12" s="21" customFormat="1" ht="18.75" thickBot="1" x14ac:dyDescent="0.3">
      <c r="A52" s="37"/>
      <c r="B52" s="25" t="s">
        <v>41</v>
      </c>
      <c r="C52" s="16"/>
      <c r="D52" s="16"/>
      <c r="E52" s="16"/>
      <c r="F52" s="17"/>
      <c r="G52" s="23" t="str">
        <f>CONCATENATE("VIDRO CG PELIC/PELIC ",I$37,"X",J$37,"X",K$37," - ARDOSIA")</f>
        <v>VIDRO CG PELIC/PELIC 529X540X4 - ARDOSIA</v>
      </c>
      <c r="H52" s="34">
        <v>1</v>
      </c>
      <c r="I52" s="34">
        <v>349</v>
      </c>
      <c r="J52" s="34">
        <v>390</v>
      </c>
      <c r="K52" s="34">
        <v>4</v>
      </c>
      <c r="L52" s="93"/>
    </row>
    <row r="53" spans="1:12" s="21" customFormat="1" ht="14.25" x14ac:dyDescent="0.2">
      <c r="A53" s="1"/>
      <c r="B53" s="1"/>
      <c r="C53" s="1"/>
      <c r="D53" s="1"/>
      <c r="E53" s="1"/>
      <c r="F53" s="1"/>
      <c r="G53" s="1"/>
      <c r="H53" s="1"/>
      <c r="I53" s="1"/>
      <c r="J53" s="1"/>
      <c r="K53" s="1"/>
      <c r="L53" s="1"/>
    </row>
    <row r="54" spans="1:12" s="21" customFormat="1" ht="14.25" x14ac:dyDescent="0.2">
      <c r="A54" s="1"/>
      <c r="B54" s="1"/>
      <c r="C54" s="1"/>
      <c r="D54" s="1"/>
      <c r="E54" s="1"/>
      <c r="F54" s="1"/>
      <c r="G54" s="1"/>
      <c r="H54" s="1"/>
      <c r="I54" s="1"/>
      <c r="J54" s="1"/>
      <c r="K54" s="1"/>
      <c r="L54" s="1"/>
    </row>
  </sheetData>
  <mergeCells count="34">
    <mergeCell ref="A37:A39"/>
    <mergeCell ref="H37:H52"/>
    <mergeCell ref="I37:I52"/>
    <mergeCell ref="J37:J52"/>
    <mergeCell ref="K37:K52"/>
    <mergeCell ref="A40:A52"/>
    <mergeCell ref="A21:K21"/>
    <mergeCell ref="A22:A23"/>
    <mergeCell ref="B22:E22"/>
    <mergeCell ref="G22:G23"/>
    <mergeCell ref="H22:H23"/>
    <mergeCell ref="B5:B20"/>
    <mergeCell ref="G5:G20"/>
    <mergeCell ref="I5:I20"/>
    <mergeCell ref="J5:J20"/>
    <mergeCell ref="K5:K20"/>
    <mergeCell ref="A1:L1"/>
    <mergeCell ref="A2:B2"/>
    <mergeCell ref="C2:L2"/>
    <mergeCell ref="A3:A4"/>
    <mergeCell ref="B3:B4"/>
    <mergeCell ref="C3:F3"/>
    <mergeCell ref="G3:G4"/>
    <mergeCell ref="I3:K3"/>
    <mergeCell ref="L3:L52"/>
    <mergeCell ref="A34:K34"/>
    <mergeCell ref="A35:A36"/>
    <mergeCell ref="B35:B36"/>
    <mergeCell ref="C35:F35"/>
    <mergeCell ref="G35:G36"/>
    <mergeCell ref="H35:H36"/>
    <mergeCell ref="I35:K36"/>
    <mergeCell ref="I22:K22"/>
    <mergeCell ref="A5:A20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040CD4-E3DC-4E90-87A0-AA5FD2B325C7}">
  <sheetPr codeName="Planilha2"/>
  <dimension ref="A1:X465"/>
  <sheetViews>
    <sheetView workbookViewId="0">
      <selection activeCell="K6" sqref="K6"/>
    </sheetView>
  </sheetViews>
  <sheetFormatPr defaultRowHeight="15" x14ac:dyDescent="0.25"/>
  <cols>
    <col min="2" max="2" width="11" bestFit="1" customWidth="1"/>
    <col min="4" max="4" width="12" style="27" bestFit="1" customWidth="1"/>
    <col min="13" max="14" width="10.7109375" bestFit="1" customWidth="1"/>
  </cols>
  <sheetData>
    <row r="1" spans="1:24" x14ac:dyDescent="0.25">
      <c r="A1" s="2" t="s">
        <v>43</v>
      </c>
      <c r="B1" s="3" t="s">
        <v>44</v>
      </c>
      <c r="C1" s="3" t="s">
        <v>45</v>
      </c>
      <c r="D1" s="26" t="s">
        <v>46</v>
      </c>
      <c r="E1" s="3" t="s">
        <v>47</v>
      </c>
      <c r="F1" s="2" t="s">
        <v>48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55</v>
      </c>
      <c r="N1" s="2" t="s">
        <v>56</v>
      </c>
      <c r="O1" s="2" t="s">
        <v>57</v>
      </c>
      <c r="P1" s="2" t="s">
        <v>58</v>
      </c>
      <c r="Q1" s="2" t="s">
        <v>59</v>
      </c>
      <c r="R1" s="2" t="s">
        <v>60</v>
      </c>
      <c r="S1" s="2" t="s">
        <v>61</v>
      </c>
      <c r="T1" s="2" t="s">
        <v>62</v>
      </c>
      <c r="U1" s="2" t="s">
        <v>63</v>
      </c>
      <c r="V1" s="2" t="s">
        <v>64</v>
      </c>
      <c r="W1" s="2" t="s">
        <v>65</v>
      </c>
      <c r="X1" s="2" t="s">
        <v>66</v>
      </c>
    </row>
    <row r="2" spans="1:24" x14ac:dyDescent="0.25">
      <c r="A2">
        <v>1</v>
      </c>
      <c r="B2">
        <v>5910941205</v>
      </c>
      <c r="C2">
        <v>10</v>
      </c>
      <c r="D2" s="27">
        <v>5959111200</v>
      </c>
      <c r="F2" t="s">
        <v>42</v>
      </c>
      <c r="G2">
        <v>0</v>
      </c>
      <c r="H2">
        <v>100</v>
      </c>
      <c r="K2">
        <v>1</v>
      </c>
      <c r="L2" t="s">
        <v>68</v>
      </c>
      <c r="M2" t="s">
        <v>86</v>
      </c>
      <c r="N2" s="4">
        <v>2958465</v>
      </c>
      <c r="P2">
        <v>0</v>
      </c>
      <c r="U2">
        <v>4</v>
      </c>
      <c r="V2">
        <v>1</v>
      </c>
      <c r="W2" t="s">
        <v>69</v>
      </c>
      <c r="X2">
        <v>0</v>
      </c>
    </row>
    <row r="3" spans="1:24" x14ac:dyDescent="0.25">
      <c r="A3">
        <v>1</v>
      </c>
      <c r="B3">
        <v>5910941205</v>
      </c>
      <c r="C3">
        <v>20</v>
      </c>
      <c r="D3" s="27">
        <v>5959141200</v>
      </c>
      <c r="F3" t="s">
        <v>42</v>
      </c>
      <c r="G3">
        <v>0</v>
      </c>
      <c r="H3">
        <v>100</v>
      </c>
      <c r="K3">
        <v>1</v>
      </c>
      <c r="L3" t="s">
        <v>68</v>
      </c>
      <c r="M3" t="s">
        <v>86</v>
      </c>
      <c r="N3" s="4">
        <v>2958465</v>
      </c>
      <c r="P3">
        <v>0</v>
      </c>
      <c r="U3">
        <v>4</v>
      </c>
      <c r="V3">
        <v>1</v>
      </c>
      <c r="W3" t="s">
        <v>69</v>
      </c>
      <c r="X3">
        <v>0</v>
      </c>
    </row>
    <row r="4" spans="1:24" x14ac:dyDescent="0.25">
      <c r="A4">
        <v>1</v>
      </c>
      <c r="B4">
        <v>5910941205</v>
      </c>
      <c r="C4">
        <v>30</v>
      </c>
      <c r="D4" s="27">
        <v>5950111200</v>
      </c>
      <c r="F4" t="s">
        <v>42</v>
      </c>
      <c r="G4">
        <v>0</v>
      </c>
      <c r="H4">
        <v>100</v>
      </c>
      <c r="K4">
        <v>2</v>
      </c>
      <c r="L4" t="s">
        <v>68</v>
      </c>
      <c r="M4" t="s">
        <v>86</v>
      </c>
      <c r="N4" s="4">
        <v>2958465</v>
      </c>
      <c r="P4">
        <v>0</v>
      </c>
      <c r="U4">
        <v>4</v>
      </c>
      <c r="V4">
        <v>1</v>
      </c>
      <c r="W4" t="s">
        <v>69</v>
      </c>
      <c r="X4">
        <v>0</v>
      </c>
    </row>
    <row r="5" spans="1:24" x14ac:dyDescent="0.25">
      <c r="A5">
        <v>1</v>
      </c>
      <c r="B5">
        <v>5910941205</v>
      </c>
      <c r="C5">
        <v>40</v>
      </c>
      <c r="D5" s="27">
        <v>1018034</v>
      </c>
      <c r="F5" t="s">
        <v>42</v>
      </c>
      <c r="G5">
        <v>0</v>
      </c>
      <c r="H5">
        <v>100</v>
      </c>
      <c r="K5">
        <v>4</v>
      </c>
      <c r="L5" t="s">
        <v>68</v>
      </c>
      <c r="M5" t="s">
        <v>86</v>
      </c>
      <c r="N5" s="4">
        <v>2958465</v>
      </c>
      <c r="P5">
        <v>0</v>
      </c>
      <c r="U5">
        <v>4</v>
      </c>
      <c r="V5">
        <v>1</v>
      </c>
      <c r="W5" t="s">
        <v>69</v>
      </c>
      <c r="X5">
        <v>0</v>
      </c>
    </row>
    <row r="6" spans="1:24" x14ac:dyDescent="0.25">
      <c r="A6">
        <v>1</v>
      </c>
      <c r="B6">
        <v>5910941205</v>
      </c>
      <c r="C6">
        <v>50</v>
      </c>
      <c r="D6" s="27">
        <v>1018359</v>
      </c>
      <c r="F6" t="s">
        <v>42</v>
      </c>
      <c r="G6">
        <v>0</v>
      </c>
      <c r="H6">
        <v>100</v>
      </c>
      <c r="K6">
        <v>0.08</v>
      </c>
      <c r="L6" t="s">
        <v>68</v>
      </c>
      <c r="M6" t="s">
        <v>86</v>
      </c>
      <c r="N6" s="4">
        <v>2958465</v>
      </c>
      <c r="P6">
        <v>0</v>
      </c>
      <c r="U6">
        <v>4</v>
      </c>
      <c r="V6">
        <v>1</v>
      </c>
      <c r="W6" t="s">
        <v>69</v>
      </c>
      <c r="X6">
        <v>0</v>
      </c>
    </row>
    <row r="7" spans="1:24" x14ac:dyDescent="0.25">
      <c r="A7">
        <v>1</v>
      </c>
      <c r="B7">
        <v>5910941205</v>
      </c>
      <c r="C7">
        <v>60</v>
      </c>
      <c r="D7" s="27">
        <v>1011929</v>
      </c>
      <c r="F7" t="s">
        <v>42</v>
      </c>
      <c r="G7">
        <v>0</v>
      </c>
      <c r="H7">
        <v>100</v>
      </c>
      <c r="K7">
        <v>2.1619999999999999</v>
      </c>
      <c r="L7" t="s">
        <v>68</v>
      </c>
      <c r="M7" t="s">
        <v>86</v>
      </c>
      <c r="N7" s="4">
        <v>2958465</v>
      </c>
      <c r="P7">
        <v>0</v>
      </c>
      <c r="U7">
        <v>4</v>
      </c>
      <c r="V7">
        <v>1</v>
      </c>
      <c r="W7" t="s">
        <v>69</v>
      </c>
      <c r="X7">
        <v>0</v>
      </c>
    </row>
    <row r="8" spans="1:24" x14ac:dyDescent="0.25">
      <c r="A8">
        <v>1</v>
      </c>
      <c r="B8">
        <v>5910941205</v>
      </c>
      <c r="C8">
        <v>70</v>
      </c>
      <c r="D8" s="27">
        <v>1020023</v>
      </c>
      <c r="F8" t="s">
        <v>42</v>
      </c>
      <c r="G8">
        <v>0</v>
      </c>
      <c r="H8">
        <v>100</v>
      </c>
      <c r="K8">
        <v>4</v>
      </c>
      <c r="L8" t="s">
        <v>68</v>
      </c>
      <c r="M8" t="s">
        <v>86</v>
      </c>
      <c r="N8" s="4">
        <v>2958465</v>
      </c>
      <c r="P8">
        <v>0</v>
      </c>
      <c r="U8">
        <v>4</v>
      </c>
      <c r="V8">
        <v>1</v>
      </c>
      <c r="W8" t="s">
        <v>69</v>
      </c>
      <c r="X8">
        <v>0</v>
      </c>
    </row>
    <row r="9" spans="1:24" x14ac:dyDescent="0.25">
      <c r="A9">
        <v>1</v>
      </c>
      <c r="B9">
        <v>5910941205</v>
      </c>
      <c r="C9">
        <v>80</v>
      </c>
      <c r="D9" s="27">
        <v>18102102505</v>
      </c>
      <c r="F9" t="s">
        <v>42</v>
      </c>
      <c r="G9">
        <v>0</v>
      </c>
      <c r="H9">
        <v>100</v>
      </c>
      <c r="K9">
        <v>1</v>
      </c>
      <c r="L9" t="s">
        <v>68</v>
      </c>
      <c r="M9" t="s">
        <v>86</v>
      </c>
      <c r="N9" s="4">
        <v>2958465</v>
      </c>
      <c r="P9">
        <v>0</v>
      </c>
      <c r="U9">
        <v>4</v>
      </c>
      <c r="V9">
        <v>1</v>
      </c>
      <c r="W9" t="s">
        <v>69</v>
      </c>
      <c r="X9">
        <v>0</v>
      </c>
    </row>
    <row r="10" spans="1:24" x14ac:dyDescent="0.25">
      <c r="A10">
        <v>1</v>
      </c>
      <c r="B10">
        <v>5910941305</v>
      </c>
      <c r="C10">
        <v>10</v>
      </c>
      <c r="D10" s="27">
        <v>5959111300</v>
      </c>
      <c r="F10" t="s">
        <v>42</v>
      </c>
      <c r="G10">
        <v>0</v>
      </c>
      <c r="H10">
        <v>100</v>
      </c>
      <c r="K10">
        <v>1</v>
      </c>
      <c r="L10" t="s">
        <v>68</v>
      </c>
      <c r="M10" t="s">
        <v>86</v>
      </c>
      <c r="N10" s="4">
        <v>2958465</v>
      </c>
      <c r="P10">
        <v>0</v>
      </c>
      <c r="U10">
        <v>4</v>
      </c>
      <c r="V10">
        <v>1</v>
      </c>
      <c r="W10" t="s">
        <v>69</v>
      </c>
      <c r="X10">
        <v>0</v>
      </c>
    </row>
    <row r="11" spans="1:24" x14ac:dyDescent="0.25">
      <c r="A11">
        <v>1</v>
      </c>
      <c r="B11">
        <v>5910941305</v>
      </c>
      <c r="C11">
        <v>20</v>
      </c>
      <c r="D11" s="27">
        <v>5959141300</v>
      </c>
      <c r="F11" t="s">
        <v>42</v>
      </c>
      <c r="G11">
        <v>0</v>
      </c>
      <c r="H11">
        <v>100</v>
      </c>
      <c r="K11">
        <v>1</v>
      </c>
      <c r="L11" t="s">
        <v>68</v>
      </c>
      <c r="M11" t="s">
        <v>86</v>
      </c>
      <c r="N11" s="4">
        <v>2958465</v>
      </c>
      <c r="P11">
        <v>0</v>
      </c>
      <c r="U11">
        <v>4</v>
      </c>
      <c r="V11">
        <v>1</v>
      </c>
      <c r="W11" t="s">
        <v>69</v>
      </c>
      <c r="X11">
        <v>0</v>
      </c>
    </row>
    <row r="12" spans="1:24" x14ac:dyDescent="0.25">
      <c r="A12">
        <v>1</v>
      </c>
      <c r="B12">
        <v>5910941305</v>
      </c>
      <c r="C12">
        <v>30</v>
      </c>
      <c r="D12" s="27">
        <v>5950111300</v>
      </c>
      <c r="F12" t="s">
        <v>42</v>
      </c>
      <c r="G12">
        <v>0</v>
      </c>
      <c r="H12">
        <v>100</v>
      </c>
      <c r="K12">
        <v>2</v>
      </c>
      <c r="L12" t="s">
        <v>68</v>
      </c>
      <c r="M12" t="s">
        <v>86</v>
      </c>
      <c r="N12" s="4">
        <v>2958465</v>
      </c>
      <c r="P12">
        <v>0</v>
      </c>
      <c r="U12">
        <v>4</v>
      </c>
      <c r="V12">
        <v>1</v>
      </c>
      <c r="W12" t="s">
        <v>69</v>
      </c>
      <c r="X12">
        <v>0</v>
      </c>
    </row>
    <row r="13" spans="1:24" x14ac:dyDescent="0.25">
      <c r="A13">
        <v>1</v>
      </c>
      <c r="B13">
        <v>5910941305</v>
      </c>
      <c r="C13">
        <v>40</v>
      </c>
      <c r="D13" s="27">
        <v>1018034</v>
      </c>
      <c r="F13" t="s">
        <v>42</v>
      </c>
      <c r="G13">
        <v>0</v>
      </c>
      <c r="H13">
        <v>100</v>
      </c>
      <c r="K13">
        <v>4</v>
      </c>
      <c r="L13" t="s">
        <v>68</v>
      </c>
      <c r="M13" t="s">
        <v>86</v>
      </c>
      <c r="N13" s="4">
        <v>2958465</v>
      </c>
      <c r="P13">
        <v>0</v>
      </c>
      <c r="U13">
        <v>4</v>
      </c>
      <c r="V13">
        <v>1</v>
      </c>
      <c r="W13" t="s">
        <v>69</v>
      </c>
      <c r="X13">
        <v>0</v>
      </c>
    </row>
    <row r="14" spans="1:24" x14ac:dyDescent="0.25">
      <c r="A14">
        <v>1</v>
      </c>
      <c r="B14">
        <v>5910941305</v>
      </c>
      <c r="C14">
        <v>50</v>
      </c>
      <c r="D14" s="27">
        <v>1018359</v>
      </c>
      <c r="F14" t="s">
        <v>42</v>
      </c>
      <c r="G14">
        <v>0</v>
      </c>
      <c r="H14">
        <v>100</v>
      </c>
      <c r="K14">
        <v>0.08</v>
      </c>
      <c r="L14" t="s">
        <v>68</v>
      </c>
      <c r="M14" t="s">
        <v>86</v>
      </c>
      <c r="N14" s="4">
        <v>2958465</v>
      </c>
      <c r="P14">
        <v>0</v>
      </c>
      <c r="U14">
        <v>4</v>
      </c>
      <c r="V14">
        <v>1</v>
      </c>
      <c r="W14" t="s">
        <v>69</v>
      </c>
      <c r="X14">
        <v>0</v>
      </c>
    </row>
    <row r="15" spans="1:24" x14ac:dyDescent="0.25">
      <c r="A15">
        <v>1</v>
      </c>
      <c r="B15">
        <v>5910941305</v>
      </c>
      <c r="C15">
        <v>60</v>
      </c>
      <c r="D15" s="27">
        <v>1011929</v>
      </c>
      <c r="F15" t="s">
        <v>42</v>
      </c>
      <c r="G15">
        <v>0</v>
      </c>
      <c r="H15">
        <v>100</v>
      </c>
      <c r="K15">
        <v>2.1619999999999999</v>
      </c>
      <c r="L15" t="s">
        <v>68</v>
      </c>
      <c r="M15" t="s">
        <v>86</v>
      </c>
      <c r="N15" s="4">
        <v>2958465</v>
      </c>
      <c r="P15">
        <v>0</v>
      </c>
      <c r="U15">
        <v>4</v>
      </c>
      <c r="V15">
        <v>1</v>
      </c>
      <c r="W15" t="s">
        <v>69</v>
      </c>
      <c r="X15">
        <v>0</v>
      </c>
    </row>
    <row r="16" spans="1:24" x14ac:dyDescent="0.25">
      <c r="A16">
        <v>1</v>
      </c>
      <c r="B16">
        <v>5910941305</v>
      </c>
      <c r="C16">
        <v>70</v>
      </c>
      <c r="D16" s="27">
        <v>1020023</v>
      </c>
      <c r="F16" t="s">
        <v>42</v>
      </c>
      <c r="G16">
        <v>0</v>
      </c>
      <c r="H16">
        <v>100</v>
      </c>
      <c r="K16">
        <v>4</v>
      </c>
      <c r="L16" t="s">
        <v>68</v>
      </c>
      <c r="M16" t="s">
        <v>86</v>
      </c>
      <c r="N16" s="4">
        <v>2958465</v>
      </c>
      <c r="P16">
        <v>0</v>
      </c>
      <c r="U16">
        <v>4</v>
      </c>
      <c r="V16">
        <v>1</v>
      </c>
      <c r="W16" t="s">
        <v>69</v>
      </c>
      <c r="X16">
        <v>0</v>
      </c>
    </row>
    <row r="17" spans="1:24" x14ac:dyDescent="0.25">
      <c r="A17">
        <v>1</v>
      </c>
      <c r="B17">
        <v>5910941305</v>
      </c>
      <c r="C17">
        <v>80</v>
      </c>
      <c r="D17" s="27">
        <v>18102102505</v>
      </c>
      <c r="F17" t="s">
        <v>42</v>
      </c>
      <c r="G17">
        <v>0</v>
      </c>
      <c r="H17">
        <v>100</v>
      </c>
      <c r="K17">
        <v>1</v>
      </c>
      <c r="L17" t="s">
        <v>68</v>
      </c>
      <c r="M17" t="s">
        <v>86</v>
      </c>
      <c r="N17" s="4">
        <v>2958465</v>
      </c>
      <c r="P17">
        <v>0</v>
      </c>
      <c r="U17">
        <v>4</v>
      </c>
      <c r="V17">
        <v>1</v>
      </c>
      <c r="W17" t="s">
        <v>69</v>
      </c>
      <c r="X17">
        <v>0</v>
      </c>
    </row>
    <row r="18" spans="1:24" x14ac:dyDescent="0.25">
      <c r="A18">
        <v>1</v>
      </c>
      <c r="B18">
        <v>5910941805</v>
      </c>
      <c r="C18">
        <v>10</v>
      </c>
      <c r="D18" s="27">
        <v>5959111800</v>
      </c>
      <c r="F18" t="s">
        <v>42</v>
      </c>
      <c r="G18">
        <v>0</v>
      </c>
      <c r="H18">
        <v>100</v>
      </c>
      <c r="K18">
        <v>1</v>
      </c>
      <c r="L18" t="s">
        <v>68</v>
      </c>
      <c r="M18" t="s">
        <v>86</v>
      </c>
      <c r="N18" s="4">
        <v>2958465</v>
      </c>
      <c r="P18">
        <v>0</v>
      </c>
      <c r="U18">
        <v>4</v>
      </c>
      <c r="V18">
        <v>1</v>
      </c>
      <c r="W18" t="s">
        <v>69</v>
      </c>
      <c r="X18">
        <v>0</v>
      </c>
    </row>
    <row r="19" spans="1:24" x14ac:dyDescent="0.25">
      <c r="A19">
        <v>1</v>
      </c>
      <c r="B19">
        <v>5910941805</v>
      </c>
      <c r="C19">
        <v>20</v>
      </c>
      <c r="D19" s="27">
        <v>5959141800</v>
      </c>
      <c r="F19" t="s">
        <v>42</v>
      </c>
      <c r="G19">
        <v>0</v>
      </c>
      <c r="H19">
        <v>100</v>
      </c>
      <c r="K19">
        <v>1</v>
      </c>
      <c r="L19" t="s">
        <v>68</v>
      </c>
      <c r="M19" t="s">
        <v>86</v>
      </c>
      <c r="N19" s="4">
        <v>2958465</v>
      </c>
      <c r="P19">
        <v>0</v>
      </c>
      <c r="U19">
        <v>4</v>
      </c>
      <c r="V19">
        <v>1</v>
      </c>
      <c r="W19" t="s">
        <v>69</v>
      </c>
      <c r="X19">
        <v>0</v>
      </c>
    </row>
    <row r="20" spans="1:24" x14ac:dyDescent="0.25">
      <c r="A20">
        <v>1</v>
      </c>
      <c r="B20">
        <v>5910941805</v>
      </c>
      <c r="C20">
        <v>30</v>
      </c>
      <c r="D20" s="27">
        <v>5950111800</v>
      </c>
      <c r="F20" t="s">
        <v>42</v>
      </c>
      <c r="G20">
        <v>0</v>
      </c>
      <c r="H20">
        <v>100</v>
      </c>
      <c r="K20">
        <v>2</v>
      </c>
      <c r="L20" t="s">
        <v>68</v>
      </c>
      <c r="M20" t="s">
        <v>86</v>
      </c>
      <c r="N20" s="4">
        <v>2958465</v>
      </c>
      <c r="P20">
        <v>0</v>
      </c>
      <c r="U20">
        <v>4</v>
      </c>
      <c r="V20">
        <v>1</v>
      </c>
      <c r="W20" t="s">
        <v>69</v>
      </c>
      <c r="X20">
        <v>0</v>
      </c>
    </row>
    <row r="21" spans="1:24" x14ac:dyDescent="0.25">
      <c r="A21">
        <v>1</v>
      </c>
      <c r="B21">
        <v>5910941805</v>
      </c>
      <c r="C21">
        <v>40</v>
      </c>
      <c r="D21" s="27">
        <v>1018034</v>
      </c>
      <c r="F21" t="s">
        <v>42</v>
      </c>
      <c r="G21">
        <v>0</v>
      </c>
      <c r="H21">
        <v>100</v>
      </c>
      <c r="K21">
        <v>4</v>
      </c>
      <c r="L21" t="s">
        <v>68</v>
      </c>
      <c r="M21" t="s">
        <v>86</v>
      </c>
      <c r="N21" s="4">
        <v>2958465</v>
      </c>
      <c r="P21">
        <v>0</v>
      </c>
      <c r="U21">
        <v>4</v>
      </c>
      <c r="V21">
        <v>1</v>
      </c>
      <c r="W21" t="s">
        <v>69</v>
      </c>
      <c r="X21">
        <v>0</v>
      </c>
    </row>
    <row r="22" spans="1:24" x14ac:dyDescent="0.25">
      <c r="A22">
        <v>1</v>
      </c>
      <c r="B22">
        <v>5910941805</v>
      </c>
      <c r="C22">
        <v>50</v>
      </c>
      <c r="D22" s="27">
        <v>1018359</v>
      </c>
      <c r="F22" t="s">
        <v>42</v>
      </c>
      <c r="G22">
        <v>0</v>
      </c>
      <c r="H22">
        <v>100</v>
      </c>
      <c r="K22">
        <v>0.08</v>
      </c>
      <c r="L22" t="s">
        <v>68</v>
      </c>
      <c r="M22" t="s">
        <v>86</v>
      </c>
      <c r="N22" s="4">
        <v>2958465</v>
      </c>
      <c r="P22">
        <v>0</v>
      </c>
      <c r="U22">
        <v>4</v>
      </c>
      <c r="V22">
        <v>1</v>
      </c>
      <c r="W22" t="s">
        <v>69</v>
      </c>
      <c r="X22">
        <v>0</v>
      </c>
    </row>
    <row r="23" spans="1:24" x14ac:dyDescent="0.25">
      <c r="A23">
        <v>1</v>
      </c>
      <c r="B23">
        <v>5910941805</v>
      </c>
      <c r="C23">
        <v>60</v>
      </c>
      <c r="D23" s="27">
        <v>1011929</v>
      </c>
      <c r="F23" t="s">
        <v>42</v>
      </c>
      <c r="G23">
        <v>0</v>
      </c>
      <c r="H23">
        <v>100</v>
      </c>
      <c r="K23">
        <v>2.1619999999999999</v>
      </c>
      <c r="L23" t="s">
        <v>68</v>
      </c>
      <c r="M23" t="s">
        <v>86</v>
      </c>
      <c r="N23" s="4">
        <v>2958465</v>
      </c>
      <c r="P23">
        <v>0</v>
      </c>
      <c r="U23">
        <v>4</v>
      </c>
      <c r="V23">
        <v>1</v>
      </c>
      <c r="W23" t="s">
        <v>69</v>
      </c>
      <c r="X23">
        <v>0</v>
      </c>
    </row>
    <row r="24" spans="1:24" x14ac:dyDescent="0.25">
      <c r="A24">
        <v>1</v>
      </c>
      <c r="B24">
        <v>5910941805</v>
      </c>
      <c r="C24">
        <v>70</v>
      </c>
      <c r="D24" s="27">
        <v>1020023</v>
      </c>
      <c r="F24" t="s">
        <v>42</v>
      </c>
      <c r="G24">
        <v>0</v>
      </c>
      <c r="H24">
        <v>100</v>
      </c>
      <c r="K24">
        <v>4</v>
      </c>
      <c r="L24" t="s">
        <v>68</v>
      </c>
      <c r="M24" t="s">
        <v>86</v>
      </c>
      <c r="N24" s="4">
        <v>2958465</v>
      </c>
      <c r="P24">
        <v>0</v>
      </c>
      <c r="U24">
        <v>4</v>
      </c>
      <c r="V24">
        <v>1</v>
      </c>
      <c r="W24" t="s">
        <v>69</v>
      </c>
      <c r="X24">
        <v>0</v>
      </c>
    </row>
    <row r="25" spans="1:24" x14ac:dyDescent="0.25">
      <c r="A25">
        <v>1</v>
      </c>
      <c r="B25">
        <v>5910941805</v>
      </c>
      <c r="C25">
        <v>80</v>
      </c>
      <c r="D25" s="27">
        <v>18102102505</v>
      </c>
      <c r="F25" t="s">
        <v>42</v>
      </c>
      <c r="G25">
        <v>0</v>
      </c>
      <c r="H25">
        <v>100</v>
      </c>
      <c r="K25">
        <v>1</v>
      </c>
      <c r="L25" t="s">
        <v>68</v>
      </c>
      <c r="M25" t="s">
        <v>86</v>
      </c>
      <c r="N25" s="4">
        <v>2958465</v>
      </c>
      <c r="P25">
        <v>0</v>
      </c>
      <c r="U25">
        <v>4</v>
      </c>
      <c r="V25">
        <v>1</v>
      </c>
      <c r="W25" t="s">
        <v>69</v>
      </c>
      <c r="X25">
        <v>0</v>
      </c>
    </row>
    <row r="26" spans="1:24" x14ac:dyDescent="0.25">
      <c r="A26">
        <v>1</v>
      </c>
      <c r="B26">
        <v>5910941005</v>
      </c>
      <c r="C26">
        <v>10</v>
      </c>
      <c r="D26" s="27">
        <v>5959111000</v>
      </c>
      <c r="F26" t="s">
        <v>42</v>
      </c>
      <c r="G26">
        <v>0</v>
      </c>
      <c r="H26">
        <v>100</v>
      </c>
      <c r="K26">
        <v>1</v>
      </c>
      <c r="L26" t="s">
        <v>68</v>
      </c>
      <c r="M26" t="s">
        <v>86</v>
      </c>
      <c r="N26" s="4">
        <v>2958465</v>
      </c>
      <c r="P26">
        <v>0</v>
      </c>
      <c r="U26">
        <v>4</v>
      </c>
      <c r="V26">
        <v>1</v>
      </c>
      <c r="W26" t="s">
        <v>69</v>
      </c>
      <c r="X26">
        <v>0</v>
      </c>
    </row>
    <row r="27" spans="1:24" x14ac:dyDescent="0.25">
      <c r="A27">
        <v>1</v>
      </c>
      <c r="B27">
        <v>5910941005</v>
      </c>
      <c r="C27">
        <v>20</v>
      </c>
      <c r="D27" s="27">
        <v>5959141000</v>
      </c>
      <c r="F27" t="s">
        <v>42</v>
      </c>
      <c r="G27">
        <v>0</v>
      </c>
      <c r="H27">
        <v>100</v>
      </c>
      <c r="K27">
        <v>1</v>
      </c>
      <c r="L27" t="s">
        <v>68</v>
      </c>
      <c r="M27" t="s">
        <v>86</v>
      </c>
      <c r="N27" s="4">
        <v>2958465</v>
      </c>
      <c r="P27">
        <v>0</v>
      </c>
      <c r="U27">
        <v>4</v>
      </c>
      <c r="V27">
        <v>1</v>
      </c>
      <c r="W27" t="s">
        <v>69</v>
      </c>
      <c r="X27">
        <v>0</v>
      </c>
    </row>
    <row r="28" spans="1:24" x14ac:dyDescent="0.25">
      <c r="A28">
        <v>1</v>
      </c>
      <c r="B28">
        <v>5910941005</v>
      </c>
      <c r="C28">
        <v>30</v>
      </c>
      <c r="D28" s="27">
        <v>5950111000</v>
      </c>
      <c r="F28" t="s">
        <v>42</v>
      </c>
      <c r="G28">
        <v>0</v>
      </c>
      <c r="H28">
        <v>100</v>
      </c>
      <c r="K28">
        <v>2</v>
      </c>
      <c r="L28" t="s">
        <v>68</v>
      </c>
      <c r="M28" t="s">
        <v>86</v>
      </c>
      <c r="N28" s="4">
        <v>2958465</v>
      </c>
      <c r="P28">
        <v>0</v>
      </c>
      <c r="U28">
        <v>4</v>
      </c>
      <c r="V28">
        <v>1</v>
      </c>
      <c r="W28" t="s">
        <v>69</v>
      </c>
      <c r="X28">
        <v>0</v>
      </c>
    </row>
    <row r="29" spans="1:24" x14ac:dyDescent="0.25">
      <c r="A29">
        <v>1</v>
      </c>
      <c r="B29">
        <v>5910941005</v>
      </c>
      <c r="C29">
        <v>40</v>
      </c>
      <c r="D29" s="27">
        <v>1018034</v>
      </c>
      <c r="F29" t="s">
        <v>42</v>
      </c>
      <c r="G29">
        <v>0</v>
      </c>
      <c r="H29">
        <v>100</v>
      </c>
      <c r="K29">
        <v>4</v>
      </c>
      <c r="L29" t="s">
        <v>68</v>
      </c>
      <c r="M29" t="s">
        <v>86</v>
      </c>
      <c r="N29" s="4">
        <v>2958465</v>
      </c>
      <c r="P29">
        <v>0</v>
      </c>
      <c r="U29">
        <v>4</v>
      </c>
      <c r="V29">
        <v>1</v>
      </c>
      <c r="W29" t="s">
        <v>69</v>
      </c>
      <c r="X29">
        <v>0</v>
      </c>
    </row>
    <row r="30" spans="1:24" x14ac:dyDescent="0.25">
      <c r="A30">
        <v>1</v>
      </c>
      <c r="B30">
        <v>5910941005</v>
      </c>
      <c r="C30">
        <v>50</v>
      </c>
      <c r="D30" s="27">
        <v>1018359</v>
      </c>
      <c r="F30" t="s">
        <v>42</v>
      </c>
      <c r="G30">
        <v>0</v>
      </c>
      <c r="H30">
        <v>100</v>
      </c>
      <c r="K30">
        <v>0.08</v>
      </c>
      <c r="L30" t="s">
        <v>68</v>
      </c>
      <c r="M30" t="s">
        <v>86</v>
      </c>
      <c r="N30" s="4">
        <v>2958465</v>
      </c>
      <c r="P30">
        <v>0</v>
      </c>
      <c r="U30">
        <v>4</v>
      </c>
      <c r="V30">
        <v>1</v>
      </c>
      <c r="W30" t="s">
        <v>69</v>
      </c>
      <c r="X30">
        <v>0</v>
      </c>
    </row>
    <row r="31" spans="1:24" x14ac:dyDescent="0.25">
      <c r="A31">
        <v>1</v>
      </c>
      <c r="B31">
        <v>5910941005</v>
      </c>
      <c r="C31">
        <v>60</v>
      </c>
      <c r="D31" s="27">
        <v>1011929</v>
      </c>
      <c r="F31" t="s">
        <v>42</v>
      </c>
      <c r="G31">
        <v>0</v>
      </c>
      <c r="H31">
        <v>100</v>
      </c>
      <c r="K31">
        <v>2.1619999999999999</v>
      </c>
      <c r="L31" t="s">
        <v>68</v>
      </c>
      <c r="M31" t="s">
        <v>86</v>
      </c>
      <c r="N31" s="4">
        <v>2958465</v>
      </c>
      <c r="P31">
        <v>0</v>
      </c>
      <c r="U31">
        <v>4</v>
      </c>
      <c r="V31">
        <v>1</v>
      </c>
      <c r="W31" t="s">
        <v>69</v>
      </c>
      <c r="X31">
        <v>0</v>
      </c>
    </row>
    <row r="32" spans="1:24" x14ac:dyDescent="0.25">
      <c r="A32">
        <v>1</v>
      </c>
      <c r="B32">
        <v>5910941005</v>
      </c>
      <c r="C32">
        <v>70</v>
      </c>
      <c r="D32" s="27">
        <v>1020023</v>
      </c>
      <c r="F32" t="s">
        <v>42</v>
      </c>
      <c r="G32">
        <v>0</v>
      </c>
      <c r="H32">
        <v>100</v>
      </c>
      <c r="K32">
        <v>4</v>
      </c>
      <c r="L32" t="s">
        <v>68</v>
      </c>
      <c r="M32" t="s">
        <v>86</v>
      </c>
      <c r="N32" s="4">
        <v>2958465</v>
      </c>
      <c r="P32">
        <v>0</v>
      </c>
      <c r="U32">
        <v>4</v>
      </c>
      <c r="V32">
        <v>1</v>
      </c>
      <c r="W32" t="s">
        <v>69</v>
      </c>
      <c r="X32">
        <v>0</v>
      </c>
    </row>
    <row r="33" spans="1:24" x14ac:dyDescent="0.25">
      <c r="A33">
        <v>1</v>
      </c>
      <c r="B33">
        <v>5910941005</v>
      </c>
      <c r="C33">
        <v>80</v>
      </c>
      <c r="D33" s="27">
        <v>18102102505</v>
      </c>
      <c r="F33" t="s">
        <v>42</v>
      </c>
      <c r="G33">
        <v>0</v>
      </c>
      <c r="H33">
        <v>100</v>
      </c>
      <c r="K33">
        <v>1</v>
      </c>
      <c r="L33" t="s">
        <v>68</v>
      </c>
      <c r="M33" t="s">
        <v>86</v>
      </c>
      <c r="N33" s="4">
        <v>2958465</v>
      </c>
      <c r="P33">
        <v>0</v>
      </c>
      <c r="U33">
        <v>4</v>
      </c>
      <c r="V33">
        <v>1</v>
      </c>
      <c r="W33" t="s">
        <v>69</v>
      </c>
      <c r="X33">
        <v>0</v>
      </c>
    </row>
    <row r="34" spans="1:24" x14ac:dyDescent="0.25">
      <c r="A34">
        <v>1</v>
      </c>
      <c r="B34">
        <v>5910941227</v>
      </c>
      <c r="C34">
        <v>10</v>
      </c>
      <c r="D34" s="27">
        <v>5959111200</v>
      </c>
      <c r="F34" t="s">
        <v>42</v>
      </c>
      <c r="G34">
        <v>0</v>
      </c>
      <c r="H34">
        <v>100</v>
      </c>
      <c r="K34">
        <v>1</v>
      </c>
      <c r="L34" t="s">
        <v>68</v>
      </c>
      <c r="M34" t="s">
        <v>86</v>
      </c>
      <c r="N34" s="4">
        <v>2958465</v>
      </c>
      <c r="P34">
        <v>0</v>
      </c>
      <c r="U34">
        <v>4</v>
      </c>
      <c r="V34">
        <v>1</v>
      </c>
      <c r="W34" t="s">
        <v>69</v>
      </c>
      <c r="X34">
        <v>0</v>
      </c>
    </row>
    <row r="35" spans="1:24" x14ac:dyDescent="0.25">
      <c r="A35">
        <v>1</v>
      </c>
      <c r="B35">
        <v>5910941227</v>
      </c>
      <c r="C35">
        <v>20</v>
      </c>
      <c r="D35" s="27">
        <v>5959141200</v>
      </c>
      <c r="F35" t="s">
        <v>42</v>
      </c>
      <c r="G35">
        <v>0</v>
      </c>
      <c r="H35">
        <v>100</v>
      </c>
      <c r="K35">
        <v>1</v>
      </c>
      <c r="L35" t="s">
        <v>68</v>
      </c>
      <c r="M35" t="s">
        <v>86</v>
      </c>
      <c r="N35" s="4">
        <v>2958465</v>
      </c>
      <c r="P35">
        <v>0</v>
      </c>
      <c r="U35">
        <v>4</v>
      </c>
      <c r="V35">
        <v>1</v>
      </c>
      <c r="W35" t="s">
        <v>69</v>
      </c>
      <c r="X35">
        <v>0</v>
      </c>
    </row>
    <row r="36" spans="1:24" x14ac:dyDescent="0.25">
      <c r="A36">
        <v>1</v>
      </c>
      <c r="B36">
        <v>5910941227</v>
      </c>
      <c r="C36">
        <v>30</v>
      </c>
      <c r="D36" s="27">
        <v>5950111200</v>
      </c>
      <c r="F36" t="s">
        <v>42</v>
      </c>
      <c r="G36">
        <v>0</v>
      </c>
      <c r="H36">
        <v>100</v>
      </c>
      <c r="K36">
        <v>2</v>
      </c>
      <c r="L36" t="s">
        <v>68</v>
      </c>
      <c r="M36" t="s">
        <v>86</v>
      </c>
      <c r="N36" s="4">
        <v>2958465</v>
      </c>
      <c r="P36">
        <v>0</v>
      </c>
      <c r="U36">
        <v>4</v>
      </c>
      <c r="V36">
        <v>1</v>
      </c>
      <c r="W36" t="s">
        <v>69</v>
      </c>
      <c r="X36">
        <v>0</v>
      </c>
    </row>
    <row r="37" spans="1:24" x14ac:dyDescent="0.25">
      <c r="A37">
        <v>1</v>
      </c>
      <c r="B37">
        <v>5910941227</v>
      </c>
      <c r="C37">
        <v>40</v>
      </c>
      <c r="D37" s="27">
        <v>1018034</v>
      </c>
      <c r="F37" t="s">
        <v>42</v>
      </c>
      <c r="G37">
        <v>0</v>
      </c>
      <c r="H37">
        <v>100</v>
      </c>
      <c r="K37">
        <v>4</v>
      </c>
      <c r="L37" t="s">
        <v>68</v>
      </c>
      <c r="M37" t="s">
        <v>86</v>
      </c>
      <c r="N37" s="4">
        <v>2958465</v>
      </c>
      <c r="P37">
        <v>0</v>
      </c>
      <c r="U37">
        <v>4</v>
      </c>
      <c r="V37">
        <v>1</v>
      </c>
      <c r="W37" t="s">
        <v>69</v>
      </c>
      <c r="X37">
        <v>0</v>
      </c>
    </row>
    <row r="38" spans="1:24" x14ac:dyDescent="0.25">
      <c r="A38">
        <v>1</v>
      </c>
      <c r="B38">
        <v>5910941227</v>
      </c>
      <c r="C38">
        <v>50</v>
      </c>
      <c r="D38" s="27">
        <v>1018359</v>
      </c>
      <c r="F38" t="s">
        <v>42</v>
      </c>
      <c r="G38">
        <v>0</v>
      </c>
      <c r="H38">
        <v>100</v>
      </c>
      <c r="K38">
        <v>0.08</v>
      </c>
      <c r="L38" t="s">
        <v>68</v>
      </c>
      <c r="M38" t="s">
        <v>86</v>
      </c>
      <c r="N38" s="4">
        <v>2958465</v>
      </c>
      <c r="P38">
        <v>0</v>
      </c>
      <c r="U38">
        <v>4</v>
      </c>
      <c r="V38">
        <v>1</v>
      </c>
      <c r="W38" t="s">
        <v>69</v>
      </c>
      <c r="X38">
        <v>0</v>
      </c>
    </row>
    <row r="39" spans="1:24" x14ac:dyDescent="0.25">
      <c r="A39">
        <v>1</v>
      </c>
      <c r="B39">
        <v>5910941227</v>
      </c>
      <c r="C39">
        <v>60</v>
      </c>
      <c r="D39" s="27">
        <v>1011929</v>
      </c>
      <c r="F39" t="s">
        <v>42</v>
      </c>
      <c r="G39">
        <v>0</v>
      </c>
      <c r="H39">
        <v>100</v>
      </c>
      <c r="K39">
        <v>2.1619999999999999</v>
      </c>
      <c r="L39" t="s">
        <v>68</v>
      </c>
      <c r="M39" t="s">
        <v>86</v>
      </c>
      <c r="N39" s="4">
        <v>2958465</v>
      </c>
      <c r="P39">
        <v>0</v>
      </c>
      <c r="U39">
        <v>4</v>
      </c>
      <c r="V39">
        <v>1</v>
      </c>
      <c r="W39" t="s">
        <v>69</v>
      </c>
      <c r="X39">
        <v>0</v>
      </c>
    </row>
    <row r="40" spans="1:24" x14ac:dyDescent="0.25">
      <c r="A40">
        <v>1</v>
      </c>
      <c r="B40">
        <v>5910941227</v>
      </c>
      <c r="C40">
        <v>70</v>
      </c>
      <c r="D40" s="27">
        <v>1020023</v>
      </c>
      <c r="F40" t="s">
        <v>42</v>
      </c>
      <c r="G40">
        <v>0</v>
      </c>
      <c r="H40">
        <v>100</v>
      </c>
      <c r="K40">
        <v>4</v>
      </c>
      <c r="L40" t="s">
        <v>68</v>
      </c>
      <c r="M40" t="s">
        <v>86</v>
      </c>
      <c r="N40" s="4">
        <v>2958465</v>
      </c>
      <c r="P40">
        <v>0</v>
      </c>
      <c r="U40">
        <v>4</v>
      </c>
      <c r="V40">
        <v>1</v>
      </c>
      <c r="W40" t="s">
        <v>69</v>
      </c>
      <c r="X40">
        <v>0</v>
      </c>
    </row>
    <row r="41" spans="1:24" x14ac:dyDescent="0.25">
      <c r="A41">
        <v>1</v>
      </c>
      <c r="B41">
        <v>5910941227</v>
      </c>
      <c r="C41">
        <v>80</v>
      </c>
      <c r="D41" s="27">
        <v>18102102527</v>
      </c>
      <c r="F41" t="s">
        <v>42</v>
      </c>
      <c r="G41">
        <v>0</v>
      </c>
      <c r="H41">
        <v>100</v>
      </c>
      <c r="K41">
        <v>1</v>
      </c>
      <c r="L41" t="s">
        <v>68</v>
      </c>
      <c r="M41" t="s">
        <v>86</v>
      </c>
      <c r="N41" s="4">
        <v>2958465</v>
      </c>
      <c r="P41">
        <v>0</v>
      </c>
      <c r="U41">
        <v>4</v>
      </c>
      <c r="V41">
        <v>1</v>
      </c>
      <c r="W41" t="s">
        <v>69</v>
      </c>
      <c r="X41">
        <v>0</v>
      </c>
    </row>
    <row r="42" spans="1:24" x14ac:dyDescent="0.25">
      <c r="A42">
        <v>1</v>
      </c>
      <c r="B42">
        <v>5910941327</v>
      </c>
      <c r="C42">
        <v>10</v>
      </c>
      <c r="D42" s="27">
        <v>5959111300</v>
      </c>
      <c r="F42" t="s">
        <v>42</v>
      </c>
      <c r="G42">
        <v>0</v>
      </c>
      <c r="H42">
        <v>100</v>
      </c>
      <c r="K42">
        <v>1</v>
      </c>
      <c r="L42" t="s">
        <v>68</v>
      </c>
      <c r="M42" t="s">
        <v>86</v>
      </c>
      <c r="N42" s="4">
        <v>2958465</v>
      </c>
      <c r="P42">
        <v>0</v>
      </c>
      <c r="U42">
        <v>4</v>
      </c>
      <c r="V42">
        <v>1</v>
      </c>
      <c r="W42" t="s">
        <v>69</v>
      </c>
      <c r="X42">
        <v>0</v>
      </c>
    </row>
    <row r="43" spans="1:24" x14ac:dyDescent="0.25">
      <c r="A43">
        <v>1</v>
      </c>
      <c r="B43">
        <v>5910941327</v>
      </c>
      <c r="C43">
        <v>20</v>
      </c>
      <c r="D43" s="27">
        <v>5959141300</v>
      </c>
      <c r="F43" t="s">
        <v>42</v>
      </c>
      <c r="G43">
        <v>0</v>
      </c>
      <c r="H43">
        <v>100</v>
      </c>
      <c r="K43">
        <v>1</v>
      </c>
      <c r="L43" t="s">
        <v>68</v>
      </c>
      <c r="M43" t="s">
        <v>86</v>
      </c>
      <c r="N43" s="4">
        <v>2958465</v>
      </c>
      <c r="P43">
        <v>0</v>
      </c>
      <c r="U43">
        <v>4</v>
      </c>
      <c r="V43">
        <v>1</v>
      </c>
      <c r="W43" t="s">
        <v>69</v>
      </c>
      <c r="X43">
        <v>0</v>
      </c>
    </row>
    <row r="44" spans="1:24" x14ac:dyDescent="0.25">
      <c r="A44">
        <v>1</v>
      </c>
      <c r="B44">
        <v>5910941327</v>
      </c>
      <c r="C44">
        <v>30</v>
      </c>
      <c r="D44" s="27">
        <v>5950111300</v>
      </c>
      <c r="F44" t="s">
        <v>42</v>
      </c>
      <c r="G44">
        <v>0</v>
      </c>
      <c r="H44">
        <v>100</v>
      </c>
      <c r="K44">
        <v>2</v>
      </c>
      <c r="L44" t="s">
        <v>68</v>
      </c>
      <c r="M44" t="s">
        <v>86</v>
      </c>
      <c r="N44" s="4">
        <v>2958465</v>
      </c>
      <c r="P44">
        <v>0</v>
      </c>
      <c r="U44">
        <v>4</v>
      </c>
      <c r="V44">
        <v>1</v>
      </c>
      <c r="W44" t="s">
        <v>69</v>
      </c>
      <c r="X44">
        <v>0</v>
      </c>
    </row>
    <row r="45" spans="1:24" x14ac:dyDescent="0.25">
      <c r="A45">
        <v>1</v>
      </c>
      <c r="B45">
        <v>5910941327</v>
      </c>
      <c r="C45">
        <v>40</v>
      </c>
      <c r="D45" s="27">
        <v>1018034</v>
      </c>
      <c r="F45" t="s">
        <v>42</v>
      </c>
      <c r="G45">
        <v>0</v>
      </c>
      <c r="H45">
        <v>100</v>
      </c>
      <c r="K45">
        <v>4</v>
      </c>
      <c r="L45" t="s">
        <v>68</v>
      </c>
      <c r="M45" t="s">
        <v>86</v>
      </c>
      <c r="N45" s="4">
        <v>2958465</v>
      </c>
      <c r="P45">
        <v>0</v>
      </c>
      <c r="U45">
        <v>4</v>
      </c>
      <c r="V45">
        <v>1</v>
      </c>
      <c r="W45" t="s">
        <v>69</v>
      </c>
      <c r="X45">
        <v>0</v>
      </c>
    </row>
    <row r="46" spans="1:24" x14ac:dyDescent="0.25">
      <c r="A46">
        <v>1</v>
      </c>
      <c r="B46">
        <v>5910941327</v>
      </c>
      <c r="C46">
        <v>50</v>
      </c>
      <c r="D46" s="27">
        <v>1018359</v>
      </c>
      <c r="F46" t="s">
        <v>42</v>
      </c>
      <c r="G46">
        <v>0</v>
      </c>
      <c r="H46">
        <v>100</v>
      </c>
      <c r="K46">
        <v>0.08</v>
      </c>
      <c r="L46" t="s">
        <v>68</v>
      </c>
      <c r="M46" t="s">
        <v>86</v>
      </c>
      <c r="N46" s="4">
        <v>2958465</v>
      </c>
      <c r="P46">
        <v>0</v>
      </c>
      <c r="U46">
        <v>4</v>
      </c>
      <c r="V46">
        <v>1</v>
      </c>
      <c r="W46" t="s">
        <v>69</v>
      </c>
      <c r="X46">
        <v>0</v>
      </c>
    </row>
    <row r="47" spans="1:24" x14ac:dyDescent="0.25">
      <c r="A47">
        <v>1</v>
      </c>
      <c r="B47">
        <v>5910941327</v>
      </c>
      <c r="C47">
        <v>60</v>
      </c>
      <c r="D47" s="27">
        <v>1011929</v>
      </c>
      <c r="F47" t="s">
        <v>42</v>
      </c>
      <c r="G47">
        <v>0</v>
      </c>
      <c r="H47">
        <v>100</v>
      </c>
      <c r="K47">
        <v>2.1619999999999999</v>
      </c>
      <c r="L47" t="s">
        <v>68</v>
      </c>
      <c r="M47" t="s">
        <v>86</v>
      </c>
      <c r="N47" s="4">
        <v>2958465</v>
      </c>
      <c r="P47">
        <v>0</v>
      </c>
      <c r="U47">
        <v>4</v>
      </c>
      <c r="V47">
        <v>1</v>
      </c>
      <c r="W47" t="s">
        <v>69</v>
      </c>
      <c r="X47">
        <v>0</v>
      </c>
    </row>
    <row r="48" spans="1:24" x14ac:dyDescent="0.25">
      <c r="A48">
        <v>1</v>
      </c>
      <c r="B48">
        <v>5910941327</v>
      </c>
      <c r="C48">
        <v>70</v>
      </c>
      <c r="D48" s="27">
        <v>1020023</v>
      </c>
      <c r="F48" t="s">
        <v>42</v>
      </c>
      <c r="G48">
        <v>0</v>
      </c>
      <c r="H48">
        <v>100</v>
      </c>
      <c r="K48">
        <v>4</v>
      </c>
      <c r="L48" t="s">
        <v>68</v>
      </c>
      <c r="M48" t="s">
        <v>86</v>
      </c>
      <c r="N48" s="4">
        <v>2958465</v>
      </c>
      <c r="P48">
        <v>0</v>
      </c>
      <c r="U48">
        <v>4</v>
      </c>
      <c r="V48">
        <v>1</v>
      </c>
      <c r="W48" t="s">
        <v>69</v>
      </c>
      <c r="X48">
        <v>0</v>
      </c>
    </row>
    <row r="49" spans="1:24" x14ac:dyDescent="0.25">
      <c r="A49">
        <v>1</v>
      </c>
      <c r="B49">
        <v>5910941327</v>
      </c>
      <c r="C49">
        <v>80</v>
      </c>
      <c r="D49" s="27">
        <v>18102102527</v>
      </c>
      <c r="F49" t="s">
        <v>42</v>
      </c>
      <c r="G49">
        <v>0</v>
      </c>
      <c r="H49">
        <v>100</v>
      </c>
      <c r="K49">
        <v>1</v>
      </c>
      <c r="L49" t="s">
        <v>68</v>
      </c>
      <c r="M49" t="s">
        <v>86</v>
      </c>
      <c r="N49" s="4">
        <v>2958465</v>
      </c>
      <c r="P49">
        <v>0</v>
      </c>
      <c r="U49">
        <v>4</v>
      </c>
      <c r="V49">
        <v>1</v>
      </c>
      <c r="W49" t="s">
        <v>69</v>
      </c>
      <c r="X49">
        <v>0</v>
      </c>
    </row>
    <row r="50" spans="1:24" x14ac:dyDescent="0.25">
      <c r="A50">
        <v>1</v>
      </c>
      <c r="B50">
        <v>5910941027</v>
      </c>
      <c r="C50">
        <v>10</v>
      </c>
      <c r="D50" s="27">
        <v>5959111000</v>
      </c>
      <c r="F50" t="s">
        <v>42</v>
      </c>
      <c r="G50">
        <v>0</v>
      </c>
      <c r="H50">
        <v>100</v>
      </c>
      <c r="K50">
        <v>1</v>
      </c>
      <c r="L50" t="s">
        <v>68</v>
      </c>
      <c r="M50" t="s">
        <v>86</v>
      </c>
      <c r="N50" s="4">
        <v>2958465</v>
      </c>
      <c r="P50">
        <v>0</v>
      </c>
      <c r="U50">
        <v>4</v>
      </c>
      <c r="V50">
        <v>1</v>
      </c>
      <c r="W50" t="s">
        <v>69</v>
      </c>
      <c r="X50">
        <v>0</v>
      </c>
    </row>
    <row r="51" spans="1:24" x14ac:dyDescent="0.25">
      <c r="A51">
        <v>1</v>
      </c>
      <c r="B51">
        <v>5910941027</v>
      </c>
      <c r="C51">
        <v>20</v>
      </c>
      <c r="D51" s="27">
        <v>5959141000</v>
      </c>
      <c r="F51" t="s">
        <v>42</v>
      </c>
      <c r="G51">
        <v>0</v>
      </c>
      <c r="H51">
        <v>100</v>
      </c>
      <c r="K51">
        <v>1</v>
      </c>
      <c r="L51" t="s">
        <v>68</v>
      </c>
      <c r="M51" t="s">
        <v>86</v>
      </c>
      <c r="N51" s="4">
        <v>2958465</v>
      </c>
      <c r="P51">
        <v>0</v>
      </c>
      <c r="U51">
        <v>4</v>
      </c>
      <c r="V51">
        <v>1</v>
      </c>
      <c r="W51" t="s">
        <v>69</v>
      </c>
      <c r="X51">
        <v>0</v>
      </c>
    </row>
    <row r="52" spans="1:24" x14ac:dyDescent="0.25">
      <c r="A52">
        <v>1</v>
      </c>
      <c r="B52">
        <v>5910941027</v>
      </c>
      <c r="C52">
        <v>30</v>
      </c>
      <c r="D52" s="27">
        <v>5950111000</v>
      </c>
      <c r="F52" t="s">
        <v>42</v>
      </c>
      <c r="G52">
        <v>0</v>
      </c>
      <c r="H52">
        <v>100</v>
      </c>
      <c r="K52">
        <v>2</v>
      </c>
      <c r="L52" t="s">
        <v>68</v>
      </c>
      <c r="M52" t="s">
        <v>86</v>
      </c>
      <c r="N52" s="4">
        <v>2958465</v>
      </c>
      <c r="P52">
        <v>0</v>
      </c>
      <c r="U52">
        <v>4</v>
      </c>
      <c r="V52">
        <v>1</v>
      </c>
      <c r="W52" t="s">
        <v>69</v>
      </c>
      <c r="X52">
        <v>0</v>
      </c>
    </row>
    <row r="53" spans="1:24" x14ac:dyDescent="0.25">
      <c r="A53">
        <v>1</v>
      </c>
      <c r="B53">
        <v>5910941027</v>
      </c>
      <c r="C53">
        <v>40</v>
      </c>
      <c r="D53" s="27">
        <v>1018034</v>
      </c>
      <c r="F53" t="s">
        <v>42</v>
      </c>
      <c r="G53">
        <v>0</v>
      </c>
      <c r="H53">
        <v>100</v>
      </c>
      <c r="K53">
        <v>4</v>
      </c>
      <c r="L53" t="s">
        <v>68</v>
      </c>
      <c r="M53" t="s">
        <v>86</v>
      </c>
      <c r="N53" s="4">
        <v>2958465</v>
      </c>
      <c r="P53">
        <v>0</v>
      </c>
      <c r="U53">
        <v>4</v>
      </c>
      <c r="V53">
        <v>1</v>
      </c>
      <c r="W53" t="s">
        <v>69</v>
      </c>
      <c r="X53">
        <v>0</v>
      </c>
    </row>
    <row r="54" spans="1:24" x14ac:dyDescent="0.25">
      <c r="A54">
        <v>1</v>
      </c>
      <c r="B54">
        <v>5910941027</v>
      </c>
      <c r="C54">
        <v>50</v>
      </c>
      <c r="D54" s="27">
        <v>1018359</v>
      </c>
      <c r="F54" t="s">
        <v>42</v>
      </c>
      <c r="G54">
        <v>0</v>
      </c>
      <c r="H54">
        <v>100</v>
      </c>
      <c r="K54">
        <v>0.08</v>
      </c>
      <c r="L54" t="s">
        <v>68</v>
      </c>
      <c r="M54" t="s">
        <v>86</v>
      </c>
      <c r="N54" s="4">
        <v>2958465</v>
      </c>
      <c r="P54">
        <v>0</v>
      </c>
      <c r="U54">
        <v>4</v>
      </c>
      <c r="V54">
        <v>1</v>
      </c>
      <c r="W54" t="s">
        <v>69</v>
      </c>
      <c r="X54">
        <v>0</v>
      </c>
    </row>
    <row r="55" spans="1:24" x14ac:dyDescent="0.25">
      <c r="A55">
        <v>1</v>
      </c>
      <c r="B55">
        <v>5910941027</v>
      </c>
      <c r="C55">
        <v>60</v>
      </c>
      <c r="D55" s="27">
        <v>1011929</v>
      </c>
      <c r="F55" t="s">
        <v>42</v>
      </c>
      <c r="G55">
        <v>0</v>
      </c>
      <c r="H55">
        <v>100</v>
      </c>
      <c r="K55">
        <v>2.1619999999999999</v>
      </c>
      <c r="L55" t="s">
        <v>68</v>
      </c>
      <c r="M55" t="s">
        <v>86</v>
      </c>
      <c r="N55" s="4">
        <v>2958465</v>
      </c>
      <c r="P55">
        <v>0</v>
      </c>
      <c r="U55">
        <v>4</v>
      </c>
      <c r="V55">
        <v>1</v>
      </c>
      <c r="W55" t="s">
        <v>69</v>
      </c>
      <c r="X55">
        <v>0</v>
      </c>
    </row>
    <row r="56" spans="1:24" x14ac:dyDescent="0.25">
      <c r="A56">
        <v>1</v>
      </c>
      <c r="B56">
        <v>5910941027</v>
      </c>
      <c r="C56">
        <v>70</v>
      </c>
      <c r="D56" s="27">
        <v>1020023</v>
      </c>
      <c r="F56" t="s">
        <v>42</v>
      </c>
      <c r="G56">
        <v>0</v>
      </c>
      <c r="H56">
        <v>100</v>
      </c>
      <c r="K56">
        <v>4</v>
      </c>
      <c r="L56" t="s">
        <v>68</v>
      </c>
      <c r="M56" t="s">
        <v>86</v>
      </c>
      <c r="N56" s="4">
        <v>2958465</v>
      </c>
      <c r="P56">
        <v>0</v>
      </c>
      <c r="U56">
        <v>4</v>
      </c>
      <c r="V56">
        <v>1</v>
      </c>
      <c r="W56" t="s">
        <v>69</v>
      </c>
      <c r="X56">
        <v>0</v>
      </c>
    </row>
    <row r="57" spans="1:24" x14ac:dyDescent="0.25">
      <c r="A57">
        <v>1</v>
      </c>
      <c r="B57">
        <v>5910941027</v>
      </c>
      <c r="C57">
        <v>80</v>
      </c>
      <c r="D57" s="27">
        <v>18102102527</v>
      </c>
      <c r="F57" t="s">
        <v>42</v>
      </c>
      <c r="G57">
        <v>0</v>
      </c>
      <c r="H57">
        <v>100</v>
      </c>
      <c r="K57">
        <v>1</v>
      </c>
      <c r="L57" t="s">
        <v>68</v>
      </c>
      <c r="M57" t="s">
        <v>86</v>
      </c>
      <c r="N57" s="4">
        <v>2958465</v>
      </c>
      <c r="P57">
        <v>0</v>
      </c>
      <c r="U57">
        <v>4</v>
      </c>
      <c r="V57">
        <v>1</v>
      </c>
      <c r="W57" t="s">
        <v>69</v>
      </c>
      <c r="X57">
        <v>0</v>
      </c>
    </row>
    <row r="58" spans="1:24" x14ac:dyDescent="0.25">
      <c r="A58">
        <v>1</v>
      </c>
      <c r="B58">
        <v>5910941226</v>
      </c>
      <c r="C58">
        <v>10</v>
      </c>
      <c r="D58" s="27">
        <v>5959111200</v>
      </c>
      <c r="F58" t="s">
        <v>42</v>
      </c>
      <c r="G58">
        <v>0</v>
      </c>
      <c r="H58">
        <v>100</v>
      </c>
      <c r="K58">
        <v>1</v>
      </c>
      <c r="L58" t="s">
        <v>68</v>
      </c>
      <c r="M58" t="s">
        <v>86</v>
      </c>
      <c r="N58" s="4">
        <v>2958465</v>
      </c>
      <c r="P58">
        <v>0</v>
      </c>
      <c r="U58">
        <v>4</v>
      </c>
      <c r="V58">
        <v>1</v>
      </c>
      <c r="W58" t="s">
        <v>69</v>
      </c>
      <c r="X58">
        <v>0</v>
      </c>
    </row>
    <row r="59" spans="1:24" x14ac:dyDescent="0.25">
      <c r="A59">
        <v>1</v>
      </c>
      <c r="B59">
        <v>5910941226</v>
      </c>
      <c r="C59">
        <v>20</v>
      </c>
      <c r="D59" s="27">
        <v>5959141200</v>
      </c>
      <c r="F59" t="s">
        <v>42</v>
      </c>
      <c r="G59">
        <v>0</v>
      </c>
      <c r="H59">
        <v>100</v>
      </c>
      <c r="K59">
        <v>1</v>
      </c>
      <c r="L59" t="s">
        <v>68</v>
      </c>
      <c r="M59" t="s">
        <v>86</v>
      </c>
      <c r="N59" s="4">
        <v>2958465</v>
      </c>
      <c r="P59">
        <v>0</v>
      </c>
      <c r="U59">
        <v>4</v>
      </c>
      <c r="V59">
        <v>1</v>
      </c>
      <c r="W59" t="s">
        <v>69</v>
      </c>
      <c r="X59">
        <v>0</v>
      </c>
    </row>
    <row r="60" spans="1:24" x14ac:dyDescent="0.25">
      <c r="A60">
        <v>1</v>
      </c>
      <c r="B60">
        <v>5910941226</v>
      </c>
      <c r="C60">
        <v>30</v>
      </c>
      <c r="D60" s="27">
        <v>5950111200</v>
      </c>
      <c r="F60" t="s">
        <v>42</v>
      </c>
      <c r="G60">
        <v>0</v>
      </c>
      <c r="H60">
        <v>100</v>
      </c>
      <c r="K60">
        <v>2</v>
      </c>
      <c r="L60" t="s">
        <v>68</v>
      </c>
      <c r="M60" t="s">
        <v>86</v>
      </c>
      <c r="N60" s="4">
        <v>2958465</v>
      </c>
      <c r="P60">
        <v>0</v>
      </c>
      <c r="U60">
        <v>4</v>
      </c>
      <c r="V60">
        <v>1</v>
      </c>
      <c r="W60" t="s">
        <v>69</v>
      </c>
      <c r="X60">
        <v>0</v>
      </c>
    </row>
    <row r="61" spans="1:24" x14ac:dyDescent="0.25">
      <c r="A61">
        <v>1</v>
      </c>
      <c r="B61">
        <v>5910941226</v>
      </c>
      <c r="C61">
        <v>40</v>
      </c>
      <c r="D61" s="27">
        <v>1018034</v>
      </c>
      <c r="F61" t="s">
        <v>42</v>
      </c>
      <c r="G61">
        <v>0</v>
      </c>
      <c r="H61">
        <v>100</v>
      </c>
      <c r="K61">
        <v>4</v>
      </c>
      <c r="L61" t="s">
        <v>68</v>
      </c>
      <c r="M61" t="s">
        <v>86</v>
      </c>
      <c r="N61" s="4">
        <v>2958465</v>
      </c>
      <c r="P61">
        <v>0</v>
      </c>
      <c r="U61">
        <v>4</v>
      </c>
      <c r="V61">
        <v>1</v>
      </c>
      <c r="W61" t="s">
        <v>69</v>
      </c>
      <c r="X61">
        <v>0</v>
      </c>
    </row>
    <row r="62" spans="1:24" x14ac:dyDescent="0.25">
      <c r="A62">
        <v>1</v>
      </c>
      <c r="B62">
        <v>5910941226</v>
      </c>
      <c r="C62">
        <v>50</v>
      </c>
      <c r="D62" s="27">
        <v>1018359</v>
      </c>
      <c r="F62" t="s">
        <v>42</v>
      </c>
      <c r="G62">
        <v>0</v>
      </c>
      <c r="H62">
        <v>100</v>
      </c>
      <c r="K62">
        <v>0.08</v>
      </c>
      <c r="L62" t="s">
        <v>68</v>
      </c>
      <c r="M62" t="s">
        <v>86</v>
      </c>
      <c r="N62" s="4">
        <v>2958465</v>
      </c>
      <c r="P62">
        <v>0</v>
      </c>
      <c r="U62">
        <v>4</v>
      </c>
      <c r="V62">
        <v>1</v>
      </c>
      <c r="W62" t="s">
        <v>69</v>
      </c>
      <c r="X62">
        <v>0</v>
      </c>
    </row>
    <row r="63" spans="1:24" x14ac:dyDescent="0.25">
      <c r="A63">
        <v>1</v>
      </c>
      <c r="B63">
        <v>5910941226</v>
      </c>
      <c r="C63">
        <v>60</v>
      </c>
      <c r="D63" s="27">
        <v>1011929</v>
      </c>
      <c r="F63" t="s">
        <v>42</v>
      </c>
      <c r="G63">
        <v>0</v>
      </c>
      <c r="H63">
        <v>100</v>
      </c>
      <c r="K63">
        <v>2.1619999999999999</v>
      </c>
      <c r="L63" t="s">
        <v>68</v>
      </c>
      <c r="M63" t="s">
        <v>86</v>
      </c>
      <c r="N63" s="4">
        <v>2958465</v>
      </c>
      <c r="P63">
        <v>0</v>
      </c>
      <c r="U63">
        <v>4</v>
      </c>
      <c r="V63">
        <v>1</v>
      </c>
      <c r="W63" t="s">
        <v>69</v>
      </c>
      <c r="X63">
        <v>0</v>
      </c>
    </row>
    <row r="64" spans="1:24" x14ac:dyDescent="0.25">
      <c r="A64">
        <v>1</v>
      </c>
      <c r="B64">
        <v>5910941226</v>
      </c>
      <c r="C64">
        <v>70</v>
      </c>
      <c r="D64" s="27">
        <v>1020023</v>
      </c>
      <c r="F64" t="s">
        <v>42</v>
      </c>
      <c r="G64">
        <v>0</v>
      </c>
      <c r="H64">
        <v>100</v>
      </c>
      <c r="K64">
        <v>4</v>
      </c>
      <c r="L64" t="s">
        <v>68</v>
      </c>
      <c r="M64" t="s">
        <v>86</v>
      </c>
      <c r="N64" s="4">
        <v>2958465</v>
      </c>
      <c r="P64">
        <v>0</v>
      </c>
      <c r="U64">
        <v>4</v>
      </c>
      <c r="V64">
        <v>1</v>
      </c>
      <c r="W64" t="s">
        <v>69</v>
      </c>
      <c r="X64">
        <v>0</v>
      </c>
    </row>
    <row r="65" spans="1:24" x14ac:dyDescent="0.25">
      <c r="A65">
        <v>1</v>
      </c>
      <c r="B65">
        <v>5910941226</v>
      </c>
      <c r="C65">
        <v>80</v>
      </c>
      <c r="D65" s="27">
        <v>18102102526</v>
      </c>
      <c r="F65" t="s">
        <v>42</v>
      </c>
      <c r="G65">
        <v>0</v>
      </c>
      <c r="H65">
        <v>100</v>
      </c>
      <c r="K65">
        <v>1</v>
      </c>
      <c r="L65" t="s">
        <v>68</v>
      </c>
      <c r="M65" t="s">
        <v>86</v>
      </c>
      <c r="N65" s="4">
        <v>2958465</v>
      </c>
      <c r="P65">
        <v>0</v>
      </c>
      <c r="U65">
        <v>4</v>
      </c>
      <c r="V65">
        <v>1</v>
      </c>
      <c r="W65" t="s">
        <v>69</v>
      </c>
      <c r="X65">
        <v>0</v>
      </c>
    </row>
    <row r="66" spans="1:24" x14ac:dyDescent="0.25">
      <c r="A66">
        <v>1</v>
      </c>
      <c r="B66">
        <v>5910941826</v>
      </c>
      <c r="C66">
        <v>10</v>
      </c>
      <c r="D66" s="27">
        <v>5959111800</v>
      </c>
      <c r="F66" t="s">
        <v>42</v>
      </c>
      <c r="G66">
        <v>0</v>
      </c>
      <c r="H66">
        <v>100</v>
      </c>
      <c r="K66">
        <v>1</v>
      </c>
      <c r="L66" t="s">
        <v>68</v>
      </c>
      <c r="M66" t="s">
        <v>86</v>
      </c>
      <c r="N66" s="4">
        <v>2958465</v>
      </c>
      <c r="P66">
        <v>0</v>
      </c>
      <c r="U66">
        <v>4</v>
      </c>
      <c r="V66">
        <v>1</v>
      </c>
      <c r="W66" t="s">
        <v>69</v>
      </c>
      <c r="X66">
        <v>0</v>
      </c>
    </row>
    <row r="67" spans="1:24" x14ac:dyDescent="0.25">
      <c r="A67">
        <v>1</v>
      </c>
      <c r="B67">
        <v>5910941826</v>
      </c>
      <c r="C67">
        <v>20</v>
      </c>
      <c r="D67" s="27">
        <v>5959141800</v>
      </c>
      <c r="F67" t="s">
        <v>42</v>
      </c>
      <c r="G67">
        <v>0</v>
      </c>
      <c r="H67">
        <v>100</v>
      </c>
      <c r="K67">
        <v>1</v>
      </c>
      <c r="L67" t="s">
        <v>68</v>
      </c>
      <c r="M67" t="s">
        <v>86</v>
      </c>
      <c r="N67" s="4">
        <v>2958465</v>
      </c>
      <c r="P67">
        <v>0</v>
      </c>
      <c r="U67">
        <v>4</v>
      </c>
      <c r="V67">
        <v>1</v>
      </c>
      <c r="W67" t="s">
        <v>69</v>
      </c>
      <c r="X67">
        <v>0</v>
      </c>
    </row>
    <row r="68" spans="1:24" x14ac:dyDescent="0.25">
      <c r="A68">
        <v>1</v>
      </c>
      <c r="B68">
        <v>5910941826</v>
      </c>
      <c r="C68">
        <v>30</v>
      </c>
      <c r="D68" s="27">
        <v>5950111800</v>
      </c>
      <c r="F68" t="s">
        <v>42</v>
      </c>
      <c r="G68">
        <v>0</v>
      </c>
      <c r="H68">
        <v>100</v>
      </c>
      <c r="K68">
        <v>2</v>
      </c>
      <c r="L68" t="s">
        <v>68</v>
      </c>
      <c r="M68" t="s">
        <v>86</v>
      </c>
      <c r="N68" s="4">
        <v>2958465</v>
      </c>
      <c r="P68">
        <v>0</v>
      </c>
      <c r="U68">
        <v>4</v>
      </c>
      <c r="V68">
        <v>1</v>
      </c>
      <c r="W68" t="s">
        <v>69</v>
      </c>
      <c r="X68">
        <v>0</v>
      </c>
    </row>
    <row r="69" spans="1:24" x14ac:dyDescent="0.25">
      <c r="A69">
        <v>1</v>
      </c>
      <c r="B69">
        <v>5910941826</v>
      </c>
      <c r="C69">
        <v>40</v>
      </c>
      <c r="D69" s="27">
        <v>1018034</v>
      </c>
      <c r="F69" t="s">
        <v>42</v>
      </c>
      <c r="G69">
        <v>0</v>
      </c>
      <c r="H69">
        <v>100</v>
      </c>
      <c r="K69">
        <v>4</v>
      </c>
      <c r="L69" t="s">
        <v>68</v>
      </c>
      <c r="M69" t="s">
        <v>86</v>
      </c>
      <c r="N69" s="4">
        <v>2958465</v>
      </c>
      <c r="P69">
        <v>0</v>
      </c>
      <c r="U69">
        <v>4</v>
      </c>
      <c r="V69">
        <v>1</v>
      </c>
      <c r="W69" t="s">
        <v>69</v>
      </c>
      <c r="X69">
        <v>0</v>
      </c>
    </row>
    <row r="70" spans="1:24" x14ac:dyDescent="0.25">
      <c r="A70">
        <v>1</v>
      </c>
      <c r="B70">
        <v>5910941826</v>
      </c>
      <c r="C70">
        <v>50</v>
      </c>
      <c r="D70" s="27">
        <v>1018359</v>
      </c>
      <c r="F70" t="s">
        <v>42</v>
      </c>
      <c r="G70">
        <v>0</v>
      </c>
      <c r="H70">
        <v>100</v>
      </c>
      <c r="K70">
        <v>0.08</v>
      </c>
      <c r="L70" t="s">
        <v>68</v>
      </c>
      <c r="M70" t="s">
        <v>86</v>
      </c>
      <c r="N70" s="4">
        <v>2958465</v>
      </c>
      <c r="P70">
        <v>0</v>
      </c>
      <c r="U70">
        <v>4</v>
      </c>
      <c r="V70">
        <v>1</v>
      </c>
      <c r="W70" t="s">
        <v>69</v>
      </c>
      <c r="X70">
        <v>0</v>
      </c>
    </row>
    <row r="71" spans="1:24" x14ac:dyDescent="0.25">
      <c r="A71">
        <v>1</v>
      </c>
      <c r="B71">
        <v>5910941826</v>
      </c>
      <c r="C71">
        <v>60</v>
      </c>
      <c r="D71" s="27">
        <v>1011929</v>
      </c>
      <c r="F71" t="s">
        <v>42</v>
      </c>
      <c r="G71">
        <v>0</v>
      </c>
      <c r="H71">
        <v>100</v>
      </c>
      <c r="K71">
        <v>2.1619999999999999</v>
      </c>
      <c r="L71" t="s">
        <v>68</v>
      </c>
      <c r="M71" t="s">
        <v>86</v>
      </c>
      <c r="N71" s="4">
        <v>2958465</v>
      </c>
      <c r="P71">
        <v>0</v>
      </c>
      <c r="U71">
        <v>4</v>
      </c>
      <c r="V71">
        <v>1</v>
      </c>
      <c r="W71" t="s">
        <v>69</v>
      </c>
      <c r="X71">
        <v>0</v>
      </c>
    </row>
    <row r="72" spans="1:24" x14ac:dyDescent="0.25">
      <c r="A72">
        <v>1</v>
      </c>
      <c r="B72">
        <v>5910941826</v>
      </c>
      <c r="C72">
        <v>70</v>
      </c>
      <c r="D72" s="27">
        <v>1020023</v>
      </c>
      <c r="F72" t="s">
        <v>42</v>
      </c>
      <c r="G72">
        <v>0</v>
      </c>
      <c r="H72">
        <v>100</v>
      </c>
      <c r="K72">
        <v>4</v>
      </c>
      <c r="L72" t="s">
        <v>68</v>
      </c>
      <c r="M72" t="s">
        <v>86</v>
      </c>
      <c r="N72" s="4">
        <v>2958465</v>
      </c>
      <c r="P72">
        <v>0</v>
      </c>
      <c r="U72">
        <v>4</v>
      </c>
      <c r="V72">
        <v>1</v>
      </c>
      <c r="W72" t="s">
        <v>69</v>
      </c>
      <c r="X72">
        <v>0</v>
      </c>
    </row>
    <row r="73" spans="1:24" x14ac:dyDescent="0.25">
      <c r="A73">
        <v>1</v>
      </c>
      <c r="B73">
        <v>5910941826</v>
      </c>
      <c r="C73">
        <v>80</v>
      </c>
      <c r="D73" s="27">
        <v>18102102526</v>
      </c>
      <c r="F73" t="s">
        <v>42</v>
      </c>
      <c r="G73">
        <v>0</v>
      </c>
      <c r="H73">
        <v>100</v>
      </c>
      <c r="K73">
        <v>1</v>
      </c>
      <c r="L73" t="s">
        <v>68</v>
      </c>
      <c r="M73" t="s">
        <v>86</v>
      </c>
      <c r="N73" s="4">
        <v>2958465</v>
      </c>
      <c r="P73">
        <v>0</v>
      </c>
      <c r="U73">
        <v>4</v>
      </c>
      <c r="V73">
        <v>1</v>
      </c>
      <c r="W73" t="s">
        <v>69</v>
      </c>
      <c r="X73">
        <v>0</v>
      </c>
    </row>
    <row r="74" spans="1:24" x14ac:dyDescent="0.25">
      <c r="A74">
        <v>1</v>
      </c>
      <c r="B74">
        <v>5910941026</v>
      </c>
      <c r="C74">
        <v>10</v>
      </c>
      <c r="D74" s="27">
        <v>5959111000</v>
      </c>
      <c r="F74" t="s">
        <v>42</v>
      </c>
      <c r="G74">
        <v>0</v>
      </c>
      <c r="H74">
        <v>100</v>
      </c>
      <c r="K74">
        <v>1</v>
      </c>
      <c r="L74" t="s">
        <v>68</v>
      </c>
      <c r="M74" t="s">
        <v>86</v>
      </c>
      <c r="N74" s="4">
        <v>2958465</v>
      </c>
      <c r="P74">
        <v>0</v>
      </c>
      <c r="U74">
        <v>4</v>
      </c>
      <c r="V74">
        <v>1</v>
      </c>
      <c r="W74" t="s">
        <v>69</v>
      </c>
      <c r="X74">
        <v>0</v>
      </c>
    </row>
    <row r="75" spans="1:24" x14ac:dyDescent="0.25">
      <c r="A75">
        <v>1</v>
      </c>
      <c r="B75">
        <v>5910941026</v>
      </c>
      <c r="C75">
        <v>20</v>
      </c>
      <c r="D75" s="27">
        <v>5959141000</v>
      </c>
      <c r="F75" t="s">
        <v>42</v>
      </c>
      <c r="G75">
        <v>0</v>
      </c>
      <c r="H75">
        <v>100</v>
      </c>
      <c r="K75">
        <v>1</v>
      </c>
      <c r="L75" t="s">
        <v>68</v>
      </c>
      <c r="M75" t="s">
        <v>86</v>
      </c>
      <c r="N75" s="4">
        <v>2958465</v>
      </c>
      <c r="P75">
        <v>0</v>
      </c>
      <c r="U75">
        <v>4</v>
      </c>
      <c r="V75">
        <v>1</v>
      </c>
      <c r="W75" t="s">
        <v>69</v>
      </c>
      <c r="X75">
        <v>0</v>
      </c>
    </row>
    <row r="76" spans="1:24" x14ac:dyDescent="0.25">
      <c r="A76">
        <v>1</v>
      </c>
      <c r="B76">
        <v>5910941026</v>
      </c>
      <c r="C76">
        <v>30</v>
      </c>
      <c r="D76" s="27">
        <v>5950111000</v>
      </c>
      <c r="F76" t="s">
        <v>42</v>
      </c>
      <c r="G76">
        <v>0</v>
      </c>
      <c r="H76">
        <v>100</v>
      </c>
      <c r="K76">
        <v>2</v>
      </c>
      <c r="L76" t="s">
        <v>68</v>
      </c>
      <c r="M76" t="s">
        <v>86</v>
      </c>
      <c r="N76" s="4">
        <v>2958465</v>
      </c>
      <c r="P76">
        <v>0</v>
      </c>
      <c r="U76">
        <v>4</v>
      </c>
      <c r="V76">
        <v>1</v>
      </c>
      <c r="W76" t="s">
        <v>69</v>
      </c>
      <c r="X76">
        <v>0</v>
      </c>
    </row>
    <row r="77" spans="1:24" x14ac:dyDescent="0.25">
      <c r="A77">
        <v>1</v>
      </c>
      <c r="B77">
        <v>5910941026</v>
      </c>
      <c r="C77">
        <v>40</v>
      </c>
      <c r="D77" s="27">
        <v>1018034</v>
      </c>
      <c r="F77" t="s">
        <v>42</v>
      </c>
      <c r="G77">
        <v>0</v>
      </c>
      <c r="H77">
        <v>100</v>
      </c>
      <c r="K77">
        <v>4</v>
      </c>
      <c r="L77" t="s">
        <v>68</v>
      </c>
      <c r="M77" t="s">
        <v>86</v>
      </c>
      <c r="N77" s="4">
        <v>2958465</v>
      </c>
      <c r="P77">
        <v>0</v>
      </c>
      <c r="U77">
        <v>4</v>
      </c>
      <c r="V77">
        <v>1</v>
      </c>
      <c r="W77" t="s">
        <v>69</v>
      </c>
      <c r="X77">
        <v>0</v>
      </c>
    </row>
    <row r="78" spans="1:24" x14ac:dyDescent="0.25">
      <c r="A78">
        <v>1</v>
      </c>
      <c r="B78">
        <v>5910941026</v>
      </c>
      <c r="C78">
        <v>50</v>
      </c>
      <c r="D78" s="27">
        <v>1018359</v>
      </c>
      <c r="F78" t="s">
        <v>42</v>
      </c>
      <c r="G78">
        <v>0</v>
      </c>
      <c r="H78">
        <v>100</v>
      </c>
      <c r="K78">
        <v>0.08</v>
      </c>
      <c r="L78" t="s">
        <v>68</v>
      </c>
      <c r="M78" t="s">
        <v>86</v>
      </c>
      <c r="N78" s="4">
        <v>2958465</v>
      </c>
      <c r="P78">
        <v>0</v>
      </c>
      <c r="U78">
        <v>4</v>
      </c>
      <c r="V78">
        <v>1</v>
      </c>
      <c r="W78" t="s">
        <v>69</v>
      </c>
      <c r="X78">
        <v>0</v>
      </c>
    </row>
    <row r="79" spans="1:24" x14ac:dyDescent="0.25">
      <c r="A79">
        <v>1</v>
      </c>
      <c r="B79">
        <v>5910941026</v>
      </c>
      <c r="C79">
        <v>60</v>
      </c>
      <c r="D79" s="27">
        <v>1011929</v>
      </c>
      <c r="F79" t="s">
        <v>42</v>
      </c>
      <c r="G79">
        <v>0</v>
      </c>
      <c r="H79">
        <v>100</v>
      </c>
      <c r="K79">
        <v>2.1619999999999999</v>
      </c>
      <c r="L79" t="s">
        <v>68</v>
      </c>
      <c r="M79" t="s">
        <v>86</v>
      </c>
      <c r="N79" s="4">
        <v>2958465</v>
      </c>
      <c r="P79">
        <v>0</v>
      </c>
      <c r="U79">
        <v>4</v>
      </c>
      <c r="V79">
        <v>1</v>
      </c>
      <c r="W79" t="s">
        <v>69</v>
      </c>
      <c r="X79">
        <v>0</v>
      </c>
    </row>
    <row r="80" spans="1:24" x14ac:dyDescent="0.25">
      <c r="A80">
        <v>1</v>
      </c>
      <c r="B80">
        <v>5910941026</v>
      </c>
      <c r="C80">
        <v>70</v>
      </c>
      <c r="D80" s="27">
        <v>1020023</v>
      </c>
      <c r="F80" t="s">
        <v>42</v>
      </c>
      <c r="G80">
        <v>0</v>
      </c>
      <c r="H80">
        <v>100</v>
      </c>
      <c r="K80">
        <v>4</v>
      </c>
      <c r="L80" t="s">
        <v>68</v>
      </c>
      <c r="M80" t="s">
        <v>86</v>
      </c>
      <c r="N80" s="4">
        <v>2958465</v>
      </c>
      <c r="P80">
        <v>0</v>
      </c>
      <c r="U80">
        <v>4</v>
      </c>
      <c r="V80">
        <v>1</v>
      </c>
      <c r="W80" t="s">
        <v>69</v>
      </c>
      <c r="X80">
        <v>0</v>
      </c>
    </row>
    <row r="81" spans="1:24" x14ac:dyDescent="0.25">
      <c r="A81">
        <v>1</v>
      </c>
      <c r="B81">
        <v>5910941026</v>
      </c>
      <c r="C81">
        <v>80</v>
      </c>
      <c r="D81" s="27">
        <v>18102102526</v>
      </c>
      <c r="F81" t="s">
        <v>42</v>
      </c>
      <c r="G81">
        <v>0</v>
      </c>
      <c r="H81">
        <v>100</v>
      </c>
      <c r="K81">
        <v>1</v>
      </c>
      <c r="L81" t="s">
        <v>68</v>
      </c>
      <c r="M81" t="s">
        <v>86</v>
      </c>
      <c r="N81" s="4">
        <v>2958465</v>
      </c>
      <c r="P81">
        <v>0</v>
      </c>
      <c r="U81">
        <v>4</v>
      </c>
      <c r="V81">
        <v>1</v>
      </c>
      <c r="W81" t="s">
        <v>69</v>
      </c>
      <c r="X81">
        <v>0</v>
      </c>
    </row>
    <row r="82" spans="1:24" x14ac:dyDescent="0.25">
      <c r="A82">
        <v>1</v>
      </c>
      <c r="B82">
        <v>5910941225</v>
      </c>
      <c r="C82">
        <v>10</v>
      </c>
      <c r="D82" s="27">
        <v>5959111200</v>
      </c>
      <c r="F82" t="s">
        <v>42</v>
      </c>
      <c r="G82">
        <v>0</v>
      </c>
      <c r="H82">
        <v>100</v>
      </c>
      <c r="K82">
        <v>1</v>
      </c>
      <c r="L82" t="s">
        <v>68</v>
      </c>
      <c r="M82" t="s">
        <v>86</v>
      </c>
      <c r="N82" s="4">
        <v>2958465</v>
      </c>
      <c r="P82">
        <v>0</v>
      </c>
      <c r="U82">
        <v>4</v>
      </c>
      <c r="V82">
        <v>1</v>
      </c>
      <c r="W82" t="s">
        <v>69</v>
      </c>
      <c r="X82">
        <v>0</v>
      </c>
    </row>
    <row r="83" spans="1:24" x14ac:dyDescent="0.25">
      <c r="A83">
        <v>1</v>
      </c>
      <c r="B83">
        <v>5910941225</v>
      </c>
      <c r="C83">
        <v>20</v>
      </c>
      <c r="D83" s="27">
        <v>5959141200</v>
      </c>
      <c r="F83" t="s">
        <v>42</v>
      </c>
      <c r="G83">
        <v>0</v>
      </c>
      <c r="H83">
        <v>100</v>
      </c>
      <c r="K83">
        <v>1</v>
      </c>
      <c r="L83" t="s">
        <v>68</v>
      </c>
      <c r="M83" t="s">
        <v>86</v>
      </c>
      <c r="N83" s="4">
        <v>2958465</v>
      </c>
      <c r="P83">
        <v>0</v>
      </c>
      <c r="U83">
        <v>4</v>
      </c>
      <c r="V83">
        <v>1</v>
      </c>
      <c r="W83" t="s">
        <v>69</v>
      </c>
      <c r="X83">
        <v>0</v>
      </c>
    </row>
    <row r="84" spans="1:24" x14ac:dyDescent="0.25">
      <c r="A84">
        <v>1</v>
      </c>
      <c r="B84">
        <v>5910941225</v>
      </c>
      <c r="C84">
        <v>30</v>
      </c>
      <c r="D84" s="27">
        <v>5950111200</v>
      </c>
      <c r="F84" t="s">
        <v>42</v>
      </c>
      <c r="G84">
        <v>0</v>
      </c>
      <c r="H84">
        <v>100</v>
      </c>
      <c r="K84">
        <v>2</v>
      </c>
      <c r="L84" t="s">
        <v>68</v>
      </c>
      <c r="M84" t="s">
        <v>86</v>
      </c>
      <c r="N84" s="4">
        <v>2958465</v>
      </c>
      <c r="P84">
        <v>0</v>
      </c>
      <c r="U84">
        <v>4</v>
      </c>
      <c r="V84">
        <v>1</v>
      </c>
      <c r="W84" t="s">
        <v>69</v>
      </c>
      <c r="X84">
        <v>0</v>
      </c>
    </row>
    <row r="85" spans="1:24" x14ac:dyDescent="0.25">
      <c r="A85">
        <v>1</v>
      </c>
      <c r="B85">
        <v>5910941225</v>
      </c>
      <c r="C85">
        <v>40</v>
      </c>
      <c r="D85" s="27">
        <v>1018034</v>
      </c>
      <c r="F85" t="s">
        <v>42</v>
      </c>
      <c r="G85">
        <v>0</v>
      </c>
      <c r="H85">
        <v>100</v>
      </c>
      <c r="K85">
        <v>4</v>
      </c>
      <c r="L85" t="s">
        <v>68</v>
      </c>
      <c r="M85" t="s">
        <v>86</v>
      </c>
      <c r="N85" s="4">
        <v>2958465</v>
      </c>
      <c r="P85">
        <v>0</v>
      </c>
      <c r="U85">
        <v>4</v>
      </c>
      <c r="V85">
        <v>1</v>
      </c>
      <c r="W85" t="s">
        <v>69</v>
      </c>
      <c r="X85">
        <v>0</v>
      </c>
    </row>
    <row r="86" spans="1:24" x14ac:dyDescent="0.25">
      <c r="A86">
        <v>1</v>
      </c>
      <c r="B86">
        <v>5910941225</v>
      </c>
      <c r="C86">
        <v>50</v>
      </c>
      <c r="D86" s="27">
        <v>1018359</v>
      </c>
      <c r="F86" t="s">
        <v>42</v>
      </c>
      <c r="G86">
        <v>0</v>
      </c>
      <c r="H86">
        <v>100</v>
      </c>
      <c r="K86">
        <v>0.08</v>
      </c>
      <c r="L86" t="s">
        <v>68</v>
      </c>
      <c r="M86" t="s">
        <v>86</v>
      </c>
      <c r="N86" s="4">
        <v>2958465</v>
      </c>
      <c r="P86">
        <v>0</v>
      </c>
      <c r="U86">
        <v>4</v>
      </c>
      <c r="V86">
        <v>1</v>
      </c>
      <c r="W86" t="s">
        <v>69</v>
      </c>
      <c r="X86">
        <v>0</v>
      </c>
    </row>
    <row r="87" spans="1:24" x14ac:dyDescent="0.25">
      <c r="A87">
        <v>1</v>
      </c>
      <c r="B87">
        <v>5910941225</v>
      </c>
      <c r="C87">
        <v>60</v>
      </c>
      <c r="D87" s="27">
        <v>1011929</v>
      </c>
      <c r="F87" t="s">
        <v>42</v>
      </c>
      <c r="G87">
        <v>0</v>
      </c>
      <c r="H87">
        <v>100</v>
      </c>
      <c r="K87">
        <v>2.1619999999999999</v>
      </c>
      <c r="L87" t="s">
        <v>68</v>
      </c>
      <c r="M87" t="s">
        <v>86</v>
      </c>
      <c r="N87" s="4">
        <v>2958465</v>
      </c>
      <c r="P87">
        <v>0</v>
      </c>
      <c r="U87">
        <v>4</v>
      </c>
      <c r="V87">
        <v>1</v>
      </c>
      <c r="W87" t="s">
        <v>69</v>
      </c>
      <c r="X87">
        <v>0</v>
      </c>
    </row>
    <row r="88" spans="1:24" x14ac:dyDescent="0.25">
      <c r="A88">
        <v>1</v>
      </c>
      <c r="B88">
        <v>5910941225</v>
      </c>
      <c r="C88">
        <v>70</v>
      </c>
      <c r="D88" s="27">
        <v>1020023</v>
      </c>
      <c r="F88" t="s">
        <v>42</v>
      </c>
      <c r="G88">
        <v>0</v>
      </c>
      <c r="H88">
        <v>100</v>
      </c>
      <c r="K88">
        <v>4</v>
      </c>
      <c r="L88" t="s">
        <v>68</v>
      </c>
      <c r="M88" t="s">
        <v>86</v>
      </c>
      <c r="N88" s="4">
        <v>2958465</v>
      </c>
      <c r="P88">
        <v>0</v>
      </c>
      <c r="U88">
        <v>4</v>
      </c>
      <c r="V88">
        <v>1</v>
      </c>
      <c r="W88" t="s">
        <v>69</v>
      </c>
      <c r="X88">
        <v>0</v>
      </c>
    </row>
    <row r="89" spans="1:24" x14ac:dyDescent="0.25">
      <c r="A89">
        <v>1</v>
      </c>
      <c r="B89">
        <v>5910941225</v>
      </c>
      <c r="C89">
        <v>80</v>
      </c>
      <c r="D89" s="27">
        <v>12102525</v>
      </c>
      <c r="F89" t="s">
        <v>42</v>
      </c>
      <c r="G89">
        <v>0</v>
      </c>
      <c r="H89">
        <v>100</v>
      </c>
      <c r="K89">
        <v>1</v>
      </c>
      <c r="L89" t="s">
        <v>68</v>
      </c>
      <c r="M89" t="s">
        <v>86</v>
      </c>
      <c r="N89" s="4">
        <v>2958465</v>
      </c>
      <c r="P89">
        <v>0</v>
      </c>
      <c r="U89">
        <v>4</v>
      </c>
      <c r="V89">
        <v>1</v>
      </c>
      <c r="W89" t="s">
        <v>69</v>
      </c>
      <c r="X89">
        <v>0</v>
      </c>
    </row>
    <row r="90" spans="1:24" x14ac:dyDescent="0.25">
      <c r="A90">
        <v>1</v>
      </c>
      <c r="B90">
        <v>5910941325</v>
      </c>
      <c r="C90">
        <v>10</v>
      </c>
      <c r="D90" s="27">
        <v>5959111300</v>
      </c>
      <c r="F90" t="s">
        <v>42</v>
      </c>
      <c r="G90">
        <v>0</v>
      </c>
      <c r="H90">
        <v>100</v>
      </c>
      <c r="K90">
        <v>1</v>
      </c>
      <c r="L90" t="s">
        <v>68</v>
      </c>
      <c r="M90" t="s">
        <v>86</v>
      </c>
      <c r="N90" s="4">
        <v>2958465</v>
      </c>
      <c r="P90">
        <v>0</v>
      </c>
      <c r="U90">
        <v>4</v>
      </c>
      <c r="V90">
        <v>1</v>
      </c>
      <c r="W90" t="s">
        <v>69</v>
      </c>
      <c r="X90">
        <v>0</v>
      </c>
    </row>
    <row r="91" spans="1:24" x14ac:dyDescent="0.25">
      <c r="A91">
        <v>1</v>
      </c>
      <c r="B91">
        <v>5910941325</v>
      </c>
      <c r="C91">
        <v>20</v>
      </c>
      <c r="D91" s="27">
        <v>5959141300</v>
      </c>
      <c r="F91" t="s">
        <v>42</v>
      </c>
      <c r="G91">
        <v>0</v>
      </c>
      <c r="H91">
        <v>100</v>
      </c>
      <c r="K91">
        <v>1</v>
      </c>
      <c r="L91" t="s">
        <v>68</v>
      </c>
      <c r="M91" t="s">
        <v>86</v>
      </c>
      <c r="N91" s="4">
        <v>2958465</v>
      </c>
      <c r="P91">
        <v>0</v>
      </c>
      <c r="U91">
        <v>4</v>
      </c>
      <c r="V91">
        <v>1</v>
      </c>
      <c r="W91" t="s">
        <v>69</v>
      </c>
      <c r="X91">
        <v>0</v>
      </c>
    </row>
    <row r="92" spans="1:24" x14ac:dyDescent="0.25">
      <c r="A92">
        <v>1</v>
      </c>
      <c r="B92">
        <v>5910941325</v>
      </c>
      <c r="C92">
        <v>30</v>
      </c>
      <c r="D92" s="27">
        <v>5950111300</v>
      </c>
      <c r="F92" t="s">
        <v>42</v>
      </c>
      <c r="G92">
        <v>0</v>
      </c>
      <c r="H92">
        <v>100</v>
      </c>
      <c r="K92">
        <v>2</v>
      </c>
      <c r="L92" t="s">
        <v>68</v>
      </c>
      <c r="M92" t="s">
        <v>86</v>
      </c>
      <c r="N92" s="4">
        <v>2958465</v>
      </c>
      <c r="P92">
        <v>0</v>
      </c>
      <c r="U92">
        <v>4</v>
      </c>
      <c r="V92">
        <v>1</v>
      </c>
      <c r="W92" t="s">
        <v>69</v>
      </c>
      <c r="X92">
        <v>0</v>
      </c>
    </row>
    <row r="93" spans="1:24" x14ac:dyDescent="0.25">
      <c r="A93">
        <v>1</v>
      </c>
      <c r="B93">
        <v>5910941325</v>
      </c>
      <c r="C93">
        <v>40</v>
      </c>
      <c r="D93" s="27">
        <v>1018034</v>
      </c>
      <c r="F93" t="s">
        <v>42</v>
      </c>
      <c r="G93">
        <v>0</v>
      </c>
      <c r="H93">
        <v>100</v>
      </c>
      <c r="K93">
        <v>4</v>
      </c>
      <c r="L93" t="s">
        <v>68</v>
      </c>
      <c r="M93" t="s">
        <v>86</v>
      </c>
      <c r="N93" s="4">
        <v>2958465</v>
      </c>
      <c r="P93">
        <v>0</v>
      </c>
      <c r="U93">
        <v>4</v>
      </c>
      <c r="V93">
        <v>1</v>
      </c>
      <c r="W93" t="s">
        <v>69</v>
      </c>
      <c r="X93">
        <v>0</v>
      </c>
    </row>
    <row r="94" spans="1:24" x14ac:dyDescent="0.25">
      <c r="A94">
        <v>1</v>
      </c>
      <c r="B94">
        <v>5910941325</v>
      </c>
      <c r="C94">
        <v>50</v>
      </c>
      <c r="D94" s="27">
        <v>1018359</v>
      </c>
      <c r="F94" t="s">
        <v>42</v>
      </c>
      <c r="G94">
        <v>0</v>
      </c>
      <c r="H94">
        <v>100</v>
      </c>
      <c r="K94">
        <v>0.08</v>
      </c>
      <c r="L94" t="s">
        <v>68</v>
      </c>
      <c r="M94" t="s">
        <v>86</v>
      </c>
      <c r="N94" s="4">
        <v>2958465</v>
      </c>
      <c r="P94">
        <v>0</v>
      </c>
      <c r="U94">
        <v>4</v>
      </c>
      <c r="V94">
        <v>1</v>
      </c>
      <c r="W94" t="s">
        <v>69</v>
      </c>
      <c r="X94">
        <v>0</v>
      </c>
    </row>
    <row r="95" spans="1:24" x14ac:dyDescent="0.25">
      <c r="A95">
        <v>1</v>
      </c>
      <c r="B95">
        <v>5910941325</v>
      </c>
      <c r="C95">
        <v>60</v>
      </c>
      <c r="D95" s="27">
        <v>1011929</v>
      </c>
      <c r="F95" t="s">
        <v>42</v>
      </c>
      <c r="G95">
        <v>0</v>
      </c>
      <c r="H95">
        <v>100</v>
      </c>
      <c r="K95">
        <v>2.1619999999999999</v>
      </c>
      <c r="L95" t="s">
        <v>68</v>
      </c>
      <c r="M95" t="s">
        <v>86</v>
      </c>
      <c r="N95" s="4">
        <v>2958465</v>
      </c>
      <c r="P95">
        <v>0</v>
      </c>
      <c r="U95">
        <v>4</v>
      </c>
      <c r="V95">
        <v>1</v>
      </c>
      <c r="W95" t="s">
        <v>69</v>
      </c>
      <c r="X95">
        <v>0</v>
      </c>
    </row>
    <row r="96" spans="1:24" x14ac:dyDescent="0.25">
      <c r="A96">
        <v>1</v>
      </c>
      <c r="B96">
        <v>5910941325</v>
      </c>
      <c r="C96">
        <v>70</v>
      </c>
      <c r="D96" s="27">
        <v>1020023</v>
      </c>
      <c r="F96" t="s">
        <v>42</v>
      </c>
      <c r="G96">
        <v>0</v>
      </c>
      <c r="H96">
        <v>100</v>
      </c>
      <c r="K96">
        <v>4</v>
      </c>
      <c r="L96" t="s">
        <v>68</v>
      </c>
      <c r="M96" t="s">
        <v>86</v>
      </c>
      <c r="N96" s="4">
        <v>2958465</v>
      </c>
      <c r="P96">
        <v>0</v>
      </c>
      <c r="U96">
        <v>4</v>
      </c>
      <c r="V96">
        <v>1</v>
      </c>
      <c r="W96" t="s">
        <v>69</v>
      </c>
      <c r="X96">
        <v>0</v>
      </c>
    </row>
    <row r="97" spans="1:24" x14ac:dyDescent="0.25">
      <c r="A97">
        <v>1</v>
      </c>
      <c r="B97">
        <v>5910941325</v>
      </c>
      <c r="C97">
        <v>80</v>
      </c>
      <c r="D97" s="27">
        <v>12102525</v>
      </c>
      <c r="F97" t="s">
        <v>42</v>
      </c>
      <c r="G97">
        <v>0</v>
      </c>
      <c r="H97">
        <v>100</v>
      </c>
      <c r="K97">
        <v>1</v>
      </c>
      <c r="L97" t="s">
        <v>68</v>
      </c>
      <c r="M97" t="s">
        <v>86</v>
      </c>
      <c r="N97" s="4">
        <v>2958465</v>
      </c>
      <c r="P97">
        <v>0</v>
      </c>
      <c r="U97">
        <v>4</v>
      </c>
      <c r="V97">
        <v>1</v>
      </c>
      <c r="W97" t="s">
        <v>69</v>
      </c>
      <c r="X97">
        <v>0</v>
      </c>
    </row>
    <row r="98" spans="1:24" x14ac:dyDescent="0.25">
      <c r="A98">
        <v>1</v>
      </c>
      <c r="B98">
        <v>5910941025</v>
      </c>
      <c r="C98">
        <v>10</v>
      </c>
      <c r="D98" s="27">
        <v>5959111000</v>
      </c>
      <c r="F98" t="s">
        <v>42</v>
      </c>
      <c r="G98">
        <v>0</v>
      </c>
      <c r="H98">
        <v>100</v>
      </c>
      <c r="K98">
        <v>1</v>
      </c>
      <c r="L98" t="s">
        <v>68</v>
      </c>
      <c r="M98" t="s">
        <v>86</v>
      </c>
      <c r="N98" s="4">
        <v>2958465</v>
      </c>
      <c r="P98">
        <v>0</v>
      </c>
      <c r="U98">
        <v>4</v>
      </c>
      <c r="V98">
        <v>1</v>
      </c>
      <c r="W98" t="s">
        <v>69</v>
      </c>
      <c r="X98">
        <v>0</v>
      </c>
    </row>
    <row r="99" spans="1:24" x14ac:dyDescent="0.25">
      <c r="A99">
        <v>1</v>
      </c>
      <c r="B99">
        <v>5910941025</v>
      </c>
      <c r="C99">
        <v>20</v>
      </c>
      <c r="D99" s="27">
        <v>5959141000</v>
      </c>
      <c r="F99" t="s">
        <v>42</v>
      </c>
      <c r="G99">
        <v>0</v>
      </c>
      <c r="H99">
        <v>100</v>
      </c>
      <c r="K99">
        <v>1</v>
      </c>
      <c r="L99" t="s">
        <v>68</v>
      </c>
      <c r="M99" t="s">
        <v>86</v>
      </c>
      <c r="N99" s="4">
        <v>2958465</v>
      </c>
      <c r="P99">
        <v>0</v>
      </c>
      <c r="U99">
        <v>4</v>
      </c>
      <c r="V99">
        <v>1</v>
      </c>
      <c r="W99" t="s">
        <v>69</v>
      </c>
      <c r="X99">
        <v>0</v>
      </c>
    </row>
    <row r="100" spans="1:24" x14ac:dyDescent="0.25">
      <c r="A100">
        <v>1</v>
      </c>
      <c r="B100">
        <v>5910941025</v>
      </c>
      <c r="C100">
        <v>30</v>
      </c>
      <c r="D100" s="27">
        <v>5950111000</v>
      </c>
      <c r="F100" t="s">
        <v>42</v>
      </c>
      <c r="G100">
        <v>0</v>
      </c>
      <c r="H100">
        <v>100</v>
      </c>
      <c r="K100">
        <v>2</v>
      </c>
      <c r="L100" t="s">
        <v>68</v>
      </c>
      <c r="M100" t="s">
        <v>86</v>
      </c>
      <c r="N100" s="4">
        <v>2958465</v>
      </c>
      <c r="P100">
        <v>0</v>
      </c>
      <c r="U100">
        <v>4</v>
      </c>
      <c r="V100">
        <v>1</v>
      </c>
      <c r="W100" t="s">
        <v>69</v>
      </c>
      <c r="X100">
        <v>0</v>
      </c>
    </row>
    <row r="101" spans="1:24" x14ac:dyDescent="0.25">
      <c r="A101">
        <v>1</v>
      </c>
      <c r="B101">
        <v>5910941025</v>
      </c>
      <c r="C101">
        <v>40</v>
      </c>
      <c r="D101" s="27">
        <v>1018034</v>
      </c>
      <c r="F101" t="s">
        <v>42</v>
      </c>
      <c r="G101">
        <v>0</v>
      </c>
      <c r="H101">
        <v>100</v>
      </c>
      <c r="K101">
        <v>4</v>
      </c>
      <c r="L101" t="s">
        <v>68</v>
      </c>
      <c r="M101" t="s">
        <v>86</v>
      </c>
      <c r="N101" s="4">
        <v>2958465</v>
      </c>
      <c r="P101">
        <v>0</v>
      </c>
      <c r="U101">
        <v>4</v>
      </c>
      <c r="V101">
        <v>1</v>
      </c>
      <c r="W101" t="s">
        <v>69</v>
      </c>
      <c r="X101">
        <v>0</v>
      </c>
    </row>
    <row r="102" spans="1:24" x14ac:dyDescent="0.25">
      <c r="A102">
        <v>1</v>
      </c>
      <c r="B102">
        <v>5910941025</v>
      </c>
      <c r="C102">
        <v>50</v>
      </c>
      <c r="D102" s="27">
        <v>1018359</v>
      </c>
      <c r="F102" t="s">
        <v>42</v>
      </c>
      <c r="G102">
        <v>0</v>
      </c>
      <c r="H102">
        <v>100</v>
      </c>
      <c r="K102">
        <v>0.08</v>
      </c>
      <c r="L102" t="s">
        <v>68</v>
      </c>
      <c r="M102" t="s">
        <v>86</v>
      </c>
      <c r="N102" s="4">
        <v>2958465</v>
      </c>
      <c r="P102">
        <v>0</v>
      </c>
      <c r="U102">
        <v>4</v>
      </c>
      <c r="V102">
        <v>1</v>
      </c>
      <c r="W102" t="s">
        <v>69</v>
      </c>
      <c r="X102">
        <v>0</v>
      </c>
    </row>
    <row r="103" spans="1:24" x14ac:dyDescent="0.25">
      <c r="A103">
        <v>1</v>
      </c>
      <c r="B103">
        <v>5910941025</v>
      </c>
      <c r="C103">
        <v>60</v>
      </c>
      <c r="D103" s="27">
        <v>1011929</v>
      </c>
      <c r="F103" t="s">
        <v>42</v>
      </c>
      <c r="G103">
        <v>0</v>
      </c>
      <c r="H103">
        <v>100</v>
      </c>
      <c r="K103">
        <v>2.1619999999999999</v>
      </c>
      <c r="L103" t="s">
        <v>68</v>
      </c>
      <c r="M103" t="s">
        <v>86</v>
      </c>
      <c r="N103" s="4">
        <v>2958465</v>
      </c>
      <c r="P103">
        <v>0</v>
      </c>
      <c r="U103">
        <v>4</v>
      </c>
      <c r="V103">
        <v>1</v>
      </c>
      <c r="W103" t="s">
        <v>69</v>
      </c>
      <c r="X103">
        <v>0</v>
      </c>
    </row>
    <row r="104" spans="1:24" x14ac:dyDescent="0.25">
      <c r="A104">
        <v>1</v>
      </c>
      <c r="B104">
        <v>5910941025</v>
      </c>
      <c r="C104">
        <v>70</v>
      </c>
      <c r="D104" s="27">
        <v>1020023</v>
      </c>
      <c r="F104" t="s">
        <v>42</v>
      </c>
      <c r="G104">
        <v>0</v>
      </c>
      <c r="H104">
        <v>100</v>
      </c>
      <c r="K104">
        <v>4</v>
      </c>
      <c r="L104" t="s">
        <v>68</v>
      </c>
      <c r="M104" t="s">
        <v>86</v>
      </c>
      <c r="N104" s="4">
        <v>2958465</v>
      </c>
      <c r="P104">
        <v>0</v>
      </c>
      <c r="U104">
        <v>4</v>
      </c>
      <c r="V104">
        <v>1</v>
      </c>
      <c r="W104" t="s">
        <v>69</v>
      </c>
      <c r="X104">
        <v>0</v>
      </c>
    </row>
    <row r="105" spans="1:24" x14ac:dyDescent="0.25">
      <c r="A105">
        <v>1</v>
      </c>
      <c r="B105">
        <v>5910941025</v>
      </c>
      <c r="C105">
        <v>80</v>
      </c>
      <c r="D105" s="27">
        <v>12102525</v>
      </c>
      <c r="F105" t="s">
        <v>42</v>
      </c>
      <c r="G105">
        <v>0</v>
      </c>
      <c r="H105">
        <v>100</v>
      </c>
      <c r="K105">
        <v>1</v>
      </c>
      <c r="L105" t="s">
        <v>68</v>
      </c>
      <c r="M105" t="s">
        <v>86</v>
      </c>
      <c r="N105" s="4">
        <v>2958465</v>
      </c>
      <c r="P105">
        <v>0</v>
      </c>
      <c r="U105">
        <v>4</v>
      </c>
      <c r="V105">
        <v>1</v>
      </c>
      <c r="W105" t="s">
        <v>69</v>
      </c>
      <c r="X105">
        <v>0</v>
      </c>
    </row>
    <row r="106" spans="1:24" x14ac:dyDescent="0.25">
      <c r="A106">
        <v>1</v>
      </c>
      <c r="B106">
        <v>5910941228</v>
      </c>
      <c r="C106">
        <v>10</v>
      </c>
      <c r="D106" s="27">
        <v>5959111200</v>
      </c>
      <c r="F106" t="s">
        <v>42</v>
      </c>
      <c r="G106">
        <v>0</v>
      </c>
      <c r="H106">
        <v>100</v>
      </c>
      <c r="K106">
        <v>1</v>
      </c>
      <c r="L106" t="s">
        <v>68</v>
      </c>
      <c r="M106" t="s">
        <v>86</v>
      </c>
      <c r="N106" s="4">
        <v>2958465</v>
      </c>
      <c r="P106">
        <v>0</v>
      </c>
      <c r="U106">
        <v>4</v>
      </c>
      <c r="V106">
        <v>1</v>
      </c>
      <c r="W106" t="s">
        <v>69</v>
      </c>
      <c r="X106">
        <v>0</v>
      </c>
    </row>
    <row r="107" spans="1:24" x14ac:dyDescent="0.25">
      <c r="A107">
        <v>1</v>
      </c>
      <c r="B107">
        <v>5910941228</v>
      </c>
      <c r="C107">
        <v>20</v>
      </c>
      <c r="D107" s="27">
        <v>5959141200</v>
      </c>
      <c r="F107" t="s">
        <v>42</v>
      </c>
      <c r="G107">
        <v>0</v>
      </c>
      <c r="H107">
        <v>100</v>
      </c>
      <c r="K107">
        <v>1</v>
      </c>
      <c r="L107" t="s">
        <v>68</v>
      </c>
      <c r="M107" t="s">
        <v>86</v>
      </c>
      <c r="N107" s="4">
        <v>2958465</v>
      </c>
      <c r="P107">
        <v>0</v>
      </c>
      <c r="U107">
        <v>4</v>
      </c>
      <c r="V107">
        <v>1</v>
      </c>
      <c r="W107" t="s">
        <v>69</v>
      </c>
      <c r="X107">
        <v>0</v>
      </c>
    </row>
    <row r="108" spans="1:24" x14ac:dyDescent="0.25">
      <c r="A108">
        <v>1</v>
      </c>
      <c r="B108">
        <v>5910941228</v>
      </c>
      <c r="C108">
        <v>30</v>
      </c>
      <c r="D108" s="27">
        <v>5950111200</v>
      </c>
      <c r="F108" t="s">
        <v>42</v>
      </c>
      <c r="G108">
        <v>0</v>
      </c>
      <c r="H108">
        <v>100</v>
      </c>
      <c r="K108">
        <v>2</v>
      </c>
      <c r="L108" t="s">
        <v>68</v>
      </c>
      <c r="M108" t="s">
        <v>86</v>
      </c>
      <c r="N108" s="4">
        <v>2958465</v>
      </c>
      <c r="P108">
        <v>0</v>
      </c>
      <c r="U108">
        <v>4</v>
      </c>
      <c r="V108">
        <v>1</v>
      </c>
      <c r="W108" t="s">
        <v>69</v>
      </c>
      <c r="X108">
        <v>0</v>
      </c>
    </row>
    <row r="109" spans="1:24" x14ac:dyDescent="0.25">
      <c r="A109">
        <v>1</v>
      </c>
      <c r="B109">
        <v>5910941228</v>
      </c>
      <c r="C109">
        <v>40</v>
      </c>
      <c r="D109" s="27">
        <v>1018034</v>
      </c>
      <c r="F109" t="s">
        <v>42</v>
      </c>
      <c r="G109">
        <v>0</v>
      </c>
      <c r="H109">
        <v>100</v>
      </c>
      <c r="K109">
        <v>4</v>
      </c>
      <c r="L109" t="s">
        <v>68</v>
      </c>
      <c r="M109" t="s">
        <v>86</v>
      </c>
      <c r="N109" s="4">
        <v>2958465</v>
      </c>
      <c r="P109">
        <v>0</v>
      </c>
      <c r="U109">
        <v>4</v>
      </c>
      <c r="V109">
        <v>1</v>
      </c>
      <c r="W109" t="s">
        <v>69</v>
      </c>
      <c r="X109">
        <v>0</v>
      </c>
    </row>
    <row r="110" spans="1:24" x14ac:dyDescent="0.25">
      <c r="A110">
        <v>1</v>
      </c>
      <c r="B110">
        <v>5910941228</v>
      </c>
      <c r="C110">
        <v>50</v>
      </c>
      <c r="D110" s="27">
        <v>1018359</v>
      </c>
      <c r="F110" t="s">
        <v>42</v>
      </c>
      <c r="G110">
        <v>0</v>
      </c>
      <c r="H110">
        <v>100</v>
      </c>
      <c r="K110">
        <v>0.08</v>
      </c>
      <c r="L110" t="s">
        <v>68</v>
      </c>
      <c r="M110" t="s">
        <v>86</v>
      </c>
      <c r="N110" s="4">
        <v>2958465</v>
      </c>
      <c r="P110">
        <v>0</v>
      </c>
      <c r="U110">
        <v>4</v>
      </c>
      <c r="V110">
        <v>1</v>
      </c>
      <c r="W110" t="s">
        <v>69</v>
      </c>
      <c r="X110">
        <v>0</v>
      </c>
    </row>
    <row r="111" spans="1:24" x14ac:dyDescent="0.25">
      <c r="A111">
        <v>1</v>
      </c>
      <c r="B111">
        <v>5910941228</v>
      </c>
      <c r="C111">
        <v>60</v>
      </c>
      <c r="D111" s="27">
        <v>1011929</v>
      </c>
      <c r="F111" t="s">
        <v>42</v>
      </c>
      <c r="G111">
        <v>0</v>
      </c>
      <c r="H111">
        <v>100</v>
      </c>
      <c r="K111">
        <v>2.1619999999999999</v>
      </c>
      <c r="L111" t="s">
        <v>68</v>
      </c>
      <c r="M111" t="s">
        <v>86</v>
      </c>
      <c r="N111" s="4">
        <v>2958465</v>
      </c>
      <c r="P111">
        <v>0</v>
      </c>
      <c r="U111">
        <v>4</v>
      </c>
      <c r="V111">
        <v>1</v>
      </c>
      <c r="W111" t="s">
        <v>69</v>
      </c>
      <c r="X111">
        <v>0</v>
      </c>
    </row>
    <row r="112" spans="1:24" x14ac:dyDescent="0.25">
      <c r="A112">
        <v>1</v>
      </c>
      <c r="B112">
        <v>5910941228</v>
      </c>
      <c r="C112">
        <v>70</v>
      </c>
      <c r="D112" s="27">
        <v>1020023</v>
      </c>
      <c r="F112" t="s">
        <v>42</v>
      </c>
      <c r="G112">
        <v>0</v>
      </c>
      <c r="H112">
        <v>100</v>
      </c>
      <c r="K112">
        <v>4</v>
      </c>
      <c r="L112" t="s">
        <v>68</v>
      </c>
      <c r="M112" t="s">
        <v>86</v>
      </c>
      <c r="N112" s="4">
        <v>2958465</v>
      </c>
      <c r="P112">
        <v>0</v>
      </c>
      <c r="U112">
        <v>4</v>
      </c>
      <c r="V112">
        <v>1</v>
      </c>
      <c r="W112" t="s">
        <v>69</v>
      </c>
      <c r="X112">
        <v>0</v>
      </c>
    </row>
    <row r="113" spans="1:24" x14ac:dyDescent="0.25">
      <c r="A113">
        <v>1</v>
      </c>
      <c r="B113">
        <v>5910941228</v>
      </c>
      <c r="C113">
        <v>80</v>
      </c>
      <c r="D113" s="27">
        <v>12102528</v>
      </c>
      <c r="F113" t="s">
        <v>42</v>
      </c>
      <c r="G113">
        <v>0</v>
      </c>
      <c r="H113">
        <v>100</v>
      </c>
      <c r="K113">
        <v>1</v>
      </c>
      <c r="L113" t="s">
        <v>68</v>
      </c>
      <c r="M113" t="s">
        <v>86</v>
      </c>
      <c r="N113" s="4">
        <v>2958465</v>
      </c>
      <c r="P113">
        <v>0</v>
      </c>
      <c r="U113">
        <v>4</v>
      </c>
      <c r="V113">
        <v>1</v>
      </c>
      <c r="W113" t="s">
        <v>69</v>
      </c>
      <c r="X113">
        <v>0</v>
      </c>
    </row>
    <row r="114" spans="1:24" x14ac:dyDescent="0.25">
      <c r="A114">
        <v>1</v>
      </c>
      <c r="B114">
        <v>5910941828</v>
      </c>
      <c r="C114">
        <v>10</v>
      </c>
      <c r="D114" s="27">
        <v>5959111800</v>
      </c>
      <c r="F114" t="s">
        <v>42</v>
      </c>
      <c r="G114">
        <v>0</v>
      </c>
      <c r="H114">
        <v>100</v>
      </c>
      <c r="K114">
        <v>1</v>
      </c>
      <c r="L114" t="s">
        <v>68</v>
      </c>
      <c r="M114" t="s">
        <v>86</v>
      </c>
      <c r="N114" s="4">
        <v>2958465</v>
      </c>
      <c r="P114">
        <v>0</v>
      </c>
      <c r="U114">
        <v>4</v>
      </c>
      <c r="V114">
        <v>1</v>
      </c>
      <c r="W114" t="s">
        <v>69</v>
      </c>
      <c r="X114">
        <v>0</v>
      </c>
    </row>
    <row r="115" spans="1:24" x14ac:dyDescent="0.25">
      <c r="A115">
        <v>1</v>
      </c>
      <c r="B115">
        <v>5910941828</v>
      </c>
      <c r="C115">
        <v>20</v>
      </c>
      <c r="D115" s="27">
        <v>5959141800</v>
      </c>
      <c r="F115" t="s">
        <v>42</v>
      </c>
      <c r="G115">
        <v>0</v>
      </c>
      <c r="H115">
        <v>100</v>
      </c>
      <c r="K115">
        <v>1</v>
      </c>
      <c r="L115" t="s">
        <v>68</v>
      </c>
      <c r="M115" t="s">
        <v>86</v>
      </c>
      <c r="N115" s="4">
        <v>2958465</v>
      </c>
      <c r="P115">
        <v>0</v>
      </c>
      <c r="U115">
        <v>4</v>
      </c>
      <c r="V115">
        <v>1</v>
      </c>
      <c r="W115" t="s">
        <v>69</v>
      </c>
      <c r="X115">
        <v>0</v>
      </c>
    </row>
    <row r="116" spans="1:24" x14ac:dyDescent="0.25">
      <c r="A116">
        <v>1</v>
      </c>
      <c r="B116">
        <v>5910941828</v>
      </c>
      <c r="C116">
        <v>30</v>
      </c>
      <c r="D116" s="27">
        <v>5950111800</v>
      </c>
      <c r="F116" t="s">
        <v>42</v>
      </c>
      <c r="G116">
        <v>0</v>
      </c>
      <c r="H116">
        <v>100</v>
      </c>
      <c r="K116">
        <v>2</v>
      </c>
      <c r="L116" t="s">
        <v>68</v>
      </c>
      <c r="M116" t="s">
        <v>86</v>
      </c>
      <c r="N116" s="4">
        <v>2958465</v>
      </c>
      <c r="P116">
        <v>0</v>
      </c>
      <c r="U116">
        <v>4</v>
      </c>
      <c r="V116">
        <v>1</v>
      </c>
      <c r="W116" t="s">
        <v>69</v>
      </c>
      <c r="X116">
        <v>0</v>
      </c>
    </row>
    <row r="117" spans="1:24" x14ac:dyDescent="0.25">
      <c r="A117">
        <v>1</v>
      </c>
      <c r="B117">
        <v>5910941828</v>
      </c>
      <c r="C117">
        <v>40</v>
      </c>
      <c r="D117" s="27">
        <v>1018034</v>
      </c>
      <c r="F117" t="s">
        <v>42</v>
      </c>
      <c r="G117">
        <v>0</v>
      </c>
      <c r="H117">
        <v>100</v>
      </c>
      <c r="K117">
        <v>4</v>
      </c>
      <c r="L117" t="s">
        <v>68</v>
      </c>
      <c r="M117" t="s">
        <v>86</v>
      </c>
      <c r="N117" s="4">
        <v>2958465</v>
      </c>
      <c r="P117">
        <v>0</v>
      </c>
      <c r="U117">
        <v>4</v>
      </c>
      <c r="V117">
        <v>1</v>
      </c>
      <c r="W117" t="s">
        <v>69</v>
      </c>
      <c r="X117">
        <v>0</v>
      </c>
    </row>
    <row r="118" spans="1:24" x14ac:dyDescent="0.25">
      <c r="A118">
        <v>1</v>
      </c>
      <c r="B118">
        <v>5910941828</v>
      </c>
      <c r="C118">
        <v>50</v>
      </c>
      <c r="D118" s="27">
        <v>1018359</v>
      </c>
      <c r="F118" t="s">
        <v>42</v>
      </c>
      <c r="G118">
        <v>0</v>
      </c>
      <c r="H118">
        <v>100</v>
      </c>
      <c r="K118">
        <v>0.08</v>
      </c>
      <c r="L118" t="s">
        <v>68</v>
      </c>
      <c r="M118" t="s">
        <v>86</v>
      </c>
      <c r="N118" s="4">
        <v>2958465</v>
      </c>
      <c r="P118">
        <v>0</v>
      </c>
      <c r="U118">
        <v>4</v>
      </c>
      <c r="V118">
        <v>1</v>
      </c>
      <c r="W118" t="s">
        <v>69</v>
      </c>
      <c r="X118">
        <v>0</v>
      </c>
    </row>
    <row r="119" spans="1:24" x14ac:dyDescent="0.25">
      <c r="A119">
        <v>1</v>
      </c>
      <c r="B119">
        <v>5910941828</v>
      </c>
      <c r="C119">
        <v>60</v>
      </c>
      <c r="D119" s="27">
        <v>1011929</v>
      </c>
      <c r="F119" t="s">
        <v>42</v>
      </c>
      <c r="G119">
        <v>0</v>
      </c>
      <c r="H119">
        <v>100</v>
      </c>
      <c r="K119">
        <v>2.1619999999999999</v>
      </c>
      <c r="L119" t="s">
        <v>68</v>
      </c>
      <c r="M119" t="s">
        <v>86</v>
      </c>
      <c r="N119" s="4">
        <v>2958465</v>
      </c>
      <c r="P119">
        <v>0</v>
      </c>
      <c r="U119">
        <v>4</v>
      </c>
      <c r="V119">
        <v>1</v>
      </c>
      <c r="W119" t="s">
        <v>69</v>
      </c>
      <c r="X119">
        <v>0</v>
      </c>
    </row>
    <row r="120" spans="1:24" x14ac:dyDescent="0.25">
      <c r="A120">
        <v>1</v>
      </c>
      <c r="B120">
        <v>5910941828</v>
      </c>
      <c r="C120">
        <v>70</v>
      </c>
      <c r="D120" s="27">
        <v>1020023</v>
      </c>
      <c r="F120" t="s">
        <v>42</v>
      </c>
      <c r="G120">
        <v>0</v>
      </c>
      <c r="H120">
        <v>100</v>
      </c>
      <c r="K120">
        <v>4</v>
      </c>
      <c r="L120" t="s">
        <v>68</v>
      </c>
      <c r="M120" t="s">
        <v>86</v>
      </c>
      <c r="N120" s="4">
        <v>2958465</v>
      </c>
      <c r="P120">
        <v>0</v>
      </c>
      <c r="U120">
        <v>4</v>
      </c>
      <c r="V120">
        <v>1</v>
      </c>
      <c r="W120" t="s">
        <v>69</v>
      </c>
      <c r="X120">
        <v>0</v>
      </c>
    </row>
    <row r="121" spans="1:24" x14ac:dyDescent="0.25">
      <c r="A121">
        <v>1</v>
      </c>
      <c r="B121">
        <v>5910941828</v>
      </c>
      <c r="C121">
        <v>80</v>
      </c>
      <c r="D121" s="27">
        <v>12102528</v>
      </c>
      <c r="F121" t="s">
        <v>42</v>
      </c>
      <c r="G121">
        <v>0</v>
      </c>
      <c r="H121">
        <v>100</v>
      </c>
      <c r="K121">
        <v>1</v>
      </c>
      <c r="L121" t="s">
        <v>68</v>
      </c>
      <c r="M121" t="s">
        <v>86</v>
      </c>
      <c r="N121" s="4">
        <v>2958465</v>
      </c>
      <c r="P121">
        <v>0</v>
      </c>
      <c r="U121">
        <v>4</v>
      </c>
      <c r="V121">
        <v>1</v>
      </c>
      <c r="W121" t="s">
        <v>69</v>
      </c>
      <c r="X121">
        <v>0</v>
      </c>
    </row>
    <row r="122" spans="1:24" x14ac:dyDescent="0.25">
      <c r="A122">
        <v>1</v>
      </c>
      <c r="B122">
        <v>5910941028</v>
      </c>
      <c r="C122">
        <v>10</v>
      </c>
      <c r="D122" s="27">
        <v>5959111000</v>
      </c>
      <c r="F122" t="s">
        <v>42</v>
      </c>
      <c r="G122">
        <v>0</v>
      </c>
      <c r="H122">
        <v>100</v>
      </c>
      <c r="K122">
        <v>1</v>
      </c>
      <c r="L122" t="s">
        <v>68</v>
      </c>
      <c r="M122" t="s">
        <v>86</v>
      </c>
      <c r="N122" s="4">
        <v>2958465</v>
      </c>
      <c r="P122">
        <v>0</v>
      </c>
      <c r="U122">
        <v>4</v>
      </c>
      <c r="V122">
        <v>1</v>
      </c>
      <c r="W122" t="s">
        <v>69</v>
      </c>
      <c r="X122">
        <v>0</v>
      </c>
    </row>
    <row r="123" spans="1:24" x14ac:dyDescent="0.25">
      <c r="A123">
        <v>1</v>
      </c>
      <c r="B123">
        <v>5910941028</v>
      </c>
      <c r="C123">
        <v>20</v>
      </c>
      <c r="D123" s="27">
        <v>5959141000</v>
      </c>
      <c r="F123" t="s">
        <v>42</v>
      </c>
      <c r="G123">
        <v>0</v>
      </c>
      <c r="H123">
        <v>100</v>
      </c>
      <c r="K123">
        <v>1</v>
      </c>
      <c r="L123" t="s">
        <v>68</v>
      </c>
      <c r="M123" t="s">
        <v>86</v>
      </c>
      <c r="N123" s="4">
        <v>2958465</v>
      </c>
      <c r="P123">
        <v>0</v>
      </c>
      <c r="U123">
        <v>4</v>
      </c>
      <c r="V123">
        <v>1</v>
      </c>
      <c r="W123" t="s">
        <v>69</v>
      </c>
      <c r="X123">
        <v>0</v>
      </c>
    </row>
    <row r="124" spans="1:24" x14ac:dyDescent="0.25">
      <c r="A124">
        <v>1</v>
      </c>
      <c r="B124">
        <v>5910941028</v>
      </c>
      <c r="C124">
        <v>30</v>
      </c>
      <c r="D124" s="27">
        <v>5950111000</v>
      </c>
      <c r="F124" t="s">
        <v>42</v>
      </c>
      <c r="G124">
        <v>0</v>
      </c>
      <c r="H124">
        <v>100</v>
      </c>
      <c r="K124">
        <v>2</v>
      </c>
      <c r="L124" t="s">
        <v>68</v>
      </c>
      <c r="M124" t="s">
        <v>86</v>
      </c>
      <c r="N124" s="4">
        <v>2958465</v>
      </c>
      <c r="P124">
        <v>0</v>
      </c>
      <c r="U124">
        <v>4</v>
      </c>
      <c r="V124">
        <v>1</v>
      </c>
      <c r="W124" t="s">
        <v>69</v>
      </c>
      <c r="X124">
        <v>0</v>
      </c>
    </row>
    <row r="125" spans="1:24" x14ac:dyDescent="0.25">
      <c r="A125">
        <v>1</v>
      </c>
      <c r="B125">
        <v>5910941028</v>
      </c>
      <c r="C125">
        <v>40</v>
      </c>
      <c r="D125" s="27">
        <v>1018034</v>
      </c>
      <c r="F125" t="s">
        <v>42</v>
      </c>
      <c r="G125">
        <v>0</v>
      </c>
      <c r="H125">
        <v>100</v>
      </c>
      <c r="K125">
        <v>4</v>
      </c>
      <c r="L125" t="s">
        <v>68</v>
      </c>
      <c r="M125" t="s">
        <v>86</v>
      </c>
      <c r="N125" s="4">
        <v>2958465</v>
      </c>
      <c r="P125">
        <v>0</v>
      </c>
      <c r="U125">
        <v>4</v>
      </c>
      <c r="V125">
        <v>1</v>
      </c>
      <c r="W125" t="s">
        <v>69</v>
      </c>
      <c r="X125">
        <v>0</v>
      </c>
    </row>
    <row r="126" spans="1:24" x14ac:dyDescent="0.25">
      <c r="A126">
        <v>1</v>
      </c>
      <c r="B126">
        <v>5910941028</v>
      </c>
      <c r="C126">
        <v>50</v>
      </c>
      <c r="D126" s="27">
        <v>1018359</v>
      </c>
      <c r="F126" t="s">
        <v>42</v>
      </c>
      <c r="G126">
        <v>0</v>
      </c>
      <c r="H126">
        <v>100</v>
      </c>
      <c r="K126">
        <v>0.08</v>
      </c>
      <c r="L126" t="s">
        <v>68</v>
      </c>
      <c r="M126" t="s">
        <v>86</v>
      </c>
      <c r="N126" s="4">
        <v>2958465</v>
      </c>
      <c r="P126">
        <v>0</v>
      </c>
      <c r="U126">
        <v>4</v>
      </c>
      <c r="V126">
        <v>1</v>
      </c>
      <c r="W126" t="s">
        <v>69</v>
      </c>
      <c r="X126">
        <v>0</v>
      </c>
    </row>
    <row r="127" spans="1:24" x14ac:dyDescent="0.25">
      <c r="A127">
        <v>1</v>
      </c>
      <c r="B127">
        <v>5910941028</v>
      </c>
      <c r="C127">
        <v>60</v>
      </c>
      <c r="D127" s="27">
        <v>1011929</v>
      </c>
      <c r="F127" t="s">
        <v>42</v>
      </c>
      <c r="G127">
        <v>0</v>
      </c>
      <c r="H127">
        <v>100</v>
      </c>
      <c r="K127">
        <v>2.1619999999999999</v>
      </c>
      <c r="L127" t="s">
        <v>68</v>
      </c>
      <c r="M127" t="s">
        <v>86</v>
      </c>
      <c r="N127" s="4">
        <v>2958465</v>
      </c>
      <c r="P127">
        <v>0</v>
      </c>
      <c r="U127">
        <v>4</v>
      </c>
      <c r="V127">
        <v>1</v>
      </c>
      <c r="W127" t="s">
        <v>69</v>
      </c>
      <c r="X127">
        <v>0</v>
      </c>
    </row>
    <row r="128" spans="1:24" x14ac:dyDescent="0.25">
      <c r="A128">
        <v>1</v>
      </c>
      <c r="B128">
        <v>5910941028</v>
      </c>
      <c r="C128">
        <v>70</v>
      </c>
      <c r="D128" s="27">
        <v>1020023</v>
      </c>
      <c r="F128" t="s">
        <v>42</v>
      </c>
      <c r="G128">
        <v>0</v>
      </c>
      <c r="H128">
        <v>100</v>
      </c>
      <c r="K128">
        <v>4</v>
      </c>
      <c r="L128" t="s">
        <v>68</v>
      </c>
      <c r="M128" t="s">
        <v>86</v>
      </c>
      <c r="N128" s="4">
        <v>2958465</v>
      </c>
      <c r="P128">
        <v>0</v>
      </c>
      <c r="U128">
        <v>4</v>
      </c>
      <c r="V128">
        <v>1</v>
      </c>
      <c r="W128" t="s">
        <v>69</v>
      </c>
      <c r="X128">
        <v>0</v>
      </c>
    </row>
    <row r="129" spans="1:24" x14ac:dyDescent="0.25">
      <c r="A129">
        <v>1</v>
      </c>
      <c r="B129">
        <v>5910941028</v>
      </c>
      <c r="C129">
        <v>80</v>
      </c>
      <c r="D129" s="27">
        <v>12102528</v>
      </c>
      <c r="F129" t="s">
        <v>42</v>
      </c>
      <c r="G129">
        <v>0</v>
      </c>
      <c r="H129">
        <v>100</v>
      </c>
      <c r="K129">
        <v>1</v>
      </c>
      <c r="L129" t="s">
        <v>68</v>
      </c>
      <c r="M129" t="s">
        <v>86</v>
      </c>
      <c r="N129" s="4">
        <v>2958465</v>
      </c>
      <c r="P129">
        <v>0</v>
      </c>
      <c r="U129">
        <v>4</v>
      </c>
      <c r="V129">
        <v>1</v>
      </c>
      <c r="W129" t="s">
        <v>69</v>
      </c>
      <c r="X129">
        <v>0</v>
      </c>
    </row>
    <row r="130" spans="1:24" x14ac:dyDescent="0.25">
      <c r="A130">
        <v>1</v>
      </c>
      <c r="B130">
        <v>5910941219</v>
      </c>
      <c r="C130">
        <v>10</v>
      </c>
      <c r="D130" s="27">
        <v>5959111200</v>
      </c>
      <c r="F130" t="s">
        <v>42</v>
      </c>
      <c r="G130">
        <v>0</v>
      </c>
      <c r="H130">
        <v>100</v>
      </c>
      <c r="K130">
        <v>1</v>
      </c>
      <c r="L130" t="s">
        <v>68</v>
      </c>
      <c r="M130" t="s">
        <v>86</v>
      </c>
      <c r="N130" s="4">
        <v>2958465</v>
      </c>
      <c r="P130">
        <v>0</v>
      </c>
      <c r="U130">
        <v>4</v>
      </c>
      <c r="V130">
        <v>1</v>
      </c>
      <c r="W130" t="s">
        <v>69</v>
      </c>
      <c r="X130">
        <v>0</v>
      </c>
    </row>
    <row r="131" spans="1:24" x14ac:dyDescent="0.25">
      <c r="A131">
        <v>1</v>
      </c>
      <c r="B131">
        <v>5910941219</v>
      </c>
      <c r="C131">
        <v>20</v>
      </c>
      <c r="D131" s="27">
        <v>5959141200</v>
      </c>
      <c r="F131" t="s">
        <v>42</v>
      </c>
      <c r="G131">
        <v>0</v>
      </c>
      <c r="H131">
        <v>100</v>
      </c>
      <c r="K131">
        <v>1</v>
      </c>
      <c r="L131" t="s">
        <v>68</v>
      </c>
      <c r="M131" t="s">
        <v>86</v>
      </c>
      <c r="N131" s="4">
        <v>2958465</v>
      </c>
      <c r="P131">
        <v>0</v>
      </c>
      <c r="U131">
        <v>4</v>
      </c>
      <c r="V131">
        <v>1</v>
      </c>
      <c r="W131" t="s">
        <v>69</v>
      </c>
      <c r="X131">
        <v>0</v>
      </c>
    </row>
    <row r="132" spans="1:24" x14ac:dyDescent="0.25">
      <c r="A132">
        <v>1</v>
      </c>
      <c r="B132">
        <v>5910941219</v>
      </c>
      <c r="C132">
        <v>30</v>
      </c>
      <c r="D132" s="27">
        <v>5950111200</v>
      </c>
      <c r="F132" t="s">
        <v>42</v>
      </c>
      <c r="G132">
        <v>0</v>
      </c>
      <c r="H132">
        <v>100</v>
      </c>
      <c r="K132">
        <v>2</v>
      </c>
      <c r="L132" t="s">
        <v>68</v>
      </c>
      <c r="M132" t="s">
        <v>86</v>
      </c>
      <c r="N132" s="4">
        <v>2958465</v>
      </c>
      <c r="P132">
        <v>0</v>
      </c>
      <c r="U132">
        <v>4</v>
      </c>
      <c r="V132">
        <v>1</v>
      </c>
      <c r="W132" t="s">
        <v>69</v>
      </c>
      <c r="X132">
        <v>0</v>
      </c>
    </row>
    <row r="133" spans="1:24" x14ac:dyDescent="0.25">
      <c r="A133">
        <v>1</v>
      </c>
      <c r="B133">
        <v>5910941219</v>
      </c>
      <c r="C133">
        <v>40</v>
      </c>
      <c r="D133" s="27">
        <v>1018034</v>
      </c>
      <c r="F133" t="s">
        <v>42</v>
      </c>
      <c r="G133">
        <v>0</v>
      </c>
      <c r="H133">
        <v>100</v>
      </c>
      <c r="K133">
        <v>4</v>
      </c>
      <c r="L133" t="s">
        <v>68</v>
      </c>
      <c r="M133" t="s">
        <v>86</v>
      </c>
      <c r="N133" s="4">
        <v>2958465</v>
      </c>
      <c r="P133">
        <v>0</v>
      </c>
      <c r="U133">
        <v>4</v>
      </c>
      <c r="V133">
        <v>1</v>
      </c>
      <c r="W133" t="s">
        <v>69</v>
      </c>
      <c r="X133">
        <v>0</v>
      </c>
    </row>
    <row r="134" spans="1:24" x14ac:dyDescent="0.25">
      <c r="A134">
        <v>1</v>
      </c>
      <c r="B134">
        <v>5910941219</v>
      </c>
      <c r="C134">
        <v>50</v>
      </c>
      <c r="D134" s="27">
        <v>1018359</v>
      </c>
      <c r="F134" t="s">
        <v>42</v>
      </c>
      <c r="G134">
        <v>0</v>
      </c>
      <c r="H134">
        <v>100</v>
      </c>
      <c r="K134">
        <v>0.08</v>
      </c>
      <c r="L134" t="s">
        <v>68</v>
      </c>
      <c r="M134" t="s">
        <v>86</v>
      </c>
      <c r="N134" s="4">
        <v>2958465</v>
      </c>
      <c r="P134">
        <v>0</v>
      </c>
      <c r="U134">
        <v>4</v>
      </c>
      <c r="V134">
        <v>1</v>
      </c>
      <c r="W134" t="s">
        <v>69</v>
      </c>
      <c r="X134">
        <v>0</v>
      </c>
    </row>
    <row r="135" spans="1:24" x14ac:dyDescent="0.25">
      <c r="A135">
        <v>1</v>
      </c>
      <c r="B135">
        <v>5910941219</v>
      </c>
      <c r="C135">
        <v>60</v>
      </c>
      <c r="D135" s="27">
        <v>1011929</v>
      </c>
      <c r="F135" t="s">
        <v>42</v>
      </c>
      <c r="G135">
        <v>0</v>
      </c>
      <c r="H135">
        <v>100</v>
      </c>
      <c r="K135">
        <v>2.1619999999999999</v>
      </c>
      <c r="L135" t="s">
        <v>68</v>
      </c>
      <c r="M135" t="s">
        <v>86</v>
      </c>
      <c r="N135" s="4">
        <v>2958465</v>
      </c>
      <c r="P135">
        <v>0</v>
      </c>
      <c r="U135">
        <v>4</v>
      </c>
      <c r="V135">
        <v>1</v>
      </c>
      <c r="W135" t="s">
        <v>69</v>
      </c>
      <c r="X135">
        <v>0</v>
      </c>
    </row>
    <row r="136" spans="1:24" x14ac:dyDescent="0.25">
      <c r="A136">
        <v>1</v>
      </c>
      <c r="B136">
        <v>5910941219</v>
      </c>
      <c r="C136">
        <v>70</v>
      </c>
      <c r="D136" s="27">
        <v>1020023</v>
      </c>
      <c r="F136" t="s">
        <v>42</v>
      </c>
      <c r="G136">
        <v>0</v>
      </c>
      <c r="H136">
        <v>100</v>
      </c>
      <c r="K136">
        <v>4</v>
      </c>
      <c r="L136" t="s">
        <v>68</v>
      </c>
      <c r="M136" t="s">
        <v>86</v>
      </c>
      <c r="N136" s="4">
        <v>2958465</v>
      </c>
      <c r="P136">
        <v>0</v>
      </c>
      <c r="U136">
        <v>4</v>
      </c>
      <c r="V136">
        <v>1</v>
      </c>
      <c r="W136" t="s">
        <v>69</v>
      </c>
      <c r="X136">
        <v>0</v>
      </c>
    </row>
    <row r="137" spans="1:24" x14ac:dyDescent="0.25">
      <c r="A137">
        <v>1</v>
      </c>
      <c r="B137">
        <v>5910941219</v>
      </c>
      <c r="C137">
        <v>80</v>
      </c>
      <c r="D137" s="27">
        <v>12102519</v>
      </c>
      <c r="F137" t="s">
        <v>42</v>
      </c>
      <c r="G137">
        <v>0</v>
      </c>
      <c r="H137">
        <v>100</v>
      </c>
      <c r="K137">
        <v>1</v>
      </c>
      <c r="L137" t="s">
        <v>68</v>
      </c>
      <c r="M137" t="s">
        <v>86</v>
      </c>
      <c r="N137" s="4">
        <v>2958465</v>
      </c>
      <c r="P137">
        <v>0</v>
      </c>
      <c r="U137">
        <v>4</v>
      </c>
      <c r="V137">
        <v>1</v>
      </c>
      <c r="W137" t="s">
        <v>69</v>
      </c>
      <c r="X137">
        <v>0</v>
      </c>
    </row>
    <row r="138" spans="1:24" x14ac:dyDescent="0.25">
      <c r="A138">
        <v>1</v>
      </c>
      <c r="B138">
        <v>5910941319</v>
      </c>
      <c r="C138">
        <v>10</v>
      </c>
      <c r="D138" s="27">
        <v>5959111300</v>
      </c>
      <c r="F138" t="s">
        <v>42</v>
      </c>
      <c r="G138">
        <v>0</v>
      </c>
      <c r="H138">
        <v>100</v>
      </c>
      <c r="K138">
        <v>1</v>
      </c>
      <c r="L138" t="s">
        <v>68</v>
      </c>
      <c r="M138" t="s">
        <v>86</v>
      </c>
      <c r="N138" s="4">
        <v>2958465</v>
      </c>
      <c r="P138">
        <v>0</v>
      </c>
      <c r="U138">
        <v>4</v>
      </c>
      <c r="V138">
        <v>1</v>
      </c>
      <c r="W138" t="s">
        <v>69</v>
      </c>
      <c r="X138">
        <v>0</v>
      </c>
    </row>
    <row r="139" spans="1:24" x14ac:dyDescent="0.25">
      <c r="A139">
        <v>1</v>
      </c>
      <c r="B139">
        <v>5910941319</v>
      </c>
      <c r="C139">
        <v>20</v>
      </c>
      <c r="D139" s="27">
        <v>5959141300</v>
      </c>
      <c r="F139" t="s">
        <v>42</v>
      </c>
      <c r="G139">
        <v>0</v>
      </c>
      <c r="H139">
        <v>100</v>
      </c>
      <c r="K139">
        <v>1</v>
      </c>
      <c r="L139" t="s">
        <v>68</v>
      </c>
      <c r="M139" t="s">
        <v>86</v>
      </c>
      <c r="N139" s="4">
        <v>2958465</v>
      </c>
      <c r="P139">
        <v>0</v>
      </c>
      <c r="U139">
        <v>4</v>
      </c>
      <c r="V139">
        <v>1</v>
      </c>
      <c r="W139" t="s">
        <v>69</v>
      </c>
      <c r="X139">
        <v>0</v>
      </c>
    </row>
    <row r="140" spans="1:24" x14ac:dyDescent="0.25">
      <c r="A140">
        <v>1</v>
      </c>
      <c r="B140">
        <v>5910941319</v>
      </c>
      <c r="C140">
        <v>30</v>
      </c>
      <c r="D140" s="27">
        <v>5950111300</v>
      </c>
      <c r="F140" t="s">
        <v>42</v>
      </c>
      <c r="G140">
        <v>0</v>
      </c>
      <c r="H140">
        <v>100</v>
      </c>
      <c r="K140">
        <v>2</v>
      </c>
      <c r="L140" t="s">
        <v>68</v>
      </c>
      <c r="M140" t="s">
        <v>86</v>
      </c>
      <c r="N140" s="4">
        <v>2958465</v>
      </c>
      <c r="P140">
        <v>0</v>
      </c>
      <c r="U140">
        <v>4</v>
      </c>
      <c r="V140">
        <v>1</v>
      </c>
      <c r="W140" t="s">
        <v>69</v>
      </c>
      <c r="X140">
        <v>0</v>
      </c>
    </row>
    <row r="141" spans="1:24" x14ac:dyDescent="0.25">
      <c r="A141">
        <v>1</v>
      </c>
      <c r="B141">
        <v>5910941319</v>
      </c>
      <c r="C141">
        <v>40</v>
      </c>
      <c r="D141" s="27">
        <v>1018034</v>
      </c>
      <c r="F141" t="s">
        <v>42</v>
      </c>
      <c r="G141">
        <v>0</v>
      </c>
      <c r="H141">
        <v>100</v>
      </c>
      <c r="K141">
        <v>4</v>
      </c>
      <c r="L141" t="s">
        <v>68</v>
      </c>
      <c r="M141" t="s">
        <v>86</v>
      </c>
      <c r="N141" s="4">
        <v>2958465</v>
      </c>
      <c r="P141">
        <v>0</v>
      </c>
      <c r="U141">
        <v>4</v>
      </c>
      <c r="V141">
        <v>1</v>
      </c>
      <c r="W141" t="s">
        <v>69</v>
      </c>
      <c r="X141">
        <v>0</v>
      </c>
    </row>
    <row r="142" spans="1:24" x14ac:dyDescent="0.25">
      <c r="A142">
        <v>1</v>
      </c>
      <c r="B142">
        <v>5910941319</v>
      </c>
      <c r="C142">
        <v>50</v>
      </c>
      <c r="D142" s="27">
        <v>1018359</v>
      </c>
      <c r="F142" t="s">
        <v>42</v>
      </c>
      <c r="G142">
        <v>0</v>
      </c>
      <c r="H142">
        <v>100</v>
      </c>
      <c r="K142">
        <v>0.08</v>
      </c>
      <c r="L142" t="s">
        <v>68</v>
      </c>
      <c r="M142" t="s">
        <v>86</v>
      </c>
      <c r="N142" s="4">
        <v>2958465</v>
      </c>
      <c r="P142">
        <v>0</v>
      </c>
      <c r="U142">
        <v>4</v>
      </c>
      <c r="V142">
        <v>1</v>
      </c>
      <c r="W142" t="s">
        <v>69</v>
      </c>
      <c r="X142">
        <v>0</v>
      </c>
    </row>
    <row r="143" spans="1:24" x14ac:dyDescent="0.25">
      <c r="A143">
        <v>1</v>
      </c>
      <c r="B143">
        <v>5910941319</v>
      </c>
      <c r="C143">
        <v>60</v>
      </c>
      <c r="D143" s="27">
        <v>1011929</v>
      </c>
      <c r="F143" t="s">
        <v>42</v>
      </c>
      <c r="G143">
        <v>0</v>
      </c>
      <c r="H143">
        <v>100</v>
      </c>
      <c r="K143">
        <v>2.1619999999999999</v>
      </c>
      <c r="L143" t="s">
        <v>68</v>
      </c>
      <c r="M143" t="s">
        <v>86</v>
      </c>
      <c r="N143" s="4">
        <v>2958465</v>
      </c>
      <c r="P143">
        <v>0</v>
      </c>
      <c r="U143">
        <v>4</v>
      </c>
      <c r="V143">
        <v>1</v>
      </c>
      <c r="W143" t="s">
        <v>69</v>
      </c>
      <c r="X143">
        <v>0</v>
      </c>
    </row>
    <row r="144" spans="1:24" x14ac:dyDescent="0.25">
      <c r="A144">
        <v>1</v>
      </c>
      <c r="B144">
        <v>5910941319</v>
      </c>
      <c r="C144">
        <v>70</v>
      </c>
      <c r="D144" s="27">
        <v>1020023</v>
      </c>
      <c r="F144" t="s">
        <v>42</v>
      </c>
      <c r="G144">
        <v>0</v>
      </c>
      <c r="H144">
        <v>100</v>
      </c>
      <c r="K144">
        <v>4</v>
      </c>
      <c r="L144" t="s">
        <v>68</v>
      </c>
      <c r="M144" t="s">
        <v>86</v>
      </c>
      <c r="N144" s="4">
        <v>2958465</v>
      </c>
      <c r="P144">
        <v>0</v>
      </c>
      <c r="U144">
        <v>4</v>
      </c>
      <c r="V144">
        <v>1</v>
      </c>
      <c r="W144" t="s">
        <v>69</v>
      </c>
      <c r="X144">
        <v>0</v>
      </c>
    </row>
    <row r="145" spans="1:24" x14ac:dyDescent="0.25">
      <c r="A145">
        <v>1</v>
      </c>
      <c r="B145">
        <v>5910941319</v>
      </c>
      <c r="C145">
        <v>80</v>
      </c>
      <c r="D145" s="27">
        <v>12102519</v>
      </c>
      <c r="F145" t="s">
        <v>42</v>
      </c>
      <c r="G145">
        <v>0</v>
      </c>
      <c r="H145">
        <v>100</v>
      </c>
      <c r="K145">
        <v>1</v>
      </c>
      <c r="L145" t="s">
        <v>68</v>
      </c>
      <c r="M145" t="s">
        <v>86</v>
      </c>
      <c r="N145" s="4">
        <v>2958465</v>
      </c>
      <c r="P145">
        <v>0</v>
      </c>
      <c r="U145">
        <v>4</v>
      </c>
      <c r="V145">
        <v>1</v>
      </c>
      <c r="W145" t="s">
        <v>69</v>
      </c>
      <c r="X145">
        <v>0</v>
      </c>
    </row>
    <row r="146" spans="1:24" x14ac:dyDescent="0.25">
      <c r="A146">
        <v>1</v>
      </c>
      <c r="B146">
        <v>5910941819</v>
      </c>
      <c r="C146">
        <v>10</v>
      </c>
      <c r="D146" s="27">
        <v>5959111800</v>
      </c>
      <c r="F146" t="s">
        <v>42</v>
      </c>
      <c r="G146">
        <v>0</v>
      </c>
      <c r="H146">
        <v>100</v>
      </c>
      <c r="K146">
        <v>1</v>
      </c>
      <c r="L146" t="s">
        <v>68</v>
      </c>
      <c r="M146" t="s">
        <v>86</v>
      </c>
      <c r="N146" s="4">
        <v>2958465</v>
      </c>
      <c r="P146">
        <v>0</v>
      </c>
      <c r="U146">
        <v>4</v>
      </c>
      <c r="V146">
        <v>1</v>
      </c>
      <c r="W146" t="s">
        <v>69</v>
      </c>
      <c r="X146">
        <v>0</v>
      </c>
    </row>
    <row r="147" spans="1:24" x14ac:dyDescent="0.25">
      <c r="A147">
        <v>1</v>
      </c>
      <c r="B147">
        <v>5910941819</v>
      </c>
      <c r="C147">
        <v>20</v>
      </c>
      <c r="D147" s="27">
        <v>5959141800</v>
      </c>
      <c r="F147" t="s">
        <v>42</v>
      </c>
      <c r="G147">
        <v>0</v>
      </c>
      <c r="H147">
        <v>100</v>
      </c>
      <c r="K147">
        <v>1</v>
      </c>
      <c r="L147" t="s">
        <v>68</v>
      </c>
      <c r="M147" t="s">
        <v>86</v>
      </c>
      <c r="N147" s="4">
        <v>2958465</v>
      </c>
      <c r="P147">
        <v>0</v>
      </c>
      <c r="U147">
        <v>4</v>
      </c>
      <c r="V147">
        <v>1</v>
      </c>
      <c r="W147" t="s">
        <v>69</v>
      </c>
      <c r="X147">
        <v>0</v>
      </c>
    </row>
    <row r="148" spans="1:24" x14ac:dyDescent="0.25">
      <c r="A148">
        <v>1</v>
      </c>
      <c r="B148">
        <v>5910941819</v>
      </c>
      <c r="C148">
        <v>30</v>
      </c>
      <c r="D148" s="27">
        <v>5950111800</v>
      </c>
      <c r="F148" t="s">
        <v>42</v>
      </c>
      <c r="G148">
        <v>0</v>
      </c>
      <c r="H148">
        <v>100</v>
      </c>
      <c r="K148">
        <v>2</v>
      </c>
      <c r="L148" t="s">
        <v>68</v>
      </c>
      <c r="M148" t="s">
        <v>86</v>
      </c>
      <c r="N148" s="4">
        <v>2958465</v>
      </c>
      <c r="P148">
        <v>0</v>
      </c>
      <c r="U148">
        <v>4</v>
      </c>
      <c r="V148">
        <v>1</v>
      </c>
      <c r="W148" t="s">
        <v>69</v>
      </c>
      <c r="X148">
        <v>0</v>
      </c>
    </row>
    <row r="149" spans="1:24" x14ac:dyDescent="0.25">
      <c r="A149">
        <v>1</v>
      </c>
      <c r="B149">
        <v>5910941819</v>
      </c>
      <c r="C149">
        <v>40</v>
      </c>
      <c r="D149" s="27">
        <v>1018034</v>
      </c>
      <c r="F149" t="s">
        <v>42</v>
      </c>
      <c r="G149">
        <v>0</v>
      </c>
      <c r="H149">
        <v>100</v>
      </c>
      <c r="K149">
        <v>4</v>
      </c>
      <c r="L149" t="s">
        <v>68</v>
      </c>
      <c r="M149" t="s">
        <v>86</v>
      </c>
      <c r="N149" s="4">
        <v>2958465</v>
      </c>
      <c r="P149">
        <v>0</v>
      </c>
      <c r="U149">
        <v>4</v>
      </c>
      <c r="V149">
        <v>1</v>
      </c>
      <c r="W149" t="s">
        <v>69</v>
      </c>
      <c r="X149">
        <v>0</v>
      </c>
    </row>
    <row r="150" spans="1:24" x14ac:dyDescent="0.25">
      <c r="A150">
        <v>1</v>
      </c>
      <c r="B150">
        <v>5910941819</v>
      </c>
      <c r="C150">
        <v>50</v>
      </c>
      <c r="D150" s="27">
        <v>1018359</v>
      </c>
      <c r="F150" t="s">
        <v>42</v>
      </c>
      <c r="G150">
        <v>0</v>
      </c>
      <c r="H150">
        <v>100</v>
      </c>
      <c r="K150">
        <v>0.08</v>
      </c>
      <c r="L150" t="s">
        <v>68</v>
      </c>
      <c r="M150" t="s">
        <v>86</v>
      </c>
      <c r="N150" s="4">
        <v>2958465</v>
      </c>
      <c r="P150">
        <v>0</v>
      </c>
      <c r="U150">
        <v>4</v>
      </c>
      <c r="V150">
        <v>1</v>
      </c>
      <c r="W150" t="s">
        <v>69</v>
      </c>
      <c r="X150">
        <v>0</v>
      </c>
    </row>
    <row r="151" spans="1:24" x14ac:dyDescent="0.25">
      <c r="A151">
        <v>1</v>
      </c>
      <c r="B151">
        <v>5910941819</v>
      </c>
      <c r="C151">
        <v>60</v>
      </c>
      <c r="D151" s="27">
        <v>1011929</v>
      </c>
      <c r="F151" t="s">
        <v>42</v>
      </c>
      <c r="G151">
        <v>0</v>
      </c>
      <c r="H151">
        <v>100</v>
      </c>
      <c r="K151">
        <v>2.1619999999999999</v>
      </c>
      <c r="L151" t="s">
        <v>68</v>
      </c>
      <c r="M151" t="s">
        <v>86</v>
      </c>
      <c r="N151" s="4">
        <v>2958465</v>
      </c>
      <c r="P151">
        <v>0</v>
      </c>
      <c r="U151">
        <v>4</v>
      </c>
      <c r="V151">
        <v>1</v>
      </c>
      <c r="W151" t="s">
        <v>69</v>
      </c>
      <c r="X151">
        <v>0</v>
      </c>
    </row>
    <row r="152" spans="1:24" x14ac:dyDescent="0.25">
      <c r="A152">
        <v>1</v>
      </c>
      <c r="B152">
        <v>5910941819</v>
      </c>
      <c r="C152">
        <v>70</v>
      </c>
      <c r="D152" s="27">
        <v>1020023</v>
      </c>
      <c r="F152" t="s">
        <v>42</v>
      </c>
      <c r="G152">
        <v>0</v>
      </c>
      <c r="H152">
        <v>100</v>
      </c>
      <c r="K152">
        <v>4</v>
      </c>
      <c r="L152" t="s">
        <v>68</v>
      </c>
      <c r="M152" t="s">
        <v>86</v>
      </c>
      <c r="N152" s="4">
        <v>2958465</v>
      </c>
      <c r="P152">
        <v>0</v>
      </c>
      <c r="U152">
        <v>4</v>
      </c>
      <c r="V152">
        <v>1</v>
      </c>
      <c r="W152" t="s">
        <v>69</v>
      </c>
      <c r="X152">
        <v>0</v>
      </c>
    </row>
    <row r="153" spans="1:24" x14ac:dyDescent="0.25">
      <c r="A153">
        <v>1</v>
      </c>
      <c r="B153">
        <v>5910941819</v>
      </c>
      <c r="C153">
        <v>80</v>
      </c>
      <c r="D153" s="27">
        <v>12102519</v>
      </c>
      <c r="F153" t="s">
        <v>42</v>
      </c>
      <c r="G153">
        <v>0</v>
      </c>
      <c r="H153">
        <v>100</v>
      </c>
      <c r="K153">
        <v>1</v>
      </c>
      <c r="L153" t="s">
        <v>68</v>
      </c>
      <c r="M153" t="s">
        <v>86</v>
      </c>
      <c r="N153" s="4">
        <v>2958465</v>
      </c>
      <c r="P153">
        <v>0</v>
      </c>
      <c r="U153">
        <v>4</v>
      </c>
      <c r="V153">
        <v>1</v>
      </c>
      <c r="W153" t="s">
        <v>69</v>
      </c>
      <c r="X153">
        <v>0</v>
      </c>
    </row>
    <row r="154" spans="1:24" x14ac:dyDescent="0.25">
      <c r="A154">
        <v>1</v>
      </c>
      <c r="B154">
        <v>5910941019</v>
      </c>
      <c r="C154">
        <v>10</v>
      </c>
      <c r="D154" s="27">
        <v>5959111000</v>
      </c>
      <c r="F154" t="s">
        <v>42</v>
      </c>
      <c r="G154">
        <v>0</v>
      </c>
      <c r="H154">
        <v>100</v>
      </c>
      <c r="K154">
        <v>1</v>
      </c>
      <c r="L154" t="s">
        <v>68</v>
      </c>
      <c r="M154" t="s">
        <v>86</v>
      </c>
      <c r="N154" s="4">
        <v>2958465</v>
      </c>
      <c r="P154">
        <v>0</v>
      </c>
      <c r="U154">
        <v>4</v>
      </c>
      <c r="V154">
        <v>1</v>
      </c>
      <c r="W154" t="s">
        <v>69</v>
      </c>
      <c r="X154">
        <v>0</v>
      </c>
    </row>
    <row r="155" spans="1:24" x14ac:dyDescent="0.25">
      <c r="A155">
        <v>1</v>
      </c>
      <c r="B155">
        <v>5910941019</v>
      </c>
      <c r="C155">
        <v>20</v>
      </c>
      <c r="D155" s="27">
        <v>5959141000</v>
      </c>
      <c r="F155" t="s">
        <v>42</v>
      </c>
      <c r="G155">
        <v>0</v>
      </c>
      <c r="H155">
        <v>100</v>
      </c>
      <c r="K155">
        <v>1</v>
      </c>
      <c r="L155" t="s">
        <v>68</v>
      </c>
      <c r="M155" t="s">
        <v>86</v>
      </c>
      <c r="N155" s="4">
        <v>2958465</v>
      </c>
      <c r="P155">
        <v>0</v>
      </c>
      <c r="U155">
        <v>4</v>
      </c>
      <c r="V155">
        <v>1</v>
      </c>
      <c r="W155" t="s">
        <v>69</v>
      </c>
      <c r="X155">
        <v>0</v>
      </c>
    </row>
    <row r="156" spans="1:24" x14ac:dyDescent="0.25">
      <c r="A156">
        <v>1</v>
      </c>
      <c r="B156">
        <v>5910941019</v>
      </c>
      <c r="C156">
        <v>30</v>
      </c>
      <c r="D156" s="27">
        <v>5950111000</v>
      </c>
      <c r="F156" t="s">
        <v>42</v>
      </c>
      <c r="G156">
        <v>0</v>
      </c>
      <c r="H156">
        <v>100</v>
      </c>
      <c r="K156">
        <v>2</v>
      </c>
      <c r="L156" t="s">
        <v>68</v>
      </c>
      <c r="M156" t="s">
        <v>86</v>
      </c>
      <c r="N156" s="4">
        <v>2958465</v>
      </c>
      <c r="P156">
        <v>0</v>
      </c>
      <c r="U156">
        <v>4</v>
      </c>
      <c r="V156">
        <v>1</v>
      </c>
      <c r="W156" t="s">
        <v>69</v>
      </c>
      <c r="X156">
        <v>0</v>
      </c>
    </row>
    <row r="157" spans="1:24" x14ac:dyDescent="0.25">
      <c r="A157">
        <v>1</v>
      </c>
      <c r="B157">
        <v>5910941019</v>
      </c>
      <c r="C157">
        <v>40</v>
      </c>
      <c r="D157" s="27">
        <v>1018034</v>
      </c>
      <c r="F157" t="s">
        <v>42</v>
      </c>
      <c r="G157">
        <v>0</v>
      </c>
      <c r="H157">
        <v>100</v>
      </c>
      <c r="K157">
        <v>4</v>
      </c>
      <c r="L157" t="s">
        <v>68</v>
      </c>
      <c r="M157" t="s">
        <v>86</v>
      </c>
      <c r="N157" s="4">
        <v>2958465</v>
      </c>
      <c r="P157">
        <v>0</v>
      </c>
      <c r="U157">
        <v>4</v>
      </c>
      <c r="V157">
        <v>1</v>
      </c>
      <c r="W157" t="s">
        <v>69</v>
      </c>
      <c r="X157">
        <v>0</v>
      </c>
    </row>
    <row r="158" spans="1:24" x14ac:dyDescent="0.25">
      <c r="A158">
        <v>1</v>
      </c>
      <c r="B158">
        <v>5910941019</v>
      </c>
      <c r="C158">
        <v>50</v>
      </c>
      <c r="D158" s="27">
        <v>1018359</v>
      </c>
      <c r="F158" t="s">
        <v>42</v>
      </c>
      <c r="G158">
        <v>0</v>
      </c>
      <c r="H158">
        <v>100</v>
      </c>
      <c r="K158">
        <v>0.08</v>
      </c>
      <c r="L158" t="s">
        <v>68</v>
      </c>
      <c r="M158" t="s">
        <v>86</v>
      </c>
      <c r="N158" s="4">
        <v>2958465</v>
      </c>
      <c r="P158">
        <v>0</v>
      </c>
      <c r="U158">
        <v>4</v>
      </c>
      <c r="V158">
        <v>1</v>
      </c>
      <c r="W158" t="s">
        <v>69</v>
      </c>
      <c r="X158">
        <v>0</v>
      </c>
    </row>
    <row r="159" spans="1:24" x14ac:dyDescent="0.25">
      <c r="A159">
        <v>1</v>
      </c>
      <c r="B159">
        <v>5910941019</v>
      </c>
      <c r="C159">
        <v>60</v>
      </c>
      <c r="D159" s="27">
        <v>1011929</v>
      </c>
      <c r="F159" t="s">
        <v>42</v>
      </c>
      <c r="G159">
        <v>0</v>
      </c>
      <c r="H159">
        <v>100</v>
      </c>
      <c r="K159">
        <v>2.1619999999999999</v>
      </c>
      <c r="L159" t="s">
        <v>68</v>
      </c>
      <c r="M159" t="s">
        <v>86</v>
      </c>
      <c r="N159" s="4">
        <v>2958465</v>
      </c>
      <c r="P159">
        <v>0</v>
      </c>
      <c r="U159">
        <v>4</v>
      </c>
      <c r="V159">
        <v>1</v>
      </c>
      <c r="W159" t="s">
        <v>69</v>
      </c>
      <c r="X159">
        <v>0</v>
      </c>
    </row>
    <row r="160" spans="1:24" x14ac:dyDescent="0.25">
      <c r="A160">
        <v>1</v>
      </c>
      <c r="B160">
        <v>5910941019</v>
      </c>
      <c r="C160">
        <v>70</v>
      </c>
      <c r="D160" s="27">
        <v>1020023</v>
      </c>
      <c r="F160" t="s">
        <v>42</v>
      </c>
      <c r="G160">
        <v>0</v>
      </c>
      <c r="H160">
        <v>100</v>
      </c>
      <c r="K160">
        <v>4</v>
      </c>
      <c r="L160" t="s">
        <v>68</v>
      </c>
      <c r="M160" t="s">
        <v>86</v>
      </c>
      <c r="N160" s="4">
        <v>2958465</v>
      </c>
      <c r="P160">
        <v>0</v>
      </c>
      <c r="U160">
        <v>4</v>
      </c>
      <c r="V160">
        <v>1</v>
      </c>
      <c r="W160" t="s">
        <v>69</v>
      </c>
      <c r="X160">
        <v>0</v>
      </c>
    </row>
    <row r="161" spans="1:24" x14ac:dyDescent="0.25">
      <c r="A161">
        <v>1</v>
      </c>
      <c r="B161">
        <v>5910941019</v>
      </c>
      <c r="C161">
        <v>80</v>
      </c>
      <c r="D161" s="27">
        <v>12102519</v>
      </c>
      <c r="F161" t="s">
        <v>42</v>
      </c>
      <c r="G161">
        <v>0</v>
      </c>
      <c r="H161">
        <v>100</v>
      </c>
      <c r="K161">
        <v>1</v>
      </c>
      <c r="L161" t="s">
        <v>68</v>
      </c>
      <c r="M161" t="s">
        <v>86</v>
      </c>
      <c r="N161" s="4">
        <v>2958465</v>
      </c>
      <c r="P161">
        <v>0</v>
      </c>
      <c r="U161">
        <v>4</v>
      </c>
      <c r="V161">
        <v>1</v>
      </c>
      <c r="W161" t="s">
        <v>69</v>
      </c>
      <c r="X161">
        <v>0</v>
      </c>
    </row>
    <row r="162" spans="1:24" x14ac:dyDescent="0.25">
      <c r="A162">
        <v>1</v>
      </c>
      <c r="B162">
        <v>5910941213</v>
      </c>
      <c r="C162">
        <v>10</v>
      </c>
      <c r="D162" s="27">
        <v>5959111200</v>
      </c>
      <c r="F162" t="s">
        <v>42</v>
      </c>
      <c r="G162">
        <v>0</v>
      </c>
      <c r="H162">
        <v>100</v>
      </c>
      <c r="K162">
        <v>1</v>
      </c>
      <c r="L162" t="s">
        <v>68</v>
      </c>
      <c r="M162" t="s">
        <v>86</v>
      </c>
      <c r="N162" s="4">
        <v>2958465</v>
      </c>
      <c r="P162">
        <v>0</v>
      </c>
      <c r="U162">
        <v>4</v>
      </c>
      <c r="V162">
        <v>1</v>
      </c>
      <c r="W162" t="s">
        <v>69</v>
      </c>
      <c r="X162">
        <v>0</v>
      </c>
    </row>
    <row r="163" spans="1:24" x14ac:dyDescent="0.25">
      <c r="A163">
        <v>1</v>
      </c>
      <c r="B163">
        <v>5910941213</v>
      </c>
      <c r="C163">
        <v>20</v>
      </c>
      <c r="D163" s="27">
        <v>5959141200</v>
      </c>
      <c r="F163" t="s">
        <v>42</v>
      </c>
      <c r="G163">
        <v>0</v>
      </c>
      <c r="H163">
        <v>100</v>
      </c>
      <c r="K163">
        <v>1</v>
      </c>
      <c r="L163" t="s">
        <v>68</v>
      </c>
      <c r="M163" t="s">
        <v>86</v>
      </c>
      <c r="N163" s="4">
        <v>2958465</v>
      </c>
      <c r="P163">
        <v>0</v>
      </c>
      <c r="U163">
        <v>4</v>
      </c>
      <c r="V163">
        <v>1</v>
      </c>
      <c r="W163" t="s">
        <v>69</v>
      </c>
      <c r="X163">
        <v>0</v>
      </c>
    </row>
    <row r="164" spans="1:24" x14ac:dyDescent="0.25">
      <c r="A164">
        <v>1</v>
      </c>
      <c r="B164">
        <v>5910941213</v>
      </c>
      <c r="C164">
        <v>30</v>
      </c>
      <c r="D164" s="27">
        <v>5950111200</v>
      </c>
      <c r="F164" t="s">
        <v>42</v>
      </c>
      <c r="G164">
        <v>0</v>
      </c>
      <c r="H164">
        <v>100</v>
      </c>
      <c r="K164">
        <v>2</v>
      </c>
      <c r="L164" t="s">
        <v>68</v>
      </c>
      <c r="M164" t="s">
        <v>86</v>
      </c>
      <c r="N164" s="4">
        <v>2958465</v>
      </c>
      <c r="P164">
        <v>0</v>
      </c>
      <c r="U164">
        <v>4</v>
      </c>
      <c r="V164">
        <v>1</v>
      </c>
      <c r="W164" t="s">
        <v>69</v>
      </c>
      <c r="X164">
        <v>0</v>
      </c>
    </row>
    <row r="165" spans="1:24" x14ac:dyDescent="0.25">
      <c r="A165">
        <v>1</v>
      </c>
      <c r="B165">
        <v>5910941213</v>
      </c>
      <c r="C165">
        <v>40</v>
      </c>
      <c r="D165" s="27">
        <v>1018034</v>
      </c>
      <c r="F165" t="s">
        <v>42</v>
      </c>
      <c r="G165">
        <v>0</v>
      </c>
      <c r="H165">
        <v>100</v>
      </c>
      <c r="K165">
        <v>4</v>
      </c>
      <c r="L165" t="s">
        <v>68</v>
      </c>
      <c r="M165" t="s">
        <v>86</v>
      </c>
      <c r="N165" s="4">
        <v>2958465</v>
      </c>
      <c r="P165">
        <v>0</v>
      </c>
      <c r="U165">
        <v>4</v>
      </c>
      <c r="V165">
        <v>1</v>
      </c>
      <c r="W165" t="s">
        <v>69</v>
      </c>
      <c r="X165">
        <v>0</v>
      </c>
    </row>
    <row r="166" spans="1:24" x14ac:dyDescent="0.25">
      <c r="A166">
        <v>1</v>
      </c>
      <c r="B166">
        <v>5910941213</v>
      </c>
      <c r="C166">
        <v>50</v>
      </c>
      <c r="D166" s="27">
        <v>1018359</v>
      </c>
      <c r="F166" t="s">
        <v>42</v>
      </c>
      <c r="G166">
        <v>0</v>
      </c>
      <c r="H166">
        <v>100</v>
      </c>
      <c r="K166">
        <v>0.08</v>
      </c>
      <c r="L166" t="s">
        <v>68</v>
      </c>
      <c r="M166" t="s">
        <v>86</v>
      </c>
      <c r="N166" s="4">
        <v>2958465</v>
      </c>
      <c r="P166">
        <v>0</v>
      </c>
      <c r="U166">
        <v>4</v>
      </c>
      <c r="V166">
        <v>1</v>
      </c>
      <c r="W166" t="s">
        <v>69</v>
      </c>
      <c r="X166">
        <v>0</v>
      </c>
    </row>
    <row r="167" spans="1:24" x14ac:dyDescent="0.25">
      <c r="A167">
        <v>1</v>
      </c>
      <c r="B167">
        <v>5910941213</v>
      </c>
      <c r="C167">
        <v>60</v>
      </c>
      <c r="D167" s="27">
        <v>1011929</v>
      </c>
      <c r="F167" t="s">
        <v>42</v>
      </c>
      <c r="G167">
        <v>0</v>
      </c>
      <c r="H167">
        <v>100</v>
      </c>
      <c r="K167">
        <v>2.1619999999999999</v>
      </c>
      <c r="L167" t="s">
        <v>68</v>
      </c>
      <c r="M167" t="s">
        <v>86</v>
      </c>
      <c r="N167" s="4">
        <v>2958465</v>
      </c>
      <c r="P167">
        <v>0</v>
      </c>
      <c r="U167">
        <v>4</v>
      </c>
      <c r="V167">
        <v>1</v>
      </c>
      <c r="W167" t="s">
        <v>69</v>
      </c>
      <c r="X167">
        <v>0</v>
      </c>
    </row>
    <row r="168" spans="1:24" x14ac:dyDescent="0.25">
      <c r="A168">
        <v>1</v>
      </c>
      <c r="B168">
        <v>5910941213</v>
      </c>
      <c r="C168">
        <v>70</v>
      </c>
      <c r="D168" s="27">
        <v>1020023</v>
      </c>
      <c r="F168" t="s">
        <v>42</v>
      </c>
      <c r="G168">
        <v>0</v>
      </c>
      <c r="H168">
        <v>100</v>
      </c>
      <c r="K168">
        <v>4</v>
      </c>
      <c r="L168" t="s">
        <v>68</v>
      </c>
      <c r="M168" t="s">
        <v>86</v>
      </c>
      <c r="N168" s="4">
        <v>2958465</v>
      </c>
      <c r="P168">
        <v>0</v>
      </c>
      <c r="U168">
        <v>4</v>
      </c>
      <c r="V168">
        <v>1</v>
      </c>
      <c r="W168" t="s">
        <v>69</v>
      </c>
      <c r="X168">
        <v>0</v>
      </c>
    </row>
    <row r="169" spans="1:24" x14ac:dyDescent="0.25">
      <c r="A169">
        <v>1</v>
      </c>
      <c r="B169">
        <v>5910941213</v>
      </c>
      <c r="C169">
        <v>80</v>
      </c>
      <c r="D169" s="27">
        <v>12102513</v>
      </c>
      <c r="F169" t="s">
        <v>42</v>
      </c>
      <c r="G169">
        <v>0</v>
      </c>
      <c r="H169">
        <v>100</v>
      </c>
      <c r="K169">
        <v>1</v>
      </c>
      <c r="L169" t="s">
        <v>68</v>
      </c>
      <c r="M169" t="s">
        <v>86</v>
      </c>
      <c r="N169" s="4">
        <v>2958465</v>
      </c>
      <c r="P169">
        <v>0</v>
      </c>
      <c r="U169">
        <v>4</v>
      </c>
      <c r="V169">
        <v>1</v>
      </c>
      <c r="W169" t="s">
        <v>69</v>
      </c>
      <c r="X169">
        <v>0</v>
      </c>
    </row>
    <row r="170" spans="1:24" x14ac:dyDescent="0.25">
      <c r="A170">
        <v>1</v>
      </c>
      <c r="B170">
        <v>5910941313</v>
      </c>
      <c r="C170">
        <v>10</v>
      </c>
      <c r="D170" s="27">
        <v>5959111300</v>
      </c>
      <c r="F170" t="s">
        <v>42</v>
      </c>
      <c r="G170">
        <v>0</v>
      </c>
      <c r="H170">
        <v>100</v>
      </c>
      <c r="K170">
        <v>1</v>
      </c>
      <c r="L170" t="s">
        <v>68</v>
      </c>
      <c r="M170" t="s">
        <v>86</v>
      </c>
      <c r="N170" s="4">
        <v>2958465</v>
      </c>
      <c r="P170">
        <v>0</v>
      </c>
      <c r="U170">
        <v>4</v>
      </c>
      <c r="V170">
        <v>1</v>
      </c>
      <c r="W170" t="s">
        <v>69</v>
      </c>
      <c r="X170">
        <v>0</v>
      </c>
    </row>
    <row r="171" spans="1:24" x14ac:dyDescent="0.25">
      <c r="A171">
        <v>1</v>
      </c>
      <c r="B171">
        <v>5910941313</v>
      </c>
      <c r="C171">
        <v>20</v>
      </c>
      <c r="D171" s="27">
        <v>5959141300</v>
      </c>
      <c r="F171" t="s">
        <v>42</v>
      </c>
      <c r="G171">
        <v>0</v>
      </c>
      <c r="H171">
        <v>100</v>
      </c>
      <c r="K171">
        <v>1</v>
      </c>
      <c r="L171" t="s">
        <v>68</v>
      </c>
      <c r="M171" t="s">
        <v>86</v>
      </c>
      <c r="N171" s="4">
        <v>2958465</v>
      </c>
      <c r="P171">
        <v>0</v>
      </c>
      <c r="U171">
        <v>4</v>
      </c>
      <c r="V171">
        <v>1</v>
      </c>
      <c r="W171" t="s">
        <v>69</v>
      </c>
      <c r="X171">
        <v>0</v>
      </c>
    </row>
    <row r="172" spans="1:24" x14ac:dyDescent="0.25">
      <c r="A172">
        <v>1</v>
      </c>
      <c r="B172">
        <v>5910941313</v>
      </c>
      <c r="C172">
        <v>30</v>
      </c>
      <c r="D172" s="27">
        <v>5950111300</v>
      </c>
      <c r="F172" t="s">
        <v>42</v>
      </c>
      <c r="G172">
        <v>0</v>
      </c>
      <c r="H172">
        <v>100</v>
      </c>
      <c r="K172">
        <v>2</v>
      </c>
      <c r="L172" t="s">
        <v>68</v>
      </c>
      <c r="M172" t="s">
        <v>86</v>
      </c>
      <c r="N172" s="4">
        <v>2958465</v>
      </c>
      <c r="P172">
        <v>0</v>
      </c>
      <c r="U172">
        <v>4</v>
      </c>
      <c r="V172">
        <v>1</v>
      </c>
      <c r="W172" t="s">
        <v>69</v>
      </c>
      <c r="X172">
        <v>0</v>
      </c>
    </row>
    <row r="173" spans="1:24" x14ac:dyDescent="0.25">
      <c r="A173">
        <v>1</v>
      </c>
      <c r="B173">
        <v>5910941313</v>
      </c>
      <c r="C173">
        <v>40</v>
      </c>
      <c r="D173" s="27">
        <v>1018034</v>
      </c>
      <c r="F173" t="s">
        <v>42</v>
      </c>
      <c r="G173">
        <v>0</v>
      </c>
      <c r="H173">
        <v>100</v>
      </c>
      <c r="K173">
        <v>4</v>
      </c>
      <c r="L173" t="s">
        <v>68</v>
      </c>
      <c r="M173" t="s">
        <v>86</v>
      </c>
      <c r="N173" s="4">
        <v>2958465</v>
      </c>
      <c r="P173">
        <v>0</v>
      </c>
      <c r="U173">
        <v>4</v>
      </c>
      <c r="V173">
        <v>1</v>
      </c>
      <c r="W173" t="s">
        <v>69</v>
      </c>
      <c r="X173">
        <v>0</v>
      </c>
    </row>
    <row r="174" spans="1:24" x14ac:dyDescent="0.25">
      <c r="A174">
        <v>1</v>
      </c>
      <c r="B174">
        <v>5910941313</v>
      </c>
      <c r="C174">
        <v>50</v>
      </c>
      <c r="D174" s="27">
        <v>1018359</v>
      </c>
      <c r="F174" t="s">
        <v>42</v>
      </c>
      <c r="G174">
        <v>0</v>
      </c>
      <c r="H174">
        <v>100</v>
      </c>
      <c r="K174">
        <v>0.08</v>
      </c>
      <c r="L174" t="s">
        <v>68</v>
      </c>
      <c r="M174" t="s">
        <v>86</v>
      </c>
      <c r="N174" s="4">
        <v>2958465</v>
      </c>
      <c r="P174">
        <v>0</v>
      </c>
      <c r="U174">
        <v>4</v>
      </c>
      <c r="V174">
        <v>1</v>
      </c>
      <c r="W174" t="s">
        <v>69</v>
      </c>
      <c r="X174">
        <v>0</v>
      </c>
    </row>
    <row r="175" spans="1:24" x14ac:dyDescent="0.25">
      <c r="A175">
        <v>1</v>
      </c>
      <c r="B175">
        <v>5910941313</v>
      </c>
      <c r="C175">
        <v>60</v>
      </c>
      <c r="D175" s="27">
        <v>1011929</v>
      </c>
      <c r="F175" t="s">
        <v>42</v>
      </c>
      <c r="G175">
        <v>0</v>
      </c>
      <c r="H175">
        <v>100</v>
      </c>
      <c r="K175">
        <v>2.1619999999999999</v>
      </c>
      <c r="L175" t="s">
        <v>68</v>
      </c>
      <c r="M175" t="s">
        <v>86</v>
      </c>
      <c r="N175" s="4">
        <v>2958465</v>
      </c>
      <c r="P175">
        <v>0</v>
      </c>
      <c r="U175">
        <v>4</v>
      </c>
      <c r="V175">
        <v>1</v>
      </c>
      <c r="W175" t="s">
        <v>69</v>
      </c>
      <c r="X175">
        <v>0</v>
      </c>
    </row>
    <row r="176" spans="1:24" x14ac:dyDescent="0.25">
      <c r="A176">
        <v>1</v>
      </c>
      <c r="B176">
        <v>5910941313</v>
      </c>
      <c r="C176">
        <v>70</v>
      </c>
      <c r="D176" s="27">
        <v>1020023</v>
      </c>
      <c r="F176" t="s">
        <v>42</v>
      </c>
      <c r="G176">
        <v>0</v>
      </c>
      <c r="H176">
        <v>100</v>
      </c>
      <c r="K176">
        <v>4</v>
      </c>
      <c r="L176" t="s">
        <v>68</v>
      </c>
      <c r="M176" t="s">
        <v>86</v>
      </c>
      <c r="N176" s="4">
        <v>2958465</v>
      </c>
      <c r="P176">
        <v>0</v>
      </c>
      <c r="U176">
        <v>4</v>
      </c>
      <c r="V176">
        <v>1</v>
      </c>
      <c r="W176" t="s">
        <v>69</v>
      </c>
      <c r="X176">
        <v>0</v>
      </c>
    </row>
    <row r="177" spans="1:24" x14ac:dyDescent="0.25">
      <c r="A177">
        <v>1</v>
      </c>
      <c r="B177">
        <v>5910941313</v>
      </c>
      <c r="C177">
        <v>80</v>
      </c>
      <c r="D177" s="27">
        <v>12102513</v>
      </c>
      <c r="F177" t="s">
        <v>42</v>
      </c>
      <c r="G177">
        <v>0</v>
      </c>
      <c r="H177">
        <v>100</v>
      </c>
      <c r="K177">
        <v>1</v>
      </c>
      <c r="L177" t="s">
        <v>68</v>
      </c>
      <c r="M177" t="s">
        <v>86</v>
      </c>
      <c r="N177" s="4">
        <v>2958465</v>
      </c>
      <c r="P177">
        <v>0</v>
      </c>
      <c r="U177">
        <v>4</v>
      </c>
      <c r="V177">
        <v>1</v>
      </c>
      <c r="W177" t="s">
        <v>69</v>
      </c>
      <c r="X177">
        <v>0</v>
      </c>
    </row>
    <row r="178" spans="1:24" x14ac:dyDescent="0.25">
      <c r="A178">
        <v>1</v>
      </c>
      <c r="B178">
        <v>5910941813</v>
      </c>
      <c r="C178">
        <v>10</v>
      </c>
      <c r="D178" s="27">
        <v>5959111800</v>
      </c>
      <c r="F178" t="s">
        <v>42</v>
      </c>
      <c r="G178">
        <v>0</v>
      </c>
      <c r="H178">
        <v>100</v>
      </c>
      <c r="K178">
        <v>1</v>
      </c>
      <c r="L178" t="s">
        <v>68</v>
      </c>
      <c r="M178" t="s">
        <v>86</v>
      </c>
      <c r="N178" s="4">
        <v>2958465</v>
      </c>
      <c r="P178">
        <v>0</v>
      </c>
      <c r="U178">
        <v>4</v>
      </c>
      <c r="V178">
        <v>1</v>
      </c>
      <c r="W178" t="s">
        <v>69</v>
      </c>
      <c r="X178">
        <v>0</v>
      </c>
    </row>
    <row r="179" spans="1:24" x14ac:dyDescent="0.25">
      <c r="A179">
        <v>1</v>
      </c>
      <c r="B179">
        <v>5910941813</v>
      </c>
      <c r="C179">
        <v>20</v>
      </c>
      <c r="D179" s="27">
        <v>5959141800</v>
      </c>
      <c r="F179" t="s">
        <v>42</v>
      </c>
      <c r="G179">
        <v>0</v>
      </c>
      <c r="H179">
        <v>100</v>
      </c>
      <c r="K179">
        <v>1</v>
      </c>
      <c r="L179" t="s">
        <v>68</v>
      </c>
      <c r="M179" t="s">
        <v>86</v>
      </c>
      <c r="N179" s="4">
        <v>2958465</v>
      </c>
      <c r="P179">
        <v>0</v>
      </c>
      <c r="U179">
        <v>4</v>
      </c>
      <c r="V179">
        <v>1</v>
      </c>
      <c r="W179" t="s">
        <v>69</v>
      </c>
      <c r="X179">
        <v>0</v>
      </c>
    </row>
    <row r="180" spans="1:24" x14ac:dyDescent="0.25">
      <c r="A180">
        <v>1</v>
      </c>
      <c r="B180">
        <v>5910941813</v>
      </c>
      <c r="C180">
        <v>30</v>
      </c>
      <c r="D180" s="27">
        <v>5950111800</v>
      </c>
      <c r="F180" t="s">
        <v>42</v>
      </c>
      <c r="G180">
        <v>0</v>
      </c>
      <c r="H180">
        <v>100</v>
      </c>
      <c r="K180">
        <v>2</v>
      </c>
      <c r="L180" t="s">
        <v>68</v>
      </c>
      <c r="M180" t="s">
        <v>86</v>
      </c>
      <c r="N180" s="4">
        <v>2958465</v>
      </c>
      <c r="P180">
        <v>0</v>
      </c>
      <c r="U180">
        <v>4</v>
      </c>
      <c r="V180">
        <v>1</v>
      </c>
      <c r="W180" t="s">
        <v>69</v>
      </c>
      <c r="X180">
        <v>0</v>
      </c>
    </row>
    <row r="181" spans="1:24" x14ac:dyDescent="0.25">
      <c r="A181">
        <v>1</v>
      </c>
      <c r="B181">
        <v>5910941813</v>
      </c>
      <c r="C181">
        <v>40</v>
      </c>
      <c r="D181" s="27">
        <v>1018034</v>
      </c>
      <c r="F181" t="s">
        <v>42</v>
      </c>
      <c r="G181">
        <v>0</v>
      </c>
      <c r="H181">
        <v>100</v>
      </c>
      <c r="K181">
        <v>4</v>
      </c>
      <c r="L181" t="s">
        <v>68</v>
      </c>
      <c r="M181" t="s">
        <v>86</v>
      </c>
      <c r="N181" s="4">
        <v>2958465</v>
      </c>
      <c r="P181">
        <v>0</v>
      </c>
      <c r="U181">
        <v>4</v>
      </c>
      <c r="V181">
        <v>1</v>
      </c>
      <c r="W181" t="s">
        <v>69</v>
      </c>
      <c r="X181">
        <v>0</v>
      </c>
    </row>
    <row r="182" spans="1:24" x14ac:dyDescent="0.25">
      <c r="A182">
        <v>1</v>
      </c>
      <c r="B182">
        <v>5910941813</v>
      </c>
      <c r="C182">
        <v>50</v>
      </c>
      <c r="D182" s="27">
        <v>1018359</v>
      </c>
      <c r="F182" t="s">
        <v>42</v>
      </c>
      <c r="G182">
        <v>0</v>
      </c>
      <c r="H182">
        <v>100</v>
      </c>
      <c r="K182">
        <v>0.08</v>
      </c>
      <c r="L182" t="s">
        <v>68</v>
      </c>
      <c r="M182" t="s">
        <v>86</v>
      </c>
      <c r="N182" s="4">
        <v>2958465</v>
      </c>
      <c r="P182">
        <v>0</v>
      </c>
      <c r="U182">
        <v>4</v>
      </c>
      <c r="V182">
        <v>1</v>
      </c>
      <c r="W182" t="s">
        <v>69</v>
      </c>
      <c r="X182">
        <v>0</v>
      </c>
    </row>
    <row r="183" spans="1:24" x14ac:dyDescent="0.25">
      <c r="A183">
        <v>1</v>
      </c>
      <c r="B183">
        <v>5910941813</v>
      </c>
      <c r="C183">
        <v>60</v>
      </c>
      <c r="D183" s="27">
        <v>1011929</v>
      </c>
      <c r="F183" t="s">
        <v>42</v>
      </c>
      <c r="G183">
        <v>0</v>
      </c>
      <c r="H183">
        <v>100</v>
      </c>
      <c r="K183">
        <v>2.1619999999999999</v>
      </c>
      <c r="L183" t="s">
        <v>68</v>
      </c>
      <c r="M183" t="s">
        <v>86</v>
      </c>
      <c r="N183" s="4">
        <v>2958465</v>
      </c>
      <c r="P183">
        <v>0</v>
      </c>
      <c r="U183">
        <v>4</v>
      </c>
      <c r="V183">
        <v>1</v>
      </c>
      <c r="W183" t="s">
        <v>69</v>
      </c>
      <c r="X183">
        <v>0</v>
      </c>
    </row>
    <row r="184" spans="1:24" x14ac:dyDescent="0.25">
      <c r="A184">
        <v>1</v>
      </c>
      <c r="B184">
        <v>5910941813</v>
      </c>
      <c r="C184">
        <v>70</v>
      </c>
      <c r="D184" s="27">
        <v>1020023</v>
      </c>
      <c r="F184" t="s">
        <v>42</v>
      </c>
      <c r="G184">
        <v>0</v>
      </c>
      <c r="H184">
        <v>100</v>
      </c>
      <c r="K184">
        <v>4</v>
      </c>
      <c r="L184" t="s">
        <v>68</v>
      </c>
      <c r="M184" t="s">
        <v>86</v>
      </c>
      <c r="N184" s="4">
        <v>2958465</v>
      </c>
      <c r="P184">
        <v>0</v>
      </c>
      <c r="U184">
        <v>4</v>
      </c>
      <c r="V184">
        <v>1</v>
      </c>
      <c r="W184" t="s">
        <v>69</v>
      </c>
      <c r="X184">
        <v>0</v>
      </c>
    </row>
    <row r="185" spans="1:24" x14ac:dyDescent="0.25">
      <c r="A185">
        <v>1</v>
      </c>
      <c r="B185">
        <v>5910941813</v>
      </c>
      <c r="C185">
        <v>80</v>
      </c>
      <c r="D185" s="27">
        <v>12102513</v>
      </c>
      <c r="F185" t="s">
        <v>42</v>
      </c>
      <c r="G185">
        <v>0</v>
      </c>
      <c r="H185">
        <v>100</v>
      </c>
      <c r="K185">
        <v>1</v>
      </c>
      <c r="L185" t="s">
        <v>68</v>
      </c>
      <c r="M185" t="s">
        <v>86</v>
      </c>
      <c r="N185" s="4">
        <v>2958465</v>
      </c>
      <c r="P185">
        <v>0</v>
      </c>
      <c r="U185">
        <v>4</v>
      </c>
      <c r="V185">
        <v>1</v>
      </c>
      <c r="W185" t="s">
        <v>69</v>
      </c>
      <c r="X185">
        <v>0</v>
      </c>
    </row>
    <row r="186" spans="1:24" x14ac:dyDescent="0.25">
      <c r="A186">
        <v>1</v>
      </c>
      <c r="B186">
        <v>5910941013</v>
      </c>
      <c r="C186">
        <v>10</v>
      </c>
      <c r="D186" s="27">
        <v>5959111000</v>
      </c>
      <c r="F186" t="s">
        <v>42</v>
      </c>
      <c r="G186">
        <v>0</v>
      </c>
      <c r="H186">
        <v>100</v>
      </c>
      <c r="K186">
        <v>1</v>
      </c>
      <c r="L186" t="s">
        <v>68</v>
      </c>
      <c r="M186" t="s">
        <v>86</v>
      </c>
      <c r="N186" s="4">
        <v>2958465</v>
      </c>
      <c r="P186">
        <v>0</v>
      </c>
      <c r="U186">
        <v>4</v>
      </c>
      <c r="V186">
        <v>1</v>
      </c>
      <c r="W186" t="s">
        <v>69</v>
      </c>
      <c r="X186">
        <v>0</v>
      </c>
    </row>
    <row r="187" spans="1:24" x14ac:dyDescent="0.25">
      <c r="A187">
        <v>1</v>
      </c>
      <c r="B187">
        <v>5910941013</v>
      </c>
      <c r="C187">
        <v>20</v>
      </c>
      <c r="D187" s="27">
        <v>5959141000</v>
      </c>
      <c r="F187" t="s">
        <v>42</v>
      </c>
      <c r="G187">
        <v>0</v>
      </c>
      <c r="H187">
        <v>100</v>
      </c>
      <c r="K187">
        <v>1</v>
      </c>
      <c r="L187" t="s">
        <v>68</v>
      </c>
      <c r="M187" t="s">
        <v>86</v>
      </c>
      <c r="N187" s="4">
        <v>2958465</v>
      </c>
      <c r="P187">
        <v>0</v>
      </c>
      <c r="U187">
        <v>4</v>
      </c>
      <c r="V187">
        <v>1</v>
      </c>
      <c r="W187" t="s">
        <v>69</v>
      </c>
      <c r="X187">
        <v>0</v>
      </c>
    </row>
    <row r="188" spans="1:24" x14ac:dyDescent="0.25">
      <c r="A188">
        <v>1</v>
      </c>
      <c r="B188">
        <v>5910941013</v>
      </c>
      <c r="C188">
        <v>30</v>
      </c>
      <c r="D188" s="27">
        <v>5950111000</v>
      </c>
      <c r="F188" t="s">
        <v>42</v>
      </c>
      <c r="G188">
        <v>0</v>
      </c>
      <c r="H188">
        <v>100</v>
      </c>
      <c r="K188">
        <v>2</v>
      </c>
      <c r="L188" t="s">
        <v>68</v>
      </c>
      <c r="M188" t="s">
        <v>86</v>
      </c>
      <c r="N188" s="4">
        <v>2958465</v>
      </c>
      <c r="P188">
        <v>0</v>
      </c>
      <c r="U188">
        <v>4</v>
      </c>
      <c r="V188">
        <v>1</v>
      </c>
      <c r="W188" t="s">
        <v>69</v>
      </c>
      <c r="X188">
        <v>0</v>
      </c>
    </row>
    <row r="189" spans="1:24" x14ac:dyDescent="0.25">
      <c r="A189">
        <v>1</v>
      </c>
      <c r="B189">
        <v>5910941013</v>
      </c>
      <c r="C189">
        <v>40</v>
      </c>
      <c r="D189" s="27">
        <v>1018034</v>
      </c>
      <c r="F189" t="s">
        <v>42</v>
      </c>
      <c r="G189">
        <v>0</v>
      </c>
      <c r="H189">
        <v>100</v>
      </c>
      <c r="K189">
        <v>4</v>
      </c>
      <c r="L189" t="s">
        <v>68</v>
      </c>
      <c r="M189" t="s">
        <v>86</v>
      </c>
      <c r="N189" s="4">
        <v>2958465</v>
      </c>
      <c r="P189">
        <v>0</v>
      </c>
      <c r="U189">
        <v>4</v>
      </c>
      <c r="V189">
        <v>1</v>
      </c>
      <c r="W189" t="s">
        <v>69</v>
      </c>
      <c r="X189">
        <v>0</v>
      </c>
    </row>
    <row r="190" spans="1:24" x14ac:dyDescent="0.25">
      <c r="A190">
        <v>1</v>
      </c>
      <c r="B190">
        <v>5910941013</v>
      </c>
      <c r="C190">
        <v>50</v>
      </c>
      <c r="D190" s="27">
        <v>1018359</v>
      </c>
      <c r="F190" t="s">
        <v>42</v>
      </c>
      <c r="G190">
        <v>0</v>
      </c>
      <c r="H190">
        <v>100</v>
      </c>
      <c r="K190">
        <v>0.08</v>
      </c>
      <c r="L190" t="s">
        <v>68</v>
      </c>
      <c r="M190" t="s">
        <v>86</v>
      </c>
      <c r="N190" s="4">
        <v>2958465</v>
      </c>
      <c r="P190">
        <v>0</v>
      </c>
      <c r="U190">
        <v>4</v>
      </c>
      <c r="V190">
        <v>1</v>
      </c>
      <c r="W190" t="s">
        <v>69</v>
      </c>
      <c r="X190">
        <v>0</v>
      </c>
    </row>
    <row r="191" spans="1:24" x14ac:dyDescent="0.25">
      <c r="A191">
        <v>1</v>
      </c>
      <c r="B191">
        <v>5910941013</v>
      </c>
      <c r="C191">
        <v>60</v>
      </c>
      <c r="D191" s="27">
        <v>1011929</v>
      </c>
      <c r="F191" t="s">
        <v>42</v>
      </c>
      <c r="G191">
        <v>0</v>
      </c>
      <c r="H191">
        <v>100</v>
      </c>
      <c r="K191">
        <v>2.1619999999999999</v>
      </c>
      <c r="L191" t="s">
        <v>68</v>
      </c>
      <c r="M191" t="s">
        <v>86</v>
      </c>
      <c r="N191" s="4">
        <v>2958465</v>
      </c>
      <c r="P191">
        <v>0</v>
      </c>
      <c r="U191">
        <v>4</v>
      </c>
      <c r="V191">
        <v>1</v>
      </c>
      <c r="W191" t="s">
        <v>69</v>
      </c>
      <c r="X191">
        <v>0</v>
      </c>
    </row>
    <row r="192" spans="1:24" x14ac:dyDescent="0.25">
      <c r="A192">
        <v>1</v>
      </c>
      <c r="B192">
        <v>5910941013</v>
      </c>
      <c r="C192">
        <v>70</v>
      </c>
      <c r="D192" s="27">
        <v>1020023</v>
      </c>
      <c r="F192" t="s">
        <v>42</v>
      </c>
      <c r="G192">
        <v>0</v>
      </c>
      <c r="H192">
        <v>100</v>
      </c>
      <c r="K192">
        <v>4</v>
      </c>
      <c r="L192" t="s">
        <v>68</v>
      </c>
      <c r="M192" t="s">
        <v>86</v>
      </c>
      <c r="N192" s="4">
        <v>2958465</v>
      </c>
      <c r="P192">
        <v>0</v>
      </c>
      <c r="U192">
        <v>4</v>
      </c>
      <c r="V192">
        <v>1</v>
      </c>
      <c r="W192" t="s">
        <v>69</v>
      </c>
      <c r="X192">
        <v>0</v>
      </c>
    </row>
    <row r="193" spans="1:24" x14ac:dyDescent="0.25">
      <c r="A193">
        <v>1</v>
      </c>
      <c r="B193">
        <v>5910941013</v>
      </c>
      <c r="C193">
        <v>80</v>
      </c>
      <c r="D193" s="27">
        <v>12102513</v>
      </c>
      <c r="F193" t="s">
        <v>42</v>
      </c>
      <c r="G193">
        <v>0</v>
      </c>
      <c r="H193">
        <v>100</v>
      </c>
      <c r="K193">
        <v>1</v>
      </c>
      <c r="L193" t="s">
        <v>68</v>
      </c>
      <c r="M193" t="s">
        <v>86</v>
      </c>
      <c r="N193" s="4">
        <v>2958465</v>
      </c>
      <c r="P193">
        <v>0</v>
      </c>
      <c r="U193">
        <v>4</v>
      </c>
      <c r="V193">
        <v>1</v>
      </c>
      <c r="W193" t="s">
        <v>69</v>
      </c>
      <c r="X193">
        <v>0</v>
      </c>
    </row>
    <row r="194" spans="1:24" x14ac:dyDescent="0.25">
      <c r="A194">
        <v>1</v>
      </c>
      <c r="B194">
        <v>5910941215</v>
      </c>
      <c r="C194">
        <v>10</v>
      </c>
      <c r="D194" s="27">
        <v>5959111200</v>
      </c>
      <c r="F194" t="s">
        <v>42</v>
      </c>
      <c r="G194">
        <v>0</v>
      </c>
      <c r="H194">
        <v>100</v>
      </c>
      <c r="K194">
        <v>1</v>
      </c>
      <c r="L194" t="s">
        <v>68</v>
      </c>
      <c r="M194" t="s">
        <v>86</v>
      </c>
      <c r="N194" s="4">
        <v>2958465</v>
      </c>
      <c r="P194">
        <v>0</v>
      </c>
      <c r="U194">
        <v>4</v>
      </c>
      <c r="V194">
        <v>1</v>
      </c>
      <c r="W194" t="s">
        <v>69</v>
      </c>
      <c r="X194">
        <v>0</v>
      </c>
    </row>
    <row r="195" spans="1:24" x14ac:dyDescent="0.25">
      <c r="A195">
        <v>1</v>
      </c>
      <c r="B195">
        <v>5910941215</v>
      </c>
      <c r="C195">
        <v>20</v>
      </c>
      <c r="D195" s="27">
        <v>5959141200</v>
      </c>
      <c r="F195" t="s">
        <v>42</v>
      </c>
      <c r="G195">
        <v>0</v>
      </c>
      <c r="H195">
        <v>100</v>
      </c>
      <c r="K195">
        <v>1</v>
      </c>
      <c r="L195" t="s">
        <v>68</v>
      </c>
      <c r="M195" t="s">
        <v>86</v>
      </c>
      <c r="N195" s="4">
        <v>2958465</v>
      </c>
      <c r="P195">
        <v>0</v>
      </c>
      <c r="U195">
        <v>4</v>
      </c>
      <c r="V195">
        <v>1</v>
      </c>
      <c r="W195" t="s">
        <v>69</v>
      </c>
      <c r="X195">
        <v>0</v>
      </c>
    </row>
    <row r="196" spans="1:24" x14ac:dyDescent="0.25">
      <c r="A196">
        <v>1</v>
      </c>
      <c r="B196">
        <v>5910941215</v>
      </c>
      <c r="C196">
        <v>30</v>
      </c>
      <c r="D196" s="27">
        <v>5950111200</v>
      </c>
      <c r="F196" t="s">
        <v>42</v>
      </c>
      <c r="G196">
        <v>0</v>
      </c>
      <c r="H196">
        <v>100</v>
      </c>
      <c r="K196">
        <v>2</v>
      </c>
      <c r="L196" t="s">
        <v>68</v>
      </c>
      <c r="M196" t="s">
        <v>86</v>
      </c>
      <c r="N196" s="4">
        <v>2958465</v>
      </c>
      <c r="P196">
        <v>0</v>
      </c>
      <c r="U196">
        <v>4</v>
      </c>
      <c r="V196">
        <v>1</v>
      </c>
      <c r="W196" t="s">
        <v>69</v>
      </c>
      <c r="X196">
        <v>0</v>
      </c>
    </row>
    <row r="197" spans="1:24" x14ac:dyDescent="0.25">
      <c r="A197">
        <v>1</v>
      </c>
      <c r="B197">
        <v>5910941215</v>
      </c>
      <c r="C197">
        <v>40</v>
      </c>
      <c r="D197" s="27">
        <v>1018034</v>
      </c>
      <c r="F197" t="s">
        <v>42</v>
      </c>
      <c r="G197">
        <v>0</v>
      </c>
      <c r="H197">
        <v>100</v>
      </c>
      <c r="K197">
        <v>4</v>
      </c>
      <c r="L197" t="s">
        <v>68</v>
      </c>
      <c r="M197" t="s">
        <v>86</v>
      </c>
      <c r="N197" s="4">
        <v>2958465</v>
      </c>
      <c r="P197">
        <v>0</v>
      </c>
      <c r="U197">
        <v>4</v>
      </c>
      <c r="V197">
        <v>1</v>
      </c>
      <c r="W197" t="s">
        <v>69</v>
      </c>
      <c r="X197">
        <v>0</v>
      </c>
    </row>
    <row r="198" spans="1:24" x14ac:dyDescent="0.25">
      <c r="A198">
        <v>1</v>
      </c>
      <c r="B198">
        <v>5910941215</v>
      </c>
      <c r="C198">
        <v>50</v>
      </c>
      <c r="D198" s="27">
        <v>1018359</v>
      </c>
      <c r="F198" t="s">
        <v>42</v>
      </c>
      <c r="G198">
        <v>0</v>
      </c>
      <c r="H198">
        <v>100</v>
      </c>
      <c r="K198">
        <v>0.08</v>
      </c>
      <c r="L198" t="s">
        <v>68</v>
      </c>
      <c r="M198" t="s">
        <v>86</v>
      </c>
      <c r="N198" s="4">
        <v>2958465</v>
      </c>
      <c r="P198">
        <v>0</v>
      </c>
      <c r="U198">
        <v>4</v>
      </c>
      <c r="V198">
        <v>1</v>
      </c>
      <c r="W198" t="s">
        <v>69</v>
      </c>
      <c r="X198">
        <v>0</v>
      </c>
    </row>
    <row r="199" spans="1:24" x14ac:dyDescent="0.25">
      <c r="A199">
        <v>1</v>
      </c>
      <c r="B199">
        <v>5910941215</v>
      </c>
      <c r="C199">
        <v>60</v>
      </c>
      <c r="D199" s="27">
        <v>1011929</v>
      </c>
      <c r="F199" t="s">
        <v>42</v>
      </c>
      <c r="G199">
        <v>0</v>
      </c>
      <c r="H199">
        <v>100</v>
      </c>
      <c r="K199">
        <v>2.1619999999999999</v>
      </c>
      <c r="L199" t="s">
        <v>68</v>
      </c>
      <c r="M199" t="s">
        <v>86</v>
      </c>
      <c r="N199" s="4">
        <v>2958465</v>
      </c>
      <c r="P199">
        <v>0</v>
      </c>
      <c r="U199">
        <v>4</v>
      </c>
      <c r="V199">
        <v>1</v>
      </c>
      <c r="W199" t="s">
        <v>69</v>
      </c>
      <c r="X199">
        <v>0</v>
      </c>
    </row>
    <row r="200" spans="1:24" x14ac:dyDescent="0.25">
      <c r="A200">
        <v>1</v>
      </c>
      <c r="B200">
        <v>5910941215</v>
      </c>
      <c r="C200">
        <v>70</v>
      </c>
      <c r="D200" s="27">
        <v>1020023</v>
      </c>
      <c r="F200" t="s">
        <v>42</v>
      </c>
      <c r="G200">
        <v>0</v>
      </c>
      <c r="H200">
        <v>100</v>
      </c>
      <c r="K200">
        <v>4</v>
      </c>
      <c r="L200" t="s">
        <v>68</v>
      </c>
      <c r="M200" t="s">
        <v>86</v>
      </c>
      <c r="N200" s="4">
        <v>2958465</v>
      </c>
      <c r="P200">
        <v>0</v>
      </c>
      <c r="U200">
        <v>4</v>
      </c>
      <c r="V200">
        <v>1</v>
      </c>
      <c r="W200" t="s">
        <v>69</v>
      </c>
      <c r="X200">
        <v>0</v>
      </c>
    </row>
    <row r="201" spans="1:24" x14ac:dyDescent="0.25">
      <c r="A201">
        <v>1</v>
      </c>
      <c r="B201">
        <v>5910941215</v>
      </c>
      <c r="C201">
        <v>80</v>
      </c>
      <c r="D201" s="27">
        <v>12102515</v>
      </c>
      <c r="F201" t="s">
        <v>42</v>
      </c>
      <c r="G201">
        <v>0</v>
      </c>
      <c r="H201">
        <v>100</v>
      </c>
      <c r="K201">
        <v>1</v>
      </c>
      <c r="L201" t="s">
        <v>68</v>
      </c>
      <c r="M201" t="s">
        <v>86</v>
      </c>
      <c r="N201" s="4">
        <v>2958465</v>
      </c>
      <c r="P201">
        <v>0</v>
      </c>
      <c r="U201">
        <v>4</v>
      </c>
      <c r="V201">
        <v>1</v>
      </c>
      <c r="W201" t="s">
        <v>69</v>
      </c>
      <c r="X201">
        <v>0</v>
      </c>
    </row>
    <row r="202" spans="1:24" x14ac:dyDescent="0.25">
      <c r="A202">
        <v>1</v>
      </c>
      <c r="B202">
        <v>5910941315</v>
      </c>
      <c r="C202">
        <v>10</v>
      </c>
      <c r="D202" s="27">
        <v>5959111300</v>
      </c>
      <c r="F202" t="s">
        <v>42</v>
      </c>
      <c r="G202">
        <v>0</v>
      </c>
      <c r="H202">
        <v>100</v>
      </c>
      <c r="K202">
        <v>1</v>
      </c>
      <c r="L202" t="s">
        <v>68</v>
      </c>
      <c r="M202" t="s">
        <v>86</v>
      </c>
      <c r="N202" s="4">
        <v>2958465</v>
      </c>
      <c r="P202">
        <v>0</v>
      </c>
      <c r="U202">
        <v>4</v>
      </c>
      <c r="V202">
        <v>1</v>
      </c>
      <c r="W202" t="s">
        <v>69</v>
      </c>
      <c r="X202">
        <v>0</v>
      </c>
    </row>
    <row r="203" spans="1:24" x14ac:dyDescent="0.25">
      <c r="A203">
        <v>1</v>
      </c>
      <c r="B203">
        <v>5910941315</v>
      </c>
      <c r="C203">
        <v>20</v>
      </c>
      <c r="D203" s="27">
        <v>5959141300</v>
      </c>
      <c r="F203" t="s">
        <v>42</v>
      </c>
      <c r="G203">
        <v>0</v>
      </c>
      <c r="H203">
        <v>100</v>
      </c>
      <c r="K203">
        <v>1</v>
      </c>
      <c r="L203" t="s">
        <v>68</v>
      </c>
      <c r="M203" t="s">
        <v>86</v>
      </c>
      <c r="N203" s="4">
        <v>2958465</v>
      </c>
      <c r="P203">
        <v>0</v>
      </c>
      <c r="U203">
        <v>4</v>
      </c>
      <c r="V203">
        <v>1</v>
      </c>
      <c r="W203" t="s">
        <v>69</v>
      </c>
      <c r="X203">
        <v>0</v>
      </c>
    </row>
    <row r="204" spans="1:24" x14ac:dyDescent="0.25">
      <c r="A204">
        <v>1</v>
      </c>
      <c r="B204">
        <v>5910941315</v>
      </c>
      <c r="C204">
        <v>30</v>
      </c>
      <c r="D204" s="27">
        <v>5950111300</v>
      </c>
      <c r="F204" t="s">
        <v>42</v>
      </c>
      <c r="G204">
        <v>0</v>
      </c>
      <c r="H204">
        <v>100</v>
      </c>
      <c r="K204">
        <v>2</v>
      </c>
      <c r="L204" t="s">
        <v>68</v>
      </c>
      <c r="M204" t="s">
        <v>86</v>
      </c>
      <c r="N204" s="4">
        <v>2958465</v>
      </c>
      <c r="P204">
        <v>0</v>
      </c>
      <c r="U204">
        <v>4</v>
      </c>
      <c r="V204">
        <v>1</v>
      </c>
      <c r="W204" t="s">
        <v>69</v>
      </c>
      <c r="X204">
        <v>0</v>
      </c>
    </row>
    <row r="205" spans="1:24" x14ac:dyDescent="0.25">
      <c r="A205">
        <v>1</v>
      </c>
      <c r="B205">
        <v>5910941315</v>
      </c>
      <c r="C205">
        <v>40</v>
      </c>
      <c r="D205" s="27">
        <v>1018034</v>
      </c>
      <c r="F205" t="s">
        <v>42</v>
      </c>
      <c r="G205">
        <v>0</v>
      </c>
      <c r="H205">
        <v>100</v>
      </c>
      <c r="K205">
        <v>4</v>
      </c>
      <c r="L205" t="s">
        <v>68</v>
      </c>
      <c r="M205" t="s">
        <v>86</v>
      </c>
      <c r="N205" s="4">
        <v>2958465</v>
      </c>
      <c r="P205">
        <v>0</v>
      </c>
      <c r="U205">
        <v>4</v>
      </c>
      <c r="V205">
        <v>1</v>
      </c>
      <c r="W205" t="s">
        <v>69</v>
      </c>
      <c r="X205">
        <v>0</v>
      </c>
    </row>
    <row r="206" spans="1:24" x14ac:dyDescent="0.25">
      <c r="A206">
        <v>1</v>
      </c>
      <c r="B206">
        <v>5910941315</v>
      </c>
      <c r="C206">
        <v>50</v>
      </c>
      <c r="D206" s="27">
        <v>1018359</v>
      </c>
      <c r="F206" t="s">
        <v>42</v>
      </c>
      <c r="G206">
        <v>0</v>
      </c>
      <c r="H206">
        <v>100</v>
      </c>
      <c r="K206">
        <v>0.08</v>
      </c>
      <c r="L206" t="s">
        <v>68</v>
      </c>
      <c r="M206" t="s">
        <v>86</v>
      </c>
      <c r="N206" s="4">
        <v>2958465</v>
      </c>
      <c r="P206">
        <v>0</v>
      </c>
      <c r="U206">
        <v>4</v>
      </c>
      <c r="V206">
        <v>1</v>
      </c>
      <c r="W206" t="s">
        <v>69</v>
      </c>
      <c r="X206">
        <v>0</v>
      </c>
    </row>
    <row r="207" spans="1:24" x14ac:dyDescent="0.25">
      <c r="A207">
        <v>1</v>
      </c>
      <c r="B207">
        <v>5910941315</v>
      </c>
      <c r="C207">
        <v>60</v>
      </c>
      <c r="D207" s="27">
        <v>1011929</v>
      </c>
      <c r="F207" t="s">
        <v>42</v>
      </c>
      <c r="G207">
        <v>0</v>
      </c>
      <c r="H207">
        <v>100</v>
      </c>
      <c r="K207">
        <v>2.1619999999999999</v>
      </c>
      <c r="L207" t="s">
        <v>68</v>
      </c>
      <c r="M207" t="s">
        <v>86</v>
      </c>
      <c r="N207" s="4">
        <v>2958465</v>
      </c>
      <c r="P207">
        <v>0</v>
      </c>
      <c r="U207">
        <v>4</v>
      </c>
      <c r="V207">
        <v>1</v>
      </c>
      <c r="W207" t="s">
        <v>69</v>
      </c>
      <c r="X207">
        <v>0</v>
      </c>
    </row>
    <row r="208" spans="1:24" x14ac:dyDescent="0.25">
      <c r="A208">
        <v>1</v>
      </c>
      <c r="B208">
        <v>5910941315</v>
      </c>
      <c r="C208">
        <v>70</v>
      </c>
      <c r="D208" s="27">
        <v>1020023</v>
      </c>
      <c r="F208" t="s">
        <v>42</v>
      </c>
      <c r="G208">
        <v>0</v>
      </c>
      <c r="H208">
        <v>100</v>
      </c>
      <c r="K208">
        <v>4</v>
      </c>
      <c r="L208" t="s">
        <v>68</v>
      </c>
      <c r="M208" t="s">
        <v>86</v>
      </c>
      <c r="N208" s="4">
        <v>2958465</v>
      </c>
      <c r="P208">
        <v>0</v>
      </c>
      <c r="U208">
        <v>4</v>
      </c>
      <c r="V208">
        <v>1</v>
      </c>
      <c r="W208" t="s">
        <v>69</v>
      </c>
      <c r="X208">
        <v>0</v>
      </c>
    </row>
    <row r="209" spans="1:24" x14ac:dyDescent="0.25">
      <c r="A209">
        <v>1</v>
      </c>
      <c r="B209">
        <v>5910941315</v>
      </c>
      <c r="C209">
        <v>80</v>
      </c>
      <c r="D209" s="27">
        <v>12102515</v>
      </c>
      <c r="F209" t="s">
        <v>42</v>
      </c>
      <c r="G209">
        <v>0</v>
      </c>
      <c r="H209">
        <v>100</v>
      </c>
      <c r="K209">
        <v>1</v>
      </c>
      <c r="L209" t="s">
        <v>68</v>
      </c>
      <c r="M209" t="s">
        <v>86</v>
      </c>
      <c r="N209" s="4">
        <v>2958465</v>
      </c>
      <c r="P209">
        <v>0</v>
      </c>
      <c r="U209">
        <v>4</v>
      </c>
      <c r="V209">
        <v>1</v>
      </c>
      <c r="W209" t="s">
        <v>69</v>
      </c>
      <c r="X209">
        <v>0</v>
      </c>
    </row>
    <row r="210" spans="1:24" x14ac:dyDescent="0.25">
      <c r="A210">
        <v>1</v>
      </c>
      <c r="B210">
        <v>5910941815</v>
      </c>
      <c r="C210">
        <v>10</v>
      </c>
      <c r="D210" s="27">
        <v>5959111800</v>
      </c>
      <c r="F210" t="s">
        <v>42</v>
      </c>
      <c r="G210">
        <v>0</v>
      </c>
      <c r="H210">
        <v>100</v>
      </c>
      <c r="K210">
        <v>1</v>
      </c>
      <c r="L210" t="s">
        <v>68</v>
      </c>
      <c r="M210" t="s">
        <v>86</v>
      </c>
      <c r="N210" s="4">
        <v>2958465</v>
      </c>
      <c r="P210">
        <v>0</v>
      </c>
      <c r="U210">
        <v>4</v>
      </c>
      <c r="V210">
        <v>1</v>
      </c>
      <c r="W210" t="s">
        <v>69</v>
      </c>
      <c r="X210">
        <v>0</v>
      </c>
    </row>
    <row r="211" spans="1:24" x14ac:dyDescent="0.25">
      <c r="A211">
        <v>1</v>
      </c>
      <c r="B211">
        <v>5910941815</v>
      </c>
      <c r="C211">
        <v>20</v>
      </c>
      <c r="D211" s="27">
        <v>5959141800</v>
      </c>
      <c r="F211" t="s">
        <v>42</v>
      </c>
      <c r="G211">
        <v>0</v>
      </c>
      <c r="H211">
        <v>100</v>
      </c>
      <c r="K211">
        <v>1</v>
      </c>
      <c r="L211" t="s">
        <v>68</v>
      </c>
      <c r="M211" t="s">
        <v>86</v>
      </c>
      <c r="N211" s="4">
        <v>2958465</v>
      </c>
      <c r="P211">
        <v>0</v>
      </c>
      <c r="U211">
        <v>4</v>
      </c>
      <c r="V211">
        <v>1</v>
      </c>
      <c r="W211" t="s">
        <v>69</v>
      </c>
      <c r="X211">
        <v>0</v>
      </c>
    </row>
    <row r="212" spans="1:24" x14ac:dyDescent="0.25">
      <c r="A212">
        <v>1</v>
      </c>
      <c r="B212">
        <v>5910941815</v>
      </c>
      <c r="C212">
        <v>30</v>
      </c>
      <c r="D212" s="27">
        <v>5950111800</v>
      </c>
      <c r="F212" t="s">
        <v>42</v>
      </c>
      <c r="G212">
        <v>0</v>
      </c>
      <c r="H212">
        <v>100</v>
      </c>
      <c r="K212">
        <v>2</v>
      </c>
      <c r="L212" t="s">
        <v>68</v>
      </c>
      <c r="M212" t="s">
        <v>86</v>
      </c>
      <c r="N212" s="4">
        <v>2958465</v>
      </c>
      <c r="P212">
        <v>0</v>
      </c>
      <c r="U212">
        <v>4</v>
      </c>
      <c r="V212">
        <v>1</v>
      </c>
      <c r="W212" t="s">
        <v>69</v>
      </c>
      <c r="X212">
        <v>0</v>
      </c>
    </row>
    <row r="213" spans="1:24" x14ac:dyDescent="0.25">
      <c r="A213">
        <v>1</v>
      </c>
      <c r="B213">
        <v>5910941815</v>
      </c>
      <c r="C213">
        <v>40</v>
      </c>
      <c r="D213" s="27">
        <v>1018034</v>
      </c>
      <c r="F213" t="s">
        <v>42</v>
      </c>
      <c r="G213">
        <v>0</v>
      </c>
      <c r="H213">
        <v>100</v>
      </c>
      <c r="K213">
        <v>4</v>
      </c>
      <c r="L213" t="s">
        <v>68</v>
      </c>
      <c r="M213" t="s">
        <v>86</v>
      </c>
      <c r="N213" s="4">
        <v>2958465</v>
      </c>
      <c r="P213">
        <v>0</v>
      </c>
      <c r="U213">
        <v>4</v>
      </c>
      <c r="V213">
        <v>1</v>
      </c>
      <c r="W213" t="s">
        <v>69</v>
      </c>
      <c r="X213">
        <v>0</v>
      </c>
    </row>
    <row r="214" spans="1:24" x14ac:dyDescent="0.25">
      <c r="A214">
        <v>1</v>
      </c>
      <c r="B214">
        <v>5910941815</v>
      </c>
      <c r="C214">
        <v>50</v>
      </c>
      <c r="D214" s="27">
        <v>1018359</v>
      </c>
      <c r="F214" t="s">
        <v>42</v>
      </c>
      <c r="G214">
        <v>0</v>
      </c>
      <c r="H214">
        <v>100</v>
      </c>
      <c r="K214">
        <v>0.08</v>
      </c>
      <c r="L214" t="s">
        <v>68</v>
      </c>
      <c r="M214" t="s">
        <v>86</v>
      </c>
      <c r="N214" s="4">
        <v>2958465</v>
      </c>
      <c r="P214">
        <v>0</v>
      </c>
      <c r="U214">
        <v>4</v>
      </c>
      <c r="V214">
        <v>1</v>
      </c>
      <c r="W214" t="s">
        <v>69</v>
      </c>
      <c r="X214">
        <v>0</v>
      </c>
    </row>
    <row r="215" spans="1:24" x14ac:dyDescent="0.25">
      <c r="A215">
        <v>1</v>
      </c>
      <c r="B215">
        <v>5910941815</v>
      </c>
      <c r="C215">
        <v>60</v>
      </c>
      <c r="D215" s="27">
        <v>1011929</v>
      </c>
      <c r="F215" t="s">
        <v>42</v>
      </c>
      <c r="G215">
        <v>0</v>
      </c>
      <c r="H215">
        <v>100</v>
      </c>
      <c r="K215">
        <v>2.1619999999999999</v>
      </c>
      <c r="L215" t="s">
        <v>68</v>
      </c>
      <c r="M215" t="s">
        <v>86</v>
      </c>
      <c r="N215" s="4">
        <v>2958465</v>
      </c>
      <c r="P215">
        <v>0</v>
      </c>
      <c r="U215">
        <v>4</v>
      </c>
      <c r="V215">
        <v>1</v>
      </c>
      <c r="W215" t="s">
        <v>69</v>
      </c>
      <c r="X215">
        <v>0</v>
      </c>
    </row>
    <row r="216" spans="1:24" x14ac:dyDescent="0.25">
      <c r="A216">
        <v>1</v>
      </c>
      <c r="B216">
        <v>5910941815</v>
      </c>
      <c r="C216">
        <v>70</v>
      </c>
      <c r="D216" s="27">
        <v>1020023</v>
      </c>
      <c r="F216" t="s">
        <v>42</v>
      </c>
      <c r="G216">
        <v>0</v>
      </c>
      <c r="H216">
        <v>100</v>
      </c>
      <c r="K216">
        <v>4</v>
      </c>
      <c r="L216" t="s">
        <v>68</v>
      </c>
      <c r="M216" t="s">
        <v>86</v>
      </c>
      <c r="N216" s="4">
        <v>2958465</v>
      </c>
      <c r="P216">
        <v>0</v>
      </c>
      <c r="U216">
        <v>4</v>
      </c>
      <c r="V216">
        <v>1</v>
      </c>
      <c r="W216" t="s">
        <v>69</v>
      </c>
      <c r="X216">
        <v>0</v>
      </c>
    </row>
    <row r="217" spans="1:24" x14ac:dyDescent="0.25">
      <c r="A217">
        <v>1</v>
      </c>
      <c r="B217">
        <v>5910941815</v>
      </c>
      <c r="C217">
        <v>80</v>
      </c>
      <c r="D217" s="27">
        <v>12102515</v>
      </c>
      <c r="F217" t="s">
        <v>42</v>
      </c>
      <c r="G217">
        <v>0</v>
      </c>
      <c r="H217">
        <v>100</v>
      </c>
      <c r="K217">
        <v>1</v>
      </c>
      <c r="L217" t="s">
        <v>68</v>
      </c>
      <c r="M217" t="s">
        <v>86</v>
      </c>
      <c r="N217" s="4">
        <v>2958465</v>
      </c>
      <c r="P217">
        <v>0</v>
      </c>
      <c r="U217">
        <v>4</v>
      </c>
      <c r="V217">
        <v>1</v>
      </c>
      <c r="W217" t="s">
        <v>69</v>
      </c>
      <c r="X217">
        <v>0</v>
      </c>
    </row>
    <row r="218" spans="1:24" x14ac:dyDescent="0.25">
      <c r="A218">
        <v>1</v>
      </c>
      <c r="B218">
        <v>5910941015</v>
      </c>
      <c r="C218">
        <v>10</v>
      </c>
      <c r="D218" s="27">
        <v>5959111000</v>
      </c>
      <c r="F218" t="s">
        <v>42</v>
      </c>
      <c r="G218">
        <v>0</v>
      </c>
      <c r="H218">
        <v>100</v>
      </c>
      <c r="K218">
        <v>1</v>
      </c>
      <c r="L218" t="s">
        <v>68</v>
      </c>
      <c r="M218" t="s">
        <v>86</v>
      </c>
      <c r="N218" s="4">
        <v>2958465</v>
      </c>
      <c r="P218">
        <v>0</v>
      </c>
      <c r="U218">
        <v>4</v>
      </c>
      <c r="V218">
        <v>1</v>
      </c>
      <c r="W218" t="s">
        <v>69</v>
      </c>
      <c r="X218">
        <v>0</v>
      </c>
    </row>
    <row r="219" spans="1:24" x14ac:dyDescent="0.25">
      <c r="A219">
        <v>1</v>
      </c>
      <c r="B219">
        <v>5910941015</v>
      </c>
      <c r="C219">
        <v>20</v>
      </c>
      <c r="D219" s="27">
        <v>5959141000</v>
      </c>
      <c r="F219" t="s">
        <v>42</v>
      </c>
      <c r="G219">
        <v>0</v>
      </c>
      <c r="H219">
        <v>100</v>
      </c>
      <c r="K219">
        <v>1</v>
      </c>
      <c r="L219" t="s">
        <v>68</v>
      </c>
      <c r="M219" t="s">
        <v>86</v>
      </c>
      <c r="N219" s="4">
        <v>2958465</v>
      </c>
      <c r="P219">
        <v>0</v>
      </c>
      <c r="U219">
        <v>4</v>
      </c>
      <c r="V219">
        <v>1</v>
      </c>
      <c r="W219" t="s">
        <v>69</v>
      </c>
      <c r="X219">
        <v>0</v>
      </c>
    </row>
    <row r="220" spans="1:24" x14ac:dyDescent="0.25">
      <c r="A220">
        <v>1</v>
      </c>
      <c r="B220">
        <v>5910941015</v>
      </c>
      <c r="C220">
        <v>30</v>
      </c>
      <c r="D220" s="27">
        <v>5950111000</v>
      </c>
      <c r="F220" t="s">
        <v>42</v>
      </c>
      <c r="G220">
        <v>0</v>
      </c>
      <c r="H220">
        <v>100</v>
      </c>
      <c r="K220">
        <v>2</v>
      </c>
      <c r="L220" t="s">
        <v>68</v>
      </c>
      <c r="M220" t="s">
        <v>86</v>
      </c>
      <c r="N220" s="4">
        <v>2958465</v>
      </c>
      <c r="P220">
        <v>0</v>
      </c>
      <c r="U220">
        <v>4</v>
      </c>
      <c r="V220">
        <v>1</v>
      </c>
      <c r="W220" t="s">
        <v>69</v>
      </c>
      <c r="X220">
        <v>0</v>
      </c>
    </row>
    <row r="221" spans="1:24" x14ac:dyDescent="0.25">
      <c r="A221">
        <v>1</v>
      </c>
      <c r="B221">
        <v>5910941015</v>
      </c>
      <c r="C221">
        <v>40</v>
      </c>
      <c r="D221" s="27">
        <v>1018034</v>
      </c>
      <c r="F221" t="s">
        <v>42</v>
      </c>
      <c r="G221">
        <v>0</v>
      </c>
      <c r="H221">
        <v>100</v>
      </c>
      <c r="K221">
        <v>4</v>
      </c>
      <c r="L221" t="s">
        <v>68</v>
      </c>
      <c r="M221" t="s">
        <v>86</v>
      </c>
      <c r="N221" s="4">
        <v>2958465</v>
      </c>
      <c r="P221">
        <v>0</v>
      </c>
      <c r="U221">
        <v>4</v>
      </c>
      <c r="V221">
        <v>1</v>
      </c>
      <c r="W221" t="s">
        <v>69</v>
      </c>
      <c r="X221">
        <v>0</v>
      </c>
    </row>
    <row r="222" spans="1:24" x14ac:dyDescent="0.25">
      <c r="A222">
        <v>1</v>
      </c>
      <c r="B222">
        <v>5910941015</v>
      </c>
      <c r="C222">
        <v>50</v>
      </c>
      <c r="D222" s="27">
        <v>1018359</v>
      </c>
      <c r="F222" t="s">
        <v>42</v>
      </c>
      <c r="G222">
        <v>0</v>
      </c>
      <c r="H222">
        <v>100</v>
      </c>
      <c r="K222">
        <v>0.08</v>
      </c>
      <c r="L222" t="s">
        <v>68</v>
      </c>
      <c r="M222" t="s">
        <v>86</v>
      </c>
      <c r="N222" s="4">
        <v>2958465</v>
      </c>
      <c r="P222">
        <v>0</v>
      </c>
      <c r="U222">
        <v>4</v>
      </c>
      <c r="V222">
        <v>1</v>
      </c>
      <c r="W222" t="s">
        <v>69</v>
      </c>
      <c r="X222">
        <v>0</v>
      </c>
    </row>
    <row r="223" spans="1:24" x14ac:dyDescent="0.25">
      <c r="A223">
        <v>1</v>
      </c>
      <c r="B223">
        <v>5910941015</v>
      </c>
      <c r="C223">
        <v>60</v>
      </c>
      <c r="D223" s="27">
        <v>1011929</v>
      </c>
      <c r="F223" t="s">
        <v>42</v>
      </c>
      <c r="G223">
        <v>0</v>
      </c>
      <c r="H223">
        <v>100</v>
      </c>
      <c r="K223">
        <v>2.1619999999999999</v>
      </c>
      <c r="L223" t="s">
        <v>68</v>
      </c>
      <c r="M223" t="s">
        <v>86</v>
      </c>
      <c r="N223" s="4">
        <v>2958465</v>
      </c>
      <c r="P223">
        <v>0</v>
      </c>
      <c r="U223">
        <v>4</v>
      </c>
      <c r="V223">
        <v>1</v>
      </c>
      <c r="W223" t="s">
        <v>69</v>
      </c>
      <c r="X223">
        <v>0</v>
      </c>
    </row>
    <row r="224" spans="1:24" x14ac:dyDescent="0.25">
      <c r="A224">
        <v>1</v>
      </c>
      <c r="B224">
        <v>5910941015</v>
      </c>
      <c r="C224">
        <v>70</v>
      </c>
      <c r="D224" s="27">
        <v>1020023</v>
      </c>
      <c r="F224" t="s">
        <v>42</v>
      </c>
      <c r="G224">
        <v>0</v>
      </c>
      <c r="H224">
        <v>100</v>
      </c>
      <c r="K224">
        <v>4</v>
      </c>
      <c r="L224" t="s">
        <v>68</v>
      </c>
      <c r="M224" t="s">
        <v>86</v>
      </c>
      <c r="N224" s="4">
        <v>2958465</v>
      </c>
      <c r="P224">
        <v>0</v>
      </c>
      <c r="U224">
        <v>4</v>
      </c>
      <c r="V224">
        <v>1</v>
      </c>
      <c r="W224" t="s">
        <v>69</v>
      </c>
      <c r="X224">
        <v>0</v>
      </c>
    </row>
    <row r="225" spans="1:24" x14ac:dyDescent="0.25">
      <c r="A225">
        <v>1</v>
      </c>
      <c r="B225">
        <v>5910941015</v>
      </c>
      <c r="C225">
        <v>80</v>
      </c>
      <c r="D225" s="27">
        <v>12102515</v>
      </c>
      <c r="F225" t="s">
        <v>42</v>
      </c>
      <c r="G225">
        <v>0</v>
      </c>
      <c r="H225">
        <v>100</v>
      </c>
      <c r="K225">
        <v>1</v>
      </c>
      <c r="L225" t="s">
        <v>68</v>
      </c>
      <c r="M225" t="s">
        <v>86</v>
      </c>
      <c r="N225" s="4">
        <v>2958465</v>
      </c>
      <c r="P225">
        <v>0</v>
      </c>
      <c r="U225">
        <v>4</v>
      </c>
      <c r="V225">
        <v>1</v>
      </c>
      <c r="W225" t="s">
        <v>69</v>
      </c>
      <c r="X225">
        <v>0</v>
      </c>
    </row>
    <row r="226" spans="1:24" x14ac:dyDescent="0.25">
      <c r="A226">
        <v>1</v>
      </c>
      <c r="B226">
        <v>5910941238</v>
      </c>
      <c r="C226">
        <v>10</v>
      </c>
      <c r="D226" s="27">
        <v>5959111200</v>
      </c>
      <c r="F226" t="s">
        <v>42</v>
      </c>
      <c r="G226">
        <v>0</v>
      </c>
      <c r="H226">
        <v>100</v>
      </c>
      <c r="K226">
        <v>1</v>
      </c>
      <c r="L226" t="s">
        <v>68</v>
      </c>
      <c r="M226" t="s">
        <v>86</v>
      </c>
      <c r="N226" s="4">
        <v>2958465</v>
      </c>
      <c r="P226">
        <v>0</v>
      </c>
      <c r="U226">
        <v>4</v>
      </c>
      <c r="V226">
        <v>1</v>
      </c>
      <c r="W226" t="s">
        <v>69</v>
      </c>
      <c r="X226">
        <v>0</v>
      </c>
    </row>
    <row r="227" spans="1:24" x14ac:dyDescent="0.25">
      <c r="A227">
        <v>1</v>
      </c>
      <c r="B227">
        <v>5910941238</v>
      </c>
      <c r="C227">
        <v>20</v>
      </c>
      <c r="D227" s="27">
        <v>5959141200</v>
      </c>
      <c r="F227" t="s">
        <v>42</v>
      </c>
      <c r="G227">
        <v>0</v>
      </c>
      <c r="H227">
        <v>100</v>
      </c>
      <c r="K227">
        <v>1</v>
      </c>
      <c r="L227" t="s">
        <v>68</v>
      </c>
      <c r="M227" t="s">
        <v>86</v>
      </c>
      <c r="N227" s="4">
        <v>2958465</v>
      </c>
      <c r="P227">
        <v>0</v>
      </c>
      <c r="U227">
        <v>4</v>
      </c>
      <c r="V227">
        <v>1</v>
      </c>
      <c r="W227" t="s">
        <v>69</v>
      </c>
      <c r="X227">
        <v>0</v>
      </c>
    </row>
    <row r="228" spans="1:24" x14ac:dyDescent="0.25">
      <c r="A228">
        <v>1</v>
      </c>
      <c r="B228">
        <v>5910941238</v>
      </c>
      <c r="C228">
        <v>30</v>
      </c>
      <c r="D228" s="27">
        <v>5950111200</v>
      </c>
      <c r="F228" t="s">
        <v>42</v>
      </c>
      <c r="G228">
        <v>0</v>
      </c>
      <c r="H228">
        <v>100</v>
      </c>
      <c r="K228">
        <v>2</v>
      </c>
      <c r="L228" t="s">
        <v>68</v>
      </c>
      <c r="M228" t="s">
        <v>86</v>
      </c>
      <c r="N228" s="4">
        <v>2958465</v>
      </c>
      <c r="P228">
        <v>0</v>
      </c>
      <c r="U228">
        <v>4</v>
      </c>
      <c r="V228">
        <v>1</v>
      </c>
      <c r="W228" t="s">
        <v>69</v>
      </c>
      <c r="X228">
        <v>0</v>
      </c>
    </row>
    <row r="229" spans="1:24" x14ac:dyDescent="0.25">
      <c r="A229">
        <v>1</v>
      </c>
      <c r="B229">
        <v>5910941238</v>
      </c>
      <c r="C229">
        <v>40</v>
      </c>
      <c r="D229" s="27">
        <v>1018034</v>
      </c>
      <c r="F229" t="s">
        <v>42</v>
      </c>
      <c r="G229">
        <v>0</v>
      </c>
      <c r="H229">
        <v>100</v>
      </c>
      <c r="K229">
        <v>4</v>
      </c>
      <c r="L229" t="s">
        <v>68</v>
      </c>
      <c r="M229" t="s">
        <v>86</v>
      </c>
      <c r="N229" s="4">
        <v>2958465</v>
      </c>
      <c r="P229">
        <v>0</v>
      </c>
      <c r="U229">
        <v>4</v>
      </c>
      <c r="V229">
        <v>1</v>
      </c>
      <c r="W229" t="s">
        <v>69</v>
      </c>
      <c r="X229">
        <v>0</v>
      </c>
    </row>
    <row r="230" spans="1:24" x14ac:dyDescent="0.25">
      <c r="A230">
        <v>1</v>
      </c>
      <c r="B230">
        <v>5910941238</v>
      </c>
      <c r="C230">
        <v>50</v>
      </c>
      <c r="D230" s="27">
        <v>1018359</v>
      </c>
      <c r="F230" t="s">
        <v>42</v>
      </c>
      <c r="G230">
        <v>0</v>
      </c>
      <c r="H230">
        <v>100</v>
      </c>
      <c r="K230">
        <v>0.08</v>
      </c>
      <c r="L230" t="s">
        <v>68</v>
      </c>
      <c r="M230" t="s">
        <v>86</v>
      </c>
      <c r="N230" s="4">
        <v>2958465</v>
      </c>
      <c r="P230">
        <v>0</v>
      </c>
      <c r="U230">
        <v>4</v>
      </c>
      <c r="V230">
        <v>1</v>
      </c>
      <c r="W230" t="s">
        <v>69</v>
      </c>
      <c r="X230">
        <v>0</v>
      </c>
    </row>
    <row r="231" spans="1:24" x14ac:dyDescent="0.25">
      <c r="A231">
        <v>1</v>
      </c>
      <c r="B231">
        <v>5910941238</v>
      </c>
      <c r="C231">
        <v>60</v>
      </c>
      <c r="D231" s="27">
        <v>1011929</v>
      </c>
      <c r="F231" t="s">
        <v>42</v>
      </c>
      <c r="G231">
        <v>0</v>
      </c>
      <c r="H231">
        <v>100</v>
      </c>
      <c r="K231">
        <v>2.1619999999999999</v>
      </c>
      <c r="L231" t="s">
        <v>68</v>
      </c>
      <c r="M231" t="s">
        <v>86</v>
      </c>
      <c r="N231" s="4">
        <v>2958465</v>
      </c>
      <c r="P231">
        <v>0</v>
      </c>
      <c r="U231">
        <v>4</v>
      </c>
      <c r="V231">
        <v>1</v>
      </c>
      <c r="W231" t="s">
        <v>69</v>
      </c>
      <c r="X231">
        <v>0</v>
      </c>
    </row>
    <row r="232" spans="1:24" x14ac:dyDescent="0.25">
      <c r="A232">
        <v>1</v>
      </c>
      <c r="B232">
        <v>5910941238</v>
      </c>
      <c r="C232">
        <v>70</v>
      </c>
      <c r="D232" s="27">
        <v>1020023</v>
      </c>
      <c r="F232" t="s">
        <v>42</v>
      </c>
      <c r="G232">
        <v>0</v>
      </c>
      <c r="H232">
        <v>100</v>
      </c>
      <c r="K232">
        <v>4</v>
      </c>
      <c r="L232" t="s">
        <v>68</v>
      </c>
      <c r="M232" t="s">
        <v>86</v>
      </c>
      <c r="N232" s="4">
        <v>2958465</v>
      </c>
      <c r="P232">
        <v>0</v>
      </c>
      <c r="U232">
        <v>4</v>
      </c>
      <c r="V232">
        <v>1</v>
      </c>
      <c r="W232" t="s">
        <v>69</v>
      </c>
      <c r="X232">
        <v>0</v>
      </c>
    </row>
    <row r="233" spans="1:24" x14ac:dyDescent="0.25">
      <c r="A233">
        <v>1</v>
      </c>
      <c r="B233">
        <v>5910941238</v>
      </c>
      <c r="C233">
        <v>80</v>
      </c>
      <c r="D233" s="27">
        <v>12102538</v>
      </c>
      <c r="F233" t="s">
        <v>42</v>
      </c>
      <c r="G233">
        <v>0</v>
      </c>
      <c r="H233">
        <v>100</v>
      </c>
      <c r="K233">
        <v>1</v>
      </c>
      <c r="L233" t="s">
        <v>68</v>
      </c>
      <c r="M233" t="s">
        <v>86</v>
      </c>
      <c r="N233" s="4">
        <v>2958465</v>
      </c>
      <c r="P233">
        <v>0</v>
      </c>
      <c r="U233">
        <v>4</v>
      </c>
      <c r="V233">
        <v>1</v>
      </c>
      <c r="W233" t="s">
        <v>69</v>
      </c>
      <c r="X233">
        <v>0</v>
      </c>
    </row>
    <row r="234" spans="1:24" x14ac:dyDescent="0.25">
      <c r="A234">
        <v>1</v>
      </c>
      <c r="B234">
        <v>5910941338</v>
      </c>
      <c r="C234">
        <v>10</v>
      </c>
      <c r="D234" s="27">
        <v>5959111300</v>
      </c>
      <c r="F234" t="s">
        <v>42</v>
      </c>
      <c r="G234">
        <v>0</v>
      </c>
      <c r="H234">
        <v>100</v>
      </c>
      <c r="K234">
        <v>1</v>
      </c>
      <c r="L234" t="s">
        <v>68</v>
      </c>
      <c r="M234" t="s">
        <v>86</v>
      </c>
      <c r="N234" s="4">
        <v>2958465</v>
      </c>
      <c r="P234">
        <v>0</v>
      </c>
      <c r="U234">
        <v>4</v>
      </c>
      <c r="V234">
        <v>1</v>
      </c>
      <c r="W234" t="s">
        <v>69</v>
      </c>
      <c r="X234">
        <v>0</v>
      </c>
    </row>
    <row r="235" spans="1:24" x14ac:dyDescent="0.25">
      <c r="A235">
        <v>1</v>
      </c>
      <c r="B235">
        <v>5910941338</v>
      </c>
      <c r="C235">
        <v>20</v>
      </c>
      <c r="D235" s="27">
        <v>5959141300</v>
      </c>
      <c r="F235" t="s">
        <v>42</v>
      </c>
      <c r="G235">
        <v>0</v>
      </c>
      <c r="H235">
        <v>100</v>
      </c>
      <c r="K235">
        <v>1</v>
      </c>
      <c r="L235" t="s">
        <v>68</v>
      </c>
      <c r="M235" t="s">
        <v>86</v>
      </c>
      <c r="N235" s="4">
        <v>2958465</v>
      </c>
      <c r="P235">
        <v>0</v>
      </c>
      <c r="U235">
        <v>4</v>
      </c>
      <c r="V235">
        <v>1</v>
      </c>
      <c r="W235" t="s">
        <v>69</v>
      </c>
      <c r="X235">
        <v>0</v>
      </c>
    </row>
    <row r="236" spans="1:24" x14ac:dyDescent="0.25">
      <c r="A236">
        <v>1</v>
      </c>
      <c r="B236">
        <v>5910941338</v>
      </c>
      <c r="C236">
        <v>30</v>
      </c>
      <c r="D236" s="27">
        <v>5950111300</v>
      </c>
      <c r="F236" t="s">
        <v>42</v>
      </c>
      <c r="G236">
        <v>0</v>
      </c>
      <c r="H236">
        <v>100</v>
      </c>
      <c r="K236">
        <v>2</v>
      </c>
      <c r="L236" t="s">
        <v>68</v>
      </c>
      <c r="M236" t="s">
        <v>86</v>
      </c>
      <c r="N236" s="4">
        <v>2958465</v>
      </c>
      <c r="P236">
        <v>0</v>
      </c>
      <c r="U236">
        <v>4</v>
      </c>
      <c r="V236">
        <v>1</v>
      </c>
      <c r="W236" t="s">
        <v>69</v>
      </c>
      <c r="X236">
        <v>0</v>
      </c>
    </row>
    <row r="237" spans="1:24" x14ac:dyDescent="0.25">
      <c r="A237">
        <v>1</v>
      </c>
      <c r="B237">
        <v>5910941338</v>
      </c>
      <c r="C237">
        <v>40</v>
      </c>
      <c r="D237" s="27">
        <v>1018034</v>
      </c>
      <c r="F237" t="s">
        <v>42</v>
      </c>
      <c r="G237">
        <v>0</v>
      </c>
      <c r="H237">
        <v>100</v>
      </c>
      <c r="K237">
        <v>4</v>
      </c>
      <c r="L237" t="s">
        <v>68</v>
      </c>
      <c r="M237" t="s">
        <v>86</v>
      </c>
      <c r="N237" s="4">
        <v>2958465</v>
      </c>
      <c r="P237">
        <v>0</v>
      </c>
      <c r="U237">
        <v>4</v>
      </c>
      <c r="V237">
        <v>1</v>
      </c>
      <c r="W237" t="s">
        <v>69</v>
      </c>
      <c r="X237">
        <v>0</v>
      </c>
    </row>
    <row r="238" spans="1:24" x14ac:dyDescent="0.25">
      <c r="A238">
        <v>1</v>
      </c>
      <c r="B238">
        <v>5910941338</v>
      </c>
      <c r="C238">
        <v>50</v>
      </c>
      <c r="D238" s="27">
        <v>1018359</v>
      </c>
      <c r="F238" t="s">
        <v>42</v>
      </c>
      <c r="G238">
        <v>0</v>
      </c>
      <c r="H238">
        <v>100</v>
      </c>
      <c r="K238">
        <v>0.08</v>
      </c>
      <c r="L238" t="s">
        <v>68</v>
      </c>
      <c r="M238" t="s">
        <v>86</v>
      </c>
      <c r="N238" s="4">
        <v>2958465</v>
      </c>
      <c r="P238">
        <v>0</v>
      </c>
      <c r="U238">
        <v>4</v>
      </c>
      <c r="V238">
        <v>1</v>
      </c>
      <c r="W238" t="s">
        <v>69</v>
      </c>
      <c r="X238">
        <v>0</v>
      </c>
    </row>
    <row r="239" spans="1:24" x14ac:dyDescent="0.25">
      <c r="A239">
        <v>1</v>
      </c>
      <c r="B239">
        <v>5910941338</v>
      </c>
      <c r="C239">
        <v>60</v>
      </c>
      <c r="D239" s="27">
        <v>1011929</v>
      </c>
      <c r="F239" t="s">
        <v>42</v>
      </c>
      <c r="G239">
        <v>0</v>
      </c>
      <c r="H239">
        <v>100</v>
      </c>
      <c r="K239">
        <v>2.1619999999999999</v>
      </c>
      <c r="L239" t="s">
        <v>68</v>
      </c>
      <c r="M239" t="s">
        <v>86</v>
      </c>
      <c r="N239" s="4">
        <v>2958465</v>
      </c>
      <c r="P239">
        <v>0</v>
      </c>
      <c r="U239">
        <v>4</v>
      </c>
      <c r="V239">
        <v>1</v>
      </c>
      <c r="W239" t="s">
        <v>69</v>
      </c>
      <c r="X239">
        <v>0</v>
      </c>
    </row>
    <row r="240" spans="1:24" x14ac:dyDescent="0.25">
      <c r="A240">
        <v>1</v>
      </c>
      <c r="B240">
        <v>5910941338</v>
      </c>
      <c r="C240">
        <v>70</v>
      </c>
      <c r="D240" s="27">
        <v>1020023</v>
      </c>
      <c r="F240" t="s">
        <v>42</v>
      </c>
      <c r="G240">
        <v>0</v>
      </c>
      <c r="H240">
        <v>100</v>
      </c>
      <c r="K240">
        <v>4</v>
      </c>
      <c r="L240" t="s">
        <v>68</v>
      </c>
      <c r="M240" t="s">
        <v>86</v>
      </c>
      <c r="N240" s="4">
        <v>2958465</v>
      </c>
      <c r="P240">
        <v>0</v>
      </c>
      <c r="U240">
        <v>4</v>
      </c>
      <c r="V240">
        <v>1</v>
      </c>
      <c r="W240" t="s">
        <v>69</v>
      </c>
      <c r="X240">
        <v>0</v>
      </c>
    </row>
    <row r="241" spans="1:24" x14ac:dyDescent="0.25">
      <c r="A241">
        <v>1</v>
      </c>
      <c r="B241">
        <v>5910941338</v>
      </c>
      <c r="C241">
        <v>80</v>
      </c>
      <c r="D241" s="27">
        <v>12102538</v>
      </c>
      <c r="F241" t="s">
        <v>42</v>
      </c>
      <c r="G241">
        <v>0</v>
      </c>
      <c r="H241">
        <v>100</v>
      </c>
      <c r="K241">
        <v>1</v>
      </c>
      <c r="L241" t="s">
        <v>68</v>
      </c>
      <c r="M241" t="s">
        <v>86</v>
      </c>
      <c r="N241" s="4">
        <v>2958465</v>
      </c>
      <c r="P241">
        <v>0</v>
      </c>
      <c r="U241">
        <v>4</v>
      </c>
      <c r="V241">
        <v>1</v>
      </c>
      <c r="W241" t="s">
        <v>69</v>
      </c>
      <c r="X241">
        <v>0</v>
      </c>
    </row>
    <row r="242" spans="1:24" x14ac:dyDescent="0.25">
      <c r="A242">
        <v>1</v>
      </c>
      <c r="B242">
        <v>5910941838</v>
      </c>
      <c r="C242">
        <v>10</v>
      </c>
      <c r="D242" s="27">
        <v>5959111800</v>
      </c>
      <c r="F242" t="s">
        <v>42</v>
      </c>
      <c r="G242">
        <v>0</v>
      </c>
      <c r="H242">
        <v>100</v>
      </c>
      <c r="K242">
        <v>1</v>
      </c>
      <c r="L242" t="s">
        <v>68</v>
      </c>
      <c r="M242" t="s">
        <v>86</v>
      </c>
      <c r="N242" s="4">
        <v>2958465</v>
      </c>
      <c r="P242">
        <v>0</v>
      </c>
      <c r="U242">
        <v>4</v>
      </c>
      <c r="V242">
        <v>1</v>
      </c>
      <c r="W242" t="s">
        <v>69</v>
      </c>
      <c r="X242">
        <v>0</v>
      </c>
    </row>
    <row r="243" spans="1:24" x14ac:dyDescent="0.25">
      <c r="A243">
        <v>1</v>
      </c>
      <c r="B243">
        <v>5910941838</v>
      </c>
      <c r="C243">
        <v>20</v>
      </c>
      <c r="D243" s="27">
        <v>5959141800</v>
      </c>
      <c r="F243" t="s">
        <v>42</v>
      </c>
      <c r="G243">
        <v>0</v>
      </c>
      <c r="H243">
        <v>100</v>
      </c>
      <c r="K243">
        <v>1</v>
      </c>
      <c r="L243" t="s">
        <v>68</v>
      </c>
      <c r="M243" t="s">
        <v>86</v>
      </c>
      <c r="N243" s="4">
        <v>2958465</v>
      </c>
      <c r="P243">
        <v>0</v>
      </c>
      <c r="U243">
        <v>4</v>
      </c>
      <c r="V243">
        <v>1</v>
      </c>
      <c r="W243" t="s">
        <v>69</v>
      </c>
      <c r="X243">
        <v>0</v>
      </c>
    </row>
    <row r="244" spans="1:24" x14ac:dyDescent="0.25">
      <c r="A244">
        <v>1</v>
      </c>
      <c r="B244">
        <v>5910941838</v>
      </c>
      <c r="C244">
        <v>30</v>
      </c>
      <c r="D244" s="27">
        <v>5950111800</v>
      </c>
      <c r="F244" t="s">
        <v>42</v>
      </c>
      <c r="G244">
        <v>0</v>
      </c>
      <c r="H244">
        <v>100</v>
      </c>
      <c r="K244">
        <v>2</v>
      </c>
      <c r="L244" t="s">
        <v>68</v>
      </c>
      <c r="M244" t="s">
        <v>86</v>
      </c>
      <c r="N244" s="4">
        <v>2958465</v>
      </c>
      <c r="P244">
        <v>0</v>
      </c>
      <c r="U244">
        <v>4</v>
      </c>
      <c r="V244">
        <v>1</v>
      </c>
      <c r="W244" t="s">
        <v>69</v>
      </c>
      <c r="X244">
        <v>0</v>
      </c>
    </row>
    <row r="245" spans="1:24" x14ac:dyDescent="0.25">
      <c r="A245">
        <v>1</v>
      </c>
      <c r="B245">
        <v>5910941838</v>
      </c>
      <c r="C245">
        <v>40</v>
      </c>
      <c r="D245" s="27">
        <v>1018034</v>
      </c>
      <c r="F245" t="s">
        <v>42</v>
      </c>
      <c r="G245">
        <v>0</v>
      </c>
      <c r="H245">
        <v>100</v>
      </c>
      <c r="K245">
        <v>4</v>
      </c>
      <c r="L245" t="s">
        <v>68</v>
      </c>
      <c r="M245" t="s">
        <v>86</v>
      </c>
      <c r="N245" s="4">
        <v>2958465</v>
      </c>
      <c r="P245">
        <v>0</v>
      </c>
      <c r="U245">
        <v>4</v>
      </c>
      <c r="V245">
        <v>1</v>
      </c>
      <c r="W245" t="s">
        <v>69</v>
      </c>
      <c r="X245">
        <v>0</v>
      </c>
    </row>
    <row r="246" spans="1:24" x14ac:dyDescent="0.25">
      <c r="A246">
        <v>1</v>
      </c>
      <c r="B246">
        <v>5910941838</v>
      </c>
      <c r="C246">
        <v>50</v>
      </c>
      <c r="D246" s="27">
        <v>1018359</v>
      </c>
      <c r="F246" t="s">
        <v>42</v>
      </c>
      <c r="G246">
        <v>0</v>
      </c>
      <c r="H246">
        <v>100</v>
      </c>
      <c r="K246">
        <v>0.08</v>
      </c>
      <c r="L246" t="s">
        <v>68</v>
      </c>
      <c r="M246" t="s">
        <v>86</v>
      </c>
      <c r="N246" s="4">
        <v>2958465</v>
      </c>
      <c r="P246">
        <v>0</v>
      </c>
      <c r="U246">
        <v>4</v>
      </c>
      <c r="V246">
        <v>1</v>
      </c>
      <c r="W246" t="s">
        <v>69</v>
      </c>
      <c r="X246">
        <v>0</v>
      </c>
    </row>
    <row r="247" spans="1:24" x14ac:dyDescent="0.25">
      <c r="A247">
        <v>1</v>
      </c>
      <c r="B247">
        <v>5910941838</v>
      </c>
      <c r="C247">
        <v>60</v>
      </c>
      <c r="D247" s="27">
        <v>1011929</v>
      </c>
      <c r="F247" t="s">
        <v>42</v>
      </c>
      <c r="G247">
        <v>0</v>
      </c>
      <c r="H247">
        <v>100</v>
      </c>
      <c r="K247">
        <v>2.1619999999999999</v>
      </c>
      <c r="L247" t="s">
        <v>68</v>
      </c>
      <c r="M247" t="s">
        <v>86</v>
      </c>
      <c r="N247" s="4">
        <v>2958465</v>
      </c>
      <c r="P247">
        <v>0</v>
      </c>
      <c r="U247">
        <v>4</v>
      </c>
      <c r="V247">
        <v>1</v>
      </c>
      <c r="W247" t="s">
        <v>69</v>
      </c>
      <c r="X247">
        <v>0</v>
      </c>
    </row>
    <row r="248" spans="1:24" x14ac:dyDescent="0.25">
      <c r="A248">
        <v>1</v>
      </c>
      <c r="B248">
        <v>5910941838</v>
      </c>
      <c r="C248">
        <v>70</v>
      </c>
      <c r="D248" s="27">
        <v>1020023</v>
      </c>
      <c r="F248" t="s">
        <v>42</v>
      </c>
      <c r="G248">
        <v>0</v>
      </c>
      <c r="H248">
        <v>100</v>
      </c>
      <c r="K248">
        <v>4</v>
      </c>
      <c r="L248" t="s">
        <v>68</v>
      </c>
      <c r="M248" t="s">
        <v>86</v>
      </c>
      <c r="N248" s="4">
        <v>2958465</v>
      </c>
      <c r="P248">
        <v>0</v>
      </c>
      <c r="U248">
        <v>4</v>
      </c>
      <c r="V248">
        <v>1</v>
      </c>
      <c r="W248" t="s">
        <v>69</v>
      </c>
      <c r="X248">
        <v>0</v>
      </c>
    </row>
    <row r="249" spans="1:24" x14ac:dyDescent="0.25">
      <c r="A249">
        <v>1</v>
      </c>
      <c r="B249">
        <v>5910941838</v>
      </c>
      <c r="C249">
        <v>80</v>
      </c>
      <c r="D249" s="27">
        <v>12102538</v>
      </c>
      <c r="F249" t="s">
        <v>42</v>
      </c>
      <c r="G249">
        <v>0</v>
      </c>
      <c r="H249">
        <v>100</v>
      </c>
      <c r="K249">
        <v>1</v>
      </c>
      <c r="L249" t="s">
        <v>68</v>
      </c>
      <c r="M249" t="s">
        <v>86</v>
      </c>
      <c r="N249" s="4">
        <v>2958465</v>
      </c>
      <c r="P249">
        <v>0</v>
      </c>
      <c r="U249">
        <v>4</v>
      </c>
      <c r="V249">
        <v>1</v>
      </c>
      <c r="W249" t="s">
        <v>69</v>
      </c>
      <c r="X249">
        <v>0</v>
      </c>
    </row>
    <row r="250" spans="1:24" x14ac:dyDescent="0.25">
      <c r="A250">
        <v>1</v>
      </c>
      <c r="B250">
        <v>5910941038</v>
      </c>
      <c r="C250">
        <v>10</v>
      </c>
      <c r="D250" s="27">
        <v>5959111000</v>
      </c>
      <c r="F250" t="s">
        <v>42</v>
      </c>
      <c r="G250">
        <v>0</v>
      </c>
      <c r="H250">
        <v>100</v>
      </c>
      <c r="K250">
        <v>1</v>
      </c>
      <c r="L250" t="s">
        <v>68</v>
      </c>
      <c r="M250" t="s">
        <v>86</v>
      </c>
      <c r="N250" s="4">
        <v>2958465</v>
      </c>
      <c r="P250">
        <v>0</v>
      </c>
      <c r="U250">
        <v>4</v>
      </c>
      <c r="V250">
        <v>1</v>
      </c>
      <c r="W250" t="s">
        <v>69</v>
      </c>
      <c r="X250">
        <v>0</v>
      </c>
    </row>
    <row r="251" spans="1:24" x14ac:dyDescent="0.25">
      <c r="A251">
        <v>1</v>
      </c>
      <c r="B251">
        <v>5910941038</v>
      </c>
      <c r="C251">
        <v>20</v>
      </c>
      <c r="D251" s="27">
        <v>5959141000</v>
      </c>
      <c r="F251" t="s">
        <v>42</v>
      </c>
      <c r="G251">
        <v>0</v>
      </c>
      <c r="H251">
        <v>100</v>
      </c>
      <c r="K251">
        <v>1</v>
      </c>
      <c r="L251" t="s">
        <v>68</v>
      </c>
      <c r="M251" t="s">
        <v>86</v>
      </c>
      <c r="N251" s="4">
        <v>2958465</v>
      </c>
      <c r="P251">
        <v>0</v>
      </c>
      <c r="U251">
        <v>4</v>
      </c>
      <c r="V251">
        <v>1</v>
      </c>
      <c r="W251" t="s">
        <v>69</v>
      </c>
      <c r="X251">
        <v>0</v>
      </c>
    </row>
    <row r="252" spans="1:24" x14ac:dyDescent="0.25">
      <c r="A252">
        <v>1</v>
      </c>
      <c r="B252">
        <v>5910941038</v>
      </c>
      <c r="C252">
        <v>30</v>
      </c>
      <c r="D252" s="27">
        <v>5950111000</v>
      </c>
      <c r="F252" t="s">
        <v>42</v>
      </c>
      <c r="G252">
        <v>0</v>
      </c>
      <c r="H252">
        <v>100</v>
      </c>
      <c r="K252">
        <v>2</v>
      </c>
      <c r="L252" t="s">
        <v>68</v>
      </c>
      <c r="M252" t="s">
        <v>86</v>
      </c>
      <c r="N252" s="4">
        <v>2958465</v>
      </c>
      <c r="P252">
        <v>0</v>
      </c>
      <c r="U252">
        <v>4</v>
      </c>
      <c r="V252">
        <v>1</v>
      </c>
      <c r="W252" t="s">
        <v>69</v>
      </c>
      <c r="X252">
        <v>0</v>
      </c>
    </row>
    <row r="253" spans="1:24" x14ac:dyDescent="0.25">
      <c r="A253">
        <v>1</v>
      </c>
      <c r="B253">
        <v>5910941038</v>
      </c>
      <c r="C253">
        <v>40</v>
      </c>
      <c r="D253" s="27">
        <v>1018034</v>
      </c>
      <c r="F253" t="s">
        <v>42</v>
      </c>
      <c r="G253">
        <v>0</v>
      </c>
      <c r="H253">
        <v>100</v>
      </c>
      <c r="K253">
        <v>4</v>
      </c>
      <c r="L253" t="s">
        <v>68</v>
      </c>
      <c r="M253" t="s">
        <v>86</v>
      </c>
      <c r="N253" s="4">
        <v>2958465</v>
      </c>
      <c r="P253">
        <v>0</v>
      </c>
      <c r="U253">
        <v>4</v>
      </c>
      <c r="V253">
        <v>1</v>
      </c>
      <c r="W253" t="s">
        <v>69</v>
      </c>
      <c r="X253">
        <v>0</v>
      </c>
    </row>
    <row r="254" spans="1:24" x14ac:dyDescent="0.25">
      <c r="A254">
        <v>1</v>
      </c>
      <c r="B254">
        <v>5910941038</v>
      </c>
      <c r="C254">
        <v>50</v>
      </c>
      <c r="D254" s="27">
        <v>1018359</v>
      </c>
      <c r="F254" t="s">
        <v>42</v>
      </c>
      <c r="G254">
        <v>0</v>
      </c>
      <c r="H254">
        <v>100</v>
      </c>
      <c r="K254">
        <v>0.08</v>
      </c>
      <c r="L254" t="s">
        <v>68</v>
      </c>
      <c r="M254" t="s">
        <v>86</v>
      </c>
      <c r="N254" s="4">
        <v>2958465</v>
      </c>
      <c r="P254">
        <v>0</v>
      </c>
      <c r="U254">
        <v>4</v>
      </c>
      <c r="V254">
        <v>1</v>
      </c>
      <c r="W254" t="s">
        <v>69</v>
      </c>
      <c r="X254">
        <v>0</v>
      </c>
    </row>
    <row r="255" spans="1:24" x14ac:dyDescent="0.25">
      <c r="A255">
        <v>1</v>
      </c>
      <c r="B255">
        <v>5910941038</v>
      </c>
      <c r="C255">
        <v>60</v>
      </c>
      <c r="D255" s="27">
        <v>1011929</v>
      </c>
      <c r="F255" t="s">
        <v>42</v>
      </c>
      <c r="G255">
        <v>0</v>
      </c>
      <c r="H255">
        <v>100</v>
      </c>
      <c r="K255">
        <v>2.1619999999999999</v>
      </c>
      <c r="L255" t="s">
        <v>68</v>
      </c>
      <c r="M255" t="s">
        <v>86</v>
      </c>
      <c r="N255" s="4">
        <v>2958465</v>
      </c>
      <c r="P255">
        <v>0</v>
      </c>
      <c r="U255">
        <v>4</v>
      </c>
      <c r="V255">
        <v>1</v>
      </c>
      <c r="W255" t="s">
        <v>69</v>
      </c>
      <c r="X255">
        <v>0</v>
      </c>
    </row>
    <row r="256" spans="1:24" x14ac:dyDescent="0.25">
      <c r="A256">
        <v>1</v>
      </c>
      <c r="B256">
        <v>5910941038</v>
      </c>
      <c r="C256">
        <v>70</v>
      </c>
      <c r="D256" s="27">
        <v>1020023</v>
      </c>
      <c r="F256" t="s">
        <v>42</v>
      </c>
      <c r="G256">
        <v>0</v>
      </c>
      <c r="H256">
        <v>100</v>
      </c>
      <c r="K256">
        <v>4</v>
      </c>
      <c r="L256" t="s">
        <v>68</v>
      </c>
      <c r="M256" t="s">
        <v>86</v>
      </c>
      <c r="N256" s="4">
        <v>2958465</v>
      </c>
      <c r="P256">
        <v>0</v>
      </c>
      <c r="U256">
        <v>4</v>
      </c>
      <c r="V256">
        <v>1</v>
      </c>
      <c r="W256" t="s">
        <v>69</v>
      </c>
      <c r="X256">
        <v>0</v>
      </c>
    </row>
    <row r="257" spans="1:24" x14ac:dyDescent="0.25">
      <c r="A257">
        <v>1</v>
      </c>
      <c r="B257">
        <v>5910941038</v>
      </c>
      <c r="C257">
        <v>80</v>
      </c>
      <c r="D257" s="27">
        <v>12102538</v>
      </c>
      <c r="F257" t="s">
        <v>42</v>
      </c>
      <c r="G257">
        <v>0</v>
      </c>
      <c r="H257">
        <v>100</v>
      </c>
      <c r="K257">
        <v>1</v>
      </c>
      <c r="L257" t="s">
        <v>68</v>
      </c>
      <c r="M257" t="s">
        <v>86</v>
      </c>
      <c r="N257" s="4">
        <v>2958465</v>
      </c>
      <c r="P257">
        <v>0</v>
      </c>
      <c r="U257">
        <v>4</v>
      </c>
      <c r="V257">
        <v>1</v>
      </c>
      <c r="W257" t="s">
        <v>69</v>
      </c>
      <c r="X257">
        <v>0</v>
      </c>
    </row>
    <row r="258" spans="1:24" x14ac:dyDescent="0.25">
      <c r="A258">
        <v>1</v>
      </c>
      <c r="B258">
        <v>5910941244</v>
      </c>
      <c r="C258">
        <v>10</v>
      </c>
      <c r="D258" s="27">
        <v>5959111200</v>
      </c>
      <c r="F258" t="s">
        <v>42</v>
      </c>
      <c r="G258">
        <v>0</v>
      </c>
      <c r="H258">
        <v>100</v>
      </c>
      <c r="K258">
        <v>1</v>
      </c>
      <c r="L258" t="s">
        <v>68</v>
      </c>
      <c r="M258" t="s">
        <v>86</v>
      </c>
      <c r="N258" s="4">
        <v>2958465</v>
      </c>
      <c r="P258">
        <v>0</v>
      </c>
      <c r="U258">
        <v>4</v>
      </c>
      <c r="V258">
        <v>1</v>
      </c>
      <c r="W258" t="s">
        <v>69</v>
      </c>
      <c r="X258">
        <v>0</v>
      </c>
    </row>
    <row r="259" spans="1:24" x14ac:dyDescent="0.25">
      <c r="A259">
        <v>1</v>
      </c>
      <c r="B259">
        <v>5910941244</v>
      </c>
      <c r="C259">
        <v>20</v>
      </c>
      <c r="D259" s="27">
        <v>5959141200</v>
      </c>
      <c r="F259" t="s">
        <v>42</v>
      </c>
      <c r="G259">
        <v>0</v>
      </c>
      <c r="H259">
        <v>100</v>
      </c>
      <c r="K259">
        <v>1</v>
      </c>
      <c r="L259" t="s">
        <v>68</v>
      </c>
      <c r="M259" t="s">
        <v>86</v>
      </c>
      <c r="N259" s="4">
        <v>2958465</v>
      </c>
      <c r="P259">
        <v>0</v>
      </c>
      <c r="U259">
        <v>4</v>
      </c>
      <c r="V259">
        <v>1</v>
      </c>
      <c r="W259" t="s">
        <v>69</v>
      </c>
      <c r="X259">
        <v>0</v>
      </c>
    </row>
    <row r="260" spans="1:24" x14ac:dyDescent="0.25">
      <c r="A260">
        <v>1</v>
      </c>
      <c r="B260">
        <v>5910941244</v>
      </c>
      <c r="C260">
        <v>30</v>
      </c>
      <c r="D260" s="27">
        <v>5950111200</v>
      </c>
      <c r="F260" t="s">
        <v>42</v>
      </c>
      <c r="G260">
        <v>0</v>
      </c>
      <c r="H260">
        <v>100</v>
      </c>
      <c r="K260">
        <v>2</v>
      </c>
      <c r="L260" t="s">
        <v>68</v>
      </c>
      <c r="M260" t="s">
        <v>86</v>
      </c>
      <c r="N260" s="4">
        <v>2958465</v>
      </c>
      <c r="P260">
        <v>0</v>
      </c>
      <c r="U260">
        <v>4</v>
      </c>
      <c r="V260">
        <v>1</v>
      </c>
      <c r="W260" t="s">
        <v>69</v>
      </c>
      <c r="X260">
        <v>0</v>
      </c>
    </row>
    <row r="261" spans="1:24" x14ac:dyDescent="0.25">
      <c r="A261">
        <v>1</v>
      </c>
      <c r="B261">
        <v>5910941244</v>
      </c>
      <c r="C261">
        <v>40</v>
      </c>
      <c r="D261" s="27">
        <v>1018034</v>
      </c>
      <c r="F261" t="s">
        <v>42</v>
      </c>
      <c r="G261">
        <v>0</v>
      </c>
      <c r="H261">
        <v>100</v>
      </c>
      <c r="K261">
        <v>4</v>
      </c>
      <c r="L261" t="s">
        <v>68</v>
      </c>
      <c r="M261" t="s">
        <v>86</v>
      </c>
      <c r="N261" s="4">
        <v>2958465</v>
      </c>
      <c r="P261">
        <v>0</v>
      </c>
      <c r="U261">
        <v>4</v>
      </c>
      <c r="V261">
        <v>1</v>
      </c>
      <c r="W261" t="s">
        <v>69</v>
      </c>
      <c r="X261">
        <v>0</v>
      </c>
    </row>
    <row r="262" spans="1:24" x14ac:dyDescent="0.25">
      <c r="A262">
        <v>1</v>
      </c>
      <c r="B262">
        <v>5910941244</v>
      </c>
      <c r="C262">
        <v>50</v>
      </c>
      <c r="D262" s="27">
        <v>1018359</v>
      </c>
      <c r="F262" t="s">
        <v>42</v>
      </c>
      <c r="G262">
        <v>0</v>
      </c>
      <c r="H262">
        <v>100</v>
      </c>
      <c r="K262">
        <v>0.08</v>
      </c>
      <c r="L262" t="s">
        <v>68</v>
      </c>
      <c r="M262" t="s">
        <v>86</v>
      </c>
      <c r="N262" s="4">
        <v>2958465</v>
      </c>
      <c r="P262">
        <v>0</v>
      </c>
      <c r="U262">
        <v>4</v>
      </c>
      <c r="V262">
        <v>1</v>
      </c>
      <c r="W262" t="s">
        <v>69</v>
      </c>
      <c r="X262">
        <v>0</v>
      </c>
    </row>
    <row r="263" spans="1:24" x14ac:dyDescent="0.25">
      <c r="A263">
        <v>1</v>
      </c>
      <c r="B263">
        <v>5910941244</v>
      </c>
      <c r="C263">
        <v>60</v>
      </c>
      <c r="D263" s="27">
        <v>1011929</v>
      </c>
      <c r="F263" t="s">
        <v>42</v>
      </c>
      <c r="G263">
        <v>0</v>
      </c>
      <c r="H263">
        <v>100</v>
      </c>
      <c r="K263">
        <v>2.1619999999999999</v>
      </c>
      <c r="L263" t="s">
        <v>68</v>
      </c>
      <c r="M263" t="s">
        <v>86</v>
      </c>
      <c r="N263" s="4">
        <v>2958465</v>
      </c>
      <c r="P263">
        <v>0</v>
      </c>
      <c r="U263">
        <v>4</v>
      </c>
      <c r="V263">
        <v>1</v>
      </c>
      <c r="W263" t="s">
        <v>69</v>
      </c>
      <c r="X263">
        <v>0</v>
      </c>
    </row>
    <row r="264" spans="1:24" x14ac:dyDescent="0.25">
      <c r="A264">
        <v>1</v>
      </c>
      <c r="B264">
        <v>5910941244</v>
      </c>
      <c r="C264">
        <v>70</v>
      </c>
      <c r="D264" s="27">
        <v>1020023</v>
      </c>
      <c r="F264" t="s">
        <v>42</v>
      </c>
      <c r="G264">
        <v>0</v>
      </c>
      <c r="H264">
        <v>100</v>
      </c>
      <c r="K264">
        <v>4</v>
      </c>
      <c r="L264" t="s">
        <v>68</v>
      </c>
      <c r="M264" t="s">
        <v>86</v>
      </c>
      <c r="N264" s="4">
        <v>2958465</v>
      </c>
      <c r="P264">
        <v>0</v>
      </c>
      <c r="U264">
        <v>4</v>
      </c>
      <c r="V264">
        <v>1</v>
      </c>
      <c r="W264" t="s">
        <v>69</v>
      </c>
      <c r="X264">
        <v>0</v>
      </c>
    </row>
    <row r="265" spans="1:24" x14ac:dyDescent="0.25">
      <c r="A265">
        <v>1</v>
      </c>
      <c r="B265">
        <v>5910941244</v>
      </c>
      <c r="C265">
        <v>80</v>
      </c>
      <c r="D265" s="27">
        <v>12102544</v>
      </c>
      <c r="F265" t="s">
        <v>42</v>
      </c>
      <c r="G265">
        <v>0</v>
      </c>
      <c r="H265">
        <v>100</v>
      </c>
      <c r="K265">
        <v>1</v>
      </c>
      <c r="L265" t="s">
        <v>68</v>
      </c>
      <c r="M265" t="s">
        <v>86</v>
      </c>
      <c r="N265" s="4">
        <v>2958465</v>
      </c>
      <c r="P265">
        <v>0</v>
      </c>
      <c r="U265">
        <v>4</v>
      </c>
      <c r="V265">
        <v>1</v>
      </c>
      <c r="W265" t="s">
        <v>69</v>
      </c>
      <c r="X265">
        <v>0</v>
      </c>
    </row>
    <row r="266" spans="1:24" x14ac:dyDescent="0.25">
      <c r="A266">
        <v>1</v>
      </c>
      <c r="B266">
        <v>5910941844</v>
      </c>
      <c r="C266">
        <v>10</v>
      </c>
      <c r="D266" s="27">
        <v>5959111800</v>
      </c>
      <c r="F266" t="s">
        <v>42</v>
      </c>
      <c r="G266">
        <v>0</v>
      </c>
      <c r="H266">
        <v>100</v>
      </c>
      <c r="K266">
        <v>1</v>
      </c>
      <c r="L266" t="s">
        <v>68</v>
      </c>
      <c r="M266" t="s">
        <v>86</v>
      </c>
      <c r="N266" s="4">
        <v>2958465</v>
      </c>
      <c r="P266">
        <v>0</v>
      </c>
      <c r="U266">
        <v>4</v>
      </c>
      <c r="V266">
        <v>1</v>
      </c>
      <c r="W266" t="s">
        <v>69</v>
      </c>
      <c r="X266">
        <v>0</v>
      </c>
    </row>
    <row r="267" spans="1:24" x14ac:dyDescent="0.25">
      <c r="A267">
        <v>1</v>
      </c>
      <c r="B267">
        <v>5910941844</v>
      </c>
      <c r="C267">
        <v>20</v>
      </c>
      <c r="D267" s="27">
        <v>5959141800</v>
      </c>
      <c r="F267" t="s">
        <v>42</v>
      </c>
      <c r="G267">
        <v>0</v>
      </c>
      <c r="H267">
        <v>100</v>
      </c>
      <c r="K267">
        <v>1</v>
      </c>
      <c r="L267" t="s">
        <v>68</v>
      </c>
      <c r="M267" t="s">
        <v>86</v>
      </c>
      <c r="N267" s="4">
        <v>2958465</v>
      </c>
      <c r="P267">
        <v>0</v>
      </c>
      <c r="U267">
        <v>4</v>
      </c>
      <c r="V267">
        <v>1</v>
      </c>
      <c r="W267" t="s">
        <v>69</v>
      </c>
      <c r="X267">
        <v>0</v>
      </c>
    </row>
    <row r="268" spans="1:24" x14ac:dyDescent="0.25">
      <c r="A268">
        <v>1</v>
      </c>
      <c r="B268">
        <v>5910941844</v>
      </c>
      <c r="C268">
        <v>30</v>
      </c>
      <c r="D268" s="27">
        <v>5950111800</v>
      </c>
      <c r="F268" t="s">
        <v>42</v>
      </c>
      <c r="G268">
        <v>0</v>
      </c>
      <c r="H268">
        <v>100</v>
      </c>
      <c r="K268">
        <v>2</v>
      </c>
      <c r="L268" t="s">
        <v>68</v>
      </c>
      <c r="M268" t="s">
        <v>86</v>
      </c>
      <c r="N268" s="4">
        <v>2958465</v>
      </c>
      <c r="P268">
        <v>0</v>
      </c>
      <c r="U268">
        <v>4</v>
      </c>
      <c r="V268">
        <v>1</v>
      </c>
      <c r="W268" t="s">
        <v>69</v>
      </c>
      <c r="X268">
        <v>0</v>
      </c>
    </row>
    <row r="269" spans="1:24" x14ac:dyDescent="0.25">
      <c r="A269">
        <v>1</v>
      </c>
      <c r="B269">
        <v>5910941844</v>
      </c>
      <c r="C269">
        <v>40</v>
      </c>
      <c r="D269" s="27">
        <v>1018034</v>
      </c>
      <c r="F269" t="s">
        <v>42</v>
      </c>
      <c r="G269">
        <v>0</v>
      </c>
      <c r="H269">
        <v>100</v>
      </c>
      <c r="K269">
        <v>4</v>
      </c>
      <c r="L269" t="s">
        <v>68</v>
      </c>
      <c r="M269" t="s">
        <v>86</v>
      </c>
      <c r="N269" s="4">
        <v>2958465</v>
      </c>
      <c r="P269">
        <v>0</v>
      </c>
      <c r="U269">
        <v>4</v>
      </c>
      <c r="V269">
        <v>1</v>
      </c>
      <c r="W269" t="s">
        <v>69</v>
      </c>
      <c r="X269">
        <v>0</v>
      </c>
    </row>
    <row r="270" spans="1:24" x14ac:dyDescent="0.25">
      <c r="A270">
        <v>1</v>
      </c>
      <c r="B270">
        <v>5910941844</v>
      </c>
      <c r="C270">
        <v>50</v>
      </c>
      <c r="D270" s="27">
        <v>1018359</v>
      </c>
      <c r="F270" t="s">
        <v>42</v>
      </c>
      <c r="G270">
        <v>0</v>
      </c>
      <c r="H270">
        <v>100</v>
      </c>
      <c r="K270">
        <v>0.08</v>
      </c>
      <c r="L270" t="s">
        <v>68</v>
      </c>
      <c r="M270" t="s">
        <v>86</v>
      </c>
      <c r="N270" s="4">
        <v>2958465</v>
      </c>
      <c r="P270">
        <v>0</v>
      </c>
      <c r="U270">
        <v>4</v>
      </c>
      <c r="V270">
        <v>1</v>
      </c>
      <c r="W270" t="s">
        <v>69</v>
      </c>
      <c r="X270">
        <v>0</v>
      </c>
    </row>
    <row r="271" spans="1:24" x14ac:dyDescent="0.25">
      <c r="A271">
        <v>1</v>
      </c>
      <c r="B271">
        <v>5910941844</v>
      </c>
      <c r="C271">
        <v>60</v>
      </c>
      <c r="D271" s="27">
        <v>1011929</v>
      </c>
      <c r="F271" t="s">
        <v>42</v>
      </c>
      <c r="G271">
        <v>0</v>
      </c>
      <c r="H271">
        <v>100</v>
      </c>
      <c r="K271">
        <v>2.1619999999999999</v>
      </c>
      <c r="L271" t="s">
        <v>68</v>
      </c>
      <c r="M271" t="s">
        <v>86</v>
      </c>
      <c r="N271" s="4">
        <v>2958465</v>
      </c>
      <c r="P271">
        <v>0</v>
      </c>
      <c r="U271">
        <v>4</v>
      </c>
      <c r="V271">
        <v>1</v>
      </c>
      <c r="W271" t="s">
        <v>69</v>
      </c>
      <c r="X271">
        <v>0</v>
      </c>
    </row>
    <row r="272" spans="1:24" x14ac:dyDescent="0.25">
      <c r="A272">
        <v>1</v>
      </c>
      <c r="B272">
        <v>5910941844</v>
      </c>
      <c r="C272">
        <v>70</v>
      </c>
      <c r="D272" s="27">
        <v>1020023</v>
      </c>
      <c r="F272" t="s">
        <v>42</v>
      </c>
      <c r="G272">
        <v>0</v>
      </c>
      <c r="H272">
        <v>100</v>
      </c>
      <c r="K272">
        <v>4</v>
      </c>
      <c r="L272" t="s">
        <v>68</v>
      </c>
      <c r="M272" t="s">
        <v>86</v>
      </c>
      <c r="N272" s="4">
        <v>2958465</v>
      </c>
      <c r="P272">
        <v>0</v>
      </c>
      <c r="U272">
        <v>4</v>
      </c>
      <c r="V272">
        <v>1</v>
      </c>
      <c r="W272" t="s">
        <v>69</v>
      </c>
      <c r="X272">
        <v>0</v>
      </c>
    </row>
    <row r="273" spans="1:24" x14ac:dyDescent="0.25">
      <c r="A273">
        <v>1</v>
      </c>
      <c r="B273">
        <v>5910941844</v>
      </c>
      <c r="C273">
        <v>80</v>
      </c>
      <c r="D273" s="27">
        <v>12102544</v>
      </c>
      <c r="F273" t="s">
        <v>42</v>
      </c>
      <c r="G273">
        <v>0</v>
      </c>
      <c r="H273">
        <v>100</v>
      </c>
      <c r="K273">
        <v>1</v>
      </c>
      <c r="L273" t="s">
        <v>68</v>
      </c>
      <c r="M273" t="s">
        <v>86</v>
      </c>
      <c r="N273" s="4">
        <v>2958465</v>
      </c>
      <c r="P273">
        <v>0</v>
      </c>
      <c r="U273">
        <v>4</v>
      </c>
      <c r="V273">
        <v>1</v>
      </c>
      <c r="W273" t="s">
        <v>69</v>
      </c>
      <c r="X273">
        <v>0</v>
      </c>
    </row>
    <row r="274" spans="1:24" x14ac:dyDescent="0.25">
      <c r="A274">
        <v>1</v>
      </c>
      <c r="B274">
        <v>5910941044</v>
      </c>
      <c r="C274">
        <v>10</v>
      </c>
      <c r="D274" s="27">
        <v>5959111000</v>
      </c>
      <c r="F274" t="s">
        <v>42</v>
      </c>
      <c r="G274">
        <v>0</v>
      </c>
      <c r="H274">
        <v>100</v>
      </c>
      <c r="K274">
        <v>1</v>
      </c>
      <c r="L274" t="s">
        <v>68</v>
      </c>
      <c r="M274" t="s">
        <v>86</v>
      </c>
      <c r="N274" s="4">
        <v>2958465</v>
      </c>
      <c r="P274">
        <v>0</v>
      </c>
      <c r="U274">
        <v>4</v>
      </c>
      <c r="V274">
        <v>1</v>
      </c>
      <c r="W274" t="s">
        <v>69</v>
      </c>
      <c r="X274">
        <v>0</v>
      </c>
    </row>
    <row r="275" spans="1:24" x14ac:dyDescent="0.25">
      <c r="A275">
        <v>1</v>
      </c>
      <c r="B275">
        <v>5910941044</v>
      </c>
      <c r="C275">
        <v>20</v>
      </c>
      <c r="D275" s="27">
        <v>5959141000</v>
      </c>
      <c r="F275" t="s">
        <v>42</v>
      </c>
      <c r="G275">
        <v>0</v>
      </c>
      <c r="H275">
        <v>100</v>
      </c>
      <c r="K275">
        <v>1</v>
      </c>
      <c r="L275" t="s">
        <v>68</v>
      </c>
      <c r="M275" t="s">
        <v>86</v>
      </c>
      <c r="N275" s="4">
        <v>2958465</v>
      </c>
      <c r="P275">
        <v>0</v>
      </c>
      <c r="U275">
        <v>4</v>
      </c>
      <c r="V275">
        <v>1</v>
      </c>
      <c r="W275" t="s">
        <v>69</v>
      </c>
      <c r="X275">
        <v>0</v>
      </c>
    </row>
    <row r="276" spans="1:24" x14ac:dyDescent="0.25">
      <c r="A276">
        <v>1</v>
      </c>
      <c r="B276">
        <v>5910941044</v>
      </c>
      <c r="C276">
        <v>30</v>
      </c>
      <c r="D276" s="27">
        <v>5950111000</v>
      </c>
      <c r="F276" t="s">
        <v>42</v>
      </c>
      <c r="G276">
        <v>0</v>
      </c>
      <c r="H276">
        <v>100</v>
      </c>
      <c r="K276">
        <v>2</v>
      </c>
      <c r="L276" t="s">
        <v>68</v>
      </c>
      <c r="M276" t="s">
        <v>86</v>
      </c>
      <c r="N276" s="4">
        <v>2958465</v>
      </c>
      <c r="P276">
        <v>0</v>
      </c>
      <c r="U276">
        <v>4</v>
      </c>
      <c r="V276">
        <v>1</v>
      </c>
      <c r="W276" t="s">
        <v>69</v>
      </c>
      <c r="X276">
        <v>0</v>
      </c>
    </row>
    <row r="277" spans="1:24" x14ac:dyDescent="0.25">
      <c r="A277">
        <v>1</v>
      </c>
      <c r="B277">
        <v>5910941044</v>
      </c>
      <c r="C277">
        <v>40</v>
      </c>
      <c r="D277" s="27">
        <v>1018034</v>
      </c>
      <c r="F277" t="s">
        <v>42</v>
      </c>
      <c r="G277">
        <v>0</v>
      </c>
      <c r="H277">
        <v>100</v>
      </c>
      <c r="K277">
        <v>4</v>
      </c>
      <c r="L277" t="s">
        <v>68</v>
      </c>
      <c r="M277" t="s">
        <v>86</v>
      </c>
      <c r="N277" s="4">
        <v>2958465</v>
      </c>
      <c r="P277">
        <v>0</v>
      </c>
      <c r="U277">
        <v>4</v>
      </c>
      <c r="V277">
        <v>1</v>
      </c>
      <c r="W277" t="s">
        <v>69</v>
      </c>
      <c r="X277">
        <v>0</v>
      </c>
    </row>
    <row r="278" spans="1:24" x14ac:dyDescent="0.25">
      <c r="A278">
        <v>1</v>
      </c>
      <c r="B278">
        <v>5910941044</v>
      </c>
      <c r="C278">
        <v>50</v>
      </c>
      <c r="D278" s="27">
        <v>1018359</v>
      </c>
      <c r="F278" t="s">
        <v>42</v>
      </c>
      <c r="G278">
        <v>0</v>
      </c>
      <c r="H278">
        <v>100</v>
      </c>
      <c r="K278">
        <v>0.08</v>
      </c>
      <c r="L278" t="s">
        <v>68</v>
      </c>
      <c r="M278" t="s">
        <v>86</v>
      </c>
      <c r="N278" s="4">
        <v>2958465</v>
      </c>
      <c r="P278">
        <v>0</v>
      </c>
      <c r="U278">
        <v>4</v>
      </c>
      <c r="V278">
        <v>1</v>
      </c>
      <c r="W278" t="s">
        <v>69</v>
      </c>
      <c r="X278">
        <v>0</v>
      </c>
    </row>
    <row r="279" spans="1:24" x14ac:dyDescent="0.25">
      <c r="A279">
        <v>1</v>
      </c>
      <c r="B279">
        <v>5910941044</v>
      </c>
      <c r="C279">
        <v>60</v>
      </c>
      <c r="D279" s="27">
        <v>1011929</v>
      </c>
      <c r="F279" t="s">
        <v>42</v>
      </c>
      <c r="G279">
        <v>0</v>
      </c>
      <c r="H279">
        <v>100</v>
      </c>
      <c r="K279">
        <v>2.1619999999999999</v>
      </c>
      <c r="L279" t="s">
        <v>68</v>
      </c>
      <c r="M279" t="s">
        <v>86</v>
      </c>
      <c r="N279" s="4">
        <v>2958465</v>
      </c>
      <c r="P279">
        <v>0</v>
      </c>
      <c r="U279">
        <v>4</v>
      </c>
      <c r="V279">
        <v>1</v>
      </c>
      <c r="W279" t="s">
        <v>69</v>
      </c>
      <c r="X279">
        <v>0</v>
      </c>
    </row>
    <row r="280" spans="1:24" x14ac:dyDescent="0.25">
      <c r="A280">
        <v>1</v>
      </c>
      <c r="B280">
        <v>5910941044</v>
      </c>
      <c r="C280">
        <v>70</v>
      </c>
      <c r="D280" s="27">
        <v>1020023</v>
      </c>
      <c r="F280" t="s">
        <v>42</v>
      </c>
      <c r="G280">
        <v>0</v>
      </c>
      <c r="H280">
        <v>100</v>
      </c>
      <c r="K280">
        <v>4</v>
      </c>
      <c r="L280" t="s">
        <v>68</v>
      </c>
      <c r="M280" t="s">
        <v>86</v>
      </c>
      <c r="N280" s="4">
        <v>2958465</v>
      </c>
      <c r="P280">
        <v>0</v>
      </c>
      <c r="U280">
        <v>4</v>
      </c>
      <c r="V280">
        <v>1</v>
      </c>
      <c r="W280" t="s">
        <v>69</v>
      </c>
      <c r="X280">
        <v>0</v>
      </c>
    </row>
    <row r="281" spans="1:24" x14ac:dyDescent="0.25">
      <c r="A281">
        <v>1</v>
      </c>
      <c r="B281">
        <v>5910941044</v>
      </c>
      <c r="C281">
        <v>80</v>
      </c>
      <c r="D281" s="27">
        <v>12102544</v>
      </c>
      <c r="F281" t="s">
        <v>42</v>
      </c>
      <c r="G281">
        <v>0</v>
      </c>
      <c r="H281">
        <v>100</v>
      </c>
      <c r="K281">
        <v>1</v>
      </c>
      <c r="L281" t="s">
        <v>68</v>
      </c>
      <c r="M281" t="s">
        <v>86</v>
      </c>
      <c r="N281" s="4">
        <v>2958465</v>
      </c>
      <c r="P281">
        <v>0</v>
      </c>
      <c r="U281">
        <v>4</v>
      </c>
      <c r="V281">
        <v>1</v>
      </c>
      <c r="W281" t="s">
        <v>69</v>
      </c>
      <c r="X281">
        <v>0</v>
      </c>
    </row>
    <row r="282" spans="1:24" x14ac:dyDescent="0.25">
      <c r="A282">
        <v>1</v>
      </c>
      <c r="B282">
        <v>5910941208</v>
      </c>
      <c r="C282">
        <v>10</v>
      </c>
      <c r="D282" s="27">
        <v>5959111200</v>
      </c>
      <c r="F282" t="s">
        <v>42</v>
      </c>
      <c r="G282">
        <v>0</v>
      </c>
      <c r="H282">
        <v>100</v>
      </c>
      <c r="K282">
        <v>1</v>
      </c>
      <c r="L282" t="s">
        <v>68</v>
      </c>
      <c r="M282" t="s">
        <v>86</v>
      </c>
      <c r="N282" s="4">
        <v>2958465</v>
      </c>
      <c r="P282">
        <v>0</v>
      </c>
      <c r="U282">
        <v>4</v>
      </c>
      <c r="V282">
        <v>1</v>
      </c>
      <c r="W282" t="s">
        <v>69</v>
      </c>
      <c r="X282">
        <v>0</v>
      </c>
    </row>
    <row r="283" spans="1:24" x14ac:dyDescent="0.25">
      <c r="A283">
        <v>1</v>
      </c>
      <c r="B283">
        <v>5910941208</v>
      </c>
      <c r="C283">
        <v>20</v>
      </c>
      <c r="D283" s="27">
        <v>5959141200</v>
      </c>
      <c r="F283" t="s">
        <v>42</v>
      </c>
      <c r="G283">
        <v>0</v>
      </c>
      <c r="H283">
        <v>100</v>
      </c>
      <c r="K283">
        <v>1</v>
      </c>
      <c r="L283" t="s">
        <v>68</v>
      </c>
      <c r="M283" t="s">
        <v>86</v>
      </c>
      <c r="N283" s="4">
        <v>2958465</v>
      </c>
      <c r="P283">
        <v>0</v>
      </c>
      <c r="U283">
        <v>4</v>
      </c>
      <c r="V283">
        <v>1</v>
      </c>
      <c r="W283" t="s">
        <v>69</v>
      </c>
      <c r="X283">
        <v>0</v>
      </c>
    </row>
    <row r="284" spans="1:24" x14ac:dyDescent="0.25">
      <c r="A284">
        <v>1</v>
      </c>
      <c r="B284">
        <v>5910941208</v>
      </c>
      <c r="C284">
        <v>30</v>
      </c>
      <c r="D284" s="27">
        <v>5950111200</v>
      </c>
      <c r="F284" t="s">
        <v>42</v>
      </c>
      <c r="G284">
        <v>0</v>
      </c>
      <c r="H284">
        <v>100</v>
      </c>
      <c r="K284">
        <v>2</v>
      </c>
      <c r="L284" t="s">
        <v>68</v>
      </c>
      <c r="M284" t="s">
        <v>86</v>
      </c>
      <c r="N284" s="4">
        <v>2958465</v>
      </c>
      <c r="P284">
        <v>0</v>
      </c>
      <c r="U284">
        <v>4</v>
      </c>
      <c r="V284">
        <v>1</v>
      </c>
      <c r="W284" t="s">
        <v>69</v>
      </c>
      <c r="X284">
        <v>0</v>
      </c>
    </row>
    <row r="285" spans="1:24" x14ac:dyDescent="0.25">
      <c r="A285">
        <v>1</v>
      </c>
      <c r="B285">
        <v>5910941208</v>
      </c>
      <c r="C285">
        <v>40</v>
      </c>
      <c r="D285" s="27">
        <v>1018034</v>
      </c>
      <c r="F285" t="s">
        <v>42</v>
      </c>
      <c r="G285">
        <v>0</v>
      </c>
      <c r="H285">
        <v>100</v>
      </c>
      <c r="K285">
        <v>4</v>
      </c>
      <c r="L285" t="s">
        <v>68</v>
      </c>
      <c r="M285" t="s">
        <v>86</v>
      </c>
      <c r="N285" s="4">
        <v>2958465</v>
      </c>
      <c r="P285">
        <v>0</v>
      </c>
      <c r="U285">
        <v>4</v>
      </c>
      <c r="V285">
        <v>1</v>
      </c>
      <c r="W285" t="s">
        <v>69</v>
      </c>
      <c r="X285">
        <v>0</v>
      </c>
    </row>
    <row r="286" spans="1:24" x14ac:dyDescent="0.25">
      <c r="A286">
        <v>1</v>
      </c>
      <c r="B286">
        <v>5910941208</v>
      </c>
      <c r="C286">
        <v>50</v>
      </c>
      <c r="D286" s="27">
        <v>1018359</v>
      </c>
      <c r="F286" t="s">
        <v>42</v>
      </c>
      <c r="G286">
        <v>0</v>
      </c>
      <c r="H286">
        <v>100</v>
      </c>
      <c r="K286">
        <v>0.08</v>
      </c>
      <c r="L286" t="s">
        <v>68</v>
      </c>
      <c r="M286" t="s">
        <v>86</v>
      </c>
      <c r="N286" s="4">
        <v>2958465</v>
      </c>
      <c r="P286">
        <v>0</v>
      </c>
      <c r="U286">
        <v>4</v>
      </c>
      <c r="V286">
        <v>1</v>
      </c>
      <c r="W286" t="s">
        <v>69</v>
      </c>
      <c r="X286">
        <v>0</v>
      </c>
    </row>
    <row r="287" spans="1:24" x14ac:dyDescent="0.25">
      <c r="A287">
        <v>1</v>
      </c>
      <c r="B287">
        <v>5910941208</v>
      </c>
      <c r="C287">
        <v>60</v>
      </c>
      <c r="D287" s="27">
        <v>1011929</v>
      </c>
      <c r="F287" t="s">
        <v>42</v>
      </c>
      <c r="G287">
        <v>0</v>
      </c>
      <c r="H287">
        <v>100</v>
      </c>
      <c r="K287">
        <v>2.1619999999999999</v>
      </c>
      <c r="L287" t="s">
        <v>68</v>
      </c>
      <c r="M287" t="s">
        <v>86</v>
      </c>
      <c r="N287" s="4">
        <v>2958465</v>
      </c>
      <c r="P287">
        <v>0</v>
      </c>
      <c r="U287">
        <v>4</v>
      </c>
      <c r="V287">
        <v>1</v>
      </c>
      <c r="W287" t="s">
        <v>69</v>
      </c>
      <c r="X287">
        <v>0</v>
      </c>
    </row>
    <row r="288" spans="1:24" x14ac:dyDescent="0.25">
      <c r="A288">
        <v>1</v>
      </c>
      <c r="B288">
        <v>5910941208</v>
      </c>
      <c r="C288">
        <v>70</v>
      </c>
      <c r="D288" s="27">
        <v>1020023</v>
      </c>
      <c r="F288" t="s">
        <v>42</v>
      </c>
      <c r="G288">
        <v>0</v>
      </c>
      <c r="H288">
        <v>100</v>
      </c>
      <c r="K288">
        <v>4</v>
      </c>
      <c r="L288" t="s">
        <v>68</v>
      </c>
      <c r="M288" t="s">
        <v>86</v>
      </c>
      <c r="N288" s="4">
        <v>2958465</v>
      </c>
      <c r="P288">
        <v>0</v>
      </c>
      <c r="U288">
        <v>4</v>
      </c>
      <c r="V288">
        <v>1</v>
      </c>
      <c r="W288" t="s">
        <v>69</v>
      </c>
      <c r="X288">
        <v>0</v>
      </c>
    </row>
    <row r="289" spans="1:24" x14ac:dyDescent="0.25">
      <c r="A289">
        <v>1</v>
      </c>
      <c r="B289">
        <v>5910941208</v>
      </c>
      <c r="C289">
        <v>80</v>
      </c>
      <c r="D289" s="27">
        <v>12102508</v>
      </c>
      <c r="F289" t="s">
        <v>42</v>
      </c>
      <c r="G289">
        <v>0</v>
      </c>
      <c r="H289">
        <v>100</v>
      </c>
      <c r="K289">
        <v>1</v>
      </c>
      <c r="L289" t="s">
        <v>68</v>
      </c>
      <c r="M289" t="s">
        <v>86</v>
      </c>
      <c r="N289" s="4">
        <v>2958465</v>
      </c>
      <c r="P289">
        <v>0</v>
      </c>
      <c r="U289">
        <v>4</v>
      </c>
      <c r="V289">
        <v>1</v>
      </c>
      <c r="W289" t="s">
        <v>69</v>
      </c>
      <c r="X289">
        <v>0</v>
      </c>
    </row>
    <row r="290" spans="1:24" x14ac:dyDescent="0.25">
      <c r="A290">
        <v>1</v>
      </c>
      <c r="B290">
        <v>5910941808</v>
      </c>
      <c r="C290">
        <v>10</v>
      </c>
      <c r="D290" s="27">
        <v>5959111800</v>
      </c>
      <c r="F290" t="s">
        <v>42</v>
      </c>
      <c r="G290">
        <v>0</v>
      </c>
      <c r="H290">
        <v>100</v>
      </c>
      <c r="K290">
        <v>1</v>
      </c>
      <c r="L290" t="s">
        <v>68</v>
      </c>
      <c r="M290" t="s">
        <v>86</v>
      </c>
      <c r="N290" s="4">
        <v>2958465</v>
      </c>
      <c r="P290">
        <v>0</v>
      </c>
      <c r="U290">
        <v>4</v>
      </c>
      <c r="V290">
        <v>1</v>
      </c>
      <c r="W290" t="s">
        <v>69</v>
      </c>
      <c r="X290">
        <v>0</v>
      </c>
    </row>
    <row r="291" spans="1:24" x14ac:dyDescent="0.25">
      <c r="A291">
        <v>1</v>
      </c>
      <c r="B291">
        <v>5910941808</v>
      </c>
      <c r="C291">
        <v>20</v>
      </c>
      <c r="D291" s="27">
        <v>5959141800</v>
      </c>
      <c r="F291" t="s">
        <v>42</v>
      </c>
      <c r="G291">
        <v>0</v>
      </c>
      <c r="H291">
        <v>100</v>
      </c>
      <c r="K291">
        <v>1</v>
      </c>
      <c r="L291" t="s">
        <v>68</v>
      </c>
      <c r="M291" t="s">
        <v>86</v>
      </c>
      <c r="N291" s="4">
        <v>2958465</v>
      </c>
      <c r="P291">
        <v>0</v>
      </c>
      <c r="U291">
        <v>4</v>
      </c>
      <c r="V291">
        <v>1</v>
      </c>
      <c r="W291" t="s">
        <v>69</v>
      </c>
      <c r="X291">
        <v>0</v>
      </c>
    </row>
    <row r="292" spans="1:24" x14ac:dyDescent="0.25">
      <c r="A292">
        <v>1</v>
      </c>
      <c r="B292">
        <v>5910941808</v>
      </c>
      <c r="C292">
        <v>30</v>
      </c>
      <c r="D292" s="27">
        <v>5950111800</v>
      </c>
      <c r="F292" t="s">
        <v>42</v>
      </c>
      <c r="G292">
        <v>0</v>
      </c>
      <c r="H292">
        <v>100</v>
      </c>
      <c r="K292">
        <v>2</v>
      </c>
      <c r="L292" t="s">
        <v>68</v>
      </c>
      <c r="M292" t="s">
        <v>86</v>
      </c>
      <c r="N292" s="4">
        <v>2958465</v>
      </c>
      <c r="P292">
        <v>0</v>
      </c>
      <c r="U292">
        <v>4</v>
      </c>
      <c r="V292">
        <v>1</v>
      </c>
      <c r="W292" t="s">
        <v>69</v>
      </c>
      <c r="X292">
        <v>0</v>
      </c>
    </row>
    <row r="293" spans="1:24" x14ac:dyDescent="0.25">
      <c r="A293">
        <v>1</v>
      </c>
      <c r="B293">
        <v>5910941808</v>
      </c>
      <c r="C293">
        <v>40</v>
      </c>
      <c r="D293" s="27">
        <v>1018034</v>
      </c>
      <c r="F293" t="s">
        <v>42</v>
      </c>
      <c r="G293">
        <v>0</v>
      </c>
      <c r="H293">
        <v>100</v>
      </c>
      <c r="K293">
        <v>4</v>
      </c>
      <c r="L293" t="s">
        <v>68</v>
      </c>
      <c r="M293" t="s">
        <v>86</v>
      </c>
      <c r="N293" s="4">
        <v>2958465</v>
      </c>
      <c r="P293">
        <v>0</v>
      </c>
      <c r="U293">
        <v>4</v>
      </c>
      <c r="V293">
        <v>1</v>
      </c>
      <c r="W293" t="s">
        <v>69</v>
      </c>
      <c r="X293">
        <v>0</v>
      </c>
    </row>
    <row r="294" spans="1:24" x14ac:dyDescent="0.25">
      <c r="A294">
        <v>1</v>
      </c>
      <c r="B294">
        <v>5910941808</v>
      </c>
      <c r="C294">
        <v>50</v>
      </c>
      <c r="D294" s="27">
        <v>1018359</v>
      </c>
      <c r="F294" t="s">
        <v>42</v>
      </c>
      <c r="G294">
        <v>0</v>
      </c>
      <c r="H294">
        <v>100</v>
      </c>
      <c r="K294">
        <v>0.08</v>
      </c>
      <c r="L294" t="s">
        <v>68</v>
      </c>
      <c r="M294" t="s">
        <v>86</v>
      </c>
      <c r="N294" s="4">
        <v>2958465</v>
      </c>
      <c r="P294">
        <v>0</v>
      </c>
      <c r="U294">
        <v>4</v>
      </c>
      <c r="V294">
        <v>1</v>
      </c>
      <c r="W294" t="s">
        <v>69</v>
      </c>
      <c r="X294">
        <v>0</v>
      </c>
    </row>
    <row r="295" spans="1:24" x14ac:dyDescent="0.25">
      <c r="A295">
        <v>1</v>
      </c>
      <c r="B295">
        <v>5910941808</v>
      </c>
      <c r="C295">
        <v>60</v>
      </c>
      <c r="D295" s="27">
        <v>1011929</v>
      </c>
      <c r="F295" t="s">
        <v>42</v>
      </c>
      <c r="G295">
        <v>0</v>
      </c>
      <c r="H295">
        <v>100</v>
      </c>
      <c r="K295">
        <v>2.1619999999999999</v>
      </c>
      <c r="L295" t="s">
        <v>68</v>
      </c>
      <c r="M295" t="s">
        <v>86</v>
      </c>
      <c r="N295" s="4">
        <v>2958465</v>
      </c>
      <c r="P295">
        <v>0</v>
      </c>
      <c r="U295">
        <v>4</v>
      </c>
      <c r="V295">
        <v>1</v>
      </c>
      <c r="W295" t="s">
        <v>69</v>
      </c>
      <c r="X295">
        <v>0</v>
      </c>
    </row>
    <row r="296" spans="1:24" x14ac:dyDescent="0.25">
      <c r="A296">
        <v>1</v>
      </c>
      <c r="B296">
        <v>5910941808</v>
      </c>
      <c r="C296">
        <v>70</v>
      </c>
      <c r="D296" s="27">
        <v>1020023</v>
      </c>
      <c r="F296" t="s">
        <v>42</v>
      </c>
      <c r="G296">
        <v>0</v>
      </c>
      <c r="H296">
        <v>100</v>
      </c>
      <c r="K296">
        <v>4</v>
      </c>
      <c r="L296" t="s">
        <v>68</v>
      </c>
      <c r="M296" t="s">
        <v>86</v>
      </c>
      <c r="N296" s="4">
        <v>2958465</v>
      </c>
      <c r="P296">
        <v>0</v>
      </c>
      <c r="U296">
        <v>4</v>
      </c>
      <c r="V296">
        <v>1</v>
      </c>
      <c r="W296" t="s">
        <v>69</v>
      </c>
      <c r="X296">
        <v>0</v>
      </c>
    </row>
    <row r="297" spans="1:24" x14ac:dyDescent="0.25">
      <c r="A297">
        <v>1</v>
      </c>
      <c r="B297">
        <v>5910941808</v>
      </c>
      <c r="C297">
        <v>80</v>
      </c>
      <c r="D297" s="27">
        <v>12102508</v>
      </c>
      <c r="F297" t="s">
        <v>42</v>
      </c>
      <c r="G297">
        <v>0</v>
      </c>
      <c r="H297">
        <v>100</v>
      </c>
      <c r="K297">
        <v>1</v>
      </c>
      <c r="L297" t="s">
        <v>68</v>
      </c>
      <c r="M297" t="s">
        <v>86</v>
      </c>
      <c r="N297" s="4">
        <v>2958465</v>
      </c>
      <c r="P297">
        <v>0</v>
      </c>
      <c r="U297">
        <v>4</v>
      </c>
      <c r="V297">
        <v>1</v>
      </c>
      <c r="W297" t="s">
        <v>69</v>
      </c>
      <c r="X297">
        <v>0</v>
      </c>
    </row>
    <row r="298" spans="1:24" x14ac:dyDescent="0.25">
      <c r="A298">
        <v>1</v>
      </c>
      <c r="B298">
        <v>5910941008</v>
      </c>
      <c r="C298">
        <v>10</v>
      </c>
      <c r="D298" s="27">
        <v>5959111000</v>
      </c>
      <c r="F298" t="s">
        <v>42</v>
      </c>
      <c r="G298">
        <v>0</v>
      </c>
      <c r="H298">
        <v>100</v>
      </c>
      <c r="K298">
        <v>1</v>
      </c>
      <c r="L298" t="s">
        <v>68</v>
      </c>
      <c r="M298" t="s">
        <v>86</v>
      </c>
      <c r="N298" s="4">
        <v>2958465</v>
      </c>
      <c r="P298">
        <v>0</v>
      </c>
      <c r="U298">
        <v>4</v>
      </c>
      <c r="V298">
        <v>1</v>
      </c>
      <c r="W298" t="s">
        <v>69</v>
      </c>
      <c r="X298">
        <v>0</v>
      </c>
    </row>
    <row r="299" spans="1:24" x14ac:dyDescent="0.25">
      <c r="A299">
        <v>1</v>
      </c>
      <c r="B299">
        <v>5910941008</v>
      </c>
      <c r="C299">
        <v>20</v>
      </c>
      <c r="D299" s="27">
        <v>5959141000</v>
      </c>
      <c r="F299" t="s">
        <v>42</v>
      </c>
      <c r="G299">
        <v>0</v>
      </c>
      <c r="H299">
        <v>100</v>
      </c>
      <c r="K299">
        <v>1</v>
      </c>
      <c r="L299" t="s">
        <v>68</v>
      </c>
      <c r="M299" t="s">
        <v>86</v>
      </c>
      <c r="N299" s="4">
        <v>2958465</v>
      </c>
      <c r="P299">
        <v>0</v>
      </c>
      <c r="U299">
        <v>4</v>
      </c>
      <c r="V299">
        <v>1</v>
      </c>
      <c r="W299" t="s">
        <v>69</v>
      </c>
      <c r="X299">
        <v>0</v>
      </c>
    </row>
    <row r="300" spans="1:24" x14ac:dyDescent="0.25">
      <c r="A300">
        <v>1</v>
      </c>
      <c r="B300">
        <v>5910941008</v>
      </c>
      <c r="C300">
        <v>30</v>
      </c>
      <c r="D300" s="27">
        <v>5950111000</v>
      </c>
      <c r="F300" t="s">
        <v>42</v>
      </c>
      <c r="G300">
        <v>0</v>
      </c>
      <c r="H300">
        <v>100</v>
      </c>
      <c r="K300">
        <v>2</v>
      </c>
      <c r="L300" t="s">
        <v>68</v>
      </c>
      <c r="M300" t="s">
        <v>86</v>
      </c>
      <c r="N300" s="4">
        <v>2958465</v>
      </c>
      <c r="P300">
        <v>0</v>
      </c>
      <c r="U300">
        <v>4</v>
      </c>
      <c r="V300">
        <v>1</v>
      </c>
      <c r="W300" t="s">
        <v>69</v>
      </c>
      <c r="X300">
        <v>0</v>
      </c>
    </row>
    <row r="301" spans="1:24" x14ac:dyDescent="0.25">
      <c r="A301">
        <v>1</v>
      </c>
      <c r="B301">
        <v>5910941008</v>
      </c>
      <c r="C301">
        <v>40</v>
      </c>
      <c r="D301" s="27">
        <v>1018034</v>
      </c>
      <c r="F301" t="s">
        <v>42</v>
      </c>
      <c r="G301">
        <v>0</v>
      </c>
      <c r="H301">
        <v>100</v>
      </c>
      <c r="K301">
        <v>4</v>
      </c>
      <c r="L301" t="s">
        <v>68</v>
      </c>
      <c r="M301" t="s">
        <v>86</v>
      </c>
      <c r="N301" s="4">
        <v>2958465</v>
      </c>
      <c r="P301">
        <v>0</v>
      </c>
      <c r="U301">
        <v>4</v>
      </c>
      <c r="V301">
        <v>1</v>
      </c>
      <c r="W301" t="s">
        <v>69</v>
      </c>
      <c r="X301">
        <v>0</v>
      </c>
    </row>
    <row r="302" spans="1:24" x14ac:dyDescent="0.25">
      <c r="A302">
        <v>1</v>
      </c>
      <c r="B302">
        <v>5910941008</v>
      </c>
      <c r="C302">
        <v>50</v>
      </c>
      <c r="D302" s="27">
        <v>1018359</v>
      </c>
      <c r="F302" t="s">
        <v>42</v>
      </c>
      <c r="G302">
        <v>0</v>
      </c>
      <c r="H302">
        <v>100</v>
      </c>
      <c r="K302">
        <v>0.08</v>
      </c>
      <c r="L302" t="s">
        <v>68</v>
      </c>
      <c r="M302" t="s">
        <v>86</v>
      </c>
      <c r="N302" s="4">
        <v>2958465</v>
      </c>
      <c r="P302">
        <v>0</v>
      </c>
      <c r="U302">
        <v>4</v>
      </c>
      <c r="V302">
        <v>1</v>
      </c>
      <c r="W302" t="s">
        <v>69</v>
      </c>
      <c r="X302">
        <v>0</v>
      </c>
    </row>
    <row r="303" spans="1:24" x14ac:dyDescent="0.25">
      <c r="A303">
        <v>1</v>
      </c>
      <c r="B303">
        <v>5910941008</v>
      </c>
      <c r="C303">
        <v>60</v>
      </c>
      <c r="D303" s="27">
        <v>1011929</v>
      </c>
      <c r="F303" t="s">
        <v>42</v>
      </c>
      <c r="G303">
        <v>0</v>
      </c>
      <c r="H303">
        <v>100</v>
      </c>
      <c r="K303">
        <v>2.1619999999999999</v>
      </c>
      <c r="L303" t="s">
        <v>68</v>
      </c>
      <c r="M303" t="s">
        <v>86</v>
      </c>
      <c r="N303" s="4">
        <v>2958465</v>
      </c>
      <c r="P303">
        <v>0</v>
      </c>
      <c r="U303">
        <v>4</v>
      </c>
      <c r="V303">
        <v>1</v>
      </c>
      <c r="W303" t="s">
        <v>69</v>
      </c>
      <c r="X303">
        <v>0</v>
      </c>
    </row>
    <row r="304" spans="1:24" x14ac:dyDescent="0.25">
      <c r="A304">
        <v>1</v>
      </c>
      <c r="B304">
        <v>5910941008</v>
      </c>
      <c r="C304">
        <v>70</v>
      </c>
      <c r="D304" s="27">
        <v>1020023</v>
      </c>
      <c r="F304" t="s">
        <v>42</v>
      </c>
      <c r="G304">
        <v>0</v>
      </c>
      <c r="H304">
        <v>100</v>
      </c>
      <c r="K304">
        <v>4</v>
      </c>
      <c r="L304" t="s">
        <v>68</v>
      </c>
      <c r="M304" t="s">
        <v>86</v>
      </c>
      <c r="N304" s="4">
        <v>2958465</v>
      </c>
      <c r="P304">
        <v>0</v>
      </c>
      <c r="U304">
        <v>4</v>
      </c>
      <c r="V304">
        <v>1</v>
      </c>
      <c r="W304" t="s">
        <v>69</v>
      </c>
      <c r="X304">
        <v>0</v>
      </c>
    </row>
    <row r="305" spans="1:24" x14ac:dyDescent="0.25">
      <c r="A305">
        <v>1</v>
      </c>
      <c r="B305">
        <v>5910941008</v>
      </c>
      <c r="C305">
        <v>80</v>
      </c>
      <c r="D305" s="27">
        <v>12102508</v>
      </c>
      <c r="F305" t="s">
        <v>42</v>
      </c>
      <c r="G305">
        <v>0</v>
      </c>
      <c r="H305">
        <v>100</v>
      </c>
      <c r="K305">
        <v>1</v>
      </c>
      <c r="L305" t="s">
        <v>68</v>
      </c>
      <c r="M305" t="s">
        <v>86</v>
      </c>
      <c r="N305" s="4">
        <v>2958465</v>
      </c>
      <c r="P305">
        <v>0</v>
      </c>
      <c r="U305">
        <v>4</v>
      </c>
      <c r="V305">
        <v>1</v>
      </c>
      <c r="W305" t="s">
        <v>69</v>
      </c>
      <c r="X305">
        <v>0</v>
      </c>
    </row>
    <row r="306" spans="1:24" x14ac:dyDescent="0.25">
      <c r="A306">
        <v>1</v>
      </c>
      <c r="B306">
        <v>5910941210</v>
      </c>
      <c r="C306">
        <v>10</v>
      </c>
      <c r="D306" s="27">
        <v>5959111200</v>
      </c>
      <c r="F306" t="s">
        <v>42</v>
      </c>
      <c r="G306">
        <v>0</v>
      </c>
      <c r="H306">
        <v>100</v>
      </c>
      <c r="K306">
        <v>1</v>
      </c>
      <c r="L306" t="s">
        <v>68</v>
      </c>
      <c r="M306" t="s">
        <v>86</v>
      </c>
      <c r="N306" s="4">
        <v>2958465</v>
      </c>
      <c r="P306">
        <v>0</v>
      </c>
      <c r="U306">
        <v>4</v>
      </c>
      <c r="V306">
        <v>1</v>
      </c>
      <c r="W306" t="s">
        <v>69</v>
      </c>
      <c r="X306">
        <v>0</v>
      </c>
    </row>
    <row r="307" spans="1:24" x14ac:dyDescent="0.25">
      <c r="A307">
        <v>1</v>
      </c>
      <c r="B307">
        <v>5910941210</v>
      </c>
      <c r="C307">
        <v>20</v>
      </c>
      <c r="D307" s="27">
        <v>5959141200</v>
      </c>
      <c r="F307" t="s">
        <v>42</v>
      </c>
      <c r="G307">
        <v>0</v>
      </c>
      <c r="H307">
        <v>100</v>
      </c>
      <c r="K307">
        <v>1</v>
      </c>
      <c r="L307" t="s">
        <v>68</v>
      </c>
      <c r="M307" t="s">
        <v>86</v>
      </c>
      <c r="N307" s="4">
        <v>2958465</v>
      </c>
      <c r="P307">
        <v>0</v>
      </c>
      <c r="U307">
        <v>4</v>
      </c>
      <c r="V307">
        <v>1</v>
      </c>
      <c r="W307" t="s">
        <v>69</v>
      </c>
      <c r="X307">
        <v>0</v>
      </c>
    </row>
    <row r="308" spans="1:24" x14ac:dyDescent="0.25">
      <c r="A308">
        <v>1</v>
      </c>
      <c r="B308">
        <v>5910941210</v>
      </c>
      <c r="C308">
        <v>30</v>
      </c>
      <c r="D308" s="27">
        <v>5950111200</v>
      </c>
      <c r="F308" t="s">
        <v>42</v>
      </c>
      <c r="G308">
        <v>0</v>
      </c>
      <c r="H308">
        <v>100</v>
      </c>
      <c r="K308">
        <v>2</v>
      </c>
      <c r="L308" t="s">
        <v>68</v>
      </c>
      <c r="M308" t="s">
        <v>86</v>
      </c>
      <c r="N308" s="4">
        <v>2958465</v>
      </c>
      <c r="P308">
        <v>0</v>
      </c>
      <c r="U308">
        <v>4</v>
      </c>
      <c r="V308">
        <v>1</v>
      </c>
      <c r="W308" t="s">
        <v>69</v>
      </c>
      <c r="X308">
        <v>0</v>
      </c>
    </row>
    <row r="309" spans="1:24" x14ac:dyDescent="0.25">
      <c r="A309">
        <v>1</v>
      </c>
      <c r="B309">
        <v>5910941210</v>
      </c>
      <c r="C309">
        <v>40</v>
      </c>
      <c r="D309" s="27">
        <v>1018034</v>
      </c>
      <c r="F309" t="s">
        <v>42</v>
      </c>
      <c r="G309">
        <v>0</v>
      </c>
      <c r="H309">
        <v>100</v>
      </c>
      <c r="K309">
        <v>4</v>
      </c>
      <c r="L309" t="s">
        <v>68</v>
      </c>
      <c r="M309" t="s">
        <v>86</v>
      </c>
      <c r="N309" s="4">
        <v>2958465</v>
      </c>
      <c r="P309">
        <v>0</v>
      </c>
      <c r="U309">
        <v>4</v>
      </c>
      <c r="V309">
        <v>1</v>
      </c>
      <c r="W309" t="s">
        <v>69</v>
      </c>
      <c r="X309">
        <v>0</v>
      </c>
    </row>
    <row r="310" spans="1:24" x14ac:dyDescent="0.25">
      <c r="A310">
        <v>1</v>
      </c>
      <c r="B310">
        <v>5910941210</v>
      </c>
      <c r="C310">
        <v>50</v>
      </c>
      <c r="D310" s="27">
        <v>1018359</v>
      </c>
      <c r="F310" t="s">
        <v>42</v>
      </c>
      <c r="G310">
        <v>0</v>
      </c>
      <c r="H310">
        <v>100</v>
      </c>
      <c r="K310">
        <v>0.08</v>
      </c>
      <c r="L310" t="s">
        <v>68</v>
      </c>
      <c r="M310" t="s">
        <v>86</v>
      </c>
      <c r="N310" s="4">
        <v>2958465</v>
      </c>
      <c r="P310">
        <v>0</v>
      </c>
      <c r="U310">
        <v>4</v>
      </c>
      <c r="V310">
        <v>1</v>
      </c>
      <c r="W310" t="s">
        <v>69</v>
      </c>
      <c r="X310">
        <v>0</v>
      </c>
    </row>
    <row r="311" spans="1:24" x14ac:dyDescent="0.25">
      <c r="A311">
        <v>1</v>
      </c>
      <c r="B311">
        <v>5910941210</v>
      </c>
      <c r="C311">
        <v>60</v>
      </c>
      <c r="D311" s="27">
        <v>1011929</v>
      </c>
      <c r="F311" t="s">
        <v>42</v>
      </c>
      <c r="G311">
        <v>0</v>
      </c>
      <c r="H311">
        <v>100</v>
      </c>
      <c r="K311">
        <v>2.1619999999999999</v>
      </c>
      <c r="L311" t="s">
        <v>68</v>
      </c>
      <c r="M311" t="s">
        <v>86</v>
      </c>
      <c r="N311" s="4">
        <v>2958465</v>
      </c>
      <c r="P311">
        <v>0</v>
      </c>
      <c r="U311">
        <v>4</v>
      </c>
      <c r="V311">
        <v>1</v>
      </c>
      <c r="W311" t="s">
        <v>69</v>
      </c>
      <c r="X311">
        <v>0</v>
      </c>
    </row>
    <row r="312" spans="1:24" x14ac:dyDescent="0.25">
      <c r="A312">
        <v>1</v>
      </c>
      <c r="B312">
        <v>5910941210</v>
      </c>
      <c r="C312">
        <v>70</v>
      </c>
      <c r="D312" s="27">
        <v>1020023</v>
      </c>
      <c r="F312" t="s">
        <v>42</v>
      </c>
      <c r="G312">
        <v>0</v>
      </c>
      <c r="H312">
        <v>100</v>
      </c>
      <c r="K312">
        <v>4</v>
      </c>
      <c r="L312" t="s">
        <v>68</v>
      </c>
      <c r="M312" t="s">
        <v>86</v>
      </c>
      <c r="N312" s="4">
        <v>2958465</v>
      </c>
      <c r="P312">
        <v>0</v>
      </c>
      <c r="U312">
        <v>4</v>
      </c>
      <c r="V312">
        <v>1</v>
      </c>
      <c r="W312" t="s">
        <v>69</v>
      </c>
      <c r="X312">
        <v>0</v>
      </c>
    </row>
    <row r="313" spans="1:24" x14ac:dyDescent="0.25">
      <c r="A313">
        <v>1</v>
      </c>
      <c r="B313">
        <v>5910941210</v>
      </c>
      <c r="C313">
        <v>80</v>
      </c>
      <c r="D313" s="27">
        <v>12102510</v>
      </c>
      <c r="F313" t="s">
        <v>42</v>
      </c>
      <c r="G313">
        <v>0</v>
      </c>
      <c r="H313">
        <v>100</v>
      </c>
      <c r="K313">
        <v>1</v>
      </c>
      <c r="L313" t="s">
        <v>68</v>
      </c>
      <c r="M313" t="s">
        <v>86</v>
      </c>
      <c r="N313" s="4">
        <v>2958465</v>
      </c>
      <c r="P313">
        <v>0</v>
      </c>
      <c r="U313">
        <v>4</v>
      </c>
      <c r="V313">
        <v>1</v>
      </c>
      <c r="W313" t="s">
        <v>69</v>
      </c>
      <c r="X313">
        <v>0</v>
      </c>
    </row>
    <row r="314" spans="1:24" x14ac:dyDescent="0.25">
      <c r="A314">
        <v>1</v>
      </c>
      <c r="B314">
        <v>5910941310</v>
      </c>
      <c r="C314">
        <v>10</v>
      </c>
      <c r="D314" s="27">
        <v>5959111300</v>
      </c>
      <c r="F314" t="s">
        <v>42</v>
      </c>
      <c r="G314">
        <v>0</v>
      </c>
      <c r="H314">
        <v>100</v>
      </c>
      <c r="K314">
        <v>1</v>
      </c>
      <c r="L314" t="s">
        <v>68</v>
      </c>
      <c r="M314" t="s">
        <v>86</v>
      </c>
      <c r="N314" s="4">
        <v>2958465</v>
      </c>
      <c r="P314">
        <v>0</v>
      </c>
      <c r="U314">
        <v>4</v>
      </c>
      <c r="V314">
        <v>1</v>
      </c>
      <c r="W314" t="s">
        <v>69</v>
      </c>
      <c r="X314">
        <v>0</v>
      </c>
    </row>
    <row r="315" spans="1:24" x14ac:dyDescent="0.25">
      <c r="A315">
        <v>1</v>
      </c>
      <c r="B315">
        <v>5910941310</v>
      </c>
      <c r="C315">
        <v>20</v>
      </c>
      <c r="D315" s="27">
        <v>5959141300</v>
      </c>
      <c r="F315" t="s">
        <v>42</v>
      </c>
      <c r="G315">
        <v>0</v>
      </c>
      <c r="H315">
        <v>100</v>
      </c>
      <c r="K315">
        <v>1</v>
      </c>
      <c r="L315" t="s">
        <v>68</v>
      </c>
      <c r="M315" t="s">
        <v>86</v>
      </c>
      <c r="N315" s="4">
        <v>2958465</v>
      </c>
      <c r="P315">
        <v>0</v>
      </c>
      <c r="U315">
        <v>4</v>
      </c>
      <c r="V315">
        <v>1</v>
      </c>
      <c r="W315" t="s">
        <v>69</v>
      </c>
      <c r="X315">
        <v>0</v>
      </c>
    </row>
    <row r="316" spans="1:24" x14ac:dyDescent="0.25">
      <c r="A316">
        <v>1</v>
      </c>
      <c r="B316">
        <v>5910941310</v>
      </c>
      <c r="C316">
        <v>30</v>
      </c>
      <c r="D316" s="27">
        <v>5950111300</v>
      </c>
      <c r="F316" t="s">
        <v>42</v>
      </c>
      <c r="G316">
        <v>0</v>
      </c>
      <c r="H316">
        <v>100</v>
      </c>
      <c r="K316">
        <v>2</v>
      </c>
      <c r="L316" t="s">
        <v>68</v>
      </c>
      <c r="M316" t="s">
        <v>86</v>
      </c>
      <c r="N316" s="4">
        <v>2958465</v>
      </c>
      <c r="P316">
        <v>0</v>
      </c>
      <c r="U316">
        <v>4</v>
      </c>
      <c r="V316">
        <v>1</v>
      </c>
      <c r="W316" t="s">
        <v>69</v>
      </c>
      <c r="X316">
        <v>0</v>
      </c>
    </row>
    <row r="317" spans="1:24" x14ac:dyDescent="0.25">
      <c r="A317">
        <v>1</v>
      </c>
      <c r="B317">
        <v>5910941310</v>
      </c>
      <c r="C317">
        <v>40</v>
      </c>
      <c r="D317" s="27">
        <v>1018034</v>
      </c>
      <c r="F317" t="s">
        <v>42</v>
      </c>
      <c r="G317">
        <v>0</v>
      </c>
      <c r="H317">
        <v>100</v>
      </c>
      <c r="K317">
        <v>4</v>
      </c>
      <c r="L317" t="s">
        <v>68</v>
      </c>
      <c r="M317" t="s">
        <v>86</v>
      </c>
      <c r="N317" s="4">
        <v>2958465</v>
      </c>
      <c r="P317">
        <v>0</v>
      </c>
      <c r="U317">
        <v>4</v>
      </c>
      <c r="V317">
        <v>1</v>
      </c>
      <c r="W317" t="s">
        <v>69</v>
      </c>
      <c r="X317">
        <v>0</v>
      </c>
    </row>
    <row r="318" spans="1:24" x14ac:dyDescent="0.25">
      <c r="A318">
        <v>1</v>
      </c>
      <c r="B318">
        <v>5910941310</v>
      </c>
      <c r="C318">
        <v>50</v>
      </c>
      <c r="D318" s="27">
        <v>1018359</v>
      </c>
      <c r="F318" t="s">
        <v>42</v>
      </c>
      <c r="G318">
        <v>0</v>
      </c>
      <c r="H318">
        <v>100</v>
      </c>
      <c r="K318">
        <v>0.08</v>
      </c>
      <c r="L318" t="s">
        <v>68</v>
      </c>
      <c r="M318" t="s">
        <v>86</v>
      </c>
      <c r="N318" s="4">
        <v>2958465</v>
      </c>
      <c r="P318">
        <v>0</v>
      </c>
      <c r="U318">
        <v>4</v>
      </c>
      <c r="V318">
        <v>1</v>
      </c>
      <c r="W318" t="s">
        <v>69</v>
      </c>
      <c r="X318">
        <v>0</v>
      </c>
    </row>
    <row r="319" spans="1:24" x14ac:dyDescent="0.25">
      <c r="A319">
        <v>1</v>
      </c>
      <c r="B319">
        <v>5910941310</v>
      </c>
      <c r="C319">
        <v>60</v>
      </c>
      <c r="D319" s="27">
        <v>1011929</v>
      </c>
      <c r="F319" t="s">
        <v>42</v>
      </c>
      <c r="G319">
        <v>0</v>
      </c>
      <c r="H319">
        <v>100</v>
      </c>
      <c r="K319">
        <v>2.1619999999999999</v>
      </c>
      <c r="L319" t="s">
        <v>68</v>
      </c>
      <c r="M319" t="s">
        <v>86</v>
      </c>
      <c r="N319" s="4">
        <v>2958465</v>
      </c>
      <c r="P319">
        <v>0</v>
      </c>
      <c r="U319">
        <v>4</v>
      </c>
      <c r="V319">
        <v>1</v>
      </c>
      <c r="W319" t="s">
        <v>69</v>
      </c>
      <c r="X319">
        <v>0</v>
      </c>
    </row>
    <row r="320" spans="1:24" x14ac:dyDescent="0.25">
      <c r="A320">
        <v>1</v>
      </c>
      <c r="B320">
        <v>5910941310</v>
      </c>
      <c r="C320">
        <v>70</v>
      </c>
      <c r="D320" s="27">
        <v>1020023</v>
      </c>
      <c r="F320" t="s">
        <v>42</v>
      </c>
      <c r="G320">
        <v>0</v>
      </c>
      <c r="H320">
        <v>100</v>
      </c>
      <c r="K320">
        <v>4</v>
      </c>
      <c r="L320" t="s">
        <v>68</v>
      </c>
      <c r="M320" t="s">
        <v>86</v>
      </c>
      <c r="N320" s="4">
        <v>2958465</v>
      </c>
      <c r="P320">
        <v>0</v>
      </c>
      <c r="U320">
        <v>4</v>
      </c>
      <c r="V320">
        <v>1</v>
      </c>
      <c r="W320" t="s">
        <v>69</v>
      </c>
      <c r="X320">
        <v>0</v>
      </c>
    </row>
    <row r="321" spans="1:24" x14ac:dyDescent="0.25">
      <c r="A321">
        <v>1</v>
      </c>
      <c r="B321">
        <v>5910941310</v>
      </c>
      <c r="C321">
        <v>80</v>
      </c>
      <c r="D321" s="27">
        <v>12102510</v>
      </c>
      <c r="F321" t="s">
        <v>42</v>
      </c>
      <c r="G321">
        <v>0</v>
      </c>
      <c r="H321">
        <v>100</v>
      </c>
      <c r="K321">
        <v>1</v>
      </c>
      <c r="L321" t="s">
        <v>68</v>
      </c>
      <c r="M321" t="s">
        <v>86</v>
      </c>
      <c r="N321" s="4">
        <v>2958465</v>
      </c>
      <c r="P321">
        <v>0</v>
      </c>
      <c r="U321">
        <v>4</v>
      </c>
      <c r="V321">
        <v>1</v>
      </c>
      <c r="W321" t="s">
        <v>69</v>
      </c>
      <c r="X321">
        <v>0</v>
      </c>
    </row>
    <row r="322" spans="1:24" x14ac:dyDescent="0.25">
      <c r="A322">
        <v>1</v>
      </c>
      <c r="B322">
        <v>5910941810</v>
      </c>
      <c r="C322">
        <v>10</v>
      </c>
      <c r="D322" s="27">
        <v>5959111800</v>
      </c>
      <c r="F322" t="s">
        <v>42</v>
      </c>
      <c r="G322">
        <v>0</v>
      </c>
      <c r="H322">
        <v>100</v>
      </c>
      <c r="K322">
        <v>1</v>
      </c>
      <c r="L322" t="s">
        <v>68</v>
      </c>
      <c r="M322" t="s">
        <v>86</v>
      </c>
      <c r="N322" s="4">
        <v>2958465</v>
      </c>
      <c r="P322">
        <v>0</v>
      </c>
      <c r="U322">
        <v>4</v>
      </c>
      <c r="V322">
        <v>1</v>
      </c>
      <c r="W322" t="s">
        <v>69</v>
      </c>
      <c r="X322">
        <v>0</v>
      </c>
    </row>
    <row r="323" spans="1:24" x14ac:dyDescent="0.25">
      <c r="A323">
        <v>1</v>
      </c>
      <c r="B323">
        <v>5910941810</v>
      </c>
      <c r="C323">
        <v>20</v>
      </c>
      <c r="D323" s="27">
        <v>5959141800</v>
      </c>
      <c r="F323" t="s">
        <v>42</v>
      </c>
      <c r="G323">
        <v>0</v>
      </c>
      <c r="H323">
        <v>100</v>
      </c>
      <c r="K323">
        <v>1</v>
      </c>
      <c r="L323" t="s">
        <v>68</v>
      </c>
      <c r="M323" t="s">
        <v>86</v>
      </c>
      <c r="N323" s="4">
        <v>2958465</v>
      </c>
      <c r="P323">
        <v>0</v>
      </c>
      <c r="U323">
        <v>4</v>
      </c>
      <c r="V323">
        <v>1</v>
      </c>
      <c r="W323" t="s">
        <v>69</v>
      </c>
      <c r="X323">
        <v>0</v>
      </c>
    </row>
    <row r="324" spans="1:24" x14ac:dyDescent="0.25">
      <c r="A324">
        <v>1</v>
      </c>
      <c r="B324">
        <v>5910941810</v>
      </c>
      <c r="C324">
        <v>30</v>
      </c>
      <c r="D324" s="27">
        <v>5950111800</v>
      </c>
      <c r="F324" t="s">
        <v>42</v>
      </c>
      <c r="G324">
        <v>0</v>
      </c>
      <c r="H324">
        <v>100</v>
      </c>
      <c r="K324">
        <v>2</v>
      </c>
      <c r="L324" t="s">
        <v>68</v>
      </c>
      <c r="M324" t="s">
        <v>86</v>
      </c>
      <c r="N324" s="4">
        <v>2958465</v>
      </c>
      <c r="P324">
        <v>0</v>
      </c>
      <c r="U324">
        <v>4</v>
      </c>
      <c r="V324">
        <v>1</v>
      </c>
      <c r="W324" t="s">
        <v>69</v>
      </c>
      <c r="X324">
        <v>0</v>
      </c>
    </row>
    <row r="325" spans="1:24" x14ac:dyDescent="0.25">
      <c r="A325">
        <v>1</v>
      </c>
      <c r="B325">
        <v>5910941810</v>
      </c>
      <c r="C325">
        <v>40</v>
      </c>
      <c r="D325" s="27">
        <v>1018034</v>
      </c>
      <c r="F325" t="s">
        <v>42</v>
      </c>
      <c r="G325">
        <v>0</v>
      </c>
      <c r="H325">
        <v>100</v>
      </c>
      <c r="K325">
        <v>4</v>
      </c>
      <c r="L325" t="s">
        <v>68</v>
      </c>
      <c r="M325" t="s">
        <v>86</v>
      </c>
      <c r="N325" s="4">
        <v>2958465</v>
      </c>
      <c r="P325">
        <v>0</v>
      </c>
      <c r="U325">
        <v>4</v>
      </c>
      <c r="V325">
        <v>1</v>
      </c>
      <c r="W325" t="s">
        <v>69</v>
      </c>
      <c r="X325">
        <v>0</v>
      </c>
    </row>
    <row r="326" spans="1:24" x14ac:dyDescent="0.25">
      <c r="A326">
        <v>1</v>
      </c>
      <c r="B326">
        <v>5910941810</v>
      </c>
      <c r="C326">
        <v>50</v>
      </c>
      <c r="D326" s="27">
        <v>1018359</v>
      </c>
      <c r="F326" t="s">
        <v>42</v>
      </c>
      <c r="G326">
        <v>0</v>
      </c>
      <c r="H326">
        <v>100</v>
      </c>
      <c r="K326">
        <v>0.08</v>
      </c>
      <c r="L326" t="s">
        <v>68</v>
      </c>
      <c r="M326" t="s">
        <v>86</v>
      </c>
      <c r="N326" s="4">
        <v>2958465</v>
      </c>
      <c r="P326">
        <v>0</v>
      </c>
      <c r="U326">
        <v>4</v>
      </c>
      <c r="V326">
        <v>1</v>
      </c>
      <c r="W326" t="s">
        <v>69</v>
      </c>
      <c r="X326">
        <v>0</v>
      </c>
    </row>
    <row r="327" spans="1:24" x14ac:dyDescent="0.25">
      <c r="A327">
        <v>1</v>
      </c>
      <c r="B327">
        <v>5910941810</v>
      </c>
      <c r="C327">
        <v>60</v>
      </c>
      <c r="D327" s="27">
        <v>1011929</v>
      </c>
      <c r="F327" t="s">
        <v>42</v>
      </c>
      <c r="G327">
        <v>0</v>
      </c>
      <c r="H327">
        <v>100</v>
      </c>
      <c r="K327">
        <v>2.1619999999999999</v>
      </c>
      <c r="L327" t="s">
        <v>68</v>
      </c>
      <c r="M327" t="s">
        <v>86</v>
      </c>
      <c r="N327" s="4">
        <v>2958465</v>
      </c>
      <c r="P327">
        <v>0</v>
      </c>
      <c r="U327">
        <v>4</v>
      </c>
      <c r="V327">
        <v>1</v>
      </c>
      <c r="W327" t="s">
        <v>69</v>
      </c>
      <c r="X327">
        <v>0</v>
      </c>
    </row>
    <row r="328" spans="1:24" x14ac:dyDescent="0.25">
      <c r="A328">
        <v>1</v>
      </c>
      <c r="B328">
        <v>5910941810</v>
      </c>
      <c r="C328">
        <v>70</v>
      </c>
      <c r="D328" s="27">
        <v>1020023</v>
      </c>
      <c r="F328" t="s">
        <v>42</v>
      </c>
      <c r="G328">
        <v>0</v>
      </c>
      <c r="H328">
        <v>100</v>
      </c>
      <c r="K328">
        <v>4</v>
      </c>
      <c r="L328" t="s">
        <v>68</v>
      </c>
      <c r="M328" t="s">
        <v>86</v>
      </c>
      <c r="N328" s="4">
        <v>2958465</v>
      </c>
      <c r="P328">
        <v>0</v>
      </c>
      <c r="U328">
        <v>4</v>
      </c>
      <c r="V328">
        <v>1</v>
      </c>
      <c r="W328" t="s">
        <v>69</v>
      </c>
      <c r="X328">
        <v>0</v>
      </c>
    </row>
    <row r="329" spans="1:24" x14ac:dyDescent="0.25">
      <c r="A329">
        <v>1</v>
      </c>
      <c r="B329">
        <v>5910941810</v>
      </c>
      <c r="C329">
        <v>80</v>
      </c>
      <c r="D329" s="27">
        <v>12102510</v>
      </c>
      <c r="F329" t="s">
        <v>42</v>
      </c>
      <c r="G329">
        <v>0</v>
      </c>
      <c r="H329">
        <v>100</v>
      </c>
      <c r="K329">
        <v>1</v>
      </c>
      <c r="L329" t="s">
        <v>68</v>
      </c>
      <c r="M329" t="s">
        <v>86</v>
      </c>
      <c r="N329" s="4">
        <v>2958465</v>
      </c>
      <c r="P329">
        <v>0</v>
      </c>
      <c r="U329">
        <v>4</v>
      </c>
      <c r="V329">
        <v>1</v>
      </c>
      <c r="W329" t="s">
        <v>69</v>
      </c>
      <c r="X329">
        <v>0</v>
      </c>
    </row>
    <row r="330" spans="1:24" x14ac:dyDescent="0.25">
      <c r="A330">
        <v>1</v>
      </c>
      <c r="B330">
        <v>5910941010</v>
      </c>
      <c r="C330">
        <v>10</v>
      </c>
      <c r="D330" s="27">
        <v>5959111000</v>
      </c>
      <c r="F330" t="s">
        <v>42</v>
      </c>
      <c r="G330">
        <v>0</v>
      </c>
      <c r="H330">
        <v>100</v>
      </c>
      <c r="K330">
        <v>1</v>
      </c>
      <c r="L330" t="s">
        <v>68</v>
      </c>
      <c r="M330" t="s">
        <v>86</v>
      </c>
      <c r="N330" s="4">
        <v>2958465</v>
      </c>
      <c r="P330">
        <v>0</v>
      </c>
      <c r="U330">
        <v>4</v>
      </c>
      <c r="V330">
        <v>1</v>
      </c>
      <c r="W330" t="s">
        <v>69</v>
      </c>
      <c r="X330">
        <v>0</v>
      </c>
    </row>
    <row r="331" spans="1:24" x14ac:dyDescent="0.25">
      <c r="A331">
        <v>1</v>
      </c>
      <c r="B331">
        <v>5910941010</v>
      </c>
      <c r="C331">
        <v>20</v>
      </c>
      <c r="D331" s="27">
        <v>5959141000</v>
      </c>
      <c r="F331" t="s">
        <v>42</v>
      </c>
      <c r="G331">
        <v>0</v>
      </c>
      <c r="H331">
        <v>100</v>
      </c>
      <c r="K331">
        <v>1</v>
      </c>
      <c r="L331" t="s">
        <v>68</v>
      </c>
      <c r="M331" t="s">
        <v>86</v>
      </c>
      <c r="N331" s="4">
        <v>2958465</v>
      </c>
      <c r="P331">
        <v>0</v>
      </c>
      <c r="U331">
        <v>4</v>
      </c>
      <c r="V331">
        <v>1</v>
      </c>
      <c r="W331" t="s">
        <v>69</v>
      </c>
      <c r="X331">
        <v>0</v>
      </c>
    </row>
    <row r="332" spans="1:24" x14ac:dyDescent="0.25">
      <c r="A332">
        <v>1</v>
      </c>
      <c r="B332">
        <v>5910941010</v>
      </c>
      <c r="C332">
        <v>30</v>
      </c>
      <c r="D332" s="27">
        <v>5950111000</v>
      </c>
      <c r="F332" t="s">
        <v>42</v>
      </c>
      <c r="G332">
        <v>0</v>
      </c>
      <c r="H332">
        <v>100</v>
      </c>
      <c r="K332">
        <v>2</v>
      </c>
      <c r="L332" t="s">
        <v>68</v>
      </c>
      <c r="M332" t="s">
        <v>86</v>
      </c>
      <c r="N332" s="4">
        <v>2958465</v>
      </c>
      <c r="P332">
        <v>0</v>
      </c>
      <c r="U332">
        <v>4</v>
      </c>
      <c r="V332">
        <v>1</v>
      </c>
      <c r="W332" t="s">
        <v>69</v>
      </c>
      <c r="X332">
        <v>0</v>
      </c>
    </row>
    <row r="333" spans="1:24" x14ac:dyDescent="0.25">
      <c r="A333">
        <v>1</v>
      </c>
      <c r="B333">
        <v>5910941010</v>
      </c>
      <c r="C333">
        <v>40</v>
      </c>
      <c r="D333" s="27">
        <v>1018034</v>
      </c>
      <c r="F333" t="s">
        <v>42</v>
      </c>
      <c r="G333">
        <v>0</v>
      </c>
      <c r="H333">
        <v>100</v>
      </c>
      <c r="K333">
        <v>4</v>
      </c>
      <c r="L333" t="s">
        <v>68</v>
      </c>
      <c r="M333" t="s">
        <v>86</v>
      </c>
      <c r="N333" s="4">
        <v>2958465</v>
      </c>
      <c r="P333">
        <v>0</v>
      </c>
      <c r="U333">
        <v>4</v>
      </c>
      <c r="V333">
        <v>1</v>
      </c>
      <c r="W333" t="s">
        <v>69</v>
      </c>
      <c r="X333">
        <v>0</v>
      </c>
    </row>
    <row r="334" spans="1:24" x14ac:dyDescent="0.25">
      <c r="A334">
        <v>1</v>
      </c>
      <c r="B334">
        <v>5910941010</v>
      </c>
      <c r="C334">
        <v>50</v>
      </c>
      <c r="D334" s="27">
        <v>1018359</v>
      </c>
      <c r="F334" t="s">
        <v>42</v>
      </c>
      <c r="G334">
        <v>0</v>
      </c>
      <c r="H334">
        <v>100</v>
      </c>
      <c r="K334">
        <v>0.08</v>
      </c>
      <c r="L334" t="s">
        <v>68</v>
      </c>
      <c r="M334" t="s">
        <v>86</v>
      </c>
      <c r="N334" s="4">
        <v>2958465</v>
      </c>
      <c r="P334">
        <v>0</v>
      </c>
      <c r="U334">
        <v>4</v>
      </c>
      <c r="V334">
        <v>1</v>
      </c>
      <c r="W334" t="s">
        <v>69</v>
      </c>
      <c r="X334">
        <v>0</v>
      </c>
    </row>
    <row r="335" spans="1:24" x14ac:dyDescent="0.25">
      <c r="A335">
        <v>1</v>
      </c>
      <c r="B335">
        <v>5910941010</v>
      </c>
      <c r="C335">
        <v>60</v>
      </c>
      <c r="D335" s="27">
        <v>1011929</v>
      </c>
      <c r="F335" t="s">
        <v>42</v>
      </c>
      <c r="G335">
        <v>0</v>
      </c>
      <c r="H335">
        <v>100</v>
      </c>
      <c r="K335">
        <v>2.1619999999999999</v>
      </c>
      <c r="L335" t="s">
        <v>68</v>
      </c>
      <c r="M335" t="s">
        <v>86</v>
      </c>
      <c r="N335" s="4">
        <v>2958465</v>
      </c>
      <c r="P335">
        <v>0</v>
      </c>
      <c r="U335">
        <v>4</v>
      </c>
      <c r="V335">
        <v>1</v>
      </c>
      <c r="W335" t="s">
        <v>69</v>
      </c>
      <c r="X335">
        <v>0</v>
      </c>
    </row>
    <row r="336" spans="1:24" x14ac:dyDescent="0.25">
      <c r="A336">
        <v>1</v>
      </c>
      <c r="B336">
        <v>5910941010</v>
      </c>
      <c r="C336">
        <v>70</v>
      </c>
      <c r="D336" s="27">
        <v>1020023</v>
      </c>
      <c r="F336" t="s">
        <v>42</v>
      </c>
      <c r="G336">
        <v>0</v>
      </c>
      <c r="H336">
        <v>100</v>
      </c>
      <c r="K336">
        <v>4</v>
      </c>
      <c r="L336" t="s">
        <v>68</v>
      </c>
      <c r="M336" t="s">
        <v>86</v>
      </c>
      <c r="N336" s="4">
        <v>2958465</v>
      </c>
      <c r="P336">
        <v>0</v>
      </c>
      <c r="U336">
        <v>4</v>
      </c>
      <c r="V336">
        <v>1</v>
      </c>
      <c r="W336" t="s">
        <v>69</v>
      </c>
      <c r="X336">
        <v>0</v>
      </c>
    </row>
    <row r="337" spans="1:24" x14ac:dyDescent="0.25">
      <c r="A337">
        <v>1</v>
      </c>
      <c r="B337">
        <v>5910941010</v>
      </c>
      <c r="C337">
        <v>80</v>
      </c>
      <c r="D337" s="27">
        <v>12102510</v>
      </c>
      <c r="F337" t="s">
        <v>42</v>
      </c>
      <c r="G337">
        <v>0</v>
      </c>
      <c r="H337">
        <v>100</v>
      </c>
      <c r="K337">
        <v>1</v>
      </c>
      <c r="L337" t="s">
        <v>68</v>
      </c>
      <c r="M337" t="s">
        <v>86</v>
      </c>
      <c r="N337" s="4">
        <v>2958465</v>
      </c>
      <c r="P337">
        <v>0</v>
      </c>
      <c r="U337">
        <v>4</v>
      </c>
      <c r="V337">
        <v>1</v>
      </c>
      <c r="W337" t="s">
        <v>69</v>
      </c>
      <c r="X337">
        <v>0</v>
      </c>
    </row>
    <row r="338" spans="1:24" x14ac:dyDescent="0.25">
      <c r="A338">
        <v>1</v>
      </c>
      <c r="B338">
        <v>5910941221</v>
      </c>
      <c r="C338">
        <v>10</v>
      </c>
      <c r="D338" s="27">
        <v>5959111200</v>
      </c>
      <c r="F338" t="s">
        <v>42</v>
      </c>
      <c r="G338">
        <v>0</v>
      </c>
      <c r="H338">
        <v>100</v>
      </c>
      <c r="K338">
        <v>1</v>
      </c>
      <c r="L338" t="s">
        <v>68</v>
      </c>
      <c r="M338" t="s">
        <v>86</v>
      </c>
      <c r="N338" s="4">
        <v>2958465</v>
      </c>
      <c r="P338">
        <v>0</v>
      </c>
      <c r="U338">
        <v>4</v>
      </c>
      <c r="V338">
        <v>1</v>
      </c>
      <c r="W338" t="s">
        <v>69</v>
      </c>
      <c r="X338">
        <v>0</v>
      </c>
    </row>
    <row r="339" spans="1:24" x14ac:dyDescent="0.25">
      <c r="A339">
        <v>1</v>
      </c>
      <c r="B339">
        <v>5910941221</v>
      </c>
      <c r="C339">
        <v>20</v>
      </c>
      <c r="D339" s="27">
        <v>5959141200</v>
      </c>
      <c r="F339" t="s">
        <v>42</v>
      </c>
      <c r="G339">
        <v>0</v>
      </c>
      <c r="H339">
        <v>100</v>
      </c>
      <c r="K339">
        <v>1</v>
      </c>
      <c r="L339" t="s">
        <v>68</v>
      </c>
      <c r="M339" t="s">
        <v>86</v>
      </c>
      <c r="N339" s="4">
        <v>2958465</v>
      </c>
      <c r="P339">
        <v>0</v>
      </c>
      <c r="U339">
        <v>4</v>
      </c>
      <c r="V339">
        <v>1</v>
      </c>
      <c r="W339" t="s">
        <v>69</v>
      </c>
      <c r="X339">
        <v>0</v>
      </c>
    </row>
    <row r="340" spans="1:24" x14ac:dyDescent="0.25">
      <c r="A340">
        <v>1</v>
      </c>
      <c r="B340">
        <v>5910941221</v>
      </c>
      <c r="C340">
        <v>30</v>
      </c>
      <c r="D340" s="27">
        <v>5950111200</v>
      </c>
      <c r="F340" t="s">
        <v>42</v>
      </c>
      <c r="G340">
        <v>0</v>
      </c>
      <c r="H340">
        <v>100</v>
      </c>
      <c r="K340">
        <v>2</v>
      </c>
      <c r="L340" t="s">
        <v>68</v>
      </c>
      <c r="M340" t="s">
        <v>86</v>
      </c>
      <c r="N340" s="4">
        <v>2958465</v>
      </c>
      <c r="P340">
        <v>0</v>
      </c>
      <c r="U340">
        <v>4</v>
      </c>
      <c r="V340">
        <v>1</v>
      </c>
      <c r="W340" t="s">
        <v>69</v>
      </c>
      <c r="X340">
        <v>0</v>
      </c>
    </row>
    <row r="341" spans="1:24" x14ac:dyDescent="0.25">
      <c r="A341">
        <v>1</v>
      </c>
      <c r="B341">
        <v>5910941221</v>
      </c>
      <c r="C341">
        <v>40</v>
      </c>
      <c r="D341" s="27">
        <v>1018034</v>
      </c>
      <c r="F341" t="s">
        <v>42</v>
      </c>
      <c r="G341">
        <v>0</v>
      </c>
      <c r="H341">
        <v>100</v>
      </c>
      <c r="K341">
        <v>4</v>
      </c>
      <c r="L341" t="s">
        <v>68</v>
      </c>
      <c r="M341" t="s">
        <v>86</v>
      </c>
      <c r="N341" s="4">
        <v>2958465</v>
      </c>
      <c r="P341">
        <v>0</v>
      </c>
      <c r="U341">
        <v>4</v>
      </c>
      <c r="V341">
        <v>1</v>
      </c>
      <c r="W341" t="s">
        <v>69</v>
      </c>
      <c r="X341">
        <v>0</v>
      </c>
    </row>
    <row r="342" spans="1:24" x14ac:dyDescent="0.25">
      <c r="A342">
        <v>1</v>
      </c>
      <c r="B342">
        <v>5910941221</v>
      </c>
      <c r="C342">
        <v>50</v>
      </c>
      <c r="D342" s="27">
        <v>1018359</v>
      </c>
      <c r="F342" t="s">
        <v>42</v>
      </c>
      <c r="G342">
        <v>0</v>
      </c>
      <c r="H342">
        <v>100</v>
      </c>
      <c r="K342">
        <v>0.08</v>
      </c>
      <c r="L342" t="s">
        <v>68</v>
      </c>
      <c r="M342" t="s">
        <v>86</v>
      </c>
      <c r="N342" s="4">
        <v>2958465</v>
      </c>
      <c r="P342">
        <v>0</v>
      </c>
      <c r="U342">
        <v>4</v>
      </c>
      <c r="V342">
        <v>1</v>
      </c>
      <c r="W342" t="s">
        <v>69</v>
      </c>
      <c r="X342">
        <v>0</v>
      </c>
    </row>
    <row r="343" spans="1:24" x14ac:dyDescent="0.25">
      <c r="A343">
        <v>1</v>
      </c>
      <c r="B343">
        <v>5910941221</v>
      </c>
      <c r="C343">
        <v>60</v>
      </c>
      <c r="D343" s="27">
        <v>1011929</v>
      </c>
      <c r="F343" t="s">
        <v>42</v>
      </c>
      <c r="G343">
        <v>0</v>
      </c>
      <c r="H343">
        <v>100</v>
      </c>
      <c r="K343">
        <v>2.1619999999999999</v>
      </c>
      <c r="L343" t="s">
        <v>68</v>
      </c>
      <c r="M343" t="s">
        <v>86</v>
      </c>
      <c r="N343" s="4">
        <v>2958465</v>
      </c>
      <c r="P343">
        <v>0</v>
      </c>
      <c r="U343">
        <v>4</v>
      </c>
      <c r="V343">
        <v>1</v>
      </c>
      <c r="W343" t="s">
        <v>69</v>
      </c>
      <c r="X343">
        <v>0</v>
      </c>
    </row>
    <row r="344" spans="1:24" x14ac:dyDescent="0.25">
      <c r="A344">
        <v>1</v>
      </c>
      <c r="B344">
        <v>5910941221</v>
      </c>
      <c r="C344">
        <v>70</v>
      </c>
      <c r="D344" s="27">
        <v>1020023</v>
      </c>
      <c r="F344" t="s">
        <v>42</v>
      </c>
      <c r="G344">
        <v>0</v>
      </c>
      <c r="H344">
        <v>100</v>
      </c>
      <c r="K344">
        <v>4</v>
      </c>
      <c r="L344" t="s">
        <v>68</v>
      </c>
      <c r="M344" t="s">
        <v>86</v>
      </c>
      <c r="N344" s="4">
        <v>2958465</v>
      </c>
      <c r="P344">
        <v>0</v>
      </c>
      <c r="U344">
        <v>4</v>
      </c>
      <c r="V344">
        <v>1</v>
      </c>
      <c r="W344" t="s">
        <v>69</v>
      </c>
      <c r="X344">
        <v>0</v>
      </c>
    </row>
    <row r="345" spans="1:24" x14ac:dyDescent="0.25">
      <c r="A345">
        <v>1</v>
      </c>
      <c r="B345">
        <v>5910941221</v>
      </c>
      <c r="C345">
        <v>80</v>
      </c>
      <c r="D345" s="27">
        <v>12102521</v>
      </c>
      <c r="F345" t="s">
        <v>42</v>
      </c>
      <c r="G345">
        <v>0</v>
      </c>
      <c r="H345">
        <v>100</v>
      </c>
      <c r="K345">
        <v>1</v>
      </c>
      <c r="L345" t="s">
        <v>68</v>
      </c>
      <c r="M345" t="s">
        <v>86</v>
      </c>
      <c r="N345" s="4">
        <v>2958465</v>
      </c>
      <c r="P345">
        <v>0</v>
      </c>
      <c r="U345">
        <v>4</v>
      </c>
      <c r="V345">
        <v>1</v>
      </c>
      <c r="W345" t="s">
        <v>69</v>
      </c>
      <c r="X345">
        <v>0</v>
      </c>
    </row>
    <row r="346" spans="1:24" x14ac:dyDescent="0.25">
      <c r="A346">
        <v>1</v>
      </c>
      <c r="B346">
        <v>5910941321</v>
      </c>
      <c r="C346">
        <v>10</v>
      </c>
      <c r="D346" s="27">
        <v>5959111300</v>
      </c>
      <c r="F346" t="s">
        <v>42</v>
      </c>
      <c r="G346">
        <v>0</v>
      </c>
      <c r="H346">
        <v>100</v>
      </c>
      <c r="K346">
        <v>1</v>
      </c>
      <c r="L346" t="s">
        <v>68</v>
      </c>
      <c r="M346" t="s">
        <v>86</v>
      </c>
      <c r="N346" s="4">
        <v>2958465</v>
      </c>
      <c r="P346">
        <v>0</v>
      </c>
      <c r="U346">
        <v>4</v>
      </c>
      <c r="V346">
        <v>1</v>
      </c>
      <c r="W346" t="s">
        <v>69</v>
      </c>
      <c r="X346">
        <v>0</v>
      </c>
    </row>
    <row r="347" spans="1:24" x14ac:dyDescent="0.25">
      <c r="A347">
        <v>1</v>
      </c>
      <c r="B347">
        <v>5910941321</v>
      </c>
      <c r="C347">
        <v>20</v>
      </c>
      <c r="D347" s="27">
        <v>5959141300</v>
      </c>
      <c r="F347" t="s">
        <v>42</v>
      </c>
      <c r="G347">
        <v>0</v>
      </c>
      <c r="H347">
        <v>100</v>
      </c>
      <c r="K347">
        <v>1</v>
      </c>
      <c r="L347" t="s">
        <v>68</v>
      </c>
      <c r="M347" t="s">
        <v>86</v>
      </c>
      <c r="N347" s="4">
        <v>2958465</v>
      </c>
      <c r="P347">
        <v>0</v>
      </c>
      <c r="U347">
        <v>4</v>
      </c>
      <c r="V347">
        <v>1</v>
      </c>
      <c r="W347" t="s">
        <v>69</v>
      </c>
      <c r="X347">
        <v>0</v>
      </c>
    </row>
    <row r="348" spans="1:24" x14ac:dyDescent="0.25">
      <c r="A348">
        <v>1</v>
      </c>
      <c r="B348">
        <v>5910941321</v>
      </c>
      <c r="C348">
        <v>30</v>
      </c>
      <c r="D348" s="27">
        <v>5950111300</v>
      </c>
      <c r="F348" t="s">
        <v>42</v>
      </c>
      <c r="G348">
        <v>0</v>
      </c>
      <c r="H348">
        <v>100</v>
      </c>
      <c r="K348">
        <v>2</v>
      </c>
      <c r="L348" t="s">
        <v>68</v>
      </c>
      <c r="M348" t="s">
        <v>86</v>
      </c>
      <c r="N348" s="4">
        <v>2958465</v>
      </c>
      <c r="P348">
        <v>0</v>
      </c>
      <c r="U348">
        <v>4</v>
      </c>
      <c r="V348">
        <v>1</v>
      </c>
      <c r="W348" t="s">
        <v>69</v>
      </c>
      <c r="X348">
        <v>0</v>
      </c>
    </row>
    <row r="349" spans="1:24" x14ac:dyDescent="0.25">
      <c r="A349">
        <v>1</v>
      </c>
      <c r="B349">
        <v>5910941321</v>
      </c>
      <c r="C349">
        <v>40</v>
      </c>
      <c r="D349" s="27">
        <v>1018034</v>
      </c>
      <c r="F349" t="s">
        <v>42</v>
      </c>
      <c r="G349">
        <v>0</v>
      </c>
      <c r="H349">
        <v>100</v>
      </c>
      <c r="K349">
        <v>4</v>
      </c>
      <c r="L349" t="s">
        <v>68</v>
      </c>
      <c r="M349" t="s">
        <v>86</v>
      </c>
      <c r="N349" s="4">
        <v>2958465</v>
      </c>
      <c r="P349">
        <v>0</v>
      </c>
      <c r="U349">
        <v>4</v>
      </c>
      <c r="V349">
        <v>1</v>
      </c>
      <c r="W349" t="s">
        <v>69</v>
      </c>
      <c r="X349">
        <v>0</v>
      </c>
    </row>
    <row r="350" spans="1:24" x14ac:dyDescent="0.25">
      <c r="A350">
        <v>1</v>
      </c>
      <c r="B350">
        <v>5910941321</v>
      </c>
      <c r="C350">
        <v>50</v>
      </c>
      <c r="D350" s="27">
        <v>1018359</v>
      </c>
      <c r="F350" t="s">
        <v>42</v>
      </c>
      <c r="G350">
        <v>0</v>
      </c>
      <c r="H350">
        <v>100</v>
      </c>
      <c r="K350">
        <v>0.08</v>
      </c>
      <c r="L350" t="s">
        <v>68</v>
      </c>
      <c r="M350" t="s">
        <v>86</v>
      </c>
      <c r="N350" s="4">
        <v>2958465</v>
      </c>
      <c r="P350">
        <v>0</v>
      </c>
      <c r="U350">
        <v>4</v>
      </c>
      <c r="V350">
        <v>1</v>
      </c>
      <c r="W350" t="s">
        <v>69</v>
      </c>
      <c r="X350">
        <v>0</v>
      </c>
    </row>
    <row r="351" spans="1:24" x14ac:dyDescent="0.25">
      <c r="A351">
        <v>1</v>
      </c>
      <c r="B351">
        <v>5910941321</v>
      </c>
      <c r="C351">
        <v>60</v>
      </c>
      <c r="D351" s="27">
        <v>1011929</v>
      </c>
      <c r="F351" t="s">
        <v>42</v>
      </c>
      <c r="G351">
        <v>0</v>
      </c>
      <c r="H351">
        <v>100</v>
      </c>
      <c r="K351">
        <v>2.1619999999999999</v>
      </c>
      <c r="L351" t="s">
        <v>68</v>
      </c>
      <c r="M351" t="s">
        <v>86</v>
      </c>
      <c r="N351" s="4">
        <v>2958465</v>
      </c>
      <c r="P351">
        <v>0</v>
      </c>
      <c r="U351">
        <v>4</v>
      </c>
      <c r="V351">
        <v>1</v>
      </c>
      <c r="W351" t="s">
        <v>69</v>
      </c>
      <c r="X351">
        <v>0</v>
      </c>
    </row>
    <row r="352" spans="1:24" x14ac:dyDescent="0.25">
      <c r="A352">
        <v>1</v>
      </c>
      <c r="B352">
        <v>5910941321</v>
      </c>
      <c r="C352">
        <v>70</v>
      </c>
      <c r="D352" s="27">
        <v>1020023</v>
      </c>
      <c r="F352" t="s">
        <v>42</v>
      </c>
      <c r="G352">
        <v>0</v>
      </c>
      <c r="H352">
        <v>100</v>
      </c>
      <c r="K352">
        <v>4</v>
      </c>
      <c r="L352" t="s">
        <v>68</v>
      </c>
      <c r="M352" t="s">
        <v>86</v>
      </c>
      <c r="N352" s="4">
        <v>2958465</v>
      </c>
      <c r="P352">
        <v>0</v>
      </c>
      <c r="U352">
        <v>4</v>
      </c>
      <c r="V352">
        <v>1</v>
      </c>
      <c r="W352" t="s">
        <v>69</v>
      </c>
      <c r="X352">
        <v>0</v>
      </c>
    </row>
    <row r="353" spans="1:24" x14ac:dyDescent="0.25">
      <c r="A353">
        <v>1</v>
      </c>
      <c r="B353">
        <v>5910941321</v>
      </c>
      <c r="C353">
        <v>80</v>
      </c>
      <c r="D353" s="27">
        <v>12102521</v>
      </c>
      <c r="F353" t="s">
        <v>42</v>
      </c>
      <c r="G353">
        <v>0</v>
      </c>
      <c r="H353">
        <v>100</v>
      </c>
      <c r="K353">
        <v>1</v>
      </c>
      <c r="L353" t="s">
        <v>68</v>
      </c>
      <c r="M353" t="s">
        <v>86</v>
      </c>
      <c r="N353" s="4">
        <v>2958465</v>
      </c>
      <c r="P353">
        <v>0</v>
      </c>
      <c r="U353">
        <v>4</v>
      </c>
      <c r="V353">
        <v>1</v>
      </c>
      <c r="W353" t="s">
        <v>69</v>
      </c>
      <c r="X353">
        <v>0</v>
      </c>
    </row>
    <row r="354" spans="1:24" x14ac:dyDescent="0.25">
      <c r="A354">
        <v>1</v>
      </c>
      <c r="B354">
        <v>5910941821</v>
      </c>
      <c r="C354">
        <v>10</v>
      </c>
      <c r="D354" s="27">
        <v>5959111800</v>
      </c>
      <c r="F354" t="s">
        <v>42</v>
      </c>
      <c r="G354">
        <v>0</v>
      </c>
      <c r="H354">
        <v>100</v>
      </c>
      <c r="K354">
        <v>1</v>
      </c>
      <c r="L354" t="s">
        <v>68</v>
      </c>
      <c r="M354" t="s">
        <v>86</v>
      </c>
      <c r="N354" s="4">
        <v>2958465</v>
      </c>
      <c r="P354">
        <v>0</v>
      </c>
      <c r="U354">
        <v>4</v>
      </c>
      <c r="V354">
        <v>1</v>
      </c>
      <c r="W354" t="s">
        <v>69</v>
      </c>
      <c r="X354">
        <v>0</v>
      </c>
    </row>
    <row r="355" spans="1:24" x14ac:dyDescent="0.25">
      <c r="A355">
        <v>1</v>
      </c>
      <c r="B355">
        <v>5910941821</v>
      </c>
      <c r="C355">
        <v>20</v>
      </c>
      <c r="D355" s="27">
        <v>5959141800</v>
      </c>
      <c r="F355" t="s">
        <v>42</v>
      </c>
      <c r="G355">
        <v>0</v>
      </c>
      <c r="H355">
        <v>100</v>
      </c>
      <c r="K355">
        <v>1</v>
      </c>
      <c r="L355" t="s">
        <v>68</v>
      </c>
      <c r="M355" t="s">
        <v>86</v>
      </c>
      <c r="N355" s="4">
        <v>2958465</v>
      </c>
      <c r="P355">
        <v>0</v>
      </c>
      <c r="U355">
        <v>4</v>
      </c>
      <c r="V355">
        <v>1</v>
      </c>
      <c r="W355" t="s">
        <v>69</v>
      </c>
      <c r="X355">
        <v>0</v>
      </c>
    </row>
    <row r="356" spans="1:24" x14ac:dyDescent="0.25">
      <c r="A356">
        <v>1</v>
      </c>
      <c r="B356">
        <v>5910941821</v>
      </c>
      <c r="C356">
        <v>30</v>
      </c>
      <c r="D356" s="27">
        <v>5950111800</v>
      </c>
      <c r="F356" t="s">
        <v>42</v>
      </c>
      <c r="G356">
        <v>0</v>
      </c>
      <c r="H356">
        <v>100</v>
      </c>
      <c r="K356">
        <v>2</v>
      </c>
      <c r="L356" t="s">
        <v>68</v>
      </c>
      <c r="M356" t="s">
        <v>86</v>
      </c>
      <c r="N356" s="4">
        <v>2958465</v>
      </c>
      <c r="P356">
        <v>0</v>
      </c>
      <c r="U356">
        <v>4</v>
      </c>
      <c r="V356">
        <v>1</v>
      </c>
      <c r="W356" t="s">
        <v>69</v>
      </c>
      <c r="X356">
        <v>0</v>
      </c>
    </row>
    <row r="357" spans="1:24" x14ac:dyDescent="0.25">
      <c r="A357">
        <v>1</v>
      </c>
      <c r="B357">
        <v>5910941821</v>
      </c>
      <c r="C357">
        <v>40</v>
      </c>
      <c r="D357" s="27">
        <v>1018034</v>
      </c>
      <c r="F357" t="s">
        <v>42</v>
      </c>
      <c r="G357">
        <v>0</v>
      </c>
      <c r="H357">
        <v>100</v>
      </c>
      <c r="K357">
        <v>4</v>
      </c>
      <c r="L357" t="s">
        <v>68</v>
      </c>
      <c r="M357" t="s">
        <v>86</v>
      </c>
      <c r="N357" s="4">
        <v>2958465</v>
      </c>
      <c r="P357">
        <v>0</v>
      </c>
      <c r="U357">
        <v>4</v>
      </c>
      <c r="V357">
        <v>1</v>
      </c>
      <c r="W357" t="s">
        <v>69</v>
      </c>
      <c r="X357">
        <v>0</v>
      </c>
    </row>
    <row r="358" spans="1:24" x14ac:dyDescent="0.25">
      <c r="A358">
        <v>1</v>
      </c>
      <c r="B358">
        <v>5910941821</v>
      </c>
      <c r="C358">
        <v>50</v>
      </c>
      <c r="D358" s="27">
        <v>1018359</v>
      </c>
      <c r="F358" t="s">
        <v>42</v>
      </c>
      <c r="G358">
        <v>0</v>
      </c>
      <c r="H358">
        <v>100</v>
      </c>
      <c r="K358">
        <v>0.08</v>
      </c>
      <c r="L358" t="s">
        <v>68</v>
      </c>
      <c r="M358" t="s">
        <v>86</v>
      </c>
      <c r="N358" s="4">
        <v>2958465</v>
      </c>
      <c r="P358">
        <v>0</v>
      </c>
      <c r="U358">
        <v>4</v>
      </c>
      <c r="V358">
        <v>1</v>
      </c>
      <c r="W358" t="s">
        <v>69</v>
      </c>
      <c r="X358">
        <v>0</v>
      </c>
    </row>
    <row r="359" spans="1:24" x14ac:dyDescent="0.25">
      <c r="A359">
        <v>1</v>
      </c>
      <c r="B359">
        <v>5910941821</v>
      </c>
      <c r="C359">
        <v>60</v>
      </c>
      <c r="D359" s="27">
        <v>1011929</v>
      </c>
      <c r="F359" t="s">
        <v>42</v>
      </c>
      <c r="G359">
        <v>0</v>
      </c>
      <c r="H359">
        <v>100</v>
      </c>
      <c r="K359">
        <v>2.1619999999999999</v>
      </c>
      <c r="L359" t="s">
        <v>68</v>
      </c>
      <c r="M359" t="s">
        <v>86</v>
      </c>
      <c r="N359" s="4">
        <v>2958465</v>
      </c>
      <c r="P359">
        <v>0</v>
      </c>
      <c r="U359">
        <v>4</v>
      </c>
      <c r="V359">
        <v>1</v>
      </c>
      <c r="W359" t="s">
        <v>69</v>
      </c>
      <c r="X359">
        <v>0</v>
      </c>
    </row>
    <row r="360" spans="1:24" x14ac:dyDescent="0.25">
      <c r="A360">
        <v>1</v>
      </c>
      <c r="B360">
        <v>5910941821</v>
      </c>
      <c r="C360">
        <v>70</v>
      </c>
      <c r="D360" s="27">
        <v>1020023</v>
      </c>
      <c r="F360" t="s">
        <v>42</v>
      </c>
      <c r="G360">
        <v>0</v>
      </c>
      <c r="H360">
        <v>100</v>
      </c>
      <c r="K360">
        <v>4</v>
      </c>
      <c r="L360" t="s">
        <v>68</v>
      </c>
      <c r="M360" t="s">
        <v>86</v>
      </c>
      <c r="N360" s="4">
        <v>2958465</v>
      </c>
      <c r="P360">
        <v>0</v>
      </c>
      <c r="U360">
        <v>4</v>
      </c>
      <c r="V360">
        <v>1</v>
      </c>
      <c r="W360" t="s">
        <v>69</v>
      </c>
      <c r="X360">
        <v>0</v>
      </c>
    </row>
    <row r="361" spans="1:24" x14ac:dyDescent="0.25">
      <c r="A361">
        <v>1</v>
      </c>
      <c r="B361">
        <v>5910941821</v>
      </c>
      <c r="C361">
        <v>80</v>
      </c>
      <c r="D361" s="27">
        <v>12102521</v>
      </c>
      <c r="F361" t="s">
        <v>42</v>
      </c>
      <c r="G361">
        <v>0</v>
      </c>
      <c r="H361">
        <v>100</v>
      </c>
      <c r="K361">
        <v>1</v>
      </c>
      <c r="L361" t="s">
        <v>68</v>
      </c>
      <c r="M361" t="s">
        <v>86</v>
      </c>
      <c r="N361" s="4">
        <v>2958465</v>
      </c>
      <c r="P361">
        <v>0</v>
      </c>
      <c r="U361">
        <v>4</v>
      </c>
      <c r="V361">
        <v>1</v>
      </c>
      <c r="W361" t="s">
        <v>69</v>
      </c>
      <c r="X361">
        <v>0</v>
      </c>
    </row>
    <row r="362" spans="1:24" x14ac:dyDescent="0.25">
      <c r="A362">
        <v>1</v>
      </c>
      <c r="B362">
        <v>5910941021</v>
      </c>
      <c r="C362">
        <v>10</v>
      </c>
      <c r="D362" s="27">
        <v>5959111000</v>
      </c>
      <c r="F362" t="s">
        <v>42</v>
      </c>
      <c r="G362">
        <v>0</v>
      </c>
      <c r="H362">
        <v>100</v>
      </c>
      <c r="K362">
        <v>1</v>
      </c>
      <c r="L362" t="s">
        <v>68</v>
      </c>
      <c r="M362" t="s">
        <v>86</v>
      </c>
      <c r="N362" s="4">
        <v>2958465</v>
      </c>
      <c r="P362">
        <v>0</v>
      </c>
      <c r="U362">
        <v>4</v>
      </c>
      <c r="V362">
        <v>1</v>
      </c>
      <c r="W362" t="s">
        <v>69</v>
      </c>
      <c r="X362">
        <v>0</v>
      </c>
    </row>
    <row r="363" spans="1:24" x14ac:dyDescent="0.25">
      <c r="A363">
        <v>1</v>
      </c>
      <c r="B363">
        <v>5910941021</v>
      </c>
      <c r="C363">
        <v>20</v>
      </c>
      <c r="D363" s="27">
        <v>5959141000</v>
      </c>
      <c r="F363" t="s">
        <v>42</v>
      </c>
      <c r="G363">
        <v>0</v>
      </c>
      <c r="H363">
        <v>100</v>
      </c>
      <c r="K363">
        <v>1</v>
      </c>
      <c r="L363" t="s">
        <v>68</v>
      </c>
      <c r="M363" t="s">
        <v>86</v>
      </c>
      <c r="N363" s="4">
        <v>2958465</v>
      </c>
      <c r="P363">
        <v>0</v>
      </c>
      <c r="U363">
        <v>4</v>
      </c>
      <c r="V363">
        <v>1</v>
      </c>
      <c r="W363" t="s">
        <v>69</v>
      </c>
      <c r="X363">
        <v>0</v>
      </c>
    </row>
    <row r="364" spans="1:24" x14ac:dyDescent="0.25">
      <c r="A364">
        <v>1</v>
      </c>
      <c r="B364">
        <v>5910941021</v>
      </c>
      <c r="C364">
        <v>30</v>
      </c>
      <c r="D364" s="27">
        <v>5950111000</v>
      </c>
      <c r="F364" t="s">
        <v>42</v>
      </c>
      <c r="G364">
        <v>0</v>
      </c>
      <c r="H364">
        <v>100</v>
      </c>
      <c r="K364">
        <v>2</v>
      </c>
      <c r="L364" t="s">
        <v>68</v>
      </c>
      <c r="M364" t="s">
        <v>86</v>
      </c>
      <c r="N364" s="4">
        <v>2958465</v>
      </c>
      <c r="P364">
        <v>0</v>
      </c>
      <c r="U364">
        <v>4</v>
      </c>
      <c r="V364">
        <v>1</v>
      </c>
      <c r="W364" t="s">
        <v>69</v>
      </c>
      <c r="X364">
        <v>0</v>
      </c>
    </row>
    <row r="365" spans="1:24" x14ac:dyDescent="0.25">
      <c r="A365">
        <v>1</v>
      </c>
      <c r="B365">
        <v>5910941021</v>
      </c>
      <c r="C365">
        <v>40</v>
      </c>
      <c r="D365" s="27">
        <v>1018034</v>
      </c>
      <c r="F365" t="s">
        <v>42</v>
      </c>
      <c r="G365">
        <v>0</v>
      </c>
      <c r="H365">
        <v>100</v>
      </c>
      <c r="K365">
        <v>4</v>
      </c>
      <c r="L365" t="s">
        <v>68</v>
      </c>
      <c r="M365" t="s">
        <v>86</v>
      </c>
      <c r="N365" s="4">
        <v>2958465</v>
      </c>
      <c r="P365">
        <v>0</v>
      </c>
      <c r="U365">
        <v>4</v>
      </c>
      <c r="V365">
        <v>1</v>
      </c>
      <c r="W365" t="s">
        <v>69</v>
      </c>
      <c r="X365">
        <v>0</v>
      </c>
    </row>
    <row r="366" spans="1:24" x14ac:dyDescent="0.25">
      <c r="A366">
        <v>1</v>
      </c>
      <c r="B366">
        <v>5910941021</v>
      </c>
      <c r="C366">
        <v>50</v>
      </c>
      <c r="D366" s="27">
        <v>1018359</v>
      </c>
      <c r="F366" t="s">
        <v>42</v>
      </c>
      <c r="G366">
        <v>0</v>
      </c>
      <c r="H366">
        <v>100</v>
      </c>
      <c r="K366">
        <v>0.08</v>
      </c>
      <c r="L366" t="s">
        <v>68</v>
      </c>
      <c r="M366" t="s">
        <v>86</v>
      </c>
      <c r="N366" s="4">
        <v>2958465</v>
      </c>
      <c r="P366">
        <v>0</v>
      </c>
      <c r="U366">
        <v>4</v>
      </c>
      <c r="V366">
        <v>1</v>
      </c>
      <c r="W366" t="s">
        <v>69</v>
      </c>
      <c r="X366">
        <v>0</v>
      </c>
    </row>
    <row r="367" spans="1:24" x14ac:dyDescent="0.25">
      <c r="A367">
        <v>1</v>
      </c>
      <c r="B367">
        <v>5910941021</v>
      </c>
      <c r="C367">
        <v>60</v>
      </c>
      <c r="D367" s="27">
        <v>1011929</v>
      </c>
      <c r="F367" t="s">
        <v>42</v>
      </c>
      <c r="G367">
        <v>0</v>
      </c>
      <c r="H367">
        <v>100</v>
      </c>
      <c r="K367">
        <v>2.1619999999999999</v>
      </c>
      <c r="L367" t="s">
        <v>68</v>
      </c>
      <c r="M367" t="s">
        <v>86</v>
      </c>
      <c r="N367" s="4">
        <v>2958465</v>
      </c>
      <c r="P367">
        <v>0</v>
      </c>
      <c r="U367">
        <v>4</v>
      </c>
      <c r="V367">
        <v>1</v>
      </c>
      <c r="W367" t="s">
        <v>69</v>
      </c>
      <c r="X367">
        <v>0</v>
      </c>
    </row>
    <row r="368" spans="1:24" x14ac:dyDescent="0.25">
      <c r="A368">
        <v>1</v>
      </c>
      <c r="B368">
        <v>5910941021</v>
      </c>
      <c r="C368">
        <v>70</v>
      </c>
      <c r="D368" s="27">
        <v>1020023</v>
      </c>
      <c r="F368" t="s">
        <v>42</v>
      </c>
      <c r="G368">
        <v>0</v>
      </c>
      <c r="H368">
        <v>100</v>
      </c>
      <c r="K368">
        <v>4</v>
      </c>
      <c r="L368" t="s">
        <v>68</v>
      </c>
      <c r="M368" t="s">
        <v>86</v>
      </c>
      <c r="N368" s="4">
        <v>2958465</v>
      </c>
      <c r="P368">
        <v>0</v>
      </c>
      <c r="U368">
        <v>4</v>
      </c>
      <c r="V368">
        <v>1</v>
      </c>
      <c r="W368" t="s">
        <v>69</v>
      </c>
      <c r="X368">
        <v>0</v>
      </c>
    </row>
    <row r="369" spans="1:24" x14ac:dyDescent="0.25">
      <c r="A369">
        <v>1</v>
      </c>
      <c r="B369">
        <v>5910941021</v>
      </c>
      <c r="C369">
        <v>80</v>
      </c>
      <c r="D369" s="27">
        <v>12102521</v>
      </c>
      <c r="F369" t="s">
        <v>42</v>
      </c>
      <c r="G369">
        <v>0</v>
      </c>
      <c r="H369">
        <v>100</v>
      </c>
      <c r="K369">
        <v>1</v>
      </c>
      <c r="L369" t="s">
        <v>68</v>
      </c>
      <c r="M369" t="s">
        <v>86</v>
      </c>
      <c r="N369" s="4">
        <v>2958465</v>
      </c>
      <c r="P369">
        <v>0</v>
      </c>
      <c r="U369">
        <v>4</v>
      </c>
      <c r="V369">
        <v>1</v>
      </c>
      <c r="W369" t="s">
        <v>69</v>
      </c>
      <c r="X369">
        <v>0</v>
      </c>
    </row>
    <row r="370" spans="1:24" x14ac:dyDescent="0.25">
      <c r="A370">
        <v>1</v>
      </c>
      <c r="B370">
        <v>5910941212</v>
      </c>
      <c r="C370">
        <v>10</v>
      </c>
      <c r="D370" s="27">
        <v>5959111200</v>
      </c>
      <c r="F370" t="s">
        <v>42</v>
      </c>
      <c r="G370">
        <v>0</v>
      </c>
      <c r="H370">
        <v>100</v>
      </c>
      <c r="K370">
        <v>1</v>
      </c>
      <c r="L370" t="s">
        <v>68</v>
      </c>
      <c r="M370" t="s">
        <v>86</v>
      </c>
      <c r="N370" s="4">
        <v>2958465</v>
      </c>
      <c r="P370">
        <v>0</v>
      </c>
      <c r="U370">
        <v>4</v>
      </c>
      <c r="V370">
        <v>1</v>
      </c>
      <c r="W370" t="s">
        <v>69</v>
      </c>
      <c r="X370">
        <v>0</v>
      </c>
    </row>
    <row r="371" spans="1:24" x14ac:dyDescent="0.25">
      <c r="A371">
        <v>1</v>
      </c>
      <c r="B371">
        <v>5910941212</v>
      </c>
      <c r="C371">
        <v>20</v>
      </c>
      <c r="D371" s="27">
        <v>5959141200</v>
      </c>
      <c r="F371" t="s">
        <v>42</v>
      </c>
      <c r="G371">
        <v>0</v>
      </c>
      <c r="H371">
        <v>100</v>
      </c>
      <c r="K371">
        <v>1</v>
      </c>
      <c r="L371" t="s">
        <v>68</v>
      </c>
      <c r="M371" t="s">
        <v>86</v>
      </c>
      <c r="N371" s="4">
        <v>2958465</v>
      </c>
      <c r="P371">
        <v>0</v>
      </c>
      <c r="U371">
        <v>4</v>
      </c>
      <c r="V371">
        <v>1</v>
      </c>
      <c r="W371" t="s">
        <v>69</v>
      </c>
      <c r="X371">
        <v>0</v>
      </c>
    </row>
    <row r="372" spans="1:24" x14ac:dyDescent="0.25">
      <c r="A372">
        <v>1</v>
      </c>
      <c r="B372">
        <v>5910941212</v>
      </c>
      <c r="C372">
        <v>30</v>
      </c>
      <c r="D372" s="27">
        <v>5950111200</v>
      </c>
      <c r="F372" t="s">
        <v>42</v>
      </c>
      <c r="G372">
        <v>0</v>
      </c>
      <c r="H372">
        <v>100</v>
      </c>
      <c r="K372">
        <v>2</v>
      </c>
      <c r="L372" t="s">
        <v>68</v>
      </c>
      <c r="M372" t="s">
        <v>86</v>
      </c>
      <c r="N372" s="4">
        <v>2958465</v>
      </c>
      <c r="P372">
        <v>0</v>
      </c>
      <c r="U372">
        <v>4</v>
      </c>
      <c r="V372">
        <v>1</v>
      </c>
      <c r="W372" t="s">
        <v>69</v>
      </c>
      <c r="X372">
        <v>0</v>
      </c>
    </row>
    <row r="373" spans="1:24" x14ac:dyDescent="0.25">
      <c r="A373">
        <v>1</v>
      </c>
      <c r="B373">
        <v>5910941212</v>
      </c>
      <c r="C373">
        <v>40</v>
      </c>
      <c r="D373" s="27">
        <v>1018034</v>
      </c>
      <c r="F373" t="s">
        <v>42</v>
      </c>
      <c r="G373">
        <v>0</v>
      </c>
      <c r="H373">
        <v>100</v>
      </c>
      <c r="K373">
        <v>4</v>
      </c>
      <c r="L373" t="s">
        <v>68</v>
      </c>
      <c r="M373" t="s">
        <v>86</v>
      </c>
      <c r="N373" s="4">
        <v>2958465</v>
      </c>
      <c r="P373">
        <v>0</v>
      </c>
      <c r="U373">
        <v>4</v>
      </c>
      <c r="V373">
        <v>1</v>
      </c>
      <c r="W373" t="s">
        <v>69</v>
      </c>
      <c r="X373">
        <v>0</v>
      </c>
    </row>
    <row r="374" spans="1:24" x14ac:dyDescent="0.25">
      <c r="A374">
        <v>1</v>
      </c>
      <c r="B374">
        <v>5910941212</v>
      </c>
      <c r="C374">
        <v>50</v>
      </c>
      <c r="D374" s="27">
        <v>1018359</v>
      </c>
      <c r="F374" t="s">
        <v>42</v>
      </c>
      <c r="G374">
        <v>0</v>
      </c>
      <c r="H374">
        <v>100</v>
      </c>
      <c r="K374">
        <v>0.08</v>
      </c>
      <c r="L374" t="s">
        <v>68</v>
      </c>
      <c r="M374" t="s">
        <v>86</v>
      </c>
      <c r="N374" s="4">
        <v>2958465</v>
      </c>
      <c r="P374">
        <v>0</v>
      </c>
      <c r="U374">
        <v>4</v>
      </c>
      <c r="V374">
        <v>1</v>
      </c>
      <c r="W374" t="s">
        <v>69</v>
      </c>
      <c r="X374">
        <v>0</v>
      </c>
    </row>
    <row r="375" spans="1:24" x14ac:dyDescent="0.25">
      <c r="A375">
        <v>1</v>
      </c>
      <c r="B375">
        <v>5910941212</v>
      </c>
      <c r="C375">
        <v>60</v>
      </c>
      <c r="D375" s="27">
        <v>1011929</v>
      </c>
      <c r="F375" t="s">
        <v>42</v>
      </c>
      <c r="G375">
        <v>0</v>
      </c>
      <c r="H375">
        <v>100</v>
      </c>
      <c r="K375">
        <v>2.1619999999999999</v>
      </c>
      <c r="L375" t="s">
        <v>68</v>
      </c>
      <c r="M375" t="s">
        <v>86</v>
      </c>
      <c r="N375" s="4">
        <v>2958465</v>
      </c>
      <c r="P375">
        <v>0</v>
      </c>
      <c r="U375">
        <v>4</v>
      </c>
      <c r="V375">
        <v>1</v>
      </c>
      <c r="W375" t="s">
        <v>69</v>
      </c>
      <c r="X375">
        <v>0</v>
      </c>
    </row>
    <row r="376" spans="1:24" x14ac:dyDescent="0.25">
      <c r="A376">
        <v>1</v>
      </c>
      <c r="B376">
        <v>5910941212</v>
      </c>
      <c r="C376">
        <v>70</v>
      </c>
      <c r="D376" s="27">
        <v>1020023</v>
      </c>
      <c r="F376" t="s">
        <v>42</v>
      </c>
      <c r="G376">
        <v>0</v>
      </c>
      <c r="H376">
        <v>100</v>
      </c>
      <c r="K376">
        <v>4</v>
      </c>
      <c r="L376" t="s">
        <v>68</v>
      </c>
      <c r="M376" t="s">
        <v>86</v>
      </c>
      <c r="N376" s="4">
        <v>2958465</v>
      </c>
      <c r="P376">
        <v>0</v>
      </c>
      <c r="U376">
        <v>4</v>
      </c>
      <c r="V376">
        <v>1</v>
      </c>
      <c r="W376" t="s">
        <v>69</v>
      </c>
      <c r="X376">
        <v>0</v>
      </c>
    </row>
    <row r="377" spans="1:24" x14ac:dyDescent="0.25">
      <c r="A377">
        <v>1</v>
      </c>
      <c r="B377">
        <v>5910941212</v>
      </c>
      <c r="C377">
        <v>80</v>
      </c>
      <c r="D377" s="27">
        <v>12102512</v>
      </c>
      <c r="F377" t="s">
        <v>42</v>
      </c>
      <c r="G377">
        <v>0</v>
      </c>
      <c r="H377">
        <v>100</v>
      </c>
      <c r="K377">
        <v>1</v>
      </c>
      <c r="L377" t="s">
        <v>68</v>
      </c>
      <c r="M377" t="s">
        <v>86</v>
      </c>
      <c r="N377" s="4">
        <v>2958465</v>
      </c>
      <c r="P377">
        <v>0</v>
      </c>
      <c r="U377">
        <v>4</v>
      </c>
      <c r="V377">
        <v>1</v>
      </c>
      <c r="W377" t="s">
        <v>69</v>
      </c>
      <c r="X377">
        <v>0</v>
      </c>
    </row>
    <row r="378" spans="1:24" x14ac:dyDescent="0.25">
      <c r="A378">
        <v>1</v>
      </c>
      <c r="B378">
        <v>5910941312</v>
      </c>
      <c r="C378">
        <v>10</v>
      </c>
      <c r="D378" s="27">
        <v>5959111300</v>
      </c>
      <c r="F378" t="s">
        <v>42</v>
      </c>
      <c r="G378">
        <v>0</v>
      </c>
      <c r="H378">
        <v>100</v>
      </c>
      <c r="K378">
        <v>1</v>
      </c>
      <c r="L378" t="s">
        <v>68</v>
      </c>
      <c r="M378" t="s">
        <v>86</v>
      </c>
      <c r="N378" s="4">
        <v>2958465</v>
      </c>
      <c r="P378">
        <v>0</v>
      </c>
      <c r="U378">
        <v>4</v>
      </c>
      <c r="V378">
        <v>1</v>
      </c>
      <c r="W378" t="s">
        <v>69</v>
      </c>
      <c r="X378">
        <v>0</v>
      </c>
    </row>
    <row r="379" spans="1:24" x14ac:dyDescent="0.25">
      <c r="A379">
        <v>1</v>
      </c>
      <c r="B379">
        <v>5910941312</v>
      </c>
      <c r="C379">
        <v>20</v>
      </c>
      <c r="D379" s="27">
        <v>5959141300</v>
      </c>
      <c r="F379" t="s">
        <v>42</v>
      </c>
      <c r="G379">
        <v>0</v>
      </c>
      <c r="H379">
        <v>100</v>
      </c>
      <c r="K379">
        <v>1</v>
      </c>
      <c r="L379" t="s">
        <v>68</v>
      </c>
      <c r="M379" t="s">
        <v>86</v>
      </c>
      <c r="N379" s="4">
        <v>2958465</v>
      </c>
      <c r="P379">
        <v>0</v>
      </c>
      <c r="U379">
        <v>4</v>
      </c>
      <c r="V379">
        <v>1</v>
      </c>
      <c r="W379" t="s">
        <v>69</v>
      </c>
      <c r="X379">
        <v>0</v>
      </c>
    </row>
    <row r="380" spans="1:24" x14ac:dyDescent="0.25">
      <c r="A380">
        <v>1</v>
      </c>
      <c r="B380">
        <v>5910941312</v>
      </c>
      <c r="C380">
        <v>30</v>
      </c>
      <c r="D380" s="27">
        <v>5950111300</v>
      </c>
      <c r="F380" t="s">
        <v>42</v>
      </c>
      <c r="G380">
        <v>0</v>
      </c>
      <c r="H380">
        <v>100</v>
      </c>
      <c r="K380">
        <v>2</v>
      </c>
      <c r="L380" t="s">
        <v>68</v>
      </c>
      <c r="M380" t="s">
        <v>86</v>
      </c>
      <c r="N380" s="4">
        <v>2958465</v>
      </c>
      <c r="P380">
        <v>0</v>
      </c>
      <c r="U380">
        <v>4</v>
      </c>
      <c r="V380">
        <v>1</v>
      </c>
      <c r="W380" t="s">
        <v>69</v>
      </c>
      <c r="X380">
        <v>0</v>
      </c>
    </row>
    <row r="381" spans="1:24" x14ac:dyDescent="0.25">
      <c r="A381">
        <v>1</v>
      </c>
      <c r="B381">
        <v>5910941312</v>
      </c>
      <c r="C381">
        <v>40</v>
      </c>
      <c r="D381" s="27">
        <v>1018034</v>
      </c>
      <c r="F381" t="s">
        <v>42</v>
      </c>
      <c r="G381">
        <v>0</v>
      </c>
      <c r="H381">
        <v>100</v>
      </c>
      <c r="K381">
        <v>4</v>
      </c>
      <c r="L381" t="s">
        <v>68</v>
      </c>
      <c r="M381" t="s">
        <v>86</v>
      </c>
      <c r="N381" s="4">
        <v>2958465</v>
      </c>
      <c r="P381">
        <v>0</v>
      </c>
      <c r="U381">
        <v>4</v>
      </c>
      <c r="V381">
        <v>1</v>
      </c>
      <c r="W381" t="s">
        <v>69</v>
      </c>
      <c r="X381">
        <v>0</v>
      </c>
    </row>
    <row r="382" spans="1:24" x14ac:dyDescent="0.25">
      <c r="A382">
        <v>1</v>
      </c>
      <c r="B382">
        <v>5910941312</v>
      </c>
      <c r="C382">
        <v>50</v>
      </c>
      <c r="D382" s="27">
        <v>1018359</v>
      </c>
      <c r="F382" t="s">
        <v>42</v>
      </c>
      <c r="G382">
        <v>0</v>
      </c>
      <c r="H382">
        <v>100</v>
      </c>
      <c r="K382">
        <v>0.08</v>
      </c>
      <c r="L382" t="s">
        <v>68</v>
      </c>
      <c r="M382" t="s">
        <v>86</v>
      </c>
      <c r="N382" s="4">
        <v>2958465</v>
      </c>
      <c r="P382">
        <v>0</v>
      </c>
      <c r="U382">
        <v>4</v>
      </c>
      <c r="V382">
        <v>1</v>
      </c>
      <c r="W382" t="s">
        <v>69</v>
      </c>
      <c r="X382">
        <v>0</v>
      </c>
    </row>
    <row r="383" spans="1:24" x14ac:dyDescent="0.25">
      <c r="A383">
        <v>1</v>
      </c>
      <c r="B383">
        <v>5910941312</v>
      </c>
      <c r="C383">
        <v>60</v>
      </c>
      <c r="D383" s="27">
        <v>1011929</v>
      </c>
      <c r="F383" t="s">
        <v>42</v>
      </c>
      <c r="G383">
        <v>0</v>
      </c>
      <c r="H383">
        <v>100</v>
      </c>
      <c r="K383">
        <v>2.1619999999999999</v>
      </c>
      <c r="L383" t="s">
        <v>68</v>
      </c>
      <c r="M383" t="s">
        <v>86</v>
      </c>
      <c r="N383" s="4">
        <v>2958465</v>
      </c>
      <c r="P383">
        <v>0</v>
      </c>
      <c r="U383">
        <v>4</v>
      </c>
      <c r="V383">
        <v>1</v>
      </c>
      <c r="W383" t="s">
        <v>69</v>
      </c>
      <c r="X383">
        <v>0</v>
      </c>
    </row>
    <row r="384" spans="1:24" x14ac:dyDescent="0.25">
      <c r="A384">
        <v>1</v>
      </c>
      <c r="B384">
        <v>5910941312</v>
      </c>
      <c r="C384">
        <v>70</v>
      </c>
      <c r="D384" s="27">
        <v>1020023</v>
      </c>
      <c r="F384" t="s">
        <v>42</v>
      </c>
      <c r="G384">
        <v>0</v>
      </c>
      <c r="H384">
        <v>100</v>
      </c>
      <c r="K384">
        <v>4</v>
      </c>
      <c r="L384" t="s">
        <v>68</v>
      </c>
      <c r="M384" t="s">
        <v>86</v>
      </c>
      <c r="N384" s="4">
        <v>2958465</v>
      </c>
      <c r="P384">
        <v>0</v>
      </c>
      <c r="U384">
        <v>4</v>
      </c>
      <c r="V384">
        <v>1</v>
      </c>
      <c r="W384" t="s">
        <v>69</v>
      </c>
      <c r="X384">
        <v>0</v>
      </c>
    </row>
    <row r="385" spans="1:24" x14ac:dyDescent="0.25">
      <c r="A385">
        <v>1</v>
      </c>
      <c r="B385">
        <v>5910941312</v>
      </c>
      <c r="C385">
        <v>80</v>
      </c>
      <c r="D385" s="27">
        <v>12102512</v>
      </c>
      <c r="F385" t="s">
        <v>42</v>
      </c>
      <c r="G385">
        <v>0</v>
      </c>
      <c r="H385">
        <v>100</v>
      </c>
      <c r="K385">
        <v>1</v>
      </c>
      <c r="L385" t="s">
        <v>68</v>
      </c>
      <c r="M385" t="s">
        <v>86</v>
      </c>
      <c r="N385" s="4">
        <v>2958465</v>
      </c>
      <c r="P385">
        <v>0</v>
      </c>
      <c r="U385">
        <v>4</v>
      </c>
      <c r="V385">
        <v>1</v>
      </c>
      <c r="W385" t="s">
        <v>69</v>
      </c>
      <c r="X385">
        <v>0</v>
      </c>
    </row>
    <row r="386" spans="1:24" x14ac:dyDescent="0.25">
      <c r="A386">
        <v>1</v>
      </c>
      <c r="B386">
        <v>5910941812</v>
      </c>
      <c r="C386">
        <v>10</v>
      </c>
      <c r="D386" s="27">
        <v>5959111800</v>
      </c>
      <c r="F386" t="s">
        <v>42</v>
      </c>
      <c r="G386">
        <v>0</v>
      </c>
      <c r="H386">
        <v>100</v>
      </c>
      <c r="K386">
        <v>1</v>
      </c>
      <c r="L386" t="s">
        <v>68</v>
      </c>
      <c r="M386" t="s">
        <v>86</v>
      </c>
      <c r="N386" s="4">
        <v>2958465</v>
      </c>
      <c r="P386">
        <v>0</v>
      </c>
      <c r="U386">
        <v>4</v>
      </c>
      <c r="V386">
        <v>1</v>
      </c>
      <c r="W386" t="s">
        <v>69</v>
      </c>
      <c r="X386">
        <v>0</v>
      </c>
    </row>
    <row r="387" spans="1:24" x14ac:dyDescent="0.25">
      <c r="A387">
        <v>1</v>
      </c>
      <c r="B387">
        <v>5910941812</v>
      </c>
      <c r="C387">
        <v>20</v>
      </c>
      <c r="D387" s="27">
        <v>5959141800</v>
      </c>
      <c r="F387" t="s">
        <v>42</v>
      </c>
      <c r="G387">
        <v>0</v>
      </c>
      <c r="H387">
        <v>100</v>
      </c>
      <c r="K387">
        <v>1</v>
      </c>
      <c r="L387" t="s">
        <v>68</v>
      </c>
      <c r="M387" t="s">
        <v>86</v>
      </c>
      <c r="N387" s="4">
        <v>2958465</v>
      </c>
      <c r="P387">
        <v>0</v>
      </c>
      <c r="U387">
        <v>4</v>
      </c>
      <c r="V387">
        <v>1</v>
      </c>
      <c r="W387" t="s">
        <v>69</v>
      </c>
      <c r="X387">
        <v>0</v>
      </c>
    </row>
    <row r="388" spans="1:24" x14ac:dyDescent="0.25">
      <c r="A388">
        <v>1</v>
      </c>
      <c r="B388">
        <v>5910941812</v>
      </c>
      <c r="C388">
        <v>30</v>
      </c>
      <c r="D388" s="27">
        <v>5950111800</v>
      </c>
      <c r="F388" t="s">
        <v>42</v>
      </c>
      <c r="G388">
        <v>0</v>
      </c>
      <c r="H388">
        <v>100</v>
      </c>
      <c r="K388">
        <v>2</v>
      </c>
      <c r="L388" t="s">
        <v>68</v>
      </c>
      <c r="M388" t="s">
        <v>86</v>
      </c>
      <c r="N388" s="4">
        <v>2958465</v>
      </c>
      <c r="P388">
        <v>0</v>
      </c>
      <c r="U388">
        <v>4</v>
      </c>
      <c r="V388">
        <v>1</v>
      </c>
      <c r="W388" t="s">
        <v>69</v>
      </c>
      <c r="X388">
        <v>0</v>
      </c>
    </row>
    <row r="389" spans="1:24" x14ac:dyDescent="0.25">
      <c r="A389">
        <v>1</v>
      </c>
      <c r="B389">
        <v>5910941812</v>
      </c>
      <c r="C389">
        <v>40</v>
      </c>
      <c r="D389" s="27">
        <v>1018034</v>
      </c>
      <c r="F389" t="s">
        <v>42</v>
      </c>
      <c r="G389">
        <v>0</v>
      </c>
      <c r="H389">
        <v>100</v>
      </c>
      <c r="K389">
        <v>4</v>
      </c>
      <c r="L389" t="s">
        <v>68</v>
      </c>
      <c r="M389" t="s">
        <v>86</v>
      </c>
      <c r="N389" s="4">
        <v>2958465</v>
      </c>
      <c r="P389">
        <v>0</v>
      </c>
      <c r="U389">
        <v>4</v>
      </c>
      <c r="V389">
        <v>1</v>
      </c>
      <c r="W389" t="s">
        <v>69</v>
      </c>
      <c r="X389">
        <v>0</v>
      </c>
    </row>
    <row r="390" spans="1:24" x14ac:dyDescent="0.25">
      <c r="A390">
        <v>1</v>
      </c>
      <c r="B390">
        <v>5910941812</v>
      </c>
      <c r="C390">
        <v>50</v>
      </c>
      <c r="D390" s="27">
        <v>1018359</v>
      </c>
      <c r="F390" t="s">
        <v>42</v>
      </c>
      <c r="G390">
        <v>0</v>
      </c>
      <c r="H390">
        <v>100</v>
      </c>
      <c r="K390">
        <v>0.08</v>
      </c>
      <c r="L390" t="s">
        <v>68</v>
      </c>
      <c r="M390" t="s">
        <v>86</v>
      </c>
      <c r="N390" s="4">
        <v>2958465</v>
      </c>
      <c r="P390">
        <v>0</v>
      </c>
      <c r="U390">
        <v>4</v>
      </c>
      <c r="V390">
        <v>1</v>
      </c>
      <c r="W390" t="s">
        <v>69</v>
      </c>
      <c r="X390">
        <v>0</v>
      </c>
    </row>
    <row r="391" spans="1:24" x14ac:dyDescent="0.25">
      <c r="A391">
        <v>1</v>
      </c>
      <c r="B391">
        <v>5910941812</v>
      </c>
      <c r="C391">
        <v>60</v>
      </c>
      <c r="D391" s="27">
        <v>1011929</v>
      </c>
      <c r="F391" t="s">
        <v>42</v>
      </c>
      <c r="G391">
        <v>0</v>
      </c>
      <c r="H391">
        <v>100</v>
      </c>
      <c r="K391">
        <v>2.1619999999999999</v>
      </c>
      <c r="L391" t="s">
        <v>68</v>
      </c>
      <c r="M391" t="s">
        <v>86</v>
      </c>
      <c r="N391" s="4">
        <v>2958465</v>
      </c>
      <c r="P391">
        <v>0</v>
      </c>
      <c r="U391">
        <v>4</v>
      </c>
      <c r="V391">
        <v>1</v>
      </c>
      <c r="W391" t="s">
        <v>69</v>
      </c>
      <c r="X391">
        <v>0</v>
      </c>
    </row>
    <row r="392" spans="1:24" x14ac:dyDescent="0.25">
      <c r="A392">
        <v>1</v>
      </c>
      <c r="B392">
        <v>5910941812</v>
      </c>
      <c r="C392">
        <v>70</v>
      </c>
      <c r="D392" s="27">
        <v>1020023</v>
      </c>
      <c r="F392" t="s">
        <v>42</v>
      </c>
      <c r="G392">
        <v>0</v>
      </c>
      <c r="H392">
        <v>100</v>
      </c>
      <c r="K392">
        <v>4</v>
      </c>
      <c r="L392" t="s">
        <v>68</v>
      </c>
      <c r="M392" t="s">
        <v>86</v>
      </c>
      <c r="N392" s="4">
        <v>2958465</v>
      </c>
      <c r="P392">
        <v>0</v>
      </c>
      <c r="U392">
        <v>4</v>
      </c>
      <c r="V392">
        <v>1</v>
      </c>
      <c r="W392" t="s">
        <v>69</v>
      </c>
      <c r="X392">
        <v>0</v>
      </c>
    </row>
    <row r="393" spans="1:24" x14ac:dyDescent="0.25">
      <c r="A393">
        <v>1</v>
      </c>
      <c r="B393">
        <v>5910941812</v>
      </c>
      <c r="C393">
        <v>80</v>
      </c>
      <c r="D393" s="27">
        <v>12102512</v>
      </c>
      <c r="F393" t="s">
        <v>42</v>
      </c>
      <c r="G393">
        <v>0</v>
      </c>
      <c r="H393">
        <v>100</v>
      </c>
      <c r="K393">
        <v>1</v>
      </c>
      <c r="L393" t="s">
        <v>68</v>
      </c>
      <c r="M393" t="s">
        <v>86</v>
      </c>
      <c r="N393" s="4">
        <v>2958465</v>
      </c>
      <c r="P393">
        <v>0</v>
      </c>
      <c r="U393">
        <v>4</v>
      </c>
      <c r="V393">
        <v>1</v>
      </c>
      <c r="W393" t="s">
        <v>69</v>
      </c>
      <c r="X393">
        <v>0</v>
      </c>
    </row>
    <row r="394" spans="1:24" x14ac:dyDescent="0.25">
      <c r="A394">
        <v>1</v>
      </c>
      <c r="B394">
        <v>5910941012</v>
      </c>
      <c r="C394">
        <v>10</v>
      </c>
      <c r="D394" s="27">
        <v>5959111000</v>
      </c>
      <c r="F394" t="s">
        <v>42</v>
      </c>
      <c r="G394">
        <v>0</v>
      </c>
      <c r="H394">
        <v>100</v>
      </c>
      <c r="K394">
        <v>1</v>
      </c>
      <c r="L394" t="s">
        <v>68</v>
      </c>
      <c r="M394" t="s">
        <v>86</v>
      </c>
      <c r="N394" s="4">
        <v>2958465</v>
      </c>
      <c r="P394">
        <v>0</v>
      </c>
      <c r="U394">
        <v>4</v>
      </c>
      <c r="V394">
        <v>1</v>
      </c>
      <c r="W394" t="s">
        <v>69</v>
      </c>
      <c r="X394">
        <v>0</v>
      </c>
    </row>
    <row r="395" spans="1:24" x14ac:dyDescent="0.25">
      <c r="A395">
        <v>1</v>
      </c>
      <c r="B395">
        <v>5910941012</v>
      </c>
      <c r="C395">
        <v>20</v>
      </c>
      <c r="D395" s="27">
        <v>5959141000</v>
      </c>
      <c r="F395" t="s">
        <v>42</v>
      </c>
      <c r="G395">
        <v>0</v>
      </c>
      <c r="H395">
        <v>100</v>
      </c>
      <c r="K395">
        <v>1</v>
      </c>
      <c r="L395" t="s">
        <v>68</v>
      </c>
      <c r="M395" t="s">
        <v>86</v>
      </c>
      <c r="N395" s="4">
        <v>2958465</v>
      </c>
      <c r="P395">
        <v>0</v>
      </c>
      <c r="U395">
        <v>4</v>
      </c>
      <c r="V395">
        <v>1</v>
      </c>
      <c r="W395" t="s">
        <v>69</v>
      </c>
      <c r="X395">
        <v>0</v>
      </c>
    </row>
    <row r="396" spans="1:24" x14ac:dyDescent="0.25">
      <c r="A396">
        <v>1</v>
      </c>
      <c r="B396">
        <v>5910941012</v>
      </c>
      <c r="C396">
        <v>30</v>
      </c>
      <c r="D396" s="27">
        <v>5950111000</v>
      </c>
      <c r="F396" t="s">
        <v>42</v>
      </c>
      <c r="G396">
        <v>0</v>
      </c>
      <c r="H396">
        <v>100</v>
      </c>
      <c r="K396">
        <v>2</v>
      </c>
      <c r="L396" t="s">
        <v>68</v>
      </c>
      <c r="M396" t="s">
        <v>86</v>
      </c>
      <c r="N396" s="4">
        <v>2958465</v>
      </c>
      <c r="P396">
        <v>0</v>
      </c>
      <c r="U396">
        <v>4</v>
      </c>
      <c r="V396">
        <v>1</v>
      </c>
      <c r="W396" t="s">
        <v>69</v>
      </c>
      <c r="X396">
        <v>0</v>
      </c>
    </row>
    <row r="397" spans="1:24" x14ac:dyDescent="0.25">
      <c r="A397">
        <v>1</v>
      </c>
      <c r="B397">
        <v>5910941012</v>
      </c>
      <c r="C397">
        <v>40</v>
      </c>
      <c r="D397" s="27">
        <v>1018034</v>
      </c>
      <c r="F397" t="s">
        <v>42</v>
      </c>
      <c r="G397">
        <v>0</v>
      </c>
      <c r="H397">
        <v>100</v>
      </c>
      <c r="K397">
        <v>4</v>
      </c>
      <c r="L397" t="s">
        <v>68</v>
      </c>
      <c r="M397" t="s">
        <v>86</v>
      </c>
      <c r="N397" s="4">
        <v>2958465</v>
      </c>
      <c r="P397">
        <v>0</v>
      </c>
      <c r="U397">
        <v>4</v>
      </c>
      <c r="V397">
        <v>1</v>
      </c>
      <c r="W397" t="s">
        <v>69</v>
      </c>
      <c r="X397">
        <v>0</v>
      </c>
    </row>
    <row r="398" spans="1:24" x14ac:dyDescent="0.25">
      <c r="A398">
        <v>1</v>
      </c>
      <c r="B398">
        <v>5910941012</v>
      </c>
      <c r="C398">
        <v>50</v>
      </c>
      <c r="D398" s="27">
        <v>1018359</v>
      </c>
      <c r="F398" t="s">
        <v>42</v>
      </c>
      <c r="G398">
        <v>0</v>
      </c>
      <c r="H398">
        <v>100</v>
      </c>
      <c r="K398">
        <v>0.08</v>
      </c>
      <c r="L398" t="s">
        <v>68</v>
      </c>
      <c r="M398" t="s">
        <v>86</v>
      </c>
      <c r="N398" s="4">
        <v>2958465</v>
      </c>
      <c r="P398">
        <v>0</v>
      </c>
      <c r="U398">
        <v>4</v>
      </c>
      <c r="V398">
        <v>1</v>
      </c>
      <c r="W398" t="s">
        <v>69</v>
      </c>
      <c r="X398">
        <v>0</v>
      </c>
    </row>
    <row r="399" spans="1:24" x14ac:dyDescent="0.25">
      <c r="A399">
        <v>1</v>
      </c>
      <c r="B399">
        <v>5910941012</v>
      </c>
      <c r="C399">
        <v>60</v>
      </c>
      <c r="D399" s="27">
        <v>1011929</v>
      </c>
      <c r="F399" t="s">
        <v>42</v>
      </c>
      <c r="G399">
        <v>0</v>
      </c>
      <c r="H399">
        <v>100</v>
      </c>
      <c r="K399">
        <v>2.1619999999999999</v>
      </c>
      <c r="L399" t="s">
        <v>68</v>
      </c>
      <c r="M399" t="s">
        <v>86</v>
      </c>
      <c r="N399" s="4">
        <v>2958465</v>
      </c>
      <c r="P399">
        <v>0</v>
      </c>
      <c r="U399">
        <v>4</v>
      </c>
      <c r="V399">
        <v>1</v>
      </c>
      <c r="W399" t="s">
        <v>69</v>
      </c>
      <c r="X399">
        <v>0</v>
      </c>
    </row>
    <row r="400" spans="1:24" x14ac:dyDescent="0.25">
      <c r="A400">
        <v>1</v>
      </c>
      <c r="B400">
        <v>5910941012</v>
      </c>
      <c r="C400">
        <v>70</v>
      </c>
      <c r="D400" s="27">
        <v>1020023</v>
      </c>
      <c r="F400" t="s">
        <v>42</v>
      </c>
      <c r="G400">
        <v>0</v>
      </c>
      <c r="H400">
        <v>100</v>
      </c>
      <c r="K400">
        <v>4</v>
      </c>
      <c r="L400" t="s">
        <v>68</v>
      </c>
      <c r="M400" t="s">
        <v>86</v>
      </c>
      <c r="N400" s="4">
        <v>2958465</v>
      </c>
      <c r="P400">
        <v>0</v>
      </c>
      <c r="U400">
        <v>4</v>
      </c>
      <c r="V400">
        <v>1</v>
      </c>
      <c r="W400" t="s">
        <v>69</v>
      </c>
      <c r="X400">
        <v>0</v>
      </c>
    </row>
    <row r="401" spans="1:24" x14ac:dyDescent="0.25">
      <c r="A401">
        <v>1</v>
      </c>
      <c r="B401">
        <v>5910941012</v>
      </c>
      <c r="C401">
        <v>80</v>
      </c>
      <c r="D401" s="27">
        <v>12102512</v>
      </c>
      <c r="F401" t="s">
        <v>42</v>
      </c>
      <c r="G401">
        <v>0</v>
      </c>
      <c r="H401">
        <v>100</v>
      </c>
      <c r="K401">
        <v>1</v>
      </c>
      <c r="L401" t="s">
        <v>68</v>
      </c>
      <c r="M401" t="s">
        <v>86</v>
      </c>
      <c r="N401" s="4">
        <v>2958465</v>
      </c>
      <c r="P401">
        <v>0</v>
      </c>
      <c r="U401">
        <v>4</v>
      </c>
      <c r="V401">
        <v>1</v>
      </c>
      <c r="W401" t="s">
        <v>69</v>
      </c>
      <c r="X401">
        <v>0</v>
      </c>
    </row>
    <row r="402" spans="1:24" x14ac:dyDescent="0.25">
      <c r="A402">
        <v>1</v>
      </c>
      <c r="B402">
        <v>5910941206</v>
      </c>
      <c r="C402">
        <v>10</v>
      </c>
      <c r="D402" s="27">
        <v>5959111200</v>
      </c>
      <c r="F402" t="s">
        <v>42</v>
      </c>
      <c r="G402">
        <v>0</v>
      </c>
      <c r="H402">
        <v>100</v>
      </c>
      <c r="K402">
        <v>1</v>
      </c>
      <c r="L402" t="s">
        <v>68</v>
      </c>
      <c r="M402" t="s">
        <v>86</v>
      </c>
      <c r="N402" s="4">
        <v>2958465</v>
      </c>
      <c r="P402">
        <v>0</v>
      </c>
      <c r="U402">
        <v>4</v>
      </c>
      <c r="V402">
        <v>1</v>
      </c>
      <c r="W402" t="s">
        <v>69</v>
      </c>
      <c r="X402">
        <v>0</v>
      </c>
    </row>
    <row r="403" spans="1:24" x14ac:dyDescent="0.25">
      <c r="A403">
        <v>1</v>
      </c>
      <c r="B403">
        <v>5910941206</v>
      </c>
      <c r="C403">
        <v>20</v>
      </c>
      <c r="D403" s="27">
        <v>5959141200</v>
      </c>
      <c r="F403" t="s">
        <v>42</v>
      </c>
      <c r="G403">
        <v>0</v>
      </c>
      <c r="H403">
        <v>100</v>
      </c>
      <c r="K403">
        <v>1</v>
      </c>
      <c r="L403" t="s">
        <v>68</v>
      </c>
      <c r="M403" t="s">
        <v>86</v>
      </c>
      <c r="N403" s="4">
        <v>2958465</v>
      </c>
      <c r="P403">
        <v>0</v>
      </c>
      <c r="U403">
        <v>4</v>
      </c>
      <c r="V403">
        <v>1</v>
      </c>
      <c r="W403" t="s">
        <v>69</v>
      </c>
      <c r="X403">
        <v>0</v>
      </c>
    </row>
    <row r="404" spans="1:24" x14ac:dyDescent="0.25">
      <c r="A404">
        <v>1</v>
      </c>
      <c r="B404">
        <v>5910941206</v>
      </c>
      <c r="C404">
        <v>30</v>
      </c>
      <c r="D404" s="27">
        <v>5950111200</v>
      </c>
      <c r="F404" t="s">
        <v>42</v>
      </c>
      <c r="G404">
        <v>0</v>
      </c>
      <c r="H404">
        <v>100</v>
      </c>
      <c r="K404">
        <v>2</v>
      </c>
      <c r="L404" t="s">
        <v>68</v>
      </c>
      <c r="M404" t="s">
        <v>86</v>
      </c>
      <c r="N404" s="4">
        <v>2958465</v>
      </c>
      <c r="P404">
        <v>0</v>
      </c>
      <c r="U404">
        <v>4</v>
      </c>
      <c r="V404">
        <v>1</v>
      </c>
      <c r="W404" t="s">
        <v>69</v>
      </c>
      <c r="X404">
        <v>0</v>
      </c>
    </row>
    <row r="405" spans="1:24" x14ac:dyDescent="0.25">
      <c r="A405">
        <v>1</v>
      </c>
      <c r="B405">
        <v>5910941206</v>
      </c>
      <c r="C405">
        <v>40</v>
      </c>
      <c r="D405" s="27">
        <v>1018034</v>
      </c>
      <c r="F405" t="s">
        <v>42</v>
      </c>
      <c r="G405">
        <v>0</v>
      </c>
      <c r="H405">
        <v>100</v>
      </c>
      <c r="K405">
        <v>4</v>
      </c>
      <c r="L405" t="s">
        <v>68</v>
      </c>
      <c r="M405" t="s">
        <v>86</v>
      </c>
      <c r="N405" s="4">
        <v>2958465</v>
      </c>
      <c r="P405">
        <v>0</v>
      </c>
      <c r="U405">
        <v>4</v>
      </c>
      <c r="V405">
        <v>1</v>
      </c>
      <c r="W405" t="s">
        <v>69</v>
      </c>
      <c r="X405">
        <v>0</v>
      </c>
    </row>
    <row r="406" spans="1:24" x14ac:dyDescent="0.25">
      <c r="A406">
        <v>1</v>
      </c>
      <c r="B406">
        <v>5910941206</v>
      </c>
      <c r="C406">
        <v>50</v>
      </c>
      <c r="D406" s="27">
        <v>1018359</v>
      </c>
      <c r="F406" t="s">
        <v>42</v>
      </c>
      <c r="G406">
        <v>0</v>
      </c>
      <c r="H406">
        <v>100</v>
      </c>
      <c r="K406">
        <v>0.08</v>
      </c>
      <c r="L406" t="s">
        <v>68</v>
      </c>
      <c r="M406" t="s">
        <v>86</v>
      </c>
      <c r="N406" s="4">
        <v>2958465</v>
      </c>
      <c r="P406">
        <v>0</v>
      </c>
      <c r="U406">
        <v>4</v>
      </c>
      <c r="V406">
        <v>1</v>
      </c>
      <c r="W406" t="s">
        <v>69</v>
      </c>
      <c r="X406">
        <v>0</v>
      </c>
    </row>
    <row r="407" spans="1:24" x14ac:dyDescent="0.25">
      <c r="A407">
        <v>1</v>
      </c>
      <c r="B407">
        <v>5910941206</v>
      </c>
      <c r="C407">
        <v>60</v>
      </c>
      <c r="D407" s="27">
        <v>1011929</v>
      </c>
      <c r="F407" t="s">
        <v>42</v>
      </c>
      <c r="G407">
        <v>0</v>
      </c>
      <c r="H407">
        <v>100</v>
      </c>
      <c r="K407">
        <v>2.1619999999999999</v>
      </c>
      <c r="L407" t="s">
        <v>68</v>
      </c>
      <c r="M407" t="s">
        <v>86</v>
      </c>
      <c r="N407" s="4">
        <v>2958465</v>
      </c>
      <c r="P407">
        <v>0</v>
      </c>
      <c r="U407">
        <v>4</v>
      </c>
      <c r="V407">
        <v>1</v>
      </c>
      <c r="W407" t="s">
        <v>69</v>
      </c>
      <c r="X407">
        <v>0</v>
      </c>
    </row>
    <row r="408" spans="1:24" x14ac:dyDescent="0.25">
      <c r="A408">
        <v>1</v>
      </c>
      <c r="B408">
        <v>5910941206</v>
      </c>
      <c r="C408">
        <v>70</v>
      </c>
      <c r="D408" s="27">
        <v>1020023</v>
      </c>
      <c r="F408" t="s">
        <v>42</v>
      </c>
      <c r="G408">
        <v>0</v>
      </c>
      <c r="H408">
        <v>100</v>
      </c>
      <c r="K408">
        <v>4</v>
      </c>
      <c r="L408" t="s">
        <v>68</v>
      </c>
      <c r="M408" t="s">
        <v>86</v>
      </c>
      <c r="N408" s="4">
        <v>2958465</v>
      </c>
      <c r="P408">
        <v>0</v>
      </c>
      <c r="U408">
        <v>4</v>
      </c>
      <c r="V408">
        <v>1</v>
      </c>
      <c r="W408" t="s">
        <v>69</v>
      </c>
      <c r="X408">
        <v>0</v>
      </c>
    </row>
    <row r="409" spans="1:24" x14ac:dyDescent="0.25">
      <c r="A409">
        <v>1</v>
      </c>
      <c r="B409">
        <v>5910941206</v>
      </c>
      <c r="C409">
        <v>80</v>
      </c>
      <c r="D409" s="27">
        <v>12102506</v>
      </c>
      <c r="F409" t="s">
        <v>42</v>
      </c>
      <c r="G409">
        <v>0</v>
      </c>
      <c r="H409">
        <v>100</v>
      </c>
      <c r="K409">
        <v>1</v>
      </c>
      <c r="L409" t="s">
        <v>68</v>
      </c>
      <c r="M409" t="s">
        <v>86</v>
      </c>
      <c r="N409" s="4">
        <v>2958465</v>
      </c>
      <c r="P409">
        <v>0</v>
      </c>
      <c r="U409">
        <v>4</v>
      </c>
      <c r="V409">
        <v>1</v>
      </c>
      <c r="W409" t="s">
        <v>69</v>
      </c>
      <c r="X409">
        <v>0</v>
      </c>
    </row>
    <row r="410" spans="1:24" x14ac:dyDescent="0.25">
      <c r="A410">
        <v>1</v>
      </c>
      <c r="B410">
        <v>5910941306</v>
      </c>
      <c r="C410">
        <v>10</v>
      </c>
      <c r="D410" s="27">
        <v>5959111300</v>
      </c>
      <c r="F410" t="s">
        <v>42</v>
      </c>
      <c r="G410">
        <v>0</v>
      </c>
      <c r="H410">
        <v>100</v>
      </c>
      <c r="K410">
        <v>1</v>
      </c>
      <c r="L410" t="s">
        <v>68</v>
      </c>
      <c r="M410" t="s">
        <v>86</v>
      </c>
      <c r="N410" s="4">
        <v>2958465</v>
      </c>
      <c r="P410">
        <v>0</v>
      </c>
      <c r="U410">
        <v>4</v>
      </c>
      <c r="V410">
        <v>1</v>
      </c>
      <c r="W410" t="s">
        <v>69</v>
      </c>
      <c r="X410">
        <v>0</v>
      </c>
    </row>
    <row r="411" spans="1:24" x14ac:dyDescent="0.25">
      <c r="A411">
        <v>1</v>
      </c>
      <c r="B411">
        <v>5910941306</v>
      </c>
      <c r="C411">
        <v>20</v>
      </c>
      <c r="D411" s="27">
        <v>5959141300</v>
      </c>
      <c r="F411" t="s">
        <v>42</v>
      </c>
      <c r="G411">
        <v>0</v>
      </c>
      <c r="H411">
        <v>100</v>
      </c>
      <c r="K411">
        <v>1</v>
      </c>
      <c r="L411" t="s">
        <v>68</v>
      </c>
      <c r="M411" t="s">
        <v>86</v>
      </c>
      <c r="N411" s="4">
        <v>2958465</v>
      </c>
      <c r="P411">
        <v>0</v>
      </c>
      <c r="U411">
        <v>4</v>
      </c>
      <c r="V411">
        <v>1</v>
      </c>
      <c r="W411" t="s">
        <v>69</v>
      </c>
      <c r="X411">
        <v>0</v>
      </c>
    </row>
    <row r="412" spans="1:24" x14ac:dyDescent="0.25">
      <c r="A412">
        <v>1</v>
      </c>
      <c r="B412">
        <v>5910941306</v>
      </c>
      <c r="C412">
        <v>30</v>
      </c>
      <c r="D412" s="27">
        <v>5950111300</v>
      </c>
      <c r="F412" t="s">
        <v>42</v>
      </c>
      <c r="G412">
        <v>0</v>
      </c>
      <c r="H412">
        <v>100</v>
      </c>
      <c r="K412">
        <v>2</v>
      </c>
      <c r="L412" t="s">
        <v>68</v>
      </c>
      <c r="M412" t="s">
        <v>86</v>
      </c>
      <c r="N412" s="4">
        <v>2958465</v>
      </c>
      <c r="P412">
        <v>0</v>
      </c>
      <c r="U412">
        <v>4</v>
      </c>
      <c r="V412">
        <v>1</v>
      </c>
      <c r="W412" t="s">
        <v>69</v>
      </c>
      <c r="X412">
        <v>0</v>
      </c>
    </row>
    <row r="413" spans="1:24" x14ac:dyDescent="0.25">
      <c r="A413">
        <v>1</v>
      </c>
      <c r="B413">
        <v>5910941306</v>
      </c>
      <c r="C413">
        <v>40</v>
      </c>
      <c r="D413" s="27">
        <v>1018034</v>
      </c>
      <c r="F413" t="s">
        <v>42</v>
      </c>
      <c r="G413">
        <v>0</v>
      </c>
      <c r="H413">
        <v>100</v>
      </c>
      <c r="K413">
        <v>4</v>
      </c>
      <c r="L413" t="s">
        <v>68</v>
      </c>
      <c r="M413" t="s">
        <v>86</v>
      </c>
      <c r="N413" s="4">
        <v>2958465</v>
      </c>
      <c r="P413">
        <v>0</v>
      </c>
      <c r="U413">
        <v>4</v>
      </c>
      <c r="V413">
        <v>1</v>
      </c>
      <c r="W413" t="s">
        <v>69</v>
      </c>
      <c r="X413">
        <v>0</v>
      </c>
    </row>
    <row r="414" spans="1:24" x14ac:dyDescent="0.25">
      <c r="A414">
        <v>1</v>
      </c>
      <c r="B414">
        <v>5910941306</v>
      </c>
      <c r="C414">
        <v>50</v>
      </c>
      <c r="D414" s="27">
        <v>1018359</v>
      </c>
      <c r="F414" t="s">
        <v>42</v>
      </c>
      <c r="G414">
        <v>0</v>
      </c>
      <c r="H414">
        <v>100</v>
      </c>
      <c r="K414">
        <v>0.08</v>
      </c>
      <c r="L414" t="s">
        <v>68</v>
      </c>
      <c r="M414" t="s">
        <v>86</v>
      </c>
      <c r="N414" s="4">
        <v>2958465</v>
      </c>
      <c r="P414">
        <v>0</v>
      </c>
      <c r="U414">
        <v>4</v>
      </c>
      <c r="V414">
        <v>1</v>
      </c>
      <c r="W414" t="s">
        <v>69</v>
      </c>
      <c r="X414">
        <v>0</v>
      </c>
    </row>
    <row r="415" spans="1:24" x14ac:dyDescent="0.25">
      <c r="A415">
        <v>1</v>
      </c>
      <c r="B415">
        <v>5910941306</v>
      </c>
      <c r="C415">
        <v>60</v>
      </c>
      <c r="D415" s="27">
        <v>1011929</v>
      </c>
      <c r="F415" t="s">
        <v>42</v>
      </c>
      <c r="G415">
        <v>0</v>
      </c>
      <c r="H415">
        <v>100</v>
      </c>
      <c r="K415">
        <v>2.1619999999999999</v>
      </c>
      <c r="L415" t="s">
        <v>68</v>
      </c>
      <c r="M415" t="s">
        <v>86</v>
      </c>
      <c r="N415" s="4">
        <v>2958465</v>
      </c>
      <c r="P415">
        <v>0</v>
      </c>
      <c r="U415">
        <v>4</v>
      </c>
      <c r="V415">
        <v>1</v>
      </c>
      <c r="W415" t="s">
        <v>69</v>
      </c>
      <c r="X415">
        <v>0</v>
      </c>
    </row>
    <row r="416" spans="1:24" x14ac:dyDescent="0.25">
      <c r="A416">
        <v>1</v>
      </c>
      <c r="B416">
        <v>5910941306</v>
      </c>
      <c r="C416">
        <v>70</v>
      </c>
      <c r="D416" s="27">
        <v>1020023</v>
      </c>
      <c r="F416" t="s">
        <v>42</v>
      </c>
      <c r="G416">
        <v>0</v>
      </c>
      <c r="H416">
        <v>100</v>
      </c>
      <c r="K416">
        <v>4</v>
      </c>
      <c r="L416" t="s">
        <v>68</v>
      </c>
      <c r="M416" t="s">
        <v>86</v>
      </c>
      <c r="N416" s="4">
        <v>2958465</v>
      </c>
      <c r="P416">
        <v>0</v>
      </c>
      <c r="U416">
        <v>4</v>
      </c>
      <c r="V416">
        <v>1</v>
      </c>
      <c r="W416" t="s">
        <v>69</v>
      </c>
      <c r="X416">
        <v>0</v>
      </c>
    </row>
    <row r="417" spans="1:24" x14ac:dyDescent="0.25">
      <c r="A417">
        <v>1</v>
      </c>
      <c r="B417">
        <v>5910941306</v>
      </c>
      <c r="C417">
        <v>80</v>
      </c>
      <c r="D417" s="27">
        <v>12102506</v>
      </c>
      <c r="F417" t="s">
        <v>42</v>
      </c>
      <c r="G417">
        <v>0</v>
      </c>
      <c r="H417">
        <v>100</v>
      </c>
      <c r="K417">
        <v>1</v>
      </c>
      <c r="L417" t="s">
        <v>68</v>
      </c>
      <c r="M417" t="s">
        <v>86</v>
      </c>
      <c r="N417" s="4">
        <v>2958465</v>
      </c>
      <c r="P417">
        <v>0</v>
      </c>
      <c r="U417">
        <v>4</v>
      </c>
      <c r="V417">
        <v>1</v>
      </c>
      <c r="W417" t="s">
        <v>69</v>
      </c>
      <c r="X417">
        <v>0</v>
      </c>
    </row>
    <row r="418" spans="1:24" x14ac:dyDescent="0.25">
      <c r="A418">
        <v>1</v>
      </c>
      <c r="B418">
        <v>5910941806</v>
      </c>
      <c r="C418">
        <v>10</v>
      </c>
      <c r="D418" s="27">
        <v>5959111800</v>
      </c>
      <c r="F418" t="s">
        <v>42</v>
      </c>
      <c r="G418">
        <v>0</v>
      </c>
      <c r="H418">
        <v>100</v>
      </c>
      <c r="K418">
        <v>1</v>
      </c>
      <c r="L418" t="s">
        <v>68</v>
      </c>
      <c r="M418" t="s">
        <v>86</v>
      </c>
      <c r="N418" s="4">
        <v>2958465</v>
      </c>
      <c r="P418">
        <v>0</v>
      </c>
      <c r="U418">
        <v>4</v>
      </c>
      <c r="V418">
        <v>1</v>
      </c>
      <c r="W418" t="s">
        <v>69</v>
      </c>
      <c r="X418">
        <v>0</v>
      </c>
    </row>
    <row r="419" spans="1:24" x14ac:dyDescent="0.25">
      <c r="A419">
        <v>1</v>
      </c>
      <c r="B419">
        <v>5910941806</v>
      </c>
      <c r="C419">
        <v>20</v>
      </c>
      <c r="D419" s="27">
        <v>5959141800</v>
      </c>
      <c r="F419" t="s">
        <v>42</v>
      </c>
      <c r="G419">
        <v>0</v>
      </c>
      <c r="H419">
        <v>100</v>
      </c>
      <c r="K419">
        <v>1</v>
      </c>
      <c r="L419" t="s">
        <v>68</v>
      </c>
      <c r="M419" t="s">
        <v>86</v>
      </c>
      <c r="N419" s="4">
        <v>2958465</v>
      </c>
      <c r="P419">
        <v>0</v>
      </c>
      <c r="U419">
        <v>4</v>
      </c>
      <c r="V419">
        <v>1</v>
      </c>
      <c r="W419" t="s">
        <v>69</v>
      </c>
      <c r="X419">
        <v>0</v>
      </c>
    </row>
    <row r="420" spans="1:24" x14ac:dyDescent="0.25">
      <c r="A420">
        <v>1</v>
      </c>
      <c r="B420">
        <v>5910941806</v>
      </c>
      <c r="C420">
        <v>30</v>
      </c>
      <c r="D420" s="27">
        <v>5950111800</v>
      </c>
      <c r="F420" t="s">
        <v>42</v>
      </c>
      <c r="G420">
        <v>0</v>
      </c>
      <c r="H420">
        <v>100</v>
      </c>
      <c r="K420">
        <v>2</v>
      </c>
      <c r="L420" t="s">
        <v>68</v>
      </c>
      <c r="M420" t="s">
        <v>86</v>
      </c>
      <c r="N420" s="4">
        <v>2958465</v>
      </c>
      <c r="P420">
        <v>0</v>
      </c>
      <c r="U420">
        <v>4</v>
      </c>
      <c r="V420">
        <v>1</v>
      </c>
      <c r="W420" t="s">
        <v>69</v>
      </c>
      <c r="X420">
        <v>0</v>
      </c>
    </row>
    <row r="421" spans="1:24" x14ac:dyDescent="0.25">
      <c r="A421">
        <v>1</v>
      </c>
      <c r="B421">
        <v>5910941806</v>
      </c>
      <c r="C421">
        <v>40</v>
      </c>
      <c r="D421" s="27">
        <v>1018034</v>
      </c>
      <c r="F421" t="s">
        <v>42</v>
      </c>
      <c r="G421">
        <v>0</v>
      </c>
      <c r="H421">
        <v>100</v>
      </c>
      <c r="K421">
        <v>4</v>
      </c>
      <c r="L421" t="s">
        <v>68</v>
      </c>
      <c r="M421" t="s">
        <v>86</v>
      </c>
      <c r="N421" s="4">
        <v>2958465</v>
      </c>
      <c r="P421">
        <v>0</v>
      </c>
      <c r="U421">
        <v>4</v>
      </c>
      <c r="V421">
        <v>1</v>
      </c>
      <c r="W421" t="s">
        <v>69</v>
      </c>
      <c r="X421">
        <v>0</v>
      </c>
    </row>
    <row r="422" spans="1:24" x14ac:dyDescent="0.25">
      <c r="A422">
        <v>1</v>
      </c>
      <c r="B422">
        <v>5910941806</v>
      </c>
      <c r="C422">
        <v>50</v>
      </c>
      <c r="D422" s="27">
        <v>1018359</v>
      </c>
      <c r="F422" t="s">
        <v>42</v>
      </c>
      <c r="G422">
        <v>0</v>
      </c>
      <c r="H422">
        <v>100</v>
      </c>
      <c r="K422">
        <v>0.08</v>
      </c>
      <c r="L422" t="s">
        <v>68</v>
      </c>
      <c r="M422" t="s">
        <v>86</v>
      </c>
      <c r="N422" s="4">
        <v>2958465</v>
      </c>
      <c r="P422">
        <v>0</v>
      </c>
      <c r="U422">
        <v>4</v>
      </c>
      <c r="V422">
        <v>1</v>
      </c>
      <c r="W422" t="s">
        <v>69</v>
      </c>
      <c r="X422">
        <v>0</v>
      </c>
    </row>
    <row r="423" spans="1:24" x14ac:dyDescent="0.25">
      <c r="A423">
        <v>1</v>
      </c>
      <c r="B423">
        <v>5910941806</v>
      </c>
      <c r="C423">
        <v>60</v>
      </c>
      <c r="D423" s="27">
        <v>1011929</v>
      </c>
      <c r="F423" t="s">
        <v>42</v>
      </c>
      <c r="G423">
        <v>0</v>
      </c>
      <c r="H423">
        <v>100</v>
      </c>
      <c r="K423">
        <v>2.1619999999999999</v>
      </c>
      <c r="L423" t="s">
        <v>68</v>
      </c>
      <c r="M423" t="s">
        <v>86</v>
      </c>
      <c r="N423" s="4">
        <v>2958465</v>
      </c>
      <c r="P423">
        <v>0</v>
      </c>
      <c r="U423">
        <v>4</v>
      </c>
      <c r="V423">
        <v>1</v>
      </c>
      <c r="W423" t="s">
        <v>69</v>
      </c>
      <c r="X423">
        <v>0</v>
      </c>
    </row>
    <row r="424" spans="1:24" x14ac:dyDescent="0.25">
      <c r="A424">
        <v>1</v>
      </c>
      <c r="B424">
        <v>5910941806</v>
      </c>
      <c r="C424">
        <v>70</v>
      </c>
      <c r="D424" s="27">
        <v>1020023</v>
      </c>
      <c r="F424" t="s">
        <v>42</v>
      </c>
      <c r="G424">
        <v>0</v>
      </c>
      <c r="H424">
        <v>100</v>
      </c>
      <c r="K424">
        <v>4</v>
      </c>
      <c r="L424" t="s">
        <v>68</v>
      </c>
      <c r="M424" t="s">
        <v>86</v>
      </c>
      <c r="N424" s="4">
        <v>2958465</v>
      </c>
      <c r="P424">
        <v>0</v>
      </c>
      <c r="U424">
        <v>4</v>
      </c>
      <c r="V424">
        <v>1</v>
      </c>
      <c r="W424" t="s">
        <v>69</v>
      </c>
      <c r="X424">
        <v>0</v>
      </c>
    </row>
    <row r="425" spans="1:24" x14ac:dyDescent="0.25">
      <c r="A425">
        <v>1</v>
      </c>
      <c r="B425">
        <v>5910941806</v>
      </c>
      <c r="C425">
        <v>80</v>
      </c>
      <c r="D425" s="27">
        <v>12102506</v>
      </c>
      <c r="F425" t="s">
        <v>42</v>
      </c>
      <c r="G425">
        <v>0</v>
      </c>
      <c r="H425">
        <v>100</v>
      </c>
      <c r="K425">
        <v>1</v>
      </c>
      <c r="L425" t="s">
        <v>68</v>
      </c>
      <c r="M425" t="s">
        <v>86</v>
      </c>
      <c r="N425" s="4">
        <v>2958465</v>
      </c>
      <c r="P425">
        <v>0</v>
      </c>
      <c r="U425">
        <v>4</v>
      </c>
      <c r="V425">
        <v>1</v>
      </c>
      <c r="W425" t="s">
        <v>69</v>
      </c>
      <c r="X425">
        <v>0</v>
      </c>
    </row>
    <row r="426" spans="1:24" x14ac:dyDescent="0.25">
      <c r="A426">
        <v>1</v>
      </c>
      <c r="B426">
        <v>5910941006</v>
      </c>
      <c r="C426">
        <v>10</v>
      </c>
      <c r="D426" s="27">
        <v>5959111000</v>
      </c>
      <c r="F426" t="s">
        <v>42</v>
      </c>
      <c r="G426">
        <v>0</v>
      </c>
      <c r="H426">
        <v>100</v>
      </c>
      <c r="K426">
        <v>1</v>
      </c>
      <c r="L426" t="s">
        <v>68</v>
      </c>
      <c r="M426" t="s">
        <v>86</v>
      </c>
      <c r="N426" s="4">
        <v>2958465</v>
      </c>
      <c r="P426">
        <v>0</v>
      </c>
      <c r="U426">
        <v>4</v>
      </c>
      <c r="V426">
        <v>1</v>
      </c>
      <c r="W426" t="s">
        <v>69</v>
      </c>
      <c r="X426">
        <v>0</v>
      </c>
    </row>
    <row r="427" spans="1:24" x14ac:dyDescent="0.25">
      <c r="A427">
        <v>1</v>
      </c>
      <c r="B427">
        <v>5910941006</v>
      </c>
      <c r="C427">
        <v>20</v>
      </c>
      <c r="D427" s="27">
        <v>5959141000</v>
      </c>
      <c r="F427" t="s">
        <v>42</v>
      </c>
      <c r="G427">
        <v>0</v>
      </c>
      <c r="H427">
        <v>100</v>
      </c>
      <c r="K427">
        <v>1</v>
      </c>
      <c r="L427" t="s">
        <v>68</v>
      </c>
      <c r="M427" t="s">
        <v>86</v>
      </c>
      <c r="N427" s="4">
        <v>2958465</v>
      </c>
      <c r="P427">
        <v>0</v>
      </c>
      <c r="U427">
        <v>4</v>
      </c>
      <c r="V427">
        <v>1</v>
      </c>
      <c r="W427" t="s">
        <v>69</v>
      </c>
      <c r="X427">
        <v>0</v>
      </c>
    </row>
    <row r="428" spans="1:24" x14ac:dyDescent="0.25">
      <c r="A428">
        <v>1</v>
      </c>
      <c r="B428">
        <v>5910941006</v>
      </c>
      <c r="C428">
        <v>30</v>
      </c>
      <c r="D428" s="27">
        <v>5950111000</v>
      </c>
      <c r="F428" t="s">
        <v>42</v>
      </c>
      <c r="G428">
        <v>0</v>
      </c>
      <c r="H428">
        <v>100</v>
      </c>
      <c r="K428">
        <v>2</v>
      </c>
      <c r="L428" t="s">
        <v>68</v>
      </c>
      <c r="M428" t="s">
        <v>86</v>
      </c>
      <c r="N428" s="4">
        <v>2958465</v>
      </c>
      <c r="P428">
        <v>0</v>
      </c>
      <c r="U428">
        <v>4</v>
      </c>
      <c r="V428">
        <v>1</v>
      </c>
      <c r="W428" t="s">
        <v>69</v>
      </c>
      <c r="X428">
        <v>0</v>
      </c>
    </row>
    <row r="429" spans="1:24" x14ac:dyDescent="0.25">
      <c r="A429">
        <v>1</v>
      </c>
      <c r="B429">
        <v>5910941006</v>
      </c>
      <c r="C429">
        <v>40</v>
      </c>
      <c r="D429" s="27">
        <v>1018034</v>
      </c>
      <c r="F429" t="s">
        <v>42</v>
      </c>
      <c r="G429">
        <v>0</v>
      </c>
      <c r="H429">
        <v>100</v>
      </c>
      <c r="K429">
        <v>4</v>
      </c>
      <c r="L429" t="s">
        <v>68</v>
      </c>
      <c r="M429" t="s">
        <v>86</v>
      </c>
      <c r="N429" s="4">
        <v>2958465</v>
      </c>
      <c r="P429">
        <v>0</v>
      </c>
      <c r="U429">
        <v>4</v>
      </c>
      <c r="V429">
        <v>1</v>
      </c>
      <c r="W429" t="s">
        <v>69</v>
      </c>
      <c r="X429">
        <v>0</v>
      </c>
    </row>
    <row r="430" spans="1:24" x14ac:dyDescent="0.25">
      <c r="A430">
        <v>1</v>
      </c>
      <c r="B430">
        <v>5910941006</v>
      </c>
      <c r="C430">
        <v>50</v>
      </c>
      <c r="D430" s="27">
        <v>1018359</v>
      </c>
      <c r="F430" t="s">
        <v>42</v>
      </c>
      <c r="G430">
        <v>0</v>
      </c>
      <c r="H430">
        <v>100</v>
      </c>
      <c r="K430">
        <v>0.08</v>
      </c>
      <c r="L430" t="s">
        <v>68</v>
      </c>
      <c r="M430" t="s">
        <v>86</v>
      </c>
      <c r="N430" s="4">
        <v>2958465</v>
      </c>
      <c r="P430">
        <v>0</v>
      </c>
      <c r="U430">
        <v>4</v>
      </c>
      <c r="V430">
        <v>1</v>
      </c>
      <c r="W430" t="s">
        <v>69</v>
      </c>
      <c r="X430">
        <v>0</v>
      </c>
    </row>
    <row r="431" spans="1:24" x14ac:dyDescent="0.25">
      <c r="A431">
        <v>1</v>
      </c>
      <c r="B431">
        <v>5910941006</v>
      </c>
      <c r="C431">
        <v>60</v>
      </c>
      <c r="D431" s="27">
        <v>1011929</v>
      </c>
      <c r="F431" t="s">
        <v>42</v>
      </c>
      <c r="G431">
        <v>0</v>
      </c>
      <c r="H431">
        <v>100</v>
      </c>
      <c r="K431">
        <v>2.1619999999999999</v>
      </c>
      <c r="L431" t="s">
        <v>68</v>
      </c>
      <c r="M431" t="s">
        <v>86</v>
      </c>
      <c r="N431" s="4">
        <v>2958465</v>
      </c>
      <c r="P431">
        <v>0</v>
      </c>
      <c r="U431">
        <v>4</v>
      </c>
      <c r="V431">
        <v>1</v>
      </c>
      <c r="W431" t="s">
        <v>69</v>
      </c>
      <c r="X431">
        <v>0</v>
      </c>
    </row>
    <row r="432" spans="1:24" x14ac:dyDescent="0.25">
      <c r="A432">
        <v>1</v>
      </c>
      <c r="B432">
        <v>5910941006</v>
      </c>
      <c r="C432">
        <v>70</v>
      </c>
      <c r="D432" s="27">
        <v>1020023</v>
      </c>
      <c r="F432" t="s">
        <v>42</v>
      </c>
      <c r="G432">
        <v>0</v>
      </c>
      <c r="H432">
        <v>100</v>
      </c>
      <c r="K432">
        <v>4</v>
      </c>
      <c r="L432" t="s">
        <v>68</v>
      </c>
      <c r="M432" t="s">
        <v>86</v>
      </c>
      <c r="N432" s="4">
        <v>2958465</v>
      </c>
      <c r="P432">
        <v>0</v>
      </c>
      <c r="U432">
        <v>4</v>
      </c>
      <c r="V432">
        <v>1</v>
      </c>
      <c r="W432" t="s">
        <v>69</v>
      </c>
      <c r="X432">
        <v>0</v>
      </c>
    </row>
    <row r="433" spans="1:24" x14ac:dyDescent="0.25">
      <c r="A433">
        <v>1</v>
      </c>
      <c r="B433">
        <v>5910941006</v>
      </c>
      <c r="C433">
        <v>80</v>
      </c>
      <c r="D433" s="27">
        <v>12102506</v>
      </c>
      <c r="F433" t="s">
        <v>42</v>
      </c>
      <c r="G433">
        <v>0</v>
      </c>
      <c r="H433">
        <v>100</v>
      </c>
      <c r="K433">
        <v>1</v>
      </c>
      <c r="L433" t="s">
        <v>68</v>
      </c>
      <c r="M433" t="s">
        <v>86</v>
      </c>
      <c r="N433" s="4">
        <v>2958465</v>
      </c>
      <c r="P433">
        <v>0</v>
      </c>
      <c r="U433">
        <v>4</v>
      </c>
      <c r="V433">
        <v>1</v>
      </c>
      <c r="W433" t="s">
        <v>69</v>
      </c>
      <c r="X433">
        <v>0</v>
      </c>
    </row>
    <row r="434" spans="1:24" x14ac:dyDescent="0.25">
      <c r="A434">
        <v>1</v>
      </c>
      <c r="B434">
        <v>5910941209</v>
      </c>
      <c r="C434">
        <v>10</v>
      </c>
      <c r="D434" s="27">
        <v>5959111200</v>
      </c>
      <c r="F434" t="s">
        <v>42</v>
      </c>
      <c r="G434">
        <v>0</v>
      </c>
      <c r="H434">
        <v>100</v>
      </c>
      <c r="K434">
        <v>1</v>
      </c>
      <c r="L434" t="s">
        <v>68</v>
      </c>
      <c r="M434" t="s">
        <v>86</v>
      </c>
      <c r="N434" s="4">
        <v>2958465</v>
      </c>
      <c r="P434">
        <v>0</v>
      </c>
      <c r="U434">
        <v>4</v>
      </c>
      <c r="V434">
        <v>1</v>
      </c>
      <c r="W434" t="s">
        <v>69</v>
      </c>
      <c r="X434">
        <v>0</v>
      </c>
    </row>
    <row r="435" spans="1:24" x14ac:dyDescent="0.25">
      <c r="A435">
        <v>1</v>
      </c>
      <c r="B435">
        <v>5910941209</v>
      </c>
      <c r="C435">
        <v>20</v>
      </c>
      <c r="D435" s="27">
        <v>5959141200</v>
      </c>
      <c r="F435" t="s">
        <v>42</v>
      </c>
      <c r="G435">
        <v>0</v>
      </c>
      <c r="H435">
        <v>100</v>
      </c>
      <c r="K435">
        <v>1</v>
      </c>
      <c r="L435" t="s">
        <v>68</v>
      </c>
      <c r="M435" t="s">
        <v>86</v>
      </c>
      <c r="N435" s="4">
        <v>2958465</v>
      </c>
      <c r="P435">
        <v>0</v>
      </c>
      <c r="U435">
        <v>4</v>
      </c>
      <c r="V435">
        <v>1</v>
      </c>
      <c r="W435" t="s">
        <v>69</v>
      </c>
      <c r="X435">
        <v>0</v>
      </c>
    </row>
    <row r="436" spans="1:24" x14ac:dyDescent="0.25">
      <c r="A436">
        <v>1</v>
      </c>
      <c r="B436">
        <v>5910941209</v>
      </c>
      <c r="C436">
        <v>30</v>
      </c>
      <c r="D436" s="27">
        <v>5950111200</v>
      </c>
      <c r="F436" t="s">
        <v>42</v>
      </c>
      <c r="G436">
        <v>0</v>
      </c>
      <c r="H436">
        <v>100</v>
      </c>
      <c r="K436">
        <v>2</v>
      </c>
      <c r="L436" t="s">
        <v>68</v>
      </c>
      <c r="M436" t="s">
        <v>86</v>
      </c>
      <c r="N436" s="4">
        <v>2958465</v>
      </c>
      <c r="P436">
        <v>0</v>
      </c>
      <c r="U436">
        <v>4</v>
      </c>
      <c r="V436">
        <v>1</v>
      </c>
      <c r="W436" t="s">
        <v>69</v>
      </c>
      <c r="X436">
        <v>0</v>
      </c>
    </row>
    <row r="437" spans="1:24" x14ac:dyDescent="0.25">
      <c r="A437">
        <v>1</v>
      </c>
      <c r="B437">
        <v>5910941209</v>
      </c>
      <c r="C437">
        <v>40</v>
      </c>
      <c r="D437" s="27">
        <v>1018034</v>
      </c>
      <c r="F437" t="s">
        <v>42</v>
      </c>
      <c r="G437">
        <v>0</v>
      </c>
      <c r="H437">
        <v>100</v>
      </c>
      <c r="K437">
        <v>4</v>
      </c>
      <c r="L437" t="s">
        <v>68</v>
      </c>
      <c r="M437" t="s">
        <v>86</v>
      </c>
      <c r="N437" s="4">
        <v>2958465</v>
      </c>
      <c r="P437">
        <v>0</v>
      </c>
      <c r="U437">
        <v>4</v>
      </c>
      <c r="V437">
        <v>1</v>
      </c>
      <c r="W437" t="s">
        <v>69</v>
      </c>
      <c r="X437">
        <v>0</v>
      </c>
    </row>
    <row r="438" spans="1:24" x14ac:dyDescent="0.25">
      <c r="A438">
        <v>1</v>
      </c>
      <c r="B438">
        <v>5910941209</v>
      </c>
      <c r="C438">
        <v>50</v>
      </c>
      <c r="D438" s="27">
        <v>1018359</v>
      </c>
      <c r="F438" t="s">
        <v>42</v>
      </c>
      <c r="G438">
        <v>0</v>
      </c>
      <c r="H438">
        <v>100</v>
      </c>
      <c r="K438">
        <v>0.08</v>
      </c>
      <c r="L438" t="s">
        <v>68</v>
      </c>
      <c r="M438" t="s">
        <v>86</v>
      </c>
      <c r="N438" s="4">
        <v>2958465</v>
      </c>
      <c r="P438">
        <v>0</v>
      </c>
      <c r="U438">
        <v>4</v>
      </c>
      <c r="V438">
        <v>1</v>
      </c>
      <c r="W438" t="s">
        <v>69</v>
      </c>
      <c r="X438">
        <v>0</v>
      </c>
    </row>
    <row r="439" spans="1:24" x14ac:dyDescent="0.25">
      <c r="A439">
        <v>1</v>
      </c>
      <c r="B439">
        <v>5910941209</v>
      </c>
      <c r="C439">
        <v>60</v>
      </c>
      <c r="D439" s="27">
        <v>1011929</v>
      </c>
      <c r="F439" t="s">
        <v>42</v>
      </c>
      <c r="G439">
        <v>0</v>
      </c>
      <c r="H439">
        <v>100</v>
      </c>
      <c r="K439">
        <v>2.1619999999999999</v>
      </c>
      <c r="L439" t="s">
        <v>68</v>
      </c>
      <c r="M439" t="s">
        <v>86</v>
      </c>
      <c r="N439" s="4">
        <v>2958465</v>
      </c>
      <c r="P439">
        <v>0</v>
      </c>
      <c r="U439">
        <v>4</v>
      </c>
      <c r="V439">
        <v>1</v>
      </c>
      <c r="W439" t="s">
        <v>69</v>
      </c>
      <c r="X439">
        <v>0</v>
      </c>
    </row>
    <row r="440" spans="1:24" x14ac:dyDescent="0.25">
      <c r="A440">
        <v>1</v>
      </c>
      <c r="B440">
        <v>5910941209</v>
      </c>
      <c r="C440">
        <v>70</v>
      </c>
      <c r="D440" s="27">
        <v>1020023</v>
      </c>
      <c r="F440" t="s">
        <v>42</v>
      </c>
      <c r="G440">
        <v>0</v>
      </c>
      <c r="H440">
        <v>100</v>
      </c>
      <c r="K440">
        <v>4</v>
      </c>
      <c r="L440" t="s">
        <v>68</v>
      </c>
      <c r="M440" t="s">
        <v>86</v>
      </c>
      <c r="N440" s="4">
        <v>2958465</v>
      </c>
      <c r="P440">
        <v>0</v>
      </c>
      <c r="U440">
        <v>4</v>
      </c>
      <c r="V440">
        <v>1</v>
      </c>
      <c r="W440" t="s">
        <v>69</v>
      </c>
      <c r="X440">
        <v>0</v>
      </c>
    </row>
    <row r="441" spans="1:24" x14ac:dyDescent="0.25">
      <c r="A441">
        <v>1</v>
      </c>
      <c r="B441">
        <v>5910941209</v>
      </c>
      <c r="C441">
        <v>80</v>
      </c>
      <c r="D441" s="27">
        <v>12102509</v>
      </c>
      <c r="F441" t="s">
        <v>42</v>
      </c>
      <c r="G441">
        <v>0</v>
      </c>
      <c r="H441">
        <v>100</v>
      </c>
      <c r="K441">
        <v>1</v>
      </c>
      <c r="L441" t="s">
        <v>68</v>
      </c>
      <c r="M441" t="s">
        <v>86</v>
      </c>
      <c r="N441" s="4">
        <v>2958465</v>
      </c>
      <c r="P441">
        <v>0</v>
      </c>
      <c r="U441">
        <v>4</v>
      </c>
      <c r="V441">
        <v>1</v>
      </c>
      <c r="W441" t="s">
        <v>69</v>
      </c>
      <c r="X441">
        <v>0</v>
      </c>
    </row>
    <row r="442" spans="1:24" x14ac:dyDescent="0.25">
      <c r="A442">
        <v>1</v>
      </c>
      <c r="B442">
        <v>5910941309</v>
      </c>
      <c r="C442">
        <v>10</v>
      </c>
      <c r="D442" s="27">
        <v>5959111300</v>
      </c>
      <c r="F442" t="s">
        <v>42</v>
      </c>
      <c r="G442">
        <v>0</v>
      </c>
      <c r="H442">
        <v>100</v>
      </c>
      <c r="K442">
        <v>1</v>
      </c>
      <c r="L442" t="s">
        <v>68</v>
      </c>
      <c r="M442" t="s">
        <v>86</v>
      </c>
      <c r="N442" s="4">
        <v>2958465</v>
      </c>
      <c r="P442">
        <v>0</v>
      </c>
      <c r="U442">
        <v>4</v>
      </c>
      <c r="V442">
        <v>1</v>
      </c>
      <c r="W442" t="s">
        <v>69</v>
      </c>
      <c r="X442">
        <v>0</v>
      </c>
    </row>
    <row r="443" spans="1:24" x14ac:dyDescent="0.25">
      <c r="A443">
        <v>1</v>
      </c>
      <c r="B443">
        <v>5910941309</v>
      </c>
      <c r="C443">
        <v>20</v>
      </c>
      <c r="D443" s="27">
        <v>5959141300</v>
      </c>
      <c r="F443" t="s">
        <v>42</v>
      </c>
      <c r="G443">
        <v>0</v>
      </c>
      <c r="H443">
        <v>100</v>
      </c>
      <c r="K443">
        <v>1</v>
      </c>
      <c r="L443" t="s">
        <v>68</v>
      </c>
      <c r="M443" t="s">
        <v>86</v>
      </c>
      <c r="N443" s="4">
        <v>2958465</v>
      </c>
      <c r="P443">
        <v>0</v>
      </c>
      <c r="U443">
        <v>4</v>
      </c>
      <c r="V443">
        <v>1</v>
      </c>
      <c r="W443" t="s">
        <v>69</v>
      </c>
      <c r="X443">
        <v>0</v>
      </c>
    </row>
    <row r="444" spans="1:24" x14ac:dyDescent="0.25">
      <c r="A444">
        <v>1</v>
      </c>
      <c r="B444">
        <v>5910941309</v>
      </c>
      <c r="C444">
        <v>30</v>
      </c>
      <c r="D444" s="27">
        <v>5950111300</v>
      </c>
      <c r="F444" t="s">
        <v>42</v>
      </c>
      <c r="G444">
        <v>0</v>
      </c>
      <c r="H444">
        <v>100</v>
      </c>
      <c r="K444">
        <v>2</v>
      </c>
      <c r="L444" t="s">
        <v>68</v>
      </c>
      <c r="M444" t="s">
        <v>86</v>
      </c>
      <c r="N444" s="4">
        <v>2958465</v>
      </c>
      <c r="P444">
        <v>0</v>
      </c>
      <c r="U444">
        <v>4</v>
      </c>
      <c r="V444">
        <v>1</v>
      </c>
      <c r="W444" t="s">
        <v>69</v>
      </c>
      <c r="X444">
        <v>0</v>
      </c>
    </row>
    <row r="445" spans="1:24" x14ac:dyDescent="0.25">
      <c r="A445">
        <v>1</v>
      </c>
      <c r="B445">
        <v>5910941309</v>
      </c>
      <c r="C445">
        <v>40</v>
      </c>
      <c r="D445" s="27">
        <v>1018034</v>
      </c>
      <c r="F445" t="s">
        <v>42</v>
      </c>
      <c r="G445">
        <v>0</v>
      </c>
      <c r="H445">
        <v>100</v>
      </c>
      <c r="K445">
        <v>4</v>
      </c>
      <c r="L445" t="s">
        <v>68</v>
      </c>
      <c r="M445" t="s">
        <v>86</v>
      </c>
      <c r="N445" s="4">
        <v>2958465</v>
      </c>
      <c r="P445">
        <v>0</v>
      </c>
      <c r="U445">
        <v>4</v>
      </c>
      <c r="V445">
        <v>1</v>
      </c>
      <c r="W445" t="s">
        <v>69</v>
      </c>
      <c r="X445">
        <v>0</v>
      </c>
    </row>
    <row r="446" spans="1:24" x14ac:dyDescent="0.25">
      <c r="A446">
        <v>1</v>
      </c>
      <c r="B446">
        <v>5910941309</v>
      </c>
      <c r="C446">
        <v>50</v>
      </c>
      <c r="D446" s="27">
        <v>1018359</v>
      </c>
      <c r="F446" t="s">
        <v>42</v>
      </c>
      <c r="G446">
        <v>0</v>
      </c>
      <c r="H446">
        <v>100</v>
      </c>
      <c r="K446">
        <v>0.08</v>
      </c>
      <c r="L446" t="s">
        <v>68</v>
      </c>
      <c r="M446" t="s">
        <v>86</v>
      </c>
      <c r="N446" s="4">
        <v>2958465</v>
      </c>
      <c r="P446">
        <v>0</v>
      </c>
      <c r="U446">
        <v>4</v>
      </c>
      <c r="V446">
        <v>1</v>
      </c>
      <c r="W446" t="s">
        <v>69</v>
      </c>
      <c r="X446">
        <v>0</v>
      </c>
    </row>
    <row r="447" spans="1:24" x14ac:dyDescent="0.25">
      <c r="A447">
        <v>1</v>
      </c>
      <c r="B447">
        <v>5910941309</v>
      </c>
      <c r="C447">
        <v>60</v>
      </c>
      <c r="D447" s="27">
        <v>1011929</v>
      </c>
      <c r="F447" t="s">
        <v>42</v>
      </c>
      <c r="G447">
        <v>0</v>
      </c>
      <c r="H447">
        <v>100</v>
      </c>
      <c r="K447">
        <v>2.1619999999999999</v>
      </c>
      <c r="L447" t="s">
        <v>68</v>
      </c>
      <c r="M447" t="s">
        <v>86</v>
      </c>
      <c r="N447" s="4">
        <v>2958465</v>
      </c>
      <c r="P447">
        <v>0</v>
      </c>
      <c r="U447">
        <v>4</v>
      </c>
      <c r="V447">
        <v>1</v>
      </c>
      <c r="W447" t="s">
        <v>69</v>
      </c>
      <c r="X447">
        <v>0</v>
      </c>
    </row>
    <row r="448" spans="1:24" x14ac:dyDescent="0.25">
      <c r="A448">
        <v>1</v>
      </c>
      <c r="B448">
        <v>5910941309</v>
      </c>
      <c r="C448">
        <v>70</v>
      </c>
      <c r="D448" s="27">
        <v>1020023</v>
      </c>
      <c r="F448" t="s">
        <v>42</v>
      </c>
      <c r="G448">
        <v>0</v>
      </c>
      <c r="H448">
        <v>100</v>
      </c>
      <c r="K448">
        <v>4</v>
      </c>
      <c r="L448" t="s">
        <v>68</v>
      </c>
      <c r="M448" t="s">
        <v>86</v>
      </c>
      <c r="N448" s="4">
        <v>2958465</v>
      </c>
      <c r="P448">
        <v>0</v>
      </c>
      <c r="U448">
        <v>4</v>
      </c>
      <c r="V448">
        <v>1</v>
      </c>
      <c r="W448" t="s">
        <v>69</v>
      </c>
      <c r="X448">
        <v>0</v>
      </c>
    </row>
    <row r="449" spans="1:24" x14ac:dyDescent="0.25">
      <c r="A449">
        <v>1</v>
      </c>
      <c r="B449">
        <v>5910941309</v>
      </c>
      <c r="C449">
        <v>80</v>
      </c>
      <c r="D449" s="27">
        <v>12102509</v>
      </c>
      <c r="F449" t="s">
        <v>42</v>
      </c>
      <c r="G449">
        <v>0</v>
      </c>
      <c r="H449">
        <v>100</v>
      </c>
      <c r="K449">
        <v>1</v>
      </c>
      <c r="L449" t="s">
        <v>68</v>
      </c>
      <c r="M449" t="s">
        <v>86</v>
      </c>
      <c r="N449" s="4">
        <v>2958465</v>
      </c>
      <c r="P449">
        <v>0</v>
      </c>
      <c r="U449">
        <v>4</v>
      </c>
      <c r="V449">
        <v>1</v>
      </c>
      <c r="W449" t="s">
        <v>69</v>
      </c>
      <c r="X449">
        <v>0</v>
      </c>
    </row>
    <row r="450" spans="1:24" x14ac:dyDescent="0.25">
      <c r="A450">
        <v>1</v>
      </c>
      <c r="B450">
        <v>5910941809</v>
      </c>
      <c r="C450">
        <v>10</v>
      </c>
      <c r="D450" s="27">
        <v>5959111800</v>
      </c>
      <c r="F450" t="s">
        <v>42</v>
      </c>
      <c r="G450">
        <v>0</v>
      </c>
      <c r="H450">
        <v>100</v>
      </c>
      <c r="K450">
        <v>1</v>
      </c>
      <c r="L450" t="s">
        <v>68</v>
      </c>
      <c r="M450" t="s">
        <v>86</v>
      </c>
      <c r="N450" s="4">
        <v>2958465</v>
      </c>
      <c r="P450">
        <v>0</v>
      </c>
      <c r="U450">
        <v>4</v>
      </c>
      <c r="V450">
        <v>1</v>
      </c>
      <c r="W450" t="s">
        <v>69</v>
      </c>
      <c r="X450">
        <v>0</v>
      </c>
    </row>
    <row r="451" spans="1:24" x14ac:dyDescent="0.25">
      <c r="A451">
        <v>1</v>
      </c>
      <c r="B451">
        <v>5910941809</v>
      </c>
      <c r="C451">
        <v>20</v>
      </c>
      <c r="D451" s="27">
        <v>5959141800</v>
      </c>
      <c r="F451" t="s">
        <v>42</v>
      </c>
      <c r="G451">
        <v>0</v>
      </c>
      <c r="H451">
        <v>100</v>
      </c>
      <c r="K451">
        <v>1</v>
      </c>
      <c r="L451" t="s">
        <v>68</v>
      </c>
      <c r="M451" t="s">
        <v>86</v>
      </c>
      <c r="N451" s="4">
        <v>2958465</v>
      </c>
      <c r="P451">
        <v>0</v>
      </c>
      <c r="U451">
        <v>4</v>
      </c>
      <c r="V451">
        <v>1</v>
      </c>
      <c r="W451" t="s">
        <v>69</v>
      </c>
      <c r="X451">
        <v>0</v>
      </c>
    </row>
    <row r="452" spans="1:24" x14ac:dyDescent="0.25">
      <c r="A452">
        <v>1</v>
      </c>
      <c r="B452">
        <v>5910941809</v>
      </c>
      <c r="C452">
        <v>30</v>
      </c>
      <c r="D452" s="27">
        <v>5950111800</v>
      </c>
      <c r="F452" t="s">
        <v>42</v>
      </c>
      <c r="G452">
        <v>0</v>
      </c>
      <c r="H452">
        <v>100</v>
      </c>
      <c r="K452">
        <v>2</v>
      </c>
      <c r="L452" t="s">
        <v>68</v>
      </c>
      <c r="M452" t="s">
        <v>86</v>
      </c>
      <c r="N452" s="4">
        <v>2958465</v>
      </c>
      <c r="P452">
        <v>0</v>
      </c>
      <c r="U452">
        <v>4</v>
      </c>
      <c r="V452">
        <v>1</v>
      </c>
      <c r="W452" t="s">
        <v>69</v>
      </c>
      <c r="X452">
        <v>0</v>
      </c>
    </row>
    <row r="453" spans="1:24" x14ac:dyDescent="0.25">
      <c r="A453">
        <v>1</v>
      </c>
      <c r="B453">
        <v>5910941809</v>
      </c>
      <c r="C453">
        <v>40</v>
      </c>
      <c r="D453" s="27">
        <v>1018034</v>
      </c>
      <c r="F453" t="s">
        <v>42</v>
      </c>
      <c r="G453">
        <v>0</v>
      </c>
      <c r="H453">
        <v>100</v>
      </c>
      <c r="K453">
        <v>4</v>
      </c>
      <c r="L453" t="s">
        <v>68</v>
      </c>
      <c r="M453" t="s">
        <v>86</v>
      </c>
      <c r="N453" s="4">
        <v>2958465</v>
      </c>
      <c r="P453">
        <v>0</v>
      </c>
      <c r="U453">
        <v>4</v>
      </c>
      <c r="V453">
        <v>1</v>
      </c>
      <c r="W453" t="s">
        <v>69</v>
      </c>
      <c r="X453">
        <v>0</v>
      </c>
    </row>
    <row r="454" spans="1:24" x14ac:dyDescent="0.25">
      <c r="A454">
        <v>1</v>
      </c>
      <c r="B454">
        <v>5910941809</v>
      </c>
      <c r="C454">
        <v>50</v>
      </c>
      <c r="D454" s="27">
        <v>1018359</v>
      </c>
      <c r="F454" t="s">
        <v>42</v>
      </c>
      <c r="G454">
        <v>0</v>
      </c>
      <c r="H454">
        <v>100</v>
      </c>
      <c r="K454">
        <v>0.08</v>
      </c>
      <c r="L454" t="s">
        <v>68</v>
      </c>
      <c r="M454" t="s">
        <v>86</v>
      </c>
      <c r="N454" s="4">
        <v>2958465</v>
      </c>
      <c r="P454">
        <v>0</v>
      </c>
      <c r="U454">
        <v>4</v>
      </c>
      <c r="V454">
        <v>1</v>
      </c>
      <c r="W454" t="s">
        <v>69</v>
      </c>
      <c r="X454">
        <v>0</v>
      </c>
    </row>
    <row r="455" spans="1:24" x14ac:dyDescent="0.25">
      <c r="A455">
        <v>1</v>
      </c>
      <c r="B455">
        <v>5910941809</v>
      </c>
      <c r="C455">
        <v>60</v>
      </c>
      <c r="D455" s="27">
        <v>1011929</v>
      </c>
      <c r="F455" t="s">
        <v>42</v>
      </c>
      <c r="G455">
        <v>0</v>
      </c>
      <c r="H455">
        <v>100</v>
      </c>
      <c r="K455">
        <v>2.1619999999999999</v>
      </c>
      <c r="L455" t="s">
        <v>68</v>
      </c>
      <c r="M455" t="s">
        <v>86</v>
      </c>
      <c r="N455" s="4">
        <v>2958465</v>
      </c>
      <c r="P455">
        <v>0</v>
      </c>
      <c r="U455">
        <v>4</v>
      </c>
      <c r="V455">
        <v>1</v>
      </c>
      <c r="W455" t="s">
        <v>69</v>
      </c>
      <c r="X455">
        <v>0</v>
      </c>
    </row>
    <row r="456" spans="1:24" x14ac:dyDescent="0.25">
      <c r="A456">
        <v>1</v>
      </c>
      <c r="B456">
        <v>5910941809</v>
      </c>
      <c r="C456">
        <v>70</v>
      </c>
      <c r="D456" s="27">
        <v>1020023</v>
      </c>
      <c r="F456" t="s">
        <v>42</v>
      </c>
      <c r="G456">
        <v>0</v>
      </c>
      <c r="H456">
        <v>100</v>
      </c>
      <c r="K456">
        <v>4</v>
      </c>
      <c r="L456" t="s">
        <v>68</v>
      </c>
      <c r="M456" t="s">
        <v>86</v>
      </c>
      <c r="N456" s="4">
        <v>2958465</v>
      </c>
      <c r="P456">
        <v>0</v>
      </c>
      <c r="U456">
        <v>4</v>
      </c>
      <c r="V456">
        <v>1</v>
      </c>
      <c r="W456" t="s">
        <v>69</v>
      </c>
      <c r="X456">
        <v>0</v>
      </c>
    </row>
    <row r="457" spans="1:24" x14ac:dyDescent="0.25">
      <c r="A457">
        <v>1</v>
      </c>
      <c r="B457">
        <v>5910941809</v>
      </c>
      <c r="C457">
        <v>80</v>
      </c>
      <c r="D457" s="27">
        <v>12102509</v>
      </c>
      <c r="F457" t="s">
        <v>42</v>
      </c>
      <c r="G457">
        <v>0</v>
      </c>
      <c r="H457">
        <v>100</v>
      </c>
      <c r="K457">
        <v>1</v>
      </c>
      <c r="L457" t="s">
        <v>68</v>
      </c>
      <c r="M457" t="s">
        <v>86</v>
      </c>
      <c r="N457" s="4">
        <v>2958465</v>
      </c>
      <c r="P457">
        <v>0</v>
      </c>
      <c r="U457">
        <v>4</v>
      </c>
      <c r="V457">
        <v>1</v>
      </c>
      <c r="W457" t="s">
        <v>69</v>
      </c>
      <c r="X457">
        <v>0</v>
      </c>
    </row>
    <row r="458" spans="1:24" x14ac:dyDescent="0.25">
      <c r="A458">
        <v>1</v>
      </c>
      <c r="B458">
        <v>5910941009</v>
      </c>
      <c r="C458">
        <v>10</v>
      </c>
      <c r="D458" s="27">
        <v>5959111000</v>
      </c>
      <c r="F458" t="s">
        <v>42</v>
      </c>
      <c r="G458">
        <v>0</v>
      </c>
      <c r="H458">
        <v>100</v>
      </c>
      <c r="K458">
        <v>1</v>
      </c>
      <c r="L458" t="s">
        <v>68</v>
      </c>
      <c r="M458" t="s">
        <v>86</v>
      </c>
      <c r="N458" s="4">
        <v>2958465</v>
      </c>
      <c r="P458">
        <v>0</v>
      </c>
      <c r="U458">
        <v>4</v>
      </c>
      <c r="V458">
        <v>1</v>
      </c>
      <c r="W458" t="s">
        <v>69</v>
      </c>
      <c r="X458">
        <v>0</v>
      </c>
    </row>
    <row r="459" spans="1:24" x14ac:dyDescent="0.25">
      <c r="A459">
        <v>1</v>
      </c>
      <c r="B459">
        <v>5910941009</v>
      </c>
      <c r="C459">
        <v>20</v>
      </c>
      <c r="D459" s="27">
        <v>5959141000</v>
      </c>
      <c r="F459" t="s">
        <v>42</v>
      </c>
      <c r="G459">
        <v>0</v>
      </c>
      <c r="H459">
        <v>100</v>
      </c>
      <c r="K459">
        <v>1</v>
      </c>
      <c r="L459" t="s">
        <v>68</v>
      </c>
      <c r="M459" t="s">
        <v>86</v>
      </c>
      <c r="N459" s="4">
        <v>2958465</v>
      </c>
      <c r="P459">
        <v>0</v>
      </c>
      <c r="U459">
        <v>4</v>
      </c>
      <c r="V459">
        <v>1</v>
      </c>
      <c r="W459" t="s">
        <v>69</v>
      </c>
      <c r="X459">
        <v>0</v>
      </c>
    </row>
    <row r="460" spans="1:24" x14ac:dyDescent="0.25">
      <c r="A460">
        <v>1</v>
      </c>
      <c r="B460">
        <v>5910941009</v>
      </c>
      <c r="C460">
        <v>30</v>
      </c>
      <c r="D460" s="27">
        <v>5950111000</v>
      </c>
      <c r="F460" t="s">
        <v>42</v>
      </c>
      <c r="G460">
        <v>0</v>
      </c>
      <c r="H460">
        <v>100</v>
      </c>
      <c r="K460">
        <v>2</v>
      </c>
      <c r="L460" t="s">
        <v>68</v>
      </c>
      <c r="M460" t="s">
        <v>86</v>
      </c>
      <c r="N460" s="4">
        <v>2958465</v>
      </c>
      <c r="P460">
        <v>0</v>
      </c>
      <c r="U460">
        <v>4</v>
      </c>
      <c r="V460">
        <v>1</v>
      </c>
      <c r="W460" t="s">
        <v>69</v>
      </c>
      <c r="X460">
        <v>0</v>
      </c>
    </row>
    <row r="461" spans="1:24" x14ac:dyDescent="0.25">
      <c r="A461">
        <v>1</v>
      </c>
      <c r="B461">
        <v>5910941009</v>
      </c>
      <c r="C461">
        <v>40</v>
      </c>
      <c r="D461" s="27">
        <v>1018034</v>
      </c>
      <c r="F461" t="s">
        <v>42</v>
      </c>
      <c r="G461">
        <v>0</v>
      </c>
      <c r="H461">
        <v>100</v>
      </c>
      <c r="K461">
        <v>4</v>
      </c>
      <c r="L461" t="s">
        <v>68</v>
      </c>
      <c r="M461" t="s">
        <v>86</v>
      </c>
      <c r="N461" s="4">
        <v>2958465</v>
      </c>
      <c r="P461">
        <v>0</v>
      </c>
      <c r="U461">
        <v>4</v>
      </c>
      <c r="V461">
        <v>1</v>
      </c>
      <c r="W461" t="s">
        <v>69</v>
      </c>
      <c r="X461">
        <v>0</v>
      </c>
    </row>
    <row r="462" spans="1:24" x14ac:dyDescent="0.25">
      <c r="A462">
        <v>1</v>
      </c>
      <c r="B462">
        <v>5910941009</v>
      </c>
      <c r="C462">
        <v>50</v>
      </c>
      <c r="D462" s="27">
        <v>1018359</v>
      </c>
      <c r="F462" t="s">
        <v>42</v>
      </c>
      <c r="G462">
        <v>0</v>
      </c>
      <c r="H462">
        <v>100</v>
      </c>
      <c r="K462">
        <v>0.08</v>
      </c>
      <c r="L462" t="s">
        <v>68</v>
      </c>
      <c r="M462" t="s">
        <v>86</v>
      </c>
      <c r="N462" s="4">
        <v>2958465</v>
      </c>
      <c r="P462">
        <v>0</v>
      </c>
      <c r="U462">
        <v>4</v>
      </c>
      <c r="V462">
        <v>1</v>
      </c>
      <c r="W462" t="s">
        <v>69</v>
      </c>
      <c r="X462">
        <v>0</v>
      </c>
    </row>
    <row r="463" spans="1:24" x14ac:dyDescent="0.25">
      <c r="A463">
        <v>1</v>
      </c>
      <c r="B463">
        <v>5910941009</v>
      </c>
      <c r="C463">
        <v>60</v>
      </c>
      <c r="D463" s="27">
        <v>1011929</v>
      </c>
      <c r="F463" t="s">
        <v>42</v>
      </c>
      <c r="G463">
        <v>0</v>
      </c>
      <c r="H463">
        <v>100</v>
      </c>
      <c r="K463">
        <v>2.1619999999999999</v>
      </c>
      <c r="L463" t="s">
        <v>68</v>
      </c>
      <c r="M463" t="s">
        <v>86</v>
      </c>
      <c r="N463" s="4">
        <v>2958465</v>
      </c>
      <c r="P463">
        <v>0</v>
      </c>
      <c r="U463">
        <v>4</v>
      </c>
      <c r="V463">
        <v>1</v>
      </c>
      <c r="W463" t="s">
        <v>69</v>
      </c>
      <c r="X463">
        <v>0</v>
      </c>
    </row>
    <row r="464" spans="1:24" x14ac:dyDescent="0.25">
      <c r="A464">
        <v>1</v>
      </c>
      <c r="B464">
        <v>5910941009</v>
      </c>
      <c r="C464">
        <v>70</v>
      </c>
      <c r="D464" s="27">
        <v>1020023</v>
      </c>
      <c r="F464" t="s">
        <v>42</v>
      </c>
      <c r="G464">
        <v>0</v>
      </c>
      <c r="H464">
        <v>100</v>
      </c>
      <c r="K464">
        <v>4</v>
      </c>
      <c r="L464" t="s">
        <v>68</v>
      </c>
      <c r="M464" t="s">
        <v>86</v>
      </c>
      <c r="N464" s="4">
        <v>2958465</v>
      </c>
      <c r="P464">
        <v>0</v>
      </c>
      <c r="U464">
        <v>4</v>
      </c>
      <c r="V464">
        <v>1</v>
      </c>
      <c r="W464" t="s">
        <v>69</v>
      </c>
      <c r="X464">
        <v>0</v>
      </c>
    </row>
    <row r="465" spans="1:24" x14ac:dyDescent="0.25">
      <c r="A465">
        <v>1</v>
      </c>
      <c r="B465">
        <v>5910941009</v>
      </c>
      <c r="C465">
        <v>80</v>
      </c>
      <c r="D465" s="27">
        <v>12102509</v>
      </c>
      <c r="F465" t="s">
        <v>42</v>
      </c>
      <c r="G465">
        <v>0</v>
      </c>
      <c r="H465">
        <v>100</v>
      </c>
      <c r="K465">
        <v>1</v>
      </c>
      <c r="L465" t="s">
        <v>68</v>
      </c>
      <c r="M465" t="s">
        <v>86</v>
      </c>
      <c r="N465" s="4">
        <v>2958465</v>
      </c>
      <c r="P465">
        <v>0</v>
      </c>
      <c r="U465">
        <v>4</v>
      </c>
      <c r="V465">
        <v>1</v>
      </c>
      <c r="W465" t="s">
        <v>69</v>
      </c>
      <c r="X465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AAB99B-F8AE-4B91-8AAD-D244E7124CDC}">
  <sheetPr codeName="Planilha3"/>
  <dimension ref="A1:X117"/>
  <sheetViews>
    <sheetView workbookViewId="0">
      <selection activeCell="B14" sqref="B14"/>
    </sheetView>
  </sheetViews>
  <sheetFormatPr defaultRowHeight="15" x14ac:dyDescent="0.25"/>
  <cols>
    <col min="2" max="2" width="11" bestFit="1" customWidth="1"/>
    <col min="4" max="4" width="11" bestFit="1" customWidth="1"/>
    <col min="14" max="14" width="10.7109375" bestFit="1" customWidth="1"/>
  </cols>
  <sheetData>
    <row r="1" spans="1:24" x14ac:dyDescent="0.25">
      <c r="A1" s="2" t="s">
        <v>43</v>
      </c>
      <c r="B1" s="3" t="s">
        <v>44</v>
      </c>
      <c r="C1" s="3" t="s">
        <v>45</v>
      </c>
      <c r="D1" s="3" t="s">
        <v>46</v>
      </c>
      <c r="E1" s="3" t="s">
        <v>47</v>
      </c>
      <c r="F1" s="2" t="s">
        <v>48</v>
      </c>
      <c r="G1" s="2" t="s">
        <v>49</v>
      </c>
      <c r="H1" s="2" t="s">
        <v>50</v>
      </c>
      <c r="I1" s="2" t="s">
        <v>51</v>
      </c>
      <c r="J1" s="2" t="s">
        <v>52</v>
      </c>
      <c r="K1" s="2" t="s">
        <v>53</v>
      </c>
      <c r="L1" s="2" t="s">
        <v>54</v>
      </c>
      <c r="M1" s="2" t="s">
        <v>55</v>
      </c>
      <c r="N1" s="2" t="s">
        <v>56</v>
      </c>
      <c r="O1" s="2" t="s">
        <v>57</v>
      </c>
      <c r="P1" s="2" t="s">
        <v>58</v>
      </c>
      <c r="Q1" s="2" t="s">
        <v>59</v>
      </c>
      <c r="R1" s="2" t="s">
        <v>60</v>
      </c>
      <c r="S1" s="2" t="s">
        <v>61</v>
      </c>
      <c r="T1" s="2" t="s">
        <v>62</v>
      </c>
      <c r="U1" s="2" t="s">
        <v>63</v>
      </c>
      <c r="V1" s="2" t="s">
        <v>64</v>
      </c>
      <c r="W1" s="2" t="s">
        <v>65</v>
      </c>
      <c r="X1" s="2" t="s">
        <v>66</v>
      </c>
    </row>
    <row r="2" spans="1:24" x14ac:dyDescent="0.25">
      <c r="A2">
        <v>1</v>
      </c>
      <c r="B2">
        <v>2237811205</v>
      </c>
      <c r="C2">
        <v>10</v>
      </c>
      <c r="D2" t="s">
        <v>87</v>
      </c>
      <c r="F2" t="s">
        <v>67</v>
      </c>
      <c r="G2">
        <v>0</v>
      </c>
      <c r="H2">
        <v>100</v>
      </c>
      <c r="K2">
        <v>1</v>
      </c>
      <c r="L2" t="s">
        <v>68</v>
      </c>
      <c r="M2" t="s">
        <v>86</v>
      </c>
      <c r="N2" s="4">
        <v>2958465</v>
      </c>
      <c r="P2">
        <v>0</v>
      </c>
      <c r="U2">
        <v>4</v>
      </c>
      <c r="V2">
        <v>1</v>
      </c>
      <c r="W2" t="s">
        <v>69</v>
      </c>
      <c r="X2">
        <v>0</v>
      </c>
    </row>
    <row r="3" spans="1:24" x14ac:dyDescent="0.25">
      <c r="A3">
        <v>1</v>
      </c>
      <c r="B3">
        <v>2237811205</v>
      </c>
      <c r="C3">
        <v>20</v>
      </c>
      <c r="D3">
        <v>5910941205</v>
      </c>
      <c r="F3" t="s">
        <v>67</v>
      </c>
      <c r="G3">
        <v>0</v>
      </c>
      <c r="H3">
        <v>100</v>
      </c>
      <c r="K3">
        <v>1</v>
      </c>
      <c r="L3" t="s">
        <v>68</v>
      </c>
      <c r="M3" t="s">
        <v>86</v>
      </c>
      <c r="N3" s="4">
        <v>2958465</v>
      </c>
      <c r="P3">
        <v>0</v>
      </c>
      <c r="U3">
        <v>4</v>
      </c>
      <c r="V3">
        <v>1</v>
      </c>
      <c r="W3" t="s">
        <v>69</v>
      </c>
      <c r="X3">
        <v>0</v>
      </c>
    </row>
    <row r="4" spans="1:24" x14ac:dyDescent="0.25">
      <c r="A4">
        <v>1</v>
      </c>
      <c r="B4">
        <v>2237811305</v>
      </c>
      <c r="C4">
        <v>10</v>
      </c>
      <c r="D4" t="s">
        <v>87</v>
      </c>
      <c r="F4" t="s">
        <v>67</v>
      </c>
      <c r="G4">
        <v>0</v>
      </c>
      <c r="H4">
        <v>100</v>
      </c>
      <c r="K4">
        <v>1</v>
      </c>
      <c r="L4" t="s">
        <v>68</v>
      </c>
      <c r="M4" t="s">
        <v>86</v>
      </c>
      <c r="N4" s="4">
        <v>2958465</v>
      </c>
      <c r="P4">
        <v>0</v>
      </c>
      <c r="U4">
        <v>4</v>
      </c>
      <c r="V4">
        <v>1</v>
      </c>
      <c r="W4" t="s">
        <v>69</v>
      </c>
      <c r="X4">
        <v>0</v>
      </c>
    </row>
    <row r="5" spans="1:24" x14ac:dyDescent="0.25">
      <c r="A5">
        <v>1</v>
      </c>
      <c r="B5">
        <v>2237811305</v>
      </c>
      <c r="C5">
        <v>20</v>
      </c>
      <c r="D5">
        <v>5910941305</v>
      </c>
      <c r="F5" t="s">
        <v>67</v>
      </c>
      <c r="G5">
        <v>0</v>
      </c>
      <c r="H5">
        <v>100</v>
      </c>
      <c r="K5">
        <v>1</v>
      </c>
      <c r="L5" t="s">
        <v>68</v>
      </c>
      <c r="M5" t="s">
        <v>86</v>
      </c>
      <c r="N5" s="4">
        <v>2958465</v>
      </c>
      <c r="P5">
        <v>0</v>
      </c>
      <c r="U5">
        <v>4</v>
      </c>
      <c r="V5">
        <v>1</v>
      </c>
      <c r="W5" t="s">
        <v>69</v>
      </c>
      <c r="X5">
        <v>0</v>
      </c>
    </row>
    <row r="6" spans="1:24" x14ac:dyDescent="0.25">
      <c r="A6">
        <v>1</v>
      </c>
      <c r="B6">
        <v>2237811805</v>
      </c>
      <c r="C6">
        <v>10</v>
      </c>
      <c r="D6" t="s">
        <v>87</v>
      </c>
      <c r="F6" t="s">
        <v>67</v>
      </c>
      <c r="G6">
        <v>0</v>
      </c>
      <c r="H6">
        <v>100</v>
      </c>
      <c r="K6">
        <v>1</v>
      </c>
      <c r="L6" t="s">
        <v>68</v>
      </c>
      <c r="M6" t="s">
        <v>86</v>
      </c>
      <c r="N6" s="4">
        <v>2958465</v>
      </c>
      <c r="P6">
        <v>0</v>
      </c>
      <c r="U6">
        <v>4</v>
      </c>
      <c r="V6">
        <v>1</v>
      </c>
      <c r="W6" t="s">
        <v>69</v>
      </c>
      <c r="X6">
        <v>0</v>
      </c>
    </row>
    <row r="7" spans="1:24" x14ac:dyDescent="0.25">
      <c r="A7">
        <v>1</v>
      </c>
      <c r="B7">
        <v>2237811805</v>
      </c>
      <c r="C7">
        <v>20</v>
      </c>
      <c r="D7">
        <v>5910941805</v>
      </c>
      <c r="F7" t="s">
        <v>67</v>
      </c>
      <c r="G7">
        <v>0</v>
      </c>
      <c r="H7">
        <v>100</v>
      </c>
      <c r="K7">
        <v>1</v>
      </c>
      <c r="L7" t="s">
        <v>68</v>
      </c>
      <c r="M7" t="s">
        <v>86</v>
      </c>
      <c r="N7" s="4">
        <v>2958465</v>
      </c>
      <c r="P7">
        <v>0</v>
      </c>
      <c r="U7">
        <v>4</v>
      </c>
      <c r="V7">
        <v>1</v>
      </c>
      <c r="W7" t="s">
        <v>69</v>
      </c>
      <c r="X7">
        <v>0</v>
      </c>
    </row>
    <row r="8" spans="1:24" x14ac:dyDescent="0.25">
      <c r="A8">
        <v>1</v>
      </c>
      <c r="B8">
        <v>2237811005</v>
      </c>
      <c r="C8">
        <v>10</v>
      </c>
      <c r="D8" t="s">
        <v>87</v>
      </c>
      <c r="F8" t="s">
        <v>67</v>
      </c>
      <c r="G8">
        <v>0</v>
      </c>
      <c r="H8">
        <v>100</v>
      </c>
      <c r="K8">
        <v>1</v>
      </c>
      <c r="L8" t="s">
        <v>68</v>
      </c>
      <c r="M8" t="s">
        <v>86</v>
      </c>
      <c r="N8" s="4">
        <v>2958465</v>
      </c>
      <c r="P8">
        <v>0</v>
      </c>
      <c r="U8">
        <v>4</v>
      </c>
      <c r="V8">
        <v>1</v>
      </c>
      <c r="W8" t="s">
        <v>69</v>
      </c>
      <c r="X8">
        <v>0</v>
      </c>
    </row>
    <row r="9" spans="1:24" x14ac:dyDescent="0.25">
      <c r="A9">
        <v>1</v>
      </c>
      <c r="B9">
        <v>2237811005</v>
      </c>
      <c r="C9">
        <v>20</v>
      </c>
      <c r="D9">
        <v>5910941005</v>
      </c>
      <c r="F9" t="s">
        <v>67</v>
      </c>
      <c r="G9">
        <v>0</v>
      </c>
      <c r="H9">
        <v>100</v>
      </c>
      <c r="K9">
        <v>1</v>
      </c>
      <c r="L9" t="s">
        <v>68</v>
      </c>
      <c r="M9" t="s">
        <v>86</v>
      </c>
      <c r="N9" s="4">
        <v>2958465</v>
      </c>
      <c r="P9">
        <v>0</v>
      </c>
      <c r="U9">
        <v>4</v>
      </c>
      <c r="V9">
        <v>1</v>
      </c>
      <c r="W9" t="s">
        <v>69</v>
      </c>
      <c r="X9">
        <v>0</v>
      </c>
    </row>
    <row r="10" spans="1:24" x14ac:dyDescent="0.25">
      <c r="A10">
        <v>1</v>
      </c>
      <c r="B10">
        <v>2237811227</v>
      </c>
      <c r="C10">
        <v>10</v>
      </c>
      <c r="D10" t="s">
        <v>87</v>
      </c>
      <c r="F10" t="s">
        <v>67</v>
      </c>
      <c r="G10">
        <v>0</v>
      </c>
      <c r="H10">
        <v>100</v>
      </c>
      <c r="K10">
        <v>1</v>
      </c>
      <c r="L10" t="s">
        <v>68</v>
      </c>
      <c r="M10" t="s">
        <v>86</v>
      </c>
      <c r="N10" s="4">
        <v>2958465</v>
      </c>
      <c r="P10">
        <v>0</v>
      </c>
      <c r="U10">
        <v>4</v>
      </c>
      <c r="V10">
        <v>1</v>
      </c>
      <c r="W10" t="s">
        <v>69</v>
      </c>
      <c r="X10">
        <v>0</v>
      </c>
    </row>
    <row r="11" spans="1:24" x14ac:dyDescent="0.25">
      <c r="A11">
        <v>1</v>
      </c>
      <c r="B11">
        <v>2237811227</v>
      </c>
      <c r="C11">
        <v>20</v>
      </c>
      <c r="D11">
        <v>5910941227</v>
      </c>
      <c r="F11" t="s">
        <v>67</v>
      </c>
      <c r="G11">
        <v>0</v>
      </c>
      <c r="H11">
        <v>100</v>
      </c>
      <c r="K11">
        <v>1</v>
      </c>
      <c r="L11" t="s">
        <v>68</v>
      </c>
      <c r="M11" t="s">
        <v>86</v>
      </c>
      <c r="N11" s="4">
        <v>2958465</v>
      </c>
      <c r="P11">
        <v>0</v>
      </c>
      <c r="U11">
        <v>4</v>
      </c>
      <c r="V11">
        <v>1</v>
      </c>
      <c r="W11" t="s">
        <v>69</v>
      </c>
      <c r="X11">
        <v>0</v>
      </c>
    </row>
    <row r="12" spans="1:24" x14ac:dyDescent="0.25">
      <c r="A12">
        <v>1</v>
      </c>
      <c r="B12">
        <v>2237811327</v>
      </c>
      <c r="C12">
        <v>10</v>
      </c>
      <c r="D12" t="s">
        <v>87</v>
      </c>
      <c r="F12" t="s">
        <v>67</v>
      </c>
      <c r="G12">
        <v>0</v>
      </c>
      <c r="H12">
        <v>100</v>
      </c>
      <c r="K12">
        <v>1</v>
      </c>
      <c r="L12" t="s">
        <v>68</v>
      </c>
      <c r="M12" t="s">
        <v>86</v>
      </c>
      <c r="N12" s="4">
        <v>2958465</v>
      </c>
      <c r="P12">
        <v>0</v>
      </c>
      <c r="U12">
        <v>4</v>
      </c>
      <c r="V12">
        <v>1</v>
      </c>
      <c r="W12" t="s">
        <v>69</v>
      </c>
      <c r="X12">
        <v>0</v>
      </c>
    </row>
    <row r="13" spans="1:24" x14ac:dyDescent="0.25">
      <c r="A13">
        <v>1</v>
      </c>
      <c r="B13">
        <v>2237811327</v>
      </c>
      <c r="C13">
        <v>20</v>
      </c>
      <c r="D13">
        <v>5910941327</v>
      </c>
      <c r="F13" t="s">
        <v>67</v>
      </c>
      <c r="G13">
        <v>0</v>
      </c>
      <c r="H13">
        <v>100</v>
      </c>
      <c r="K13">
        <v>1</v>
      </c>
      <c r="L13" t="s">
        <v>68</v>
      </c>
      <c r="M13" t="s">
        <v>86</v>
      </c>
      <c r="N13" s="4">
        <v>2958465</v>
      </c>
      <c r="P13">
        <v>0</v>
      </c>
      <c r="U13">
        <v>4</v>
      </c>
      <c r="V13">
        <v>1</v>
      </c>
      <c r="W13" t="s">
        <v>69</v>
      </c>
      <c r="X13">
        <v>0</v>
      </c>
    </row>
    <row r="14" spans="1:24" x14ac:dyDescent="0.25">
      <c r="A14">
        <v>1</v>
      </c>
      <c r="B14">
        <v>2237811027</v>
      </c>
      <c r="C14">
        <v>10</v>
      </c>
      <c r="D14" t="s">
        <v>87</v>
      </c>
      <c r="F14" t="s">
        <v>67</v>
      </c>
      <c r="G14">
        <v>0</v>
      </c>
      <c r="H14">
        <v>100</v>
      </c>
      <c r="K14">
        <v>1</v>
      </c>
      <c r="L14" t="s">
        <v>68</v>
      </c>
      <c r="M14" t="s">
        <v>86</v>
      </c>
      <c r="N14" s="4">
        <v>2958465</v>
      </c>
      <c r="P14">
        <v>0</v>
      </c>
      <c r="U14">
        <v>4</v>
      </c>
      <c r="V14">
        <v>1</v>
      </c>
      <c r="W14" t="s">
        <v>69</v>
      </c>
      <c r="X14">
        <v>0</v>
      </c>
    </row>
    <row r="15" spans="1:24" x14ac:dyDescent="0.25">
      <c r="A15">
        <v>1</v>
      </c>
      <c r="B15">
        <v>2237811027</v>
      </c>
      <c r="C15">
        <v>20</v>
      </c>
      <c r="D15">
        <v>5910941027</v>
      </c>
      <c r="F15" t="s">
        <v>67</v>
      </c>
      <c r="G15">
        <v>0</v>
      </c>
      <c r="H15">
        <v>100</v>
      </c>
      <c r="K15">
        <v>1</v>
      </c>
      <c r="L15" t="s">
        <v>68</v>
      </c>
      <c r="M15" t="s">
        <v>86</v>
      </c>
      <c r="N15" s="4">
        <v>2958465</v>
      </c>
      <c r="P15">
        <v>0</v>
      </c>
      <c r="U15">
        <v>4</v>
      </c>
      <c r="V15">
        <v>1</v>
      </c>
      <c r="W15" t="s">
        <v>69</v>
      </c>
      <c r="X15">
        <v>0</v>
      </c>
    </row>
    <row r="16" spans="1:24" x14ac:dyDescent="0.25">
      <c r="A16">
        <v>1</v>
      </c>
      <c r="B16">
        <v>2237811226</v>
      </c>
      <c r="C16">
        <v>10</v>
      </c>
      <c r="D16" t="s">
        <v>87</v>
      </c>
      <c r="F16" t="s">
        <v>67</v>
      </c>
      <c r="G16">
        <v>0</v>
      </c>
      <c r="H16">
        <v>100</v>
      </c>
      <c r="K16">
        <v>1</v>
      </c>
      <c r="L16" t="s">
        <v>68</v>
      </c>
      <c r="M16" t="s">
        <v>86</v>
      </c>
      <c r="N16" s="4">
        <v>2958465</v>
      </c>
      <c r="P16">
        <v>0</v>
      </c>
      <c r="U16">
        <v>4</v>
      </c>
      <c r="V16">
        <v>1</v>
      </c>
      <c r="W16" t="s">
        <v>69</v>
      </c>
      <c r="X16">
        <v>0</v>
      </c>
    </row>
    <row r="17" spans="1:24" x14ac:dyDescent="0.25">
      <c r="A17">
        <v>1</v>
      </c>
      <c r="B17">
        <v>2237811226</v>
      </c>
      <c r="C17">
        <v>20</v>
      </c>
      <c r="D17">
        <v>5910941226</v>
      </c>
      <c r="F17" t="s">
        <v>67</v>
      </c>
      <c r="G17">
        <v>0</v>
      </c>
      <c r="H17">
        <v>100</v>
      </c>
      <c r="K17">
        <v>1</v>
      </c>
      <c r="L17" t="s">
        <v>68</v>
      </c>
      <c r="M17" t="s">
        <v>86</v>
      </c>
      <c r="N17" s="4">
        <v>2958465</v>
      </c>
      <c r="P17">
        <v>0</v>
      </c>
      <c r="U17">
        <v>4</v>
      </c>
      <c r="V17">
        <v>1</v>
      </c>
      <c r="W17" t="s">
        <v>69</v>
      </c>
      <c r="X17">
        <v>0</v>
      </c>
    </row>
    <row r="18" spans="1:24" x14ac:dyDescent="0.25">
      <c r="A18">
        <v>1</v>
      </c>
      <c r="B18">
        <v>2237811826</v>
      </c>
      <c r="C18">
        <v>10</v>
      </c>
      <c r="D18" t="s">
        <v>87</v>
      </c>
      <c r="F18" t="s">
        <v>67</v>
      </c>
      <c r="G18">
        <v>0</v>
      </c>
      <c r="H18">
        <v>100</v>
      </c>
      <c r="K18">
        <v>1</v>
      </c>
      <c r="L18" t="s">
        <v>68</v>
      </c>
      <c r="M18" t="s">
        <v>86</v>
      </c>
      <c r="N18" s="4">
        <v>2958465</v>
      </c>
      <c r="P18">
        <v>0</v>
      </c>
      <c r="U18">
        <v>4</v>
      </c>
      <c r="V18">
        <v>1</v>
      </c>
      <c r="W18" t="s">
        <v>69</v>
      </c>
      <c r="X18">
        <v>0</v>
      </c>
    </row>
    <row r="19" spans="1:24" x14ac:dyDescent="0.25">
      <c r="A19">
        <v>1</v>
      </c>
      <c r="B19">
        <v>2237811826</v>
      </c>
      <c r="C19">
        <v>20</v>
      </c>
      <c r="D19">
        <v>5910941826</v>
      </c>
      <c r="F19" t="s">
        <v>67</v>
      </c>
      <c r="G19">
        <v>0</v>
      </c>
      <c r="H19">
        <v>100</v>
      </c>
      <c r="K19">
        <v>1</v>
      </c>
      <c r="L19" t="s">
        <v>68</v>
      </c>
      <c r="M19" t="s">
        <v>86</v>
      </c>
      <c r="N19" s="4">
        <v>2958465</v>
      </c>
      <c r="P19">
        <v>0</v>
      </c>
      <c r="U19">
        <v>4</v>
      </c>
      <c r="V19">
        <v>1</v>
      </c>
      <c r="W19" t="s">
        <v>69</v>
      </c>
      <c r="X19">
        <v>0</v>
      </c>
    </row>
    <row r="20" spans="1:24" x14ac:dyDescent="0.25">
      <c r="A20">
        <v>1</v>
      </c>
      <c r="B20">
        <v>2237811026</v>
      </c>
      <c r="C20">
        <v>10</v>
      </c>
      <c r="D20" t="s">
        <v>87</v>
      </c>
      <c r="F20" t="s">
        <v>67</v>
      </c>
      <c r="G20">
        <v>0</v>
      </c>
      <c r="H20">
        <v>100</v>
      </c>
      <c r="K20">
        <v>1</v>
      </c>
      <c r="L20" t="s">
        <v>68</v>
      </c>
      <c r="M20" t="s">
        <v>86</v>
      </c>
      <c r="N20" s="4">
        <v>2958465</v>
      </c>
      <c r="P20">
        <v>0</v>
      </c>
      <c r="U20">
        <v>4</v>
      </c>
      <c r="V20">
        <v>1</v>
      </c>
      <c r="W20" t="s">
        <v>69</v>
      </c>
      <c r="X20">
        <v>0</v>
      </c>
    </row>
    <row r="21" spans="1:24" x14ac:dyDescent="0.25">
      <c r="A21">
        <v>1</v>
      </c>
      <c r="B21">
        <v>2237811026</v>
      </c>
      <c r="C21">
        <v>20</v>
      </c>
      <c r="D21">
        <v>5910941026</v>
      </c>
      <c r="F21" t="s">
        <v>67</v>
      </c>
      <c r="G21">
        <v>0</v>
      </c>
      <c r="H21">
        <v>100</v>
      </c>
      <c r="K21">
        <v>1</v>
      </c>
      <c r="L21" t="s">
        <v>68</v>
      </c>
      <c r="M21" t="s">
        <v>86</v>
      </c>
      <c r="N21" s="4">
        <v>2958465</v>
      </c>
      <c r="P21">
        <v>0</v>
      </c>
      <c r="U21">
        <v>4</v>
      </c>
      <c r="V21">
        <v>1</v>
      </c>
      <c r="W21" t="s">
        <v>69</v>
      </c>
      <c r="X21">
        <v>0</v>
      </c>
    </row>
    <row r="22" spans="1:24" x14ac:dyDescent="0.25">
      <c r="A22">
        <v>1</v>
      </c>
      <c r="B22">
        <v>2237811225</v>
      </c>
      <c r="C22">
        <v>10</v>
      </c>
      <c r="D22" t="s">
        <v>87</v>
      </c>
      <c r="F22" t="s">
        <v>67</v>
      </c>
      <c r="G22">
        <v>0</v>
      </c>
      <c r="H22">
        <v>100</v>
      </c>
      <c r="K22">
        <v>1</v>
      </c>
      <c r="L22" t="s">
        <v>68</v>
      </c>
      <c r="M22" t="s">
        <v>86</v>
      </c>
      <c r="N22" s="4">
        <v>2958465</v>
      </c>
      <c r="P22">
        <v>0</v>
      </c>
      <c r="U22">
        <v>4</v>
      </c>
      <c r="V22">
        <v>1</v>
      </c>
      <c r="W22" t="s">
        <v>69</v>
      </c>
      <c r="X22">
        <v>0</v>
      </c>
    </row>
    <row r="23" spans="1:24" x14ac:dyDescent="0.25">
      <c r="A23">
        <v>1</v>
      </c>
      <c r="B23">
        <v>2237811225</v>
      </c>
      <c r="C23">
        <v>20</v>
      </c>
      <c r="D23">
        <v>5910941225</v>
      </c>
      <c r="F23" t="s">
        <v>67</v>
      </c>
      <c r="G23">
        <v>0</v>
      </c>
      <c r="H23">
        <v>100</v>
      </c>
      <c r="K23">
        <v>1</v>
      </c>
      <c r="L23" t="s">
        <v>68</v>
      </c>
      <c r="M23" t="s">
        <v>86</v>
      </c>
      <c r="N23" s="4">
        <v>2958465</v>
      </c>
      <c r="P23">
        <v>0</v>
      </c>
      <c r="U23">
        <v>4</v>
      </c>
      <c r="V23">
        <v>1</v>
      </c>
      <c r="W23" t="s">
        <v>69</v>
      </c>
      <c r="X23">
        <v>0</v>
      </c>
    </row>
    <row r="24" spans="1:24" x14ac:dyDescent="0.25">
      <c r="A24">
        <v>1</v>
      </c>
      <c r="B24">
        <v>2237811325</v>
      </c>
      <c r="C24">
        <v>10</v>
      </c>
      <c r="D24" t="s">
        <v>87</v>
      </c>
      <c r="F24" t="s">
        <v>67</v>
      </c>
      <c r="G24">
        <v>0</v>
      </c>
      <c r="H24">
        <v>100</v>
      </c>
      <c r="K24">
        <v>1</v>
      </c>
      <c r="L24" t="s">
        <v>68</v>
      </c>
      <c r="M24" t="s">
        <v>86</v>
      </c>
      <c r="N24" s="4">
        <v>2958465</v>
      </c>
      <c r="P24">
        <v>0</v>
      </c>
      <c r="U24">
        <v>4</v>
      </c>
      <c r="V24">
        <v>1</v>
      </c>
      <c r="W24" t="s">
        <v>69</v>
      </c>
      <c r="X24">
        <v>0</v>
      </c>
    </row>
    <row r="25" spans="1:24" x14ac:dyDescent="0.25">
      <c r="A25">
        <v>1</v>
      </c>
      <c r="B25">
        <v>2237811325</v>
      </c>
      <c r="C25">
        <v>20</v>
      </c>
      <c r="D25">
        <v>5910941325</v>
      </c>
      <c r="F25" t="s">
        <v>67</v>
      </c>
      <c r="G25">
        <v>0</v>
      </c>
      <c r="H25">
        <v>100</v>
      </c>
      <c r="K25">
        <v>1</v>
      </c>
      <c r="L25" t="s">
        <v>68</v>
      </c>
      <c r="M25" t="s">
        <v>86</v>
      </c>
      <c r="N25" s="4">
        <v>2958465</v>
      </c>
      <c r="P25">
        <v>0</v>
      </c>
      <c r="U25">
        <v>4</v>
      </c>
      <c r="V25">
        <v>1</v>
      </c>
      <c r="W25" t="s">
        <v>69</v>
      </c>
      <c r="X25">
        <v>0</v>
      </c>
    </row>
    <row r="26" spans="1:24" x14ac:dyDescent="0.25">
      <c r="A26">
        <v>1</v>
      </c>
      <c r="B26">
        <v>2237811025</v>
      </c>
      <c r="C26">
        <v>10</v>
      </c>
      <c r="D26" t="s">
        <v>87</v>
      </c>
      <c r="F26" t="s">
        <v>67</v>
      </c>
      <c r="G26">
        <v>0</v>
      </c>
      <c r="H26">
        <v>100</v>
      </c>
      <c r="K26">
        <v>1</v>
      </c>
      <c r="L26" t="s">
        <v>68</v>
      </c>
      <c r="M26" t="s">
        <v>86</v>
      </c>
      <c r="N26" s="4">
        <v>2958465</v>
      </c>
      <c r="P26">
        <v>0</v>
      </c>
      <c r="U26">
        <v>4</v>
      </c>
      <c r="V26">
        <v>1</v>
      </c>
      <c r="W26" t="s">
        <v>69</v>
      </c>
      <c r="X26">
        <v>0</v>
      </c>
    </row>
    <row r="27" spans="1:24" x14ac:dyDescent="0.25">
      <c r="A27">
        <v>1</v>
      </c>
      <c r="B27">
        <v>2237811025</v>
      </c>
      <c r="C27">
        <v>20</v>
      </c>
      <c r="D27">
        <v>5910941025</v>
      </c>
      <c r="F27" t="s">
        <v>67</v>
      </c>
      <c r="G27">
        <v>0</v>
      </c>
      <c r="H27">
        <v>100</v>
      </c>
      <c r="K27">
        <v>1</v>
      </c>
      <c r="L27" t="s">
        <v>68</v>
      </c>
      <c r="M27" t="s">
        <v>86</v>
      </c>
      <c r="N27" s="4">
        <v>2958465</v>
      </c>
      <c r="P27">
        <v>0</v>
      </c>
      <c r="U27">
        <v>4</v>
      </c>
      <c r="V27">
        <v>1</v>
      </c>
      <c r="W27" t="s">
        <v>69</v>
      </c>
      <c r="X27">
        <v>0</v>
      </c>
    </row>
    <row r="28" spans="1:24" x14ac:dyDescent="0.25">
      <c r="A28">
        <v>1</v>
      </c>
      <c r="B28">
        <v>2237811228</v>
      </c>
      <c r="C28">
        <v>10</v>
      </c>
      <c r="D28" t="s">
        <v>87</v>
      </c>
      <c r="F28" t="s">
        <v>67</v>
      </c>
      <c r="G28">
        <v>0</v>
      </c>
      <c r="H28">
        <v>100</v>
      </c>
      <c r="K28">
        <v>1</v>
      </c>
      <c r="L28" t="s">
        <v>68</v>
      </c>
      <c r="M28" t="s">
        <v>86</v>
      </c>
      <c r="N28" s="4">
        <v>2958465</v>
      </c>
      <c r="P28">
        <v>0</v>
      </c>
      <c r="U28">
        <v>4</v>
      </c>
      <c r="V28">
        <v>1</v>
      </c>
      <c r="W28" t="s">
        <v>69</v>
      </c>
      <c r="X28">
        <v>0</v>
      </c>
    </row>
    <row r="29" spans="1:24" x14ac:dyDescent="0.25">
      <c r="A29">
        <v>1</v>
      </c>
      <c r="B29">
        <v>2237811228</v>
      </c>
      <c r="C29">
        <v>20</v>
      </c>
      <c r="D29">
        <v>5910941228</v>
      </c>
      <c r="F29" t="s">
        <v>67</v>
      </c>
      <c r="G29">
        <v>0</v>
      </c>
      <c r="H29">
        <v>100</v>
      </c>
      <c r="K29">
        <v>1</v>
      </c>
      <c r="L29" t="s">
        <v>68</v>
      </c>
      <c r="M29" t="s">
        <v>86</v>
      </c>
      <c r="N29" s="4">
        <v>2958465</v>
      </c>
      <c r="P29">
        <v>0</v>
      </c>
      <c r="U29">
        <v>4</v>
      </c>
      <c r="V29">
        <v>1</v>
      </c>
      <c r="W29" t="s">
        <v>69</v>
      </c>
      <c r="X29">
        <v>0</v>
      </c>
    </row>
    <row r="30" spans="1:24" x14ac:dyDescent="0.25">
      <c r="A30">
        <v>1</v>
      </c>
      <c r="B30">
        <v>2237811828</v>
      </c>
      <c r="C30">
        <v>10</v>
      </c>
      <c r="D30" t="s">
        <v>87</v>
      </c>
      <c r="F30" t="s">
        <v>67</v>
      </c>
      <c r="G30">
        <v>0</v>
      </c>
      <c r="H30">
        <v>100</v>
      </c>
      <c r="K30">
        <v>1</v>
      </c>
      <c r="L30" t="s">
        <v>68</v>
      </c>
      <c r="M30" t="s">
        <v>86</v>
      </c>
      <c r="N30" s="4">
        <v>2958465</v>
      </c>
      <c r="P30">
        <v>0</v>
      </c>
      <c r="U30">
        <v>4</v>
      </c>
      <c r="V30">
        <v>1</v>
      </c>
      <c r="W30" t="s">
        <v>69</v>
      </c>
      <c r="X30">
        <v>0</v>
      </c>
    </row>
    <row r="31" spans="1:24" x14ac:dyDescent="0.25">
      <c r="A31">
        <v>1</v>
      </c>
      <c r="B31">
        <v>2237811828</v>
      </c>
      <c r="C31">
        <v>20</v>
      </c>
      <c r="D31">
        <v>5910941828</v>
      </c>
      <c r="F31" t="s">
        <v>67</v>
      </c>
      <c r="G31">
        <v>0</v>
      </c>
      <c r="H31">
        <v>100</v>
      </c>
      <c r="K31">
        <v>1</v>
      </c>
      <c r="L31" t="s">
        <v>68</v>
      </c>
      <c r="M31" t="s">
        <v>86</v>
      </c>
      <c r="N31" s="4">
        <v>2958465</v>
      </c>
      <c r="P31">
        <v>0</v>
      </c>
      <c r="U31">
        <v>4</v>
      </c>
      <c r="V31">
        <v>1</v>
      </c>
      <c r="W31" t="s">
        <v>69</v>
      </c>
      <c r="X31">
        <v>0</v>
      </c>
    </row>
    <row r="32" spans="1:24" x14ac:dyDescent="0.25">
      <c r="A32">
        <v>1</v>
      </c>
      <c r="B32">
        <v>2237811028</v>
      </c>
      <c r="C32">
        <v>10</v>
      </c>
      <c r="D32" t="s">
        <v>87</v>
      </c>
      <c r="F32" t="s">
        <v>67</v>
      </c>
      <c r="G32">
        <v>0</v>
      </c>
      <c r="H32">
        <v>100</v>
      </c>
      <c r="K32">
        <v>1</v>
      </c>
      <c r="L32" t="s">
        <v>68</v>
      </c>
      <c r="M32" t="s">
        <v>86</v>
      </c>
      <c r="N32" s="4">
        <v>2958465</v>
      </c>
      <c r="P32">
        <v>0</v>
      </c>
      <c r="U32">
        <v>4</v>
      </c>
      <c r="V32">
        <v>1</v>
      </c>
      <c r="W32" t="s">
        <v>69</v>
      </c>
      <c r="X32">
        <v>0</v>
      </c>
    </row>
    <row r="33" spans="1:24" x14ac:dyDescent="0.25">
      <c r="A33">
        <v>1</v>
      </c>
      <c r="B33">
        <v>2237811028</v>
      </c>
      <c r="C33">
        <v>20</v>
      </c>
      <c r="D33">
        <v>5910941028</v>
      </c>
      <c r="F33" t="s">
        <v>67</v>
      </c>
      <c r="G33">
        <v>0</v>
      </c>
      <c r="H33">
        <v>100</v>
      </c>
      <c r="K33">
        <v>1</v>
      </c>
      <c r="L33" t="s">
        <v>68</v>
      </c>
      <c r="M33" t="s">
        <v>86</v>
      </c>
      <c r="N33" s="4">
        <v>2958465</v>
      </c>
      <c r="P33">
        <v>0</v>
      </c>
      <c r="U33">
        <v>4</v>
      </c>
      <c r="V33">
        <v>1</v>
      </c>
      <c r="W33" t="s">
        <v>69</v>
      </c>
      <c r="X33">
        <v>0</v>
      </c>
    </row>
    <row r="34" spans="1:24" x14ac:dyDescent="0.25">
      <c r="A34">
        <v>1</v>
      </c>
      <c r="B34">
        <v>2237811219</v>
      </c>
      <c r="C34">
        <v>10</v>
      </c>
      <c r="D34" t="s">
        <v>87</v>
      </c>
      <c r="F34" t="s">
        <v>67</v>
      </c>
      <c r="G34">
        <v>0</v>
      </c>
      <c r="H34">
        <v>100</v>
      </c>
      <c r="K34">
        <v>1</v>
      </c>
      <c r="L34" t="s">
        <v>68</v>
      </c>
      <c r="M34" t="s">
        <v>86</v>
      </c>
      <c r="N34" s="4">
        <v>2958465</v>
      </c>
      <c r="P34">
        <v>0</v>
      </c>
      <c r="U34">
        <v>4</v>
      </c>
      <c r="V34">
        <v>1</v>
      </c>
      <c r="W34" t="s">
        <v>69</v>
      </c>
      <c r="X34">
        <v>0</v>
      </c>
    </row>
    <row r="35" spans="1:24" x14ac:dyDescent="0.25">
      <c r="A35">
        <v>1</v>
      </c>
      <c r="B35">
        <v>2237811219</v>
      </c>
      <c r="C35">
        <v>20</v>
      </c>
      <c r="D35">
        <v>5910941219</v>
      </c>
      <c r="F35" t="s">
        <v>67</v>
      </c>
      <c r="G35">
        <v>0</v>
      </c>
      <c r="H35">
        <v>100</v>
      </c>
      <c r="K35">
        <v>1</v>
      </c>
      <c r="L35" t="s">
        <v>68</v>
      </c>
      <c r="M35" t="s">
        <v>86</v>
      </c>
      <c r="N35" s="4">
        <v>2958465</v>
      </c>
      <c r="P35">
        <v>0</v>
      </c>
      <c r="U35">
        <v>4</v>
      </c>
      <c r="V35">
        <v>1</v>
      </c>
      <c r="W35" t="s">
        <v>69</v>
      </c>
      <c r="X35">
        <v>0</v>
      </c>
    </row>
    <row r="36" spans="1:24" x14ac:dyDescent="0.25">
      <c r="A36">
        <v>1</v>
      </c>
      <c r="B36">
        <v>2237811319</v>
      </c>
      <c r="C36">
        <v>10</v>
      </c>
      <c r="D36" t="s">
        <v>87</v>
      </c>
      <c r="F36" t="s">
        <v>67</v>
      </c>
      <c r="G36">
        <v>0</v>
      </c>
      <c r="H36">
        <v>100</v>
      </c>
      <c r="K36">
        <v>1</v>
      </c>
      <c r="L36" t="s">
        <v>68</v>
      </c>
      <c r="M36" t="s">
        <v>86</v>
      </c>
      <c r="N36" s="4">
        <v>2958465</v>
      </c>
      <c r="P36">
        <v>0</v>
      </c>
      <c r="U36">
        <v>4</v>
      </c>
      <c r="V36">
        <v>1</v>
      </c>
      <c r="W36" t="s">
        <v>69</v>
      </c>
      <c r="X36">
        <v>0</v>
      </c>
    </row>
    <row r="37" spans="1:24" x14ac:dyDescent="0.25">
      <c r="A37">
        <v>1</v>
      </c>
      <c r="B37">
        <v>2237811319</v>
      </c>
      <c r="C37">
        <v>20</v>
      </c>
      <c r="D37">
        <v>5910941319</v>
      </c>
      <c r="F37" t="s">
        <v>67</v>
      </c>
      <c r="G37">
        <v>0</v>
      </c>
      <c r="H37">
        <v>100</v>
      </c>
      <c r="K37">
        <v>1</v>
      </c>
      <c r="L37" t="s">
        <v>68</v>
      </c>
      <c r="M37" t="s">
        <v>86</v>
      </c>
      <c r="N37" s="4">
        <v>2958465</v>
      </c>
      <c r="P37">
        <v>0</v>
      </c>
      <c r="U37">
        <v>4</v>
      </c>
      <c r="V37">
        <v>1</v>
      </c>
      <c r="W37" t="s">
        <v>69</v>
      </c>
      <c r="X37">
        <v>0</v>
      </c>
    </row>
    <row r="38" spans="1:24" x14ac:dyDescent="0.25">
      <c r="A38">
        <v>1</v>
      </c>
      <c r="B38">
        <v>2237811819</v>
      </c>
      <c r="C38">
        <v>10</v>
      </c>
      <c r="D38" t="s">
        <v>87</v>
      </c>
      <c r="F38" t="s">
        <v>67</v>
      </c>
      <c r="G38">
        <v>0</v>
      </c>
      <c r="H38">
        <v>100</v>
      </c>
      <c r="K38">
        <v>1</v>
      </c>
      <c r="L38" t="s">
        <v>68</v>
      </c>
      <c r="M38" t="s">
        <v>86</v>
      </c>
      <c r="N38" s="4">
        <v>2958465</v>
      </c>
      <c r="P38">
        <v>0</v>
      </c>
      <c r="U38">
        <v>4</v>
      </c>
      <c r="V38">
        <v>1</v>
      </c>
      <c r="W38" t="s">
        <v>69</v>
      </c>
      <c r="X38">
        <v>0</v>
      </c>
    </row>
    <row r="39" spans="1:24" x14ac:dyDescent="0.25">
      <c r="A39">
        <v>1</v>
      </c>
      <c r="B39">
        <v>2237811819</v>
      </c>
      <c r="C39">
        <v>20</v>
      </c>
      <c r="D39">
        <v>5910941819</v>
      </c>
      <c r="F39" t="s">
        <v>67</v>
      </c>
      <c r="G39">
        <v>0</v>
      </c>
      <c r="H39">
        <v>100</v>
      </c>
      <c r="K39">
        <v>1</v>
      </c>
      <c r="L39" t="s">
        <v>68</v>
      </c>
      <c r="M39" t="s">
        <v>86</v>
      </c>
      <c r="N39" s="4">
        <v>2958465</v>
      </c>
      <c r="P39">
        <v>0</v>
      </c>
      <c r="U39">
        <v>4</v>
      </c>
      <c r="V39">
        <v>1</v>
      </c>
      <c r="W39" t="s">
        <v>69</v>
      </c>
      <c r="X39">
        <v>0</v>
      </c>
    </row>
    <row r="40" spans="1:24" x14ac:dyDescent="0.25">
      <c r="A40">
        <v>1</v>
      </c>
      <c r="B40">
        <v>2237811019</v>
      </c>
      <c r="C40">
        <v>10</v>
      </c>
      <c r="D40" t="s">
        <v>87</v>
      </c>
      <c r="F40" t="s">
        <v>67</v>
      </c>
      <c r="G40">
        <v>0</v>
      </c>
      <c r="H40">
        <v>100</v>
      </c>
      <c r="K40">
        <v>1</v>
      </c>
      <c r="L40" t="s">
        <v>68</v>
      </c>
      <c r="M40" t="s">
        <v>86</v>
      </c>
      <c r="N40" s="4">
        <v>2958465</v>
      </c>
      <c r="P40">
        <v>0</v>
      </c>
      <c r="U40">
        <v>4</v>
      </c>
      <c r="V40">
        <v>1</v>
      </c>
      <c r="W40" t="s">
        <v>69</v>
      </c>
      <c r="X40">
        <v>0</v>
      </c>
    </row>
    <row r="41" spans="1:24" x14ac:dyDescent="0.25">
      <c r="A41">
        <v>1</v>
      </c>
      <c r="B41">
        <v>2237811019</v>
      </c>
      <c r="C41">
        <v>20</v>
      </c>
      <c r="D41">
        <v>5910941019</v>
      </c>
      <c r="F41" t="s">
        <v>67</v>
      </c>
      <c r="G41">
        <v>0</v>
      </c>
      <c r="H41">
        <v>100</v>
      </c>
      <c r="K41">
        <v>1</v>
      </c>
      <c r="L41" t="s">
        <v>68</v>
      </c>
      <c r="M41" t="s">
        <v>86</v>
      </c>
      <c r="N41" s="4">
        <v>2958465</v>
      </c>
      <c r="P41">
        <v>0</v>
      </c>
      <c r="U41">
        <v>4</v>
      </c>
      <c r="V41">
        <v>1</v>
      </c>
      <c r="W41" t="s">
        <v>69</v>
      </c>
      <c r="X41">
        <v>0</v>
      </c>
    </row>
    <row r="42" spans="1:24" x14ac:dyDescent="0.25">
      <c r="A42">
        <v>1</v>
      </c>
      <c r="B42">
        <v>2237811213</v>
      </c>
      <c r="C42">
        <v>10</v>
      </c>
      <c r="D42" t="s">
        <v>87</v>
      </c>
      <c r="F42" t="s">
        <v>67</v>
      </c>
      <c r="G42">
        <v>0</v>
      </c>
      <c r="H42">
        <v>100</v>
      </c>
      <c r="K42">
        <v>1</v>
      </c>
      <c r="L42" t="s">
        <v>68</v>
      </c>
      <c r="M42" t="s">
        <v>86</v>
      </c>
      <c r="N42" s="4">
        <v>2958465</v>
      </c>
      <c r="P42">
        <v>0</v>
      </c>
      <c r="U42">
        <v>4</v>
      </c>
      <c r="V42">
        <v>1</v>
      </c>
      <c r="W42" t="s">
        <v>69</v>
      </c>
      <c r="X42">
        <v>0</v>
      </c>
    </row>
    <row r="43" spans="1:24" x14ac:dyDescent="0.25">
      <c r="A43">
        <v>1</v>
      </c>
      <c r="B43">
        <v>2237811213</v>
      </c>
      <c r="C43">
        <v>20</v>
      </c>
      <c r="D43">
        <v>5910941213</v>
      </c>
      <c r="F43" t="s">
        <v>67</v>
      </c>
      <c r="G43">
        <v>0</v>
      </c>
      <c r="H43">
        <v>100</v>
      </c>
      <c r="K43">
        <v>1</v>
      </c>
      <c r="L43" t="s">
        <v>68</v>
      </c>
      <c r="M43" t="s">
        <v>86</v>
      </c>
      <c r="N43" s="4">
        <v>2958465</v>
      </c>
      <c r="P43">
        <v>0</v>
      </c>
      <c r="U43">
        <v>4</v>
      </c>
      <c r="V43">
        <v>1</v>
      </c>
      <c r="W43" t="s">
        <v>69</v>
      </c>
      <c r="X43">
        <v>0</v>
      </c>
    </row>
    <row r="44" spans="1:24" x14ac:dyDescent="0.25">
      <c r="A44">
        <v>1</v>
      </c>
      <c r="B44">
        <v>2237811313</v>
      </c>
      <c r="C44">
        <v>10</v>
      </c>
      <c r="D44" t="s">
        <v>87</v>
      </c>
      <c r="F44" t="s">
        <v>67</v>
      </c>
      <c r="G44">
        <v>0</v>
      </c>
      <c r="H44">
        <v>100</v>
      </c>
      <c r="K44">
        <v>1</v>
      </c>
      <c r="L44" t="s">
        <v>68</v>
      </c>
      <c r="M44" t="s">
        <v>86</v>
      </c>
      <c r="N44" s="4">
        <v>2958465</v>
      </c>
      <c r="P44">
        <v>0</v>
      </c>
      <c r="U44">
        <v>4</v>
      </c>
      <c r="V44">
        <v>1</v>
      </c>
      <c r="W44" t="s">
        <v>69</v>
      </c>
      <c r="X44">
        <v>0</v>
      </c>
    </row>
    <row r="45" spans="1:24" x14ac:dyDescent="0.25">
      <c r="A45">
        <v>1</v>
      </c>
      <c r="B45">
        <v>2237811313</v>
      </c>
      <c r="C45">
        <v>20</v>
      </c>
      <c r="D45">
        <v>5910941313</v>
      </c>
      <c r="F45" t="s">
        <v>67</v>
      </c>
      <c r="G45">
        <v>0</v>
      </c>
      <c r="H45">
        <v>100</v>
      </c>
      <c r="K45">
        <v>1</v>
      </c>
      <c r="L45" t="s">
        <v>68</v>
      </c>
      <c r="M45" t="s">
        <v>86</v>
      </c>
      <c r="N45" s="4">
        <v>2958465</v>
      </c>
      <c r="P45">
        <v>0</v>
      </c>
      <c r="U45">
        <v>4</v>
      </c>
      <c r="V45">
        <v>1</v>
      </c>
      <c r="W45" t="s">
        <v>69</v>
      </c>
      <c r="X45">
        <v>0</v>
      </c>
    </row>
    <row r="46" spans="1:24" x14ac:dyDescent="0.25">
      <c r="A46">
        <v>1</v>
      </c>
      <c r="B46">
        <v>2237811813</v>
      </c>
      <c r="C46">
        <v>10</v>
      </c>
      <c r="D46" t="s">
        <v>87</v>
      </c>
      <c r="F46" t="s">
        <v>67</v>
      </c>
      <c r="G46">
        <v>0</v>
      </c>
      <c r="H46">
        <v>100</v>
      </c>
      <c r="K46">
        <v>1</v>
      </c>
      <c r="L46" t="s">
        <v>68</v>
      </c>
      <c r="M46" t="s">
        <v>86</v>
      </c>
      <c r="N46" s="4">
        <v>2958465</v>
      </c>
      <c r="P46">
        <v>0</v>
      </c>
      <c r="U46">
        <v>4</v>
      </c>
      <c r="V46">
        <v>1</v>
      </c>
      <c r="W46" t="s">
        <v>69</v>
      </c>
      <c r="X46">
        <v>0</v>
      </c>
    </row>
    <row r="47" spans="1:24" x14ac:dyDescent="0.25">
      <c r="A47">
        <v>1</v>
      </c>
      <c r="B47">
        <v>2237811813</v>
      </c>
      <c r="C47">
        <v>20</v>
      </c>
      <c r="D47">
        <v>5910941813</v>
      </c>
      <c r="F47" t="s">
        <v>67</v>
      </c>
      <c r="G47">
        <v>0</v>
      </c>
      <c r="H47">
        <v>100</v>
      </c>
      <c r="K47">
        <v>1</v>
      </c>
      <c r="L47" t="s">
        <v>68</v>
      </c>
      <c r="M47" t="s">
        <v>86</v>
      </c>
      <c r="N47" s="4">
        <v>2958465</v>
      </c>
      <c r="P47">
        <v>0</v>
      </c>
      <c r="U47">
        <v>4</v>
      </c>
      <c r="V47">
        <v>1</v>
      </c>
      <c r="W47" t="s">
        <v>69</v>
      </c>
      <c r="X47">
        <v>0</v>
      </c>
    </row>
    <row r="48" spans="1:24" x14ac:dyDescent="0.25">
      <c r="A48">
        <v>1</v>
      </c>
      <c r="B48">
        <v>2237811013</v>
      </c>
      <c r="C48">
        <v>10</v>
      </c>
      <c r="D48" t="s">
        <v>87</v>
      </c>
      <c r="F48" t="s">
        <v>67</v>
      </c>
      <c r="G48">
        <v>0</v>
      </c>
      <c r="H48">
        <v>100</v>
      </c>
      <c r="K48">
        <v>1</v>
      </c>
      <c r="L48" t="s">
        <v>68</v>
      </c>
      <c r="M48" t="s">
        <v>86</v>
      </c>
      <c r="N48" s="4">
        <v>2958465</v>
      </c>
      <c r="P48">
        <v>0</v>
      </c>
      <c r="U48">
        <v>4</v>
      </c>
      <c r="V48">
        <v>1</v>
      </c>
      <c r="W48" t="s">
        <v>69</v>
      </c>
      <c r="X48">
        <v>0</v>
      </c>
    </row>
    <row r="49" spans="1:24" x14ac:dyDescent="0.25">
      <c r="A49">
        <v>1</v>
      </c>
      <c r="B49">
        <v>2237811013</v>
      </c>
      <c r="C49">
        <v>20</v>
      </c>
      <c r="D49">
        <v>5910941013</v>
      </c>
      <c r="F49" t="s">
        <v>67</v>
      </c>
      <c r="G49">
        <v>0</v>
      </c>
      <c r="H49">
        <v>100</v>
      </c>
      <c r="K49">
        <v>1</v>
      </c>
      <c r="L49" t="s">
        <v>68</v>
      </c>
      <c r="M49" t="s">
        <v>86</v>
      </c>
      <c r="N49" s="4">
        <v>2958465</v>
      </c>
      <c r="P49">
        <v>0</v>
      </c>
      <c r="U49">
        <v>4</v>
      </c>
      <c r="V49">
        <v>1</v>
      </c>
      <c r="W49" t="s">
        <v>69</v>
      </c>
      <c r="X49">
        <v>0</v>
      </c>
    </row>
    <row r="50" spans="1:24" x14ac:dyDescent="0.25">
      <c r="A50">
        <v>1</v>
      </c>
      <c r="B50">
        <v>2237811215</v>
      </c>
      <c r="C50">
        <v>10</v>
      </c>
      <c r="D50" t="s">
        <v>87</v>
      </c>
      <c r="F50" t="s">
        <v>67</v>
      </c>
      <c r="G50">
        <v>0</v>
      </c>
      <c r="H50">
        <v>100</v>
      </c>
      <c r="K50">
        <v>1</v>
      </c>
      <c r="L50" t="s">
        <v>68</v>
      </c>
      <c r="M50" t="s">
        <v>86</v>
      </c>
      <c r="N50" s="4">
        <v>2958465</v>
      </c>
      <c r="P50">
        <v>0</v>
      </c>
      <c r="U50">
        <v>4</v>
      </c>
      <c r="V50">
        <v>1</v>
      </c>
      <c r="W50" t="s">
        <v>69</v>
      </c>
      <c r="X50">
        <v>0</v>
      </c>
    </row>
    <row r="51" spans="1:24" x14ac:dyDescent="0.25">
      <c r="A51">
        <v>1</v>
      </c>
      <c r="B51">
        <v>2237811215</v>
      </c>
      <c r="C51">
        <v>20</v>
      </c>
      <c r="D51">
        <v>5910941215</v>
      </c>
      <c r="F51" t="s">
        <v>67</v>
      </c>
      <c r="G51">
        <v>0</v>
      </c>
      <c r="H51">
        <v>100</v>
      </c>
      <c r="K51">
        <v>1</v>
      </c>
      <c r="L51" t="s">
        <v>68</v>
      </c>
      <c r="M51" t="s">
        <v>86</v>
      </c>
      <c r="N51" s="4">
        <v>2958465</v>
      </c>
      <c r="P51">
        <v>0</v>
      </c>
      <c r="U51">
        <v>4</v>
      </c>
      <c r="V51">
        <v>1</v>
      </c>
      <c r="W51" t="s">
        <v>69</v>
      </c>
      <c r="X51">
        <v>0</v>
      </c>
    </row>
    <row r="52" spans="1:24" x14ac:dyDescent="0.25">
      <c r="A52">
        <v>1</v>
      </c>
      <c r="B52">
        <v>2237811315</v>
      </c>
      <c r="C52">
        <v>10</v>
      </c>
      <c r="D52" t="s">
        <v>87</v>
      </c>
      <c r="F52" t="s">
        <v>67</v>
      </c>
      <c r="G52">
        <v>0</v>
      </c>
      <c r="H52">
        <v>100</v>
      </c>
      <c r="K52">
        <v>1</v>
      </c>
      <c r="L52" t="s">
        <v>68</v>
      </c>
      <c r="M52" t="s">
        <v>86</v>
      </c>
      <c r="N52" s="4">
        <v>2958465</v>
      </c>
      <c r="P52">
        <v>0</v>
      </c>
      <c r="U52">
        <v>4</v>
      </c>
      <c r="V52">
        <v>1</v>
      </c>
      <c r="W52" t="s">
        <v>69</v>
      </c>
      <c r="X52">
        <v>0</v>
      </c>
    </row>
    <row r="53" spans="1:24" x14ac:dyDescent="0.25">
      <c r="A53">
        <v>1</v>
      </c>
      <c r="B53">
        <v>2237811315</v>
      </c>
      <c r="C53">
        <v>20</v>
      </c>
      <c r="D53">
        <v>5910941315</v>
      </c>
      <c r="F53" t="s">
        <v>67</v>
      </c>
      <c r="G53">
        <v>0</v>
      </c>
      <c r="H53">
        <v>100</v>
      </c>
      <c r="K53">
        <v>1</v>
      </c>
      <c r="L53" t="s">
        <v>68</v>
      </c>
      <c r="M53" t="s">
        <v>86</v>
      </c>
      <c r="N53" s="4">
        <v>2958465</v>
      </c>
      <c r="P53">
        <v>0</v>
      </c>
      <c r="U53">
        <v>4</v>
      </c>
      <c r="V53">
        <v>1</v>
      </c>
      <c r="W53" t="s">
        <v>69</v>
      </c>
      <c r="X53">
        <v>0</v>
      </c>
    </row>
    <row r="54" spans="1:24" x14ac:dyDescent="0.25">
      <c r="A54">
        <v>1</v>
      </c>
      <c r="B54">
        <v>2237811815</v>
      </c>
      <c r="C54">
        <v>10</v>
      </c>
      <c r="D54" t="s">
        <v>87</v>
      </c>
      <c r="F54" t="s">
        <v>67</v>
      </c>
      <c r="G54">
        <v>0</v>
      </c>
      <c r="H54">
        <v>100</v>
      </c>
      <c r="K54">
        <v>1</v>
      </c>
      <c r="L54" t="s">
        <v>68</v>
      </c>
      <c r="M54" t="s">
        <v>86</v>
      </c>
      <c r="N54" s="4">
        <v>2958465</v>
      </c>
      <c r="P54">
        <v>0</v>
      </c>
      <c r="U54">
        <v>4</v>
      </c>
      <c r="V54">
        <v>1</v>
      </c>
      <c r="W54" t="s">
        <v>69</v>
      </c>
      <c r="X54">
        <v>0</v>
      </c>
    </row>
    <row r="55" spans="1:24" x14ac:dyDescent="0.25">
      <c r="A55">
        <v>1</v>
      </c>
      <c r="B55">
        <v>2237811815</v>
      </c>
      <c r="C55">
        <v>20</v>
      </c>
      <c r="D55">
        <v>5910941815</v>
      </c>
      <c r="F55" t="s">
        <v>67</v>
      </c>
      <c r="G55">
        <v>0</v>
      </c>
      <c r="H55">
        <v>100</v>
      </c>
      <c r="K55">
        <v>1</v>
      </c>
      <c r="L55" t="s">
        <v>68</v>
      </c>
      <c r="M55" t="s">
        <v>86</v>
      </c>
      <c r="N55" s="4">
        <v>2958465</v>
      </c>
      <c r="P55">
        <v>0</v>
      </c>
      <c r="U55">
        <v>4</v>
      </c>
      <c r="V55">
        <v>1</v>
      </c>
      <c r="W55" t="s">
        <v>69</v>
      </c>
      <c r="X55">
        <v>0</v>
      </c>
    </row>
    <row r="56" spans="1:24" x14ac:dyDescent="0.25">
      <c r="A56">
        <v>1</v>
      </c>
      <c r="B56">
        <v>2237811015</v>
      </c>
      <c r="C56">
        <v>10</v>
      </c>
      <c r="D56" t="s">
        <v>87</v>
      </c>
      <c r="F56" t="s">
        <v>67</v>
      </c>
      <c r="G56">
        <v>0</v>
      </c>
      <c r="H56">
        <v>100</v>
      </c>
      <c r="K56">
        <v>1</v>
      </c>
      <c r="L56" t="s">
        <v>68</v>
      </c>
      <c r="M56" t="s">
        <v>86</v>
      </c>
      <c r="N56" s="4">
        <v>2958465</v>
      </c>
      <c r="P56">
        <v>0</v>
      </c>
      <c r="U56">
        <v>4</v>
      </c>
      <c r="V56">
        <v>1</v>
      </c>
      <c r="W56" t="s">
        <v>69</v>
      </c>
      <c r="X56">
        <v>0</v>
      </c>
    </row>
    <row r="57" spans="1:24" x14ac:dyDescent="0.25">
      <c r="A57">
        <v>1</v>
      </c>
      <c r="B57">
        <v>2237811015</v>
      </c>
      <c r="C57">
        <v>20</v>
      </c>
      <c r="D57">
        <v>5910941015</v>
      </c>
      <c r="F57" t="s">
        <v>67</v>
      </c>
      <c r="G57">
        <v>0</v>
      </c>
      <c r="H57">
        <v>100</v>
      </c>
      <c r="K57">
        <v>1</v>
      </c>
      <c r="L57" t="s">
        <v>68</v>
      </c>
      <c r="M57" t="s">
        <v>86</v>
      </c>
      <c r="N57" s="4">
        <v>2958465</v>
      </c>
      <c r="P57">
        <v>0</v>
      </c>
      <c r="U57">
        <v>4</v>
      </c>
      <c r="V57">
        <v>1</v>
      </c>
      <c r="W57" t="s">
        <v>69</v>
      </c>
      <c r="X57">
        <v>0</v>
      </c>
    </row>
    <row r="58" spans="1:24" x14ac:dyDescent="0.25">
      <c r="A58">
        <v>1</v>
      </c>
      <c r="B58">
        <v>2237811238</v>
      </c>
      <c r="C58">
        <v>10</v>
      </c>
      <c r="D58" t="s">
        <v>87</v>
      </c>
      <c r="F58" t="s">
        <v>67</v>
      </c>
      <c r="G58">
        <v>0</v>
      </c>
      <c r="H58">
        <v>100</v>
      </c>
      <c r="K58">
        <v>1</v>
      </c>
      <c r="L58" t="s">
        <v>68</v>
      </c>
      <c r="M58" t="s">
        <v>86</v>
      </c>
      <c r="N58" s="4">
        <v>2958465</v>
      </c>
      <c r="P58">
        <v>0</v>
      </c>
      <c r="U58">
        <v>4</v>
      </c>
      <c r="V58">
        <v>1</v>
      </c>
      <c r="W58" t="s">
        <v>69</v>
      </c>
      <c r="X58">
        <v>0</v>
      </c>
    </row>
    <row r="59" spans="1:24" x14ac:dyDescent="0.25">
      <c r="A59">
        <v>1</v>
      </c>
      <c r="B59">
        <v>2237811238</v>
      </c>
      <c r="C59">
        <v>20</v>
      </c>
      <c r="D59">
        <v>5910941238</v>
      </c>
      <c r="F59" t="s">
        <v>67</v>
      </c>
      <c r="G59">
        <v>0</v>
      </c>
      <c r="H59">
        <v>100</v>
      </c>
      <c r="K59">
        <v>1</v>
      </c>
      <c r="L59" t="s">
        <v>68</v>
      </c>
      <c r="M59" t="s">
        <v>86</v>
      </c>
      <c r="N59" s="4">
        <v>2958465</v>
      </c>
      <c r="P59">
        <v>0</v>
      </c>
      <c r="U59">
        <v>4</v>
      </c>
      <c r="V59">
        <v>1</v>
      </c>
      <c r="W59" t="s">
        <v>69</v>
      </c>
      <c r="X59">
        <v>0</v>
      </c>
    </row>
    <row r="60" spans="1:24" x14ac:dyDescent="0.25">
      <c r="A60">
        <v>1</v>
      </c>
      <c r="B60">
        <v>2237811338</v>
      </c>
      <c r="C60">
        <v>10</v>
      </c>
      <c r="D60" t="s">
        <v>87</v>
      </c>
      <c r="F60" t="s">
        <v>67</v>
      </c>
      <c r="G60">
        <v>0</v>
      </c>
      <c r="H60">
        <v>100</v>
      </c>
      <c r="K60">
        <v>1</v>
      </c>
      <c r="L60" t="s">
        <v>68</v>
      </c>
      <c r="M60" t="s">
        <v>86</v>
      </c>
      <c r="N60" s="4">
        <v>2958465</v>
      </c>
      <c r="P60">
        <v>0</v>
      </c>
      <c r="U60">
        <v>4</v>
      </c>
      <c r="V60">
        <v>1</v>
      </c>
      <c r="W60" t="s">
        <v>69</v>
      </c>
      <c r="X60">
        <v>0</v>
      </c>
    </row>
    <row r="61" spans="1:24" x14ac:dyDescent="0.25">
      <c r="A61">
        <v>1</v>
      </c>
      <c r="B61">
        <v>2237811338</v>
      </c>
      <c r="C61">
        <v>20</v>
      </c>
      <c r="D61">
        <v>5910941338</v>
      </c>
      <c r="F61" t="s">
        <v>67</v>
      </c>
      <c r="G61">
        <v>0</v>
      </c>
      <c r="H61">
        <v>100</v>
      </c>
      <c r="K61">
        <v>1</v>
      </c>
      <c r="L61" t="s">
        <v>68</v>
      </c>
      <c r="M61" t="s">
        <v>86</v>
      </c>
      <c r="N61" s="4">
        <v>2958465</v>
      </c>
      <c r="P61">
        <v>0</v>
      </c>
      <c r="U61">
        <v>4</v>
      </c>
      <c r="V61">
        <v>1</v>
      </c>
      <c r="W61" t="s">
        <v>69</v>
      </c>
      <c r="X61">
        <v>0</v>
      </c>
    </row>
    <row r="62" spans="1:24" x14ac:dyDescent="0.25">
      <c r="A62">
        <v>1</v>
      </c>
      <c r="B62">
        <v>2237811838</v>
      </c>
      <c r="C62">
        <v>10</v>
      </c>
      <c r="D62" t="s">
        <v>87</v>
      </c>
      <c r="F62" t="s">
        <v>67</v>
      </c>
      <c r="G62">
        <v>0</v>
      </c>
      <c r="H62">
        <v>100</v>
      </c>
      <c r="K62">
        <v>1</v>
      </c>
      <c r="L62" t="s">
        <v>68</v>
      </c>
      <c r="M62" t="s">
        <v>86</v>
      </c>
      <c r="N62" s="4">
        <v>2958465</v>
      </c>
      <c r="P62">
        <v>0</v>
      </c>
      <c r="U62">
        <v>4</v>
      </c>
      <c r="V62">
        <v>1</v>
      </c>
      <c r="W62" t="s">
        <v>69</v>
      </c>
      <c r="X62">
        <v>0</v>
      </c>
    </row>
    <row r="63" spans="1:24" x14ac:dyDescent="0.25">
      <c r="A63">
        <v>1</v>
      </c>
      <c r="B63">
        <v>2237811838</v>
      </c>
      <c r="C63">
        <v>20</v>
      </c>
      <c r="D63">
        <v>5910941838</v>
      </c>
      <c r="F63" t="s">
        <v>67</v>
      </c>
      <c r="G63">
        <v>0</v>
      </c>
      <c r="H63">
        <v>100</v>
      </c>
      <c r="K63">
        <v>1</v>
      </c>
      <c r="L63" t="s">
        <v>68</v>
      </c>
      <c r="M63" t="s">
        <v>86</v>
      </c>
      <c r="N63" s="4">
        <v>2958465</v>
      </c>
      <c r="P63">
        <v>0</v>
      </c>
      <c r="U63">
        <v>4</v>
      </c>
      <c r="V63">
        <v>1</v>
      </c>
      <c r="W63" t="s">
        <v>69</v>
      </c>
      <c r="X63">
        <v>0</v>
      </c>
    </row>
    <row r="64" spans="1:24" x14ac:dyDescent="0.25">
      <c r="A64">
        <v>1</v>
      </c>
      <c r="B64">
        <v>2237811038</v>
      </c>
      <c r="C64">
        <v>10</v>
      </c>
      <c r="D64" t="s">
        <v>87</v>
      </c>
      <c r="F64" t="s">
        <v>67</v>
      </c>
      <c r="G64">
        <v>0</v>
      </c>
      <c r="H64">
        <v>100</v>
      </c>
      <c r="K64">
        <v>1</v>
      </c>
      <c r="L64" t="s">
        <v>68</v>
      </c>
      <c r="M64" t="s">
        <v>86</v>
      </c>
      <c r="N64" s="4">
        <v>2958465</v>
      </c>
      <c r="P64">
        <v>0</v>
      </c>
      <c r="U64">
        <v>4</v>
      </c>
      <c r="V64">
        <v>1</v>
      </c>
      <c r="W64" t="s">
        <v>69</v>
      </c>
      <c r="X64">
        <v>0</v>
      </c>
    </row>
    <row r="65" spans="1:24" x14ac:dyDescent="0.25">
      <c r="A65">
        <v>1</v>
      </c>
      <c r="B65">
        <v>2237811038</v>
      </c>
      <c r="C65">
        <v>20</v>
      </c>
      <c r="D65">
        <v>5910941038</v>
      </c>
      <c r="F65" t="s">
        <v>67</v>
      </c>
      <c r="G65">
        <v>0</v>
      </c>
      <c r="H65">
        <v>100</v>
      </c>
      <c r="K65">
        <v>1</v>
      </c>
      <c r="L65" t="s">
        <v>68</v>
      </c>
      <c r="M65" t="s">
        <v>86</v>
      </c>
      <c r="N65" s="4">
        <v>2958465</v>
      </c>
      <c r="P65">
        <v>0</v>
      </c>
      <c r="U65">
        <v>4</v>
      </c>
      <c r="V65">
        <v>1</v>
      </c>
      <c r="W65" t="s">
        <v>69</v>
      </c>
      <c r="X65">
        <v>0</v>
      </c>
    </row>
    <row r="66" spans="1:24" x14ac:dyDescent="0.25">
      <c r="A66">
        <v>1</v>
      </c>
      <c r="B66">
        <v>2237811244</v>
      </c>
      <c r="C66">
        <v>10</v>
      </c>
      <c r="D66" t="s">
        <v>87</v>
      </c>
      <c r="F66" t="s">
        <v>67</v>
      </c>
      <c r="G66">
        <v>0</v>
      </c>
      <c r="H66">
        <v>100</v>
      </c>
      <c r="K66">
        <v>1</v>
      </c>
      <c r="L66" t="s">
        <v>68</v>
      </c>
      <c r="M66" t="s">
        <v>86</v>
      </c>
      <c r="N66" s="4">
        <v>2958465</v>
      </c>
      <c r="P66">
        <v>0</v>
      </c>
      <c r="U66">
        <v>4</v>
      </c>
      <c r="V66">
        <v>1</v>
      </c>
      <c r="W66" t="s">
        <v>69</v>
      </c>
      <c r="X66">
        <v>0</v>
      </c>
    </row>
    <row r="67" spans="1:24" x14ac:dyDescent="0.25">
      <c r="A67">
        <v>1</v>
      </c>
      <c r="B67">
        <v>2237811244</v>
      </c>
      <c r="C67">
        <v>20</v>
      </c>
      <c r="D67">
        <v>5910941244</v>
      </c>
      <c r="F67" t="s">
        <v>67</v>
      </c>
      <c r="G67">
        <v>0</v>
      </c>
      <c r="H67">
        <v>100</v>
      </c>
      <c r="K67">
        <v>1</v>
      </c>
      <c r="L67" t="s">
        <v>68</v>
      </c>
      <c r="M67" t="s">
        <v>86</v>
      </c>
      <c r="N67" s="4">
        <v>2958465</v>
      </c>
      <c r="P67">
        <v>0</v>
      </c>
      <c r="U67">
        <v>4</v>
      </c>
      <c r="V67">
        <v>1</v>
      </c>
      <c r="W67" t="s">
        <v>69</v>
      </c>
      <c r="X67">
        <v>0</v>
      </c>
    </row>
    <row r="68" spans="1:24" x14ac:dyDescent="0.25">
      <c r="A68">
        <v>1</v>
      </c>
      <c r="B68">
        <v>2237811844</v>
      </c>
      <c r="C68">
        <v>10</v>
      </c>
      <c r="D68" t="s">
        <v>87</v>
      </c>
      <c r="F68" t="s">
        <v>67</v>
      </c>
      <c r="G68">
        <v>0</v>
      </c>
      <c r="H68">
        <v>100</v>
      </c>
      <c r="K68">
        <v>1</v>
      </c>
      <c r="L68" t="s">
        <v>68</v>
      </c>
      <c r="M68" t="s">
        <v>86</v>
      </c>
      <c r="N68" s="4">
        <v>2958465</v>
      </c>
      <c r="P68">
        <v>0</v>
      </c>
      <c r="U68">
        <v>4</v>
      </c>
      <c r="V68">
        <v>1</v>
      </c>
      <c r="W68" t="s">
        <v>69</v>
      </c>
      <c r="X68">
        <v>0</v>
      </c>
    </row>
    <row r="69" spans="1:24" x14ac:dyDescent="0.25">
      <c r="A69">
        <v>1</v>
      </c>
      <c r="B69">
        <v>2237811844</v>
      </c>
      <c r="C69">
        <v>20</v>
      </c>
      <c r="D69">
        <v>5910941844</v>
      </c>
      <c r="F69" t="s">
        <v>67</v>
      </c>
      <c r="G69">
        <v>0</v>
      </c>
      <c r="H69">
        <v>100</v>
      </c>
      <c r="K69">
        <v>1</v>
      </c>
      <c r="L69" t="s">
        <v>68</v>
      </c>
      <c r="M69" t="s">
        <v>86</v>
      </c>
      <c r="N69" s="4">
        <v>2958465</v>
      </c>
      <c r="P69">
        <v>0</v>
      </c>
      <c r="U69">
        <v>4</v>
      </c>
      <c r="V69">
        <v>1</v>
      </c>
      <c r="W69" t="s">
        <v>69</v>
      </c>
      <c r="X69">
        <v>0</v>
      </c>
    </row>
    <row r="70" spans="1:24" x14ac:dyDescent="0.25">
      <c r="A70">
        <v>1</v>
      </c>
      <c r="B70">
        <v>2237811044</v>
      </c>
      <c r="C70">
        <v>10</v>
      </c>
      <c r="D70" t="s">
        <v>87</v>
      </c>
      <c r="F70" t="s">
        <v>67</v>
      </c>
      <c r="G70">
        <v>0</v>
      </c>
      <c r="H70">
        <v>100</v>
      </c>
      <c r="K70">
        <v>1</v>
      </c>
      <c r="L70" t="s">
        <v>68</v>
      </c>
      <c r="M70" t="s">
        <v>86</v>
      </c>
      <c r="N70" s="4">
        <v>2958465</v>
      </c>
      <c r="P70">
        <v>0</v>
      </c>
      <c r="U70">
        <v>4</v>
      </c>
      <c r="V70">
        <v>1</v>
      </c>
      <c r="W70" t="s">
        <v>69</v>
      </c>
      <c r="X70">
        <v>0</v>
      </c>
    </row>
    <row r="71" spans="1:24" x14ac:dyDescent="0.25">
      <c r="A71">
        <v>1</v>
      </c>
      <c r="B71">
        <v>2237811044</v>
      </c>
      <c r="C71">
        <v>20</v>
      </c>
      <c r="D71">
        <v>5910941044</v>
      </c>
      <c r="F71" t="s">
        <v>67</v>
      </c>
      <c r="G71">
        <v>0</v>
      </c>
      <c r="H71">
        <v>100</v>
      </c>
      <c r="K71">
        <v>1</v>
      </c>
      <c r="L71" t="s">
        <v>68</v>
      </c>
      <c r="M71" t="s">
        <v>86</v>
      </c>
      <c r="N71" s="4">
        <v>2958465</v>
      </c>
      <c r="P71">
        <v>0</v>
      </c>
      <c r="U71">
        <v>4</v>
      </c>
      <c r="V71">
        <v>1</v>
      </c>
      <c r="W71" t="s">
        <v>69</v>
      </c>
      <c r="X71">
        <v>0</v>
      </c>
    </row>
    <row r="72" spans="1:24" x14ac:dyDescent="0.25">
      <c r="A72">
        <v>1</v>
      </c>
      <c r="B72">
        <v>2237811208</v>
      </c>
      <c r="C72">
        <v>10</v>
      </c>
      <c r="D72" t="s">
        <v>87</v>
      </c>
      <c r="F72" t="s">
        <v>67</v>
      </c>
      <c r="G72">
        <v>0</v>
      </c>
      <c r="H72">
        <v>100</v>
      </c>
      <c r="K72">
        <v>1</v>
      </c>
      <c r="L72" t="s">
        <v>68</v>
      </c>
      <c r="M72" t="s">
        <v>86</v>
      </c>
      <c r="N72" s="4">
        <v>2958465</v>
      </c>
      <c r="P72">
        <v>0</v>
      </c>
      <c r="U72">
        <v>4</v>
      </c>
      <c r="V72">
        <v>1</v>
      </c>
      <c r="W72" t="s">
        <v>69</v>
      </c>
      <c r="X72">
        <v>0</v>
      </c>
    </row>
    <row r="73" spans="1:24" x14ac:dyDescent="0.25">
      <c r="A73">
        <v>1</v>
      </c>
      <c r="B73">
        <v>2237811208</v>
      </c>
      <c r="C73">
        <v>20</v>
      </c>
      <c r="D73">
        <v>5910941208</v>
      </c>
      <c r="F73" t="s">
        <v>67</v>
      </c>
      <c r="G73">
        <v>0</v>
      </c>
      <c r="H73">
        <v>100</v>
      </c>
      <c r="K73">
        <v>1</v>
      </c>
      <c r="L73" t="s">
        <v>68</v>
      </c>
      <c r="M73" t="s">
        <v>86</v>
      </c>
      <c r="N73" s="4">
        <v>2958465</v>
      </c>
      <c r="P73">
        <v>0</v>
      </c>
      <c r="U73">
        <v>4</v>
      </c>
      <c r="V73">
        <v>1</v>
      </c>
      <c r="W73" t="s">
        <v>69</v>
      </c>
      <c r="X73">
        <v>0</v>
      </c>
    </row>
    <row r="74" spans="1:24" x14ac:dyDescent="0.25">
      <c r="A74">
        <v>1</v>
      </c>
      <c r="B74">
        <v>2237811808</v>
      </c>
      <c r="C74">
        <v>10</v>
      </c>
      <c r="D74" t="s">
        <v>87</v>
      </c>
      <c r="F74" t="s">
        <v>67</v>
      </c>
      <c r="G74">
        <v>0</v>
      </c>
      <c r="H74">
        <v>100</v>
      </c>
      <c r="K74">
        <v>1</v>
      </c>
      <c r="L74" t="s">
        <v>68</v>
      </c>
      <c r="M74" t="s">
        <v>86</v>
      </c>
      <c r="N74" s="4">
        <v>2958465</v>
      </c>
      <c r="P74">
        <v>0</v>
      </c>
      <c r="U74">
        <v>4</v>
      </c>
      <c r="V74">
        <v>1</v>
      </c>
      <c r="W74" t="s">
        <v>69</v>
      </c>
      <c r="X74">
        <v>0</v>
      </c>
    </row>
    <row r="75" spans="1:24" x14ac:dyDescent="0.25">
      <c r="A75">
        <v>1</v>
      </c>
      <c r="B75">
        <v>2237811808</v>
      </c>
      <c r="C75">
        <v>20</v>
      </c>
      <c r="D75">
        <v>5910941808</v>
      </c>
      <c r="F75" t="s">
        <v>67</v>
      </c>
      <c r="G75">
        <v>0</v>
      </c>
      <c r="H75">
        <v>100</v>
      </c>
      <c r="K75">
        <v>1</v>
      </c>
      <c r="L75" t="s">
        <v>68</v>
      </c>
      <c r="M75" t="s">
        <v>86</v>
      </c>
      <c r="N75" s="4">
        <v>2958465</v>
      </c>
      <c r="P75">
        <v>0</v>
      </c>
      <c r="U75">
        <v>4</v>
      </c>
      <c r="V75">
        <v>1</v>
      </c>
      <c r="W75" t="s">
        <v>69</v>
      </c>
      <c r="X75">
        <v>0</v>
      </c>
    </row>
    <row r="76" spans="1:24" x14ac:dyDescent="0.25">
      <c r="A76">
        <v>1</v>
      </c>
      <c r="B76">
        <v>2237811008</v>
      </c>
      <c r="C76">
        <v>10</v>
      </c>
      <c r="D76" t="s">
        <v>87</v>
      </c>
      <c r="F76" t="s">
        <v>67</v>
      </c>
      <c r="G76">
        <v>0</v>
      </c>
      <c r="H76">
        <v>100</v>
      </c>
      <c r="K76">
        <v>1</v>
      </c>
      <c r="L76" t="s">
        <v>68</v>
      </c>
      <c r="M76" t="s">
        <v>86</v>
      </c>
      <c r="N76" s="4">
        <v>2958465</v>
      </c>
      <c r="P76">
        <v>0</v>
      </c>
      <c r="U76">
        <v>4</v>
      </c>
      <c r="V76">
        <v>1</v>
      </c>
      <c r="W76" t="s">
        <v>69</v>
      </c>
      <c r="X76">
        <v>0</v>
      </c>
    </row>
    <row r="77" spans="1:24" x14ac:dyDescent="0.25">
      <c r="A77">
        <v>1</v>
      </c>
      <c r="B77">
        <v>2237811008</v>
      </c>
      <c r="C77">
        <v>20</v>
      </c>
      <c r="D77">
        <v>5910941008</v>
      </c>
      <c r="F77" t="s">
        <v>67</v>
      </c>
      <c r="G77">
        <v>0</v>
      </c>
      <c r="H77">
        <v>100</v>
      </c>
      <c r="K77">
        <v>1</v>
      </c>
      <c r="L77" t="s">
        <v>68</v>
      </c>
      <c r="M77" t="s">
        <v>86</v>
      </c>
      <c r="N77" s="4">
        <v>2958465</v>
      </c>
      <c r="P77">
        <v>0</v>
      </c>
      <c r="U77">
        <v>4</v>
      </c>
      <c r="V77">
        <v>1</v>
      </c>
      <c r="W77" t="s">
        <v>69</v>
      </c>
      <c r="X77">
        <v>0</v>
      </c>
    </row>
    <row r="78" spans="1:24" x14ac:dyDescent="0.25">
      <c r="A78">
        <v>1</v>
      </c>
      <c r="B78">
        <v>2237811210</v>
      </c>
      <c r="C78">
        <v>10</v>
      </c>
      <c r="D78" t="s">
        <v>87</v>
      </c>
      <c r="F78" t="s">
        <v>67</v>
      </c>
      <c r="G78">
        <v>0</v>
      </c>
      <c r="H78">
        <v>100</v>
      </c>
      <c r="K78">
        <v>1</v>
      </c>
      <c r="L78" t="s">
        <v>68</v>
      </c>
      <c r="M78" t="s">
        <v>86</v>
      </c>
      <c r="N78" s="4">
        <v>2958465</v>
      </c>
      <c r="P78">
        <v>0</v>
      </c>
      <c r="U78">
        <v>4</v>
      </c>
      <c r="V78">
        <v>1</v>
      </c>
      <c r="W78" t="s">
        <v>69</v>
      </c>
      <c r="X78">
        <v>0</v>
      </c>
    </row>
    <row r="79" spans="1:24" x14ac:dyDescent="0.25">
      <c r="A79">
        <v>1</v>
      </c>
      <c r="B79">
        <v>2237811210</v>
      </c>
      <c r="C79">
        <v>20</v>
      </c>
      <c r="D79">
        <v>5910941210</v>
      </c>
      <c r="F79" t="s">
        <v>67</v>
      </c>
      <c r="G79">
        <v>0</v>
      </c>
      <c r="H79">
        <v>100</v>
      </c>
      <c r="K79">
        <v>1</v>
      </c>
      <c r="L79" t="s">
        <v>68</v>
      </c>
      <c r="M79" t="s">
        <v>86</v>
      </c>
      <c r="N79" s="4">
        <v>2958465</v>
      </c>
      <c r="P79">
        <v>0</v>
      </c>
      <c r="U79">
        <v>4</v>
      </c>
      <c r="V79">
        <v>1</v>
      </c>
      <c r="W79" t="s">
        <v>69</v>
      </c>
      <c r="X79">
        <v>0</v>
      </c>
    </row>
    <row r="80" spans="1:24" x14ac:dyDescent="0.25">
      <c r="A80">
        <v>1</v>
      </c>
      <c r="B80">
        <v>2237811310</v>
      </c>
      <c r="C80">
        <v>10</v>
      </c>
      <c r="D80" t="s">
        <v>87</v>
      </c>
      <c r="F80" t="s">
        <v>67</v>
      </c>
      <c r="G80">
        <v>0</v>
      </c>
      <c r="H80">
        <v>100</v>
      </c>
      <c r="K80">
        <v>1</v>
      </c>
      <c r="L80" t="s">
        <v>68</v>
      </c>
      <c r="M80" t="s">
        <v>86</v>
      </c>
      <c r="N80" s="4">
        <v>2958465</v>
      </c>
      <c r="P80">
        <v>0</v>
      </c>
      <c r="U80">
        <v>4</v>
      </c>
      <c r="V80">
        <v>1</v>
      </c>
      <c r="W80" t="s">
        <v>69</v>
      </c>
      <c r="X80">
        <v>0</v>
      </c>
    </row>
    <row r="81" spans="1:24" x14ac:dyDescent="0.25">
      <c r="A81">
        <v>1</v>
      </c>
      <c r="B81">
        <v>2237811310</v>
      </c>
      <c r="C81">
        <v>20</v>
      </c>
      <c r="D81">
        <v>5910941310</v>
      </c>
      <c r="F81" t="s">
        <v>67</v>
      </c>
      <c r="G81">
        <v>0</v>
      </c>
      <c r="H81">
        <v>100</v>
      </c>
      <c r="K81">
        <v>1</v>
      </c>
      <c r="L81" t="s">
        <v>68</v>
      </c>
      <c r="M81" t="s">
        <v>86</v>
      </c>
      <c r="N81" s="4">
        <v>2958465</v>
      </c>
      <c r="P81">
        <v>0</v>
      </c>
      <c r="U81">
        <v>4</v>
      </c>
      <c r="V81">
        <v>1</v>
      </c>
      <c r="W81" t="s">
        <v>69</v>
      </c>
      <c r="X81">
        <v>0</v>
      </c>
    </row>
    <row r="82" spans="1:24" x14ac:dyDescent="0.25">
      <c r="A82">
        <v>1</v>
      </c>
      <c r="B82">
        <v>2237811810</v>
      </c>
      <c r="C82">
        <v>10</v>
      </c>
      <c r="D82" t="s">
        <v>87</v>
      </c>
      <c r="F82" t="s">
        <v>67</v>
      </c>
      <c r="G82">
        <v>0</v>
      </c>
      <c r="H82">
        <v>100</v>
      </c>
      <c r="K82">
        <v>1</v>
      </c>
      <c r="L82" t="s">
        <v>68</v>
      </c>
      <c r="M82" t="s">
        <v>86</v>
      </c>
      <c r="N82" s="4">
        <v>2958465</v>
      </c>
      <c r="P82">
        <v>0</v>
      </c>
      <c r="U82">
        <v>4</v>
      </c>
      <c r="V82">
        <v>1</v>
      </c>
      <c r="W82" t="s">
        <v>69</v>
      </c>
      <c r="X82">
        <v>0</v>
      </c>
    </row>
    <row r="83" spans="1:24" x14ac:dyDescent="0.25">
      <c r="A83">
        <v>1</v>
      </c>
      <c r="B83">
        <v>2237811810</v>
      </c>
      <c r="C83">
        <v>20</v>
      </c>
      <c r="D83">
        <v>5910941810</v>
      </c>
      <c r="F83" t="s">
        <v>67</v>
      </c>
      <c r="G83">
        <v>0</v>
      </c>
      <c r="H83">
        <v>100</v>
      </c>
      <c r="K83">
        <v>1</v>
      </c>
      <c r="L83" t="s">
        <v>68</v>
      </c>
      <c r="M83" t="s">
        <v>86</v>
      </c>
      <c r="N83" s="4">
        <v>2958465</v>
      </c>
      <c r="P83">
        <v>0</v>
      </c>
      <c r="U83">
        <v>4</v>
      </c>
      <c r="V83">
        <v>1</v>
      </c>
      <c r="W83" t="s">
        <v>69</v>
      </c>
      <c r="X83">
        <v>0</v>
      </c>
    </row>
    <row r="84" spans="1:24" x14ac:dyDescent="0.25">
      <c r="A84">
        <v>1</v>
      </c>
      <c r="B84">
        <v>2237811010</v>
      </c>
      <c r="C84">
        <v>10</v>
      </c>
      <c r="D84" t="s">
        <v>87</v>
      </c>
      <c r="F84" t="s">
        <v>67</v>
      </c>
      <c r="G84">
        <v>0</v>
      </c>
      <c r="H84">
        <v>100</v>
      </c>
      <c r="K84">
        <v>1</v>
      </c>
      <c r="L84" t="s">
        <v>68</v>
      </c>
      <c r="M84" t="s">
        <v>86</v>
      </c>
      <c r="N84" s="4">
        <v>2958465</v>
      </c>
      <c r="P84">
        <v>0</v>
      </c>
      <c r="U84">
        <v>4</v>
      </c>
      <c r="V84">
        <v>1</v>
      </c>
      <c r="W84" t="s">
        <v>69</v>
      </c>
      <c r="X84">
        <v>0</v>
      </c>
    </row>
    <row r="85" spans="1:24" x14ac:dyDescent="0.25">
      <c r="A85">
        <v>1</v>
      </c>
      <c r="B85">
        <v>2237811010</v>
      </c>
      <c r="C85">
        <v>20</v>
      </c>
      <c r="D85">
        <v>5910941010</v>
      </c>
      <c r="F85" t="s">
        <v>67</v>
      </c>
      <c r="G85">
        <v>0</v>
      </c>
      <c r="H85">
        <v>100</v>
      </c>
      <c r="K85">
        <v>1</v>
      </c>
      <c r="L85" t="s">
        <v>68</v>
      </c>
      <c r="M85" t="s">
        <v>86</v>
      </c>
      <c r="N85" s="4">
        <v>2958465</v>
      </c>
      <c r="P85">
        <v>0</v>
      </c>
      <c r="U85">
        <v>4</v>
      </c>
      <c r="V85">
        <v>1</v>
      </c>
      <c r="W85" t="s">
        <v>69</v>
      </c>
      <c r="X85">
        <v>0</v>
      </c>
    </row>
    <row r="86" spans="1:24" x14ac:dyDescent="0.25">
      <c r="A86">
        <v>1</v>
      </c>
      <c r="B86">
        <v>2237811221</v>
      </c>
      <c r="C86">
        <v>10</v>
      </c>
      <c r="D86" t="s">
        <v>87</v>
      </c>
      <c r="F86" t="s">
        <v>67</v>
      </c>
      <c r="G86">
        <v>0</v>
      </c>
      <c r="H86">
        <v>100</v>
      </c>
      <c r="K86">
        <v>1</v>
      </c>
      <c r="L86" t="s">
        <v>68</v>
      </c>
      <c r="M86" t="s">
        <v>86</v>
      </c>
      <c r="N86" s="4">
        <v>2958465</v>
      </c>
      <c r="P86">
        <v>0</v>
      </c>
      <c r="U86">
        <v>4</v>
      </c>
      <c r="V86">
        <v>1</v>
      </c>
      <c r="W86" t="s">
        <v>69</v>
      </c>
      <c r="X86">
        <v>0</v>
      </c>
    </row>
    <row r="87" spans="1:24" x14ac:dyDescent="0.25">
      <c r="A87">
        <v>1</v>
      </c>
      <c r="B87">
        <v>2237811221</v>
      </c>
      <c r="C87">
        <v>20</v>
      </c>
      <c r="D87">
        <v>5910941221</v>
      </c>
      <c r="F87" t="s">
        <v>67</v>
      </c>
      <c r="G87">
        <v>0</v>
      </c>
      <c r="H87">
        <v>100</v>
      </c>
      <c r="K87">
        <v>1</v>
      </c>
      <c r="L87" t="s">
        <v>68</v>
      </c>
      <c r="M87" t="s">
        <v>86</v>
      </c>
      <c r="N87" s="4">
        <v>2958465</v>
      </c>
      <c r="P87">
        <v>0</v>
      </c>
      <c r="U87">
        <v>4</v>
      </c>
      <c r="V87">
        <v>1</v>
      </c>
      <c r="W87" t="s">
        <v>69</v>
      </c>
      <c r="X87">
        <v>0</v>
      </c>
    </row>
    <row r="88" spans="1:24" x14ac:dyDescent="0.25">
      <c r="A88">
        <v>1</v>
      </c>
      <c r="B88">
        <v>2237811321</v>
      </c>
      <c r="C88">
        <v>10</v>
      </c>
      <c r="D88" t="s">
        <v>87</v>
      </c>
      <c r="F88" t="s">
        <v>67</v>
      </c>
      <c r="G88">
        <v>0</v>
      </c>
      <c r="H88">
        <v>100</v>
      </c>
      <c r="K88">
        <v>1</v>
      </c>
      <c r="L88" t="s">
        <v>68</v>
      </c>
      <c r="M88" t="s">
        <v>86</v>
      </c>
      <c r="N88" s="4">
        <v>2958465</v>
      </c>
      <c r="P88">
        <v>0</v>
      </c>
      <c r="U88">
        <v>4</v>
      </c>
      <c r="V88">
        <v>1</v>
      </c>
      <c r="W88" t="s">
        <v>69</v>
      </c>
      <c r="X88">
        <v>0</v>
      </c>
    </row>
    <row r="89" spans="1:24" x14ac:dyDescent="0.25">
      <c r="A89">
        <v>1</v>
      </c>
      <c r="B89">
        <v>2237811321</v>
      </c>
      <c r="C89">
        <v>20</v>
      </c>
      <c r="D89">
        <v>5910941321</v>
      </c>
      <c r="F89" t="s">
        <v>67</v>
      </c>
      <c r="G89">
        <v>0</v>
      </c>
      <c r="H89">
        <v>100</v>
      </c>
      <c r="K89">
        <v>1</v>
      </c>
      <c r="L89" t="s">
        <v>68</v>
      </c>
      <c r="M89" t="s">
        <v>86</v>
      </c>
      <c r="N89" s="4">
        <v>2958465</v>
      </c>
      <c r="P89">
        <v>0</v>
      </c>
      <c r="U89">
        <v>4</v>
      </c>
      <c r="V89">
        <v>1</v>
      </c>
      <c r="W89" t="s">
        <v>69</v>
      </c>
      <c r="X89">
        <v>0</v>
      </c>
    </row>
    <row r="90" spans="1:24" x14ac:dyDescent="0.25">
      <c r="A90">
        <v>1</v>
      </c>
      <c r="B90">
        <v>2237811821</v>
      </c>
      <c r="C90">
        <v>10</v>
      </c>
      <c r="D90" t="s">
        <v>87</v>
      </c>
      <c r="F90" t="s">
        <v>67</v>
      </c>
      <c r="G90">
        <v>0</v>
      </c>
      <c r="H90">
        <v>100</v>
      </c>
      <c r="K90">
        <v>1</v>
      </c>
      <c r="L90" t="s">
        <v>68</v>
      </c>
      <c r="M90" t="s">
        <v>86</v>
      </c>
      <c r="N90" s="4">
        <v>2958465</v>
      </c>
      <c r="P90">
        <v>0</v>
      </c>
      <c r="U90">
        <v>4</v>
      </c>
      <c r="V90">
        <v>1</v>
      </c>
      <c r="W90" t="s">
        <v>69</v>
      </c>
      <c r="X90">
        <v>0</v>
      </c>
    </row>
    <row r="91" spans="1:24" x14ac:dyDescent="0.25">
      <c r="A91">
        <v>1</v>
      </c>
      <c r="B91">
        <v>2237811821</v>
      </c>
      <c r="C91">
        <v>20</v>
      </c>
      <c r="D91">
        <v>5910941821</v>
      </c>
      <c r="F91" t="s">
        <v>67</v>
      </c>
      <c r="G91">
        <v>0</v>
      </c>
      <c r="H91">
        <v>100</v>
      </c>
      <c r="K91">
        <v>1</v>
      </c>
      <c r="L91" t="s">
        <v>68</v>
      </c>
      <c r="M91" t="s">
        <v>86</v>
      </c>
      <c r="N91" s="4">
        <v>2958465</v>
      </c>
      <c r="P91">
        <v>0</v>
      </c>
      <c r="U91">
        <v>4</v>
      </c>
      <c r="V91">
        <v>1</v>
      </c>
      <c r="W91" t="s">
        <v>69</v>
      </c>
      <c r="X91">
        <v>0</v>
      </c>
    </row>
    <row r="92" spans="1:24" x14ac:dyDescent="0.25">
      <c r="A92">
        <v>1</v>
      </c>
      <c r="B92">
        <v>2237811021</v>
      </c>
      <c r="C92">
        <v>10</v>
      </c>
      <c r="D92" t="s">
        <v>87</v>
      </c>
      <c r="F92" t="s">
        <v>67</v>
      </c>
      <c r="G92">
        <v>0</v>
      </c>
      <c r="H92">
        <v>100</v>
      </c>
      <c r="K92">
        <v>1</v>
      </c>
      <c r="L92" t="s">
        <v>68</v>
      </c>
      <c r="M92" t="s">
        <v>86</v>
      </c>
      <c r="N92" s="4">
        <v>2958465</v>
      </c>
      <c r="P92">
        <v>0</v>
      </c>
      <c r="U92">
        <v>4</v>
      </c>
      <c r="V92">
        <v>1</v>
      </c>
      <c r="W92" t="s">
        <v>69</v>
      </c>
      <c r="X92">
        <v>0</v>
      </c>
    </row>
    <row r="93" spans="1:24" x14ac:dyDescent="0.25">
      <c r="A93">
        <v>1</v>
      </c>
      <c r="B93">
        <v>2237811021</v>
      </c>
      <c r="C93">
        <v>20</v>
      </c>
      <c r="D93">
        <v>5910941021</v>
      </c>
      <c r="F93" t="s">
        <v>67</v>
      </c>
      <c r="G93">
        <v>0</v>
      </c>
      <c r="H93">
        <v>100</v>
      </c>
      <c r="K93">
        <v>1</v>
      </c>
      <c r="L93" t="s">
        <v>68</v>
      </c>
      <c r="M93" t="s">
        <v>86</v>
      </c>
      <c r="N93" s="4">
        <v>2958465</v>
      </c>
      <c r="P93">
        <v>0</v>
      </c>
      <c r="U93">
        <v>4</v>
      </c>
      <c r="V93">
        <v>1</v>
      </c>
      <c r="W93" t="s">
        <v>69</v>
      </c>
      <c r="X93">
        <v>0</v>
      </c>
    </row>
    <row r="94" spans="1:24" x14ac:dyDescent="0.25">
      <c r="A94">
        <v>1</v>
      </c>
      <c r="B94">
        <v>2237811212</v>
      </c>
      <c r="C94">
        <v>10</v>
      </c>
      <c r="D94" t="s">
        <v>87</v>
      </c>
      <c r="F94" t="s">
        <v>67</v>
      </c>
      <c r="G94">
        <v>0</v>
      </c>
      <c r="H94">
        <v>100</v>
      </c>
      <c r="K94">
        <v>1</v>
      </c>
      <c r="L94" t="s">
        <v>68</v>
      </c>
      <c r="M94" t="s">
        <v>86</v>
      </c>
      <c r="N94" s="4">
        <v>2958465</v>
      </c>
      <c r="P94">
        <v>0</v>
      </c>
      <c r="U94">
        <v>4</v>
      </c>
      <c r="V94">
        <v>1</v>
      </c>
      <c r="W94" t="s">
        <v>69</v>
      </c>
      <c r="X94">
        <v>0</v>
      </c>
    </row>
    <row r="95" spans="1:24" x14ac:dyDescent="0.25">
      <c r="A95">
        <v>1</v>
      </c>
      <c r="B95">
        <v>2237811212</v>
      </c>
      <c r="C95">
        <v>20</v>
      </c>
      <c r="D95">
        <v>5910941212</v>
      </c>
      <c r="F95" t="s">
        <v>67</v>
      </c>
      <c r="G95">
        <v>0</v>
      </c>
      <c r="H95">
        <v>100</v>
      </c>
      <c r="K95">
        <v>1</v>
      </c>
      <c r="L95" t="s">
        <v>68</v>
      </c>
      <c r="M95" t="s">
        <v>86</v>
      </c>
      <c r="N95" s="4">
        <v>2958465</v>
      </c>
      <c r="P95">
        <v>0</v>
      </c>
      <c r="U95">
        <v>4</v>
      </c>
      <c r="V95">
        <v>1</v>
      </c>
      <c r="W95" t="s">
        <v>69</v>
      </c>
      <c r="X95">
        <v>0</v>
      </c>
    </row>
    <row r="96" spans="1:24" x14ac:dyDescent="0.25">
      <c r="A96">
        <v>1</v>
      </c>
      <c r="B96">
        <v>2237811312</v>
      </c>
      <c r="C96">
        <v>10</v>
      </c>
      <c r="D96" t="s">
        <v>87</v>
      </c>
      <c r="F96" t="s">
        <v>67</v>
      </c>
      <c r="G96">
        <v>0</v>
      </c>
      <c r="H96">
        <v>100</v>
      </c>
      <c r="K96">
        <v>1</v>
      </c>
      <c r="L96" t="s">
        <v>68</v>
      </c>
      <c r="M96" t="s">
        <v>86</v>
      </c>
      <c r="N96" s="4">
        <v>2958465</v>
      </c>
      <c r="P96">
        <v>0</v>
      </c>
      <c r="U96">
        <v>4</v>
      </c>
      <c r="V96">
        <v>1</v>
      </c>
      <c r="W96" t="s">
        <v>69</v>
      </c>
      <c r="X96">
        <v>0</v>
      </c>
    </row>
    <row r="97" spans="1:24" x14ac:dyDescent="0.25">
      <c r="A97">
        <v>1</v>
      </c>
      <c r="B97">
        <v>2237811312</v>
      </c>
      <c r="C97">
        <v>20</v>
      </c>
      <c r="D97">
        <v>5910941312</v>
      </c>
      <c r="F97" t="s">
        <v>67</v>
      </c>
      <c r="G97">
        <v>0</v>
      </c>
      <c r="H97">
        <v>100</v>
      </c>
      <c r="K97">
        <v>1</v>
      </c>
      <c r="L97" t="s">
        <v>68</v>
      </c>
      <c r="M97" t="s">
        <v>86</v>
      </c>
      <c r="N97" s="4">
        <v>2958465</v>
      </c>
      <c r="P97">
        <v>0</v>
      </c>
      <c r="U97">
        <v>4</v>
      </c>
      <c r="V97">
        <v>1</v>
      </c>
      <c r="W97" t="s">
        <v>69</v>
      </c>
      <c r="X97">
        <v>0</v>
      </c>
    </row>
    <row r="98" spans="1:24" x14ac:dyDescent="0.25">
      <c r="A98">
        <v>1</v>
      </c>
      <c r="B98">
        <v>2237811812</v>
      </c>
      <c r="C98">
        <v>10</v>
      </c>
      <c r="D98" t="s">
        <v>87</v>
      </c>
      <c r="F98" t="s">
        <v>67</v>
      </c>
      <c r="G98">
        <v>0</v>
      </c>
      <c r="H98">
        <v>100</v>
      </c>
      <c r="K98">
        <v>1</v>
      </c>
      <c r="L98" t="s">
        <v>68</v>
      </c>
      <c r="M98" t="s">
        <v>86</v>
      </c>
      <c r="N98" s="4">
        <v>2958465</v>
      </c>
      <c r="P98">
        <v>0</v>
      </c>
      <c r="U98">
        <v>4</v>
      </c>
      <c r="V98">
        <v>1</v>
      </c>
      <c r="W98" t="s">
        <v>69</v>
      </c>
      <c r="X98">
        <v>0</v>
      </c>
    </row>
    <row r="99" spans="1:24" x14ac:dyDescent="0.25">
      <c r="A99">
        <v>1</v>
      </c>
      <c r="B99">
        <v>2237811812</v>
      </c>
      <c r="C99">
        <v>20</v>
      </c>
      <c r="D99">
        <v>5910941812</v>
      </c>
      <c r="F99" t="s">
        <v>67</v>
      </c>
      <c r="G99">
        <v>0</v>
      </c>
      <c r="H99">
        <v>100</v>
      </c>
      <c r="K99">
        <v>1</v>
      </c>
      <c r="L99" t="s">
        <v>68</v>
      </c>
      <c r="M99" t="s">
        <v>86</v>
      </c>
      <c r="N99" s="4">
        <v>2958465</v>
      </c>
      <c r="P99">
        <v>0</v>
      </c>
      <c r="U99">
        <v>4</v>
      </c>
      <c r="V99">
        <v>1</v>
      </c>
      <c r="W99" t="s">
        <v>69</v>
      </c>
      <c r="X99">
        <v>0</v>
      </c>
    </row>
    <row r="100" spans="1:24" x14ac:dyDescent="0.25">
      <c r="A100">
        <v>1</v>
      </c>
      <c r="B100">
        <v>2237811012</v>
      </c>
      <c r="C100">
        <v>10</v>
      </c>
      <c r="D100" t="s">
        <v>87</v>
      </c>
      <c r="F100" t="s">
        <v>67</v>
      </c>
      <c r="G100">
        <v>0</v>
      </c>
      <c r="H100">
        <v>100</v>
      </c>
      <c r="K100">
        <v>1</v>
      </c>
      <c r="L100" t="s">
        <v>68</v>
      </c>
      <c r="M100" t="s">
        <v>86</v>
      </c>
      <c r="N100" s="4">
        <v>2958465</v>
      </c>
      <c r="P100">
        <v>0</v>
      </c>
      <c r="U100">
        <v>4</v>
      </c>
      <c r="V100">
        <v>1</v>
      </c>
      <c r="W100" t="s">
        <v>69</v>
      </c>
      <c r="X100">
        <v>0</v>
      </c>
    </row>
    <row r="101" spans="1:24" x14ac:dyDescent="0.25">
      <c r="A101">
        <v>1</v>
      </c>
      <c r="B101">
        <v>2237811012</v>
      </c>
      <c r="C101">
        <v>20</v>
      </c>
      <c r="D101">
        <v>5910941012</v>
      </c>
      <c r="F101" t="s">
        <v>67</v>
      </c>
      <c r="G101">
        <v>0</v>
      </c>
      <c r="H101">
        <v>100</v>
      </c>
      <c r="K101">
        <v>1</v>
      </c>
      <c r="L101" t="s">
        <v>68</v>
      </c>
      <c r="M101" t="s">
        <v>86</v>
      </c>
      <c r="N101" s="4">
        <v>2958465</v>
      </c>
      <c r="P101">
        <v>0</v>
      </c>
      <c r="U101">
        <v>4</v>
      </c>
      <c r="V101">
        <v>1</v>
      </c>
      <c r="W101" t="s">
        <v>69</v>
      </c>
      <c r="X101">
        <v>0</v>
      </c>
    </row>
    <row r="102" spans="1:24" x14ac:dyDescent="0.25">
      <c r="A102">
        <v>1</v>
      </c>
      <c r="B102">
        <v>2237811206</v>
      </c>
      <c r="C102">
        <v>10</v>
      </c>
      <c r="D102" t="s">
        <v>87</v>
      </c>
      <c r="F102" t="s">
        <v>67</v>
      </c>
      <c r="G102">
        <v>0</v>
      </c>
      <c r="H102">
        <v>100</v>
      </c>
      <c r="K102">
        <v>1</v>
      </c>
      <c r="L102" t="s">
        <v>68</v>
      </c>
      <c r="M102" t="s">
        <v>86</v>
      </c>
      <c r="N102" s="4">
        <v>2958465</v>
      </c>
      <c r="P102">
        <v>0</v>
      </c>
      <c r="U102">
        <v>4</v>
      </c>
      <c r="V102">
        <v>1</v>
      </c>
      <c r="W102" t="s">
        <v>69</v>
      </c>
      <c r="X102">
        <v>0</v>
      </c>
    </row>
    <row r="103" spans="1:24" x14ac:dyDescent="0.25">
      <c r="A103">
        <v>1</v>
      </c>
      <c r="B103">
        <v>2237811206</v>
      </c>
      <c r="C103">
        <v>20</v>
      </c>
      <c r="D103">
        <v>5910941206</v>
      </c>
      <c r="F103" t="s">
        <v>67</v>
      </c>
      <c r="G103">
        <v>0</v>
      </c>
      <c r="H103">
        <v>100</v>
      </c>
      <c r="K103">
        <v>1</v>
      </c>
      <c r="L103" t="s">
        <v>68</v>
      </c>
      <c r="M103" t="s">
        <v>86</v>
      </c>
      <c r="N103" s="4">
        <v>2958465</v>
      </c>
      <c r="P103">
        <v>0</v>
      </c>
      <c r="U103">
        <v>4</v>
      </c>
      <c r="V103">
        <v>1</v>
      </c>
      <c r="W103" t="s">
        <v>69</v>
      </c>
      <c r="X103">
        <v>0</v>
      </c>
    </row>
    <row r="104" spans="1:24" x14ac:dyDescent="0.25">
      <c r="A104">
        <v>1</v>
      </c>
      <c r="B104">
        <v>2237811306</v>
      </c>
      <c r="C104">
        <v>10</v>
      </c>
      <c r="D104" t="s">
        <v>87</v>
      </c>
      <c r="F104" t="s">
        <v>67</v>
      </c>
      <c r="G104">
        <v>0</v>
      </c>
      <c r="H104">
        <v>100</v>
      </c>
      <c r="K104">
        <v>1</v>
      </c>
      <c r="L104" t="s">
        <v>68</v>
      </c>
      <c r="M104" t="s">
        <v>86</v>
      </c>
      <c r="N104" s="4">
        <v>2958465</v>
      </c>
      <c r="P104">
        <v>0</v>
      </c>
      <c r="U104">
        <v>4</v>
      </c>
      <c r="V104">
        <v>1</v>
      </c>
      <c r="W104" t="s">
        <v>69</v>
      </c>
      <c r="X104">
        <v>0</v>
      </c>
    </row>
    <row r="105" spans="1:24" x14ac:dyDescent="0.25">
      <c r="A105">
        <v>1</v>
      </c>
      <c r="B105">
        <v>2237811306</v>
      </c>
      <c r="C105">
        <v>20</v>
      </c>
      <c r="D105">
        <v>5910941306</v>
      </c>
      <c r="F105" t="s">
        <v>67</v>
      </c>
      <c r="G105">
        <v>0</v>
      </c>
      <c r="H105">
        <v>100</v>
      </c>
      <c r="K105">
        <v>1</v>
      </c>
      <c r="L105" t="s">
        <v>68</v>
      </c>
      <c r="M105" t="s">
        <v>86</v>
      </c>
      <c r="N105" s="4">
        <v>2958465</v>
      </c>
      <c r="P105">
        <v>0</v>
      </c>
      <c r="U105">
        <v>4</v>
      </c>
      <c r="V105">
        <v>1</v>
      </c>
      <c r="W105" t="s">
        <v>69</v>
      </c>
      <c r="X105">
        <v>0</v>
      </c>
    </row>
    <row r="106" spans="1:24" x14ac:dyDescent="0.25">
      <c r="A106">
        <v>1</v>
      </c>
      <c r="B106">
        <v>2237811806</v>
      </c>
      <c r="C106">
        <v>10</v>
      </c>
      <c r="D106" t="s">
        <v>87</v>
      </c>
      <c r="F106" t="s">
        <v>67</v>
      </c>
      <c r="G106">
        <v>0</v>
      </c>
      <c r="H106">
        <v>100</v>
      </c>
      <c r="K106">
        <v>1</v>
      </c>
      <c r="L106" t="s">
        <v>68</v>
      </c>
      <c r="M106" t="s">
        <v>86</v>
      </c>
      <c r="N106" s="4">
        <v>2958465</v>
      </c>
      <c r="P106">
        <v>0</v>
      </c>
      <c r="U106">
        <v>4</v>
      </c>
      <c r="V106">
        <v>1</v>
      </c>
      <c r="W106" t="s">
        <v>69</v>
      </c>
      <c r="X106">
        <v>0</v>
      </c>
    </row>
    <row r="107" spans="1:24" x14ac:dyDescent="0.25">
      <c r="A107">
        <v>1</v>
      </c>
      <c r="B107">
        <v>2237811806</v>
      </c>
      <c r="C107">
        <v>20</v>
      </c>
      <c r="D107">
        <v>5910941806</v>
      </c>
      <c r="F107" t="s">
        <v>67</v>
      </c>
      <c r="G107">
        <v>0</v>
      </c>
      <c r="H107">
        <v>100</v>
      </c>
      <c r="K107">
        <v>1</v>
      </c>
      <c r="L107" t="s">
        <v>68</v>
      </c>
      <c r="M107" t="s">
        <v>86</v>
      </c>
      <c r="N107" s="4">
        <v>2958465</v>
      </c>
      <c r="P107">
        <v>0</v>
      </c>
      <c r="U107">
        <v>4</v>
      </c>
      <c r="V107">
        <v>1</v>
      </c>
      <c r="W107" t="s">
        <v>69</v>
      </c>
      <c r="X107">
        <v>0</v>
      </c>
    </row>
    <row r="108" spans="1:24" x14ac:dyDescent="0.25">
      <c r="A108">
        <v>1</v>
      </c>
      <c r="B108">
        <v>2237811006</v>
      </c>
      <c r="C108">
        <v>10</v>
      </c>
      <c r="D108" t="s">
        <v>87</v>
      </c>
      <c r="F108" t="s">
        <v>67</v>
      </c>
      <c r="G108">
        <v>0</v>
      </c>
      <c r="H108">
        <v>100</v>
      </c>
      <c r="K108">
        <v>1</v>
      </c>
      <c r="L108" t="s">
        <v>68</v>
      </c>
      <c r="M108" t="s">
        <v>86</v>
      </c>
      <c r="N108" s="4">
        <v>2958465</v>
      </c>
      <c r="P108">
        <v>0</v>
      </c>
      <c r="U108">
        <v>4</v>
      </c>
      <c r="V108">
        <v>1</v>
      </c>
      <c r="W108" t="s">
        <v>69</v>
      </c>
      <c r="X108">
        <v>0</v>
      </c>
    </row>
    <row r="109" spans="1:24" x14ac:dyDescent="0.25">
      <c r="A109">
        <v>1</v>
      </c>
      <c r="B109">
        <v>2237811006</v>
      </c>
      <c r="C109">
        <v>20</v>
      </c>
      <c r="D109">
        <v>5910941006</v>
      </c>
      <c r="F109" t="s">
        <v>67</v>
      </c>
      <c r="G109">
        <v>0</v>
      </c>
      <c r="H109">
        <v>100</v>
      </c>
      <c r="K109">
        <v>1</v>
      </c>
      <c r="L109" t="s">
        <v>68</v>
      </c>
      <c r="M109" t="s">
        <v>86</v>
      </c>
      <c r="N109" s="4">
        <v>2958465</v>
      </c>
      <c r="P109">
        <v>0</v>
      </c>
      <c r="U109">
        <v>4</v>
      </c>
      <c r="V109">
        <v>1</v>
      </c>
      <c r="W109" t="s">
        <v>69</v>
      </c>
      <c r="X109">
        <v>0</v>
      </c>
    </row>
    <row r="110" spans="1:24" x14ac:dyDescent="0.25">
      <c r="A110">
        <v>1</v>
      </c>
      <c r="B110">
        <v>2237811209</v>
      </c>
      <c r="C110">
        <v>10</v>
      </c>
      <c r="D110" t="s">
        <v>87</v>
      </c>
      <c r="F110" t="s">
        <v>67</v>
      </c>
      <c r="G110">
        <v>0</v>
      </c>
      <c r="H110">
        <v>100</v>
      </c>
      <c r="K110">
        <v>1</v>
      </c>
      <c r="L110" t="s">
        <v>68</v>
      </c>
      <c r="M110" t="s">
        <v>86</v>
      </c>
      <c r="N110" s="4">
        <v>2958465</v>
      </c>
      <c r="P110">
        <v>0</v>
      </c>
      <c r="U110">
        <v>4</v>
      </c>
      <c r="V110">
        <v>1</v>
      </c>
      <c r="W110" t="s">
        <v>69</v>
      </c>
      <c r="X110">
        <v>0</v>
      </c>
    </row>
    <row r="111" spans="1:24" x14ac:dyDescent="0.25">
      <c r="A111">
        <v>1</v>
      </c>
      <c r="B111">
        <v>2237811209</v>
      </c>
      <c r="C111">
        <v>20</v>
      </c>
      <c r="D111">
        <v>5910941209</v>
      </c>
      <c r="F111" t="s">
        <v>67</v>
      </c>
      <c r="G111">
        <v>0</v>
      </c>
      <c r="H111">
        <v>100</v>
      </c>
      <c r="K111">
        <v>1</v>
      </c>
      <c r="L111" t="s">
        <v>68</v>
      </c>
      <c r="M111" t="s">
        <v>86</v>
      </c>
      <c r="N111" s="4">
        <v>2958465</v>
      </c>
      <c r="P111">
        <v>0</v>
      </c>
      <c r="U111">
        <v>4</v>
      </c>
      <c r="V111">
        <v>1</v>
      </c>
      <c r="W111" t="s">
        <v>69</v>
      </c>
      <c r="X111">
        <v>0</v>
      </c>
    </row>
    <row r="112" spans="1:24" x14ac:dyDescent="0.25">
      <c r="A112">
        <v>1</v>
      </c>
      <c r="B112">
        <v>2237811309</v>
      </c>
      <c r="C112">
        <v>10</v>
      </c>
      <c r="D112" t="s">
        <v>87</v>
      </c>
      <c r="F112" t="s">
        <v>67</v>
      </c>
      <c r="G112">
        <v>0</v>
      </c>
      <c r="H112">
        <v>100</v>
      </c>
      <c r="K112">
        <v>1</v>
      </c>
      <c r="L112" t="s">
        <v>68</v>
      </c>
      <c r="M112" t="s">
        <v>86</v>
      </c>
      <c r="N112" s="4">
        <v>2958465</v>
      </c>
      <c r="P112">
        <v>0</v>
      </c>
      <c r="U112">
        <v>4</v>
      </c>
      <c r="V112">
        <v>1</v>
      </c>
      <c r="W112" t="s">
        <v>69</v>
      </c>
      <c r="X112">
        <v>0</v>
      </c>
    </row>
    <row r="113" spans="1:24" x14ac:dyDescent="0.25">
      <c r="A113">
        <v>1</v>
      </c>
      <c r="B113">
        <v>2237811309</v>
      </c>
      <c r="C113">
        <v>20</v>
      </c>
      <c r="D113">
        <v>5910941309</v>
      </c>
      <c r="F113" t="s">
        <v>67</v>
      </c>
      <c r="G113">
        <v>0</v>
      </c>
      <c r="H113">
        <v>100</v>
      </c>
      <c r="K113">
        <v>1</v>
      </c>
      <c r="L113" t="s">
        <v>68</v>
      </c>
      <c r="M113" t="s">
        <v>86</v>
      </c>
      <c r="N113" s="4">
        <v>2958465</v>
      </c>
      <c r="P113">
        <v>0</v>
      </c>
      <c r="U113">
        <v>4</v>
      </c>
      <c r="V113">
        <v>1</v>
      </c>
      <c r="W113" t="s">
        <v>69</v>
      </c>
      <c r="X113">
        <v>0</v>
      </c>
    </row>
    <row r="114" spans="1:24" x14ac:dyDescent="0.25">
      <c r="A114">
        <v>1</v>
      </c>
      <c r="B114">
        <v>2237811809</v>
      </c>
      <c r="C114">
        <v>10</v>
      </c>
      <c r="D114" t="s">
        <v>87</v>
      </c>
      <c r="F114" t="s">
        <v>67</v>
      </c>
      <c r="G114">
        <v>0</v>
      </c>
      <c r="H114">
        <v>100</v>
      </c>
      <c r="K114">
        <v>1</v>
      </c>
      <c r="L114" t="s">
        <v>68</v>
      </c>
      <c r="M114" t="s">
        <v>86</v>
      </c>
      <c r="N114" s="4">
        <v>2958465</v>
      </c>
      <c r="P114">
        <v>0</v>
      </c>
      <c r="U114">
        <v>4</v>
      </c>
      <c r="V114">
        <v>1</v>
      </c>
      <c r="W114" t="s">
        <v>69</v>
      </c>
      <c r="X114">
        <v>0</v>
      </c>
    </row>
    <row r="115" spans="1:24" x14ac:dyDescent="0.25">
      <c r="A115">
        <v>1</v>
      </c>
      <c r="B115">
        <v>2237811809</v>
      </c>
      <c r="C115">
        <v>20</v>
      </c>
      <c r="D115">
        <v>5910941809</v>
      </c>
      <c r="F115" t="s">
        <v>67</v>
      </c>
      <c r="G115">
        <v>0</v>
      </c>
      <c r="H115">
        <v>100</v>
      </c>
      <c r="K115">
        <v>1</v>
      </c>
      <c r="L115" t="s">
        <v>68</v>
      </c>
      <c r="M115" t="s">
        <v>86</v>
      </c>
      <c r="N115" s="4">
        <v>2958465</v>
      </c>
      <c r="P115">
        <v>0</v>
      </c>
      <c r="U115">
        <v>4</v>
      </c>
      <c r="V115">
        <v>1</v>
      </c>
      <c r="W115" t="s">
        <v>69</v>
      </c>
      <c r="X115">
        <v>0</v>
      </c>
    </row>
    <row r="116" spans="1:24" x14ac:dyDescent="0.25">
      <c r="A116">
        <v>1</v>
      </c>
      <c r="B116">
        <v>2237811009</v>
      </c>
      <c r="C116">
        <v>10</v>
      </c>
      <c r="D116" t="s">
        <v>87</v>
      </c>
      <c r="F116" t="s">
        <v>67</v>
      </c>
      <c r="G116">
        <v>0</v>
      </c>
      <c r="H116">
        <v>100</v>
      </c>
      <c r="K116">
        <v>1</v>
      </c>
      <c r="L116" t="s">
        <v>68</v>
      </c>
      <c r="M116" t="s">
        <v>86</v>
      </c>
      <c r="N116" s="4">
        <v>2958465</v>
      </c>
      <c r="P116">
        <v>0</v>
      </c>
      <c r="U116">
        <v>4</v>
      </c>
      <c r="V116">
        <v>1</v>
      </c>
      <c r="W116" t="s">
        <v>69</v>
      </c>
      <c r="X116">
        <v>0</v>
      </c>
    </row>
    <row r="117" spans="1:24" x14ac:dyDescent="0.25">
      <c r="A117">
        <v>1</v>
      </c>
      <c r="B117">
        <v>2237811009</v>
      </c>
      <c r="C117">
        <v>20</v>
      </c>
      <c r="D117">
        <v>5910941009</v>
      </c>
      <c r="F117" t="s">
        <v>67</v>
      </c>
      <c r="G117">
        <v>0</v>
      </c>
      <c r="H117">
        <v>100</v>
      </c>
      <c r="K117">
        <v>1</v>
      </c>
      <c r="L117" t="s">
        <v>68</v>
      </c>
      <c r="M117" t="s">
        <v>86</v>
      </c>
      <c r="N117" s="4">
        <v>2958465</v>
      </c>
      <c r="P117">
        <v>0</v>
      </c>
      <c r="U117">
        <v>4</v>
      </c>
      <c r="V117">
        <v>1</v>
      </c>
      <c r="W117" t="s">
        <v>69</v>
      </c>
      <c r="X117">
        <v>0</v>
      </c>
    </row>
  </sheetData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FICHA</vt:lpstr>
      <vt:lpstr>ESTRUTURA</vt:lpstr>
      <vt:lpstr>ESTRUTURA PAI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Lorenzo Benatti Bondan</dc:creator>
  <cp:lastModifiedBy>Jean Piacentini</cp:lastModifiedBy>
  <dcterms:created xsi:type="dcterms:W3CDTF">2022-07-18T16:31:12Z</dcterms:created>
  <dcterms:modified xsi:type="dcterms:W3CDTF">2022-09-08T19:55:41Z</dcterms:modified>
</cp:coreProperties>
</file>