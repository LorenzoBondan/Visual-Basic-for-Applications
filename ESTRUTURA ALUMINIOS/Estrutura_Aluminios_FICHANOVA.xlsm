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aroline.ambrosi\Desktop\"/>
    </mc:Choice>
  </mc:AlternateContent>
  <xr:revisionPtr revIDLastSave="0" documentId="13_ncr:1_{886546B3-1978-4F21-920D-01A69DE525D2}" xr6:coauthVersionLast="47" xr6:coauthVersionMax="47" xr10:uidLastSave="{00000000-0000-0000-0000-000000000000}"/>
  <bookViews>
    <workbookView xWindow="-120" yWindow="-120" windowWidth="20640" windowHeight="11040" xr2:uid="{4B197AE7-8007-4556-A903-21953989B3CD}"/>
  </bookViews>
  <sheets>
    <sheet name="FICHAS" sheetId="1" r:id="rId1"/>
    <sheet name="ESTRUTURA PAI" sheetId="4" r:id="rId2"/>
    <sheet name="ESTRUTURA" sheetId="2" r:id="rId3"/>
    <sheet name="FITA" sheetId="3" r:id="rId4"/>
    <sheet name="EXEMPLO DE FICHA" sheetId="5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2" hidden="1">ESTRUTURA!$A$1:$X$1</definedName>
    <definedName name="_xlnm._FilterDatabase" localSheetId="1" hidden="1">'ESTRUTURA PAI'!$A$1:$X$1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64" i="1" l="1"/>
  <c r="R91" i="1" s="1"/>
  <c r="Q64" i="1"/>
  <c r="O87" i="1" s="1"/>
  <c r="O49" i="1"/>
  <c r="B49" i="1"/>
  <c r="O44" i="1"/>
  <c r="B44" i="1"/>
  <c r="O39" i="1"/>
  <c r="B39" i="1"/>
  <c r="R5" i="1"/>
  <c r="Q5" i="1"/>
  <c r="O5" i="1"/>
  <c r="B5" i="1"/>
  <c r="S55" i="5"/>
  <c r="R55" i="5"/>
  <c r="Q55" i="5"/>
  <c r="O55" i="5"/>
  <c r="B51" i="5"/>
  <c r="S50" i="5"/>
  <c r="R50" i="5"/>
  <c r="Q50" i="5"/>
  <c r="O50" i="5"/>
  <c r="O51" i="5" s="1"/>
  <c r="B46" i="5"/>
  <c r="S45" i="5"/>
  <c r="R45" i="5"/>
  <c r="Q45" i="5"/>
  <c r="O45" i="5"/>
  <c r="O46" i="5" s="1"/>
  <c r="B41" i="5"/>
  <c r="S40" i="5"/>
  <c r="R40" i="5"/>
  <c r="Q40" i="5"/>
  <c r="O40" i="5"/>
  <c r="O41" i="5" s="1"/>
  <c r="B36" i="5"/>
  <c r="S35" i="5"/>
  <c r="R35" i="5"/>
  <c r="Q35" i="5"/>
  <c r="O35" i="5"/>
  <c r="O36" i="5" s="1"/>
  <c r="R5" i="5"/>
  <c r="R71" i="5" s="1"/>
  <c r="Q5" i="5"/>
  <c r="Q71" i="5" s="1"/>
  <c r="O5" i="5"/>
  <c r="B5" i="5"/>
  <c r="O70" i="1" l="1"/>
  <c r="O76" i="1"/>
  <c r="O82" i="1"/>
  <c r="O88" i="1"/>
  <c r="O66" i="1"/>
  <c r="O72" i="1"/>
  <c r="O78" i="1"/>
  <c r="O84" i="1"/>
  <c r="O67" i="1"/>
  <c r="O73" i="1"/>
  <c r="O79" i="1"/>
  <c r="O85" i="1"/>
  <c r="Q91" i="1"/>
  <c r="O65" i="1"/>
  <c r="O71" i="1"/>
  <c r="O77" i="1"/>
  <c r="O83" i="1"/>
  <c r="O64" i="1"/>
  <c r="O68" i="1"/>
  <c r="O74" i="1"/>
  <c r="O80" i="1"/>
  <c r="O86" i="1"/>
  <c r="O69" i="1"/>
  <c r="O75" i="1"/>
  <c r="O81" i="1"/>
  <c r="O98" i="5"/>
  <c r="O92" i="5"/>
  <c r="O86" i="5"/>
  <c r="O80" i="5"/>
  <c r="O74" i="5"/>
  <c r="O71" i="5"/>
  <c r="O94" i="5"/>
  <c r="O82" i="5"/>
  <c r="O97" i="5"/>
  <c r="O91" i="5"/>
  <c r="O85" i="5"/>
  <c r="O79" i="5"/>
  <c r="B74" i="5"/>
  <c r="B71" i="5"/>
  <c r="O96" i="5"/>
  <c r="O90" i="5"/>
  <c r="O84" i="5"/>
  <c r="O78" i="5"/>
  <c r="O73" i="5"/>
  <c r="O95" i="5"/>
  <c r="O89" i="5"/>
  <c r="O83" i="5"/>
  <c r="O77" i="5"/>
  <c r="O72" i="5"/>
  <c r="O76" i="5"/>
  <c r="O93" i="5"/>
  <c r="O87" i="5"/>
  <c r="O81" i="5"/>
  <c r="O75" i="5"/>
  <c r="O88" i="5"/>
  <c r="O92" i="1" l="1"/>
  <c r="O94" i="1"/>
  <c r="B91" i="1"/>
  <c r="O95" i="1"/>
  <c r="O91" i="1"/>
  <c r="O9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Lorenzo Benatti Bondan</author>
  </authors>
  <commentList>
    <comment ref="P61" authorId="0" shapeId="0" xr:uid="{04FBAB2C-3127-4049-9EE0-2EFD49938B31}">
      <text>
        <r>
          <rPr>
            <b/>
            <sz val="9"/>
            <color indexed="81"/>
            <rFont val="Segoe UI"/>
            <family val="2"/>
          </rPr>
          <t>Lorenzo Benatti Bondan:</t>
        </r>
        <r>
          <rPr>
            <sz val="9"/>
            <color indexed="81"/>
            <rFont val="Segoe UI"/>
            <family val="2"/>
          </rPr>
          <t xml:space="preserve">
Calculado pelo VBA com base no modelo inserido.</t>
        </r>
      </text>
    </comment>
  </commentList>
</comments>
</file>

<file path=xl/sharedStrings.xml><?xml version="1.0" encoding="utf-8"?>
<sst xmlns="http://schemas.openxmlformats.org/spreadsheetml/2006/main" count="5825" uniqueCount="160">
  <si>
    <t>CÓD COMERCIAL</t>
  </si>
  <si>
    <t>CÓD INTERNO</t>
  </si>
  <si>
    <t>CORES</t>
  </si>
  <si>
    <t>DESCRIÇÃO</t>
  </si>
  <si>
    <t>MATERIAS</t>
  </si>
  <si>
    <t>DIMENSÃO</t>
  </si>
  <si>
    <t>ANOD NAT</t>
  </si>
  <si>
    <t xml:space="preserve"> PINT BRANCO</t>
  </si>
  <si>
    <t xml:space="preserve"> PINT CHAMP</t>
  </si>
  <si>
    <t xml:space="preserve"> PINT INOX</t>
  </si>
  <si>
    <t xml:space="preserve"> PINT BRONZE</t>
  </si>
  <si>
    <t xml:space="preserve"> PINT PRETO</t>
  </si>
  <si>
    <t xml:space="preserve"> PINT SISAL</t>
  </si>
  <si>
    <t xml:space="preserve"> PINT AREIA</t>
  </si>
  <si>
    <t xml:space="preserve"> PINT GRAFITE</t>
  </si>
  <si>
    <t xml:space="preserve"> PINT PRATA</t>
  </si>
  <si>
    <t xml:space="preserve"> PINT DOURADO</t>
  </si>
  <si>
    <t>ALT</t>
  </si>
  <si>
    <t>LARG</t>
  </si>
  <si>
    <t>ESP</t>
  </si>
  <si>
    <t>-</t>
  </si>
  <si>
    <t>CÓDIGO PINTURA</t>
  </si>
  <si>
    <t>CÓD MAT PRIMA</t>
  </si>
  <si>
    <t>QDADE</t>
  </si>
  <si>
    <t>MEDIDAS</t>
  </si>
  <si>
    <t>COMP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</si>
  <si>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</si>
  <si>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</si>
  <si>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</si>
  <si>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</si>
  <si>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</si>
  <si>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</si>
  <si>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</si>
  <si>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</si>
  <si>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</si>
  <si>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</si>
  <si>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ML</t>
  </si>
  <si>
    <t>PÇ</t>
  </si>
  <si>
    <t>TIPO</t>
  </si>
  <si>
    <t>CÓDIGO VIDRO</t>
  </si>
  <si>
    <t>COR VIDRO</t>
  </si>
  <si>
    <t>QTD (UN)</t>
  </si>
  <si>
    <t>DIMENSÕES</t>
  </si>
  <si>
    <t>Código</t>
  </si>
  <si>
    <t>Modelo</t>
  </si>
  <si>
    <t>AQUA</t>
  </si>
  <si>
    <t>VITTRO</t>
  </si>
  <si>
    <t>SLIM</t>
  </si>
  <si>
    <t>REFLEX</t>
  </si>
  <si>
    <t>QUARTZO</t>
  </si>
  <si>
    <t>FILO</t>
  </si>
  <si>
    <t>Formula: Perímetro - 'Valor Abaixo'</t>
  </si>
  <si>
    <t>c-tran</t>
  </si>
  <si>
    <t>c-item</t>
  </si>
  <si>
    <t>c-sequ</t>
  </si>
  <si>
    <t>c-comp</t>
  </si>
  <si>
    <t>c-revi</t>
  </si>
  <si>
    <t>c-fant</t>
  </si>
  <si>
    <t>c-perd</t>
  </si>
  <si>
    <t>c-prop</t>
  </si>
  <si>
    <t>c-seri</t>
  </si>
  <si>
    <t>c-serf</t>
  </si>
  <si>
    <t>c-qtde</t>
  </si>
  <si>
    <t>c-resv</t>
  </si>
  <si>
    <t>c-dtin</t>
  </si>
  <si>
    <t>c-dtfi</t>
  </si>
  <si>
    <t>c-rote</t>
  </si>
  <si>
    <t>c-oper</t>
  </si>
  <si>
    <t>c-mont</t>
  </si>
  <si>
    <t>c-obse</t>
  </si>
  <si>
    <t>c-refp</t>
  </si>
  <si>
    <t>c-reff</t>
  </si>
  <si>
    <t>c-sobr</t>
  </si>
  <si>
    <t>c-qtit</t>
  </si>
  <si>
    <t>c-veic</t>
  </si>
  <si>
    <t>c-disv</t>
  </si>
  <si>
    <t>***PIANO</t>
  </si>
  <si>
    <t>medida2 - 0,05</t>
  </si>
  <si>
    <t>FRENTES ALUMÍNIO FILO</t>
  </si>
  <si>
    <t>FRENTE FALSA GAV H=355</t>
  </si>
  <si>
    <t>YUTA</t>
  </si>
  <si>
    <t>PÉTREA</t>
  </si>
  <si>
    <t>MET GRAFITE</t>
  </si>
  <si>
    <t>MET PRATA</t>
  </si>
  <si>
    <t>MET DOURADO</t>
  </si>
  <si>
    <t>MET PÉROLA</t>
  </si>
  <si>
    <t>LINEE ARGENTO</t>
  </si>
  <si>
    <t>LINEE ORO</t>
  </si>
  <si>
    <t xml:space="preserve"> FUMÊ CHAMPANHE</t>
  </si>
  <si>
    <t>FUMÊ CINZA</t>
  </si>
  <si>
    <t>REFLETO CRISTAL</t>
  </si>
  <si>
    <t>ESPELHO PRATA</t>
  </si>
  <si>
    <t>BIANCO</t>
  </si>
  <si>
    <t>ESPELHO CHAMPANHE</t>
  </si>
  <si>
    <t>ESPELHO FUMÊ</t>
  </si>
  <si>
    <t>REFLETO CHAMPANHE</t>
  </si>
  <si>
    <t>REFLETO CINZA</t>
  </si>
  <si>
    <t>TRANSPARENTE</t>
  </si>
  <si>
    <t>ÔNIX</t>
  </si>
  <si>
    <t>GELO</t>
  </si>
  <si>
    <t>NATA</t>
  </si>
  <si>
    <t>BASALTO</t>
  </si>
  <si>
    <t>AREIA</t>
  </si>
  <si>
    <t>PETRÓLEO</t>
  </si>
  <si>
    <t>FENDI</t>
  </si>
  <si>
    <t>SISAL</t>
  </si>
  <si>
    <t>ARDÓSIA</t>
  </si>
  <si>
    <t>FRENTE</t>
  </si>
  <si>
    <t>PERFIL ALUMINIO FILO 20,3MM - 6M - ANOD NATURAL</t>
  </si>
  <si>
    <t>PINTURA ALUMINIO PL FILO + COR</t>
  </si>
  <si>
    <t>1022168 (PUXADOR PINT NAT)</t>
  </si>
  <si>
    <t>PUXADOR FILO P/ FTE ALUM - S/ACAB</t>
  </si>
  <si>
    <t>PINTURA ALUMINIO PUXADOR FILO + COR</t>
  </si>
  <si>
    <t>ESQUADRETA P/ FTE. GAVETAO C/ FREIO</t>
  </si>
  <si>
    <t>PARAFUSO M4 X 8 XX RI + COR</t>
  </si>
  <si>
    <t>PERFIL INCOLOR 1 ALETA P/FTE FILO AG229.0003 (DE S-875) (exceto p/ materiais CARPI)</t>
  </si>
  <si>
    <t>FITA PRETA EVA 12 MM - PERFIL FIL0 (somente p/ materiais CARPI)</t>
  </si>
  <si>
    <t>MATERIAIS CARPI</t>
  </si>
  <si>
    <t>CÓDIGO PAINEL</t>
  </si>
  <si>
    <t>COR PAINEL</t>
  </si>
  <si>
    <t>COR DA MÁSCARA</t>
  </si>
  <si>
    <t>CARPI</t>
  </si>
  <si>
    <t>74</t>
  </si>
  <si>
    <t>75</t>
  </si>
  <si>
    <t>VIDROS</t>
  </si>
  <si>
    <t>VIDRO VITRUM</t>
  </si>
  <si>
    <t>VIDRO LAPIVIDROS</t>
  </si>
  <si>
    <t>25</t>
  </si>
  <si>
    <t>28</t>
  </si>
  <si>
    <t>19</t>
  </si>
  <si>
    <t>n</t>
  </si>
  <si>
    <t>?</t>
  </si>
  <si>
    <t>N</t>
  </si>
  <si>
    <t>13</t>
  </si>
  <si>
    <t>FRENTES ALUMÍNIO ARCH</t>
  </si>
  <si>
    <t>FRENTE H-2210</t>
  </si>
  <si>
    <t>NUDE/FRISO</t>
  </si>
  <si>
    <t>MARROM/FRISO</t>
  </si>
  <si>
    <t>NERO/FRISO</t>
  </si>
  <si>
    <t>CORDA/FRISO</t>
  </si>
  <si>
    <t>NOCCIOLA/FRISO</t>
  </si>
  <si>
    <t>PERFIL ALUMINIO ARCH 6M - JAT/ANOD/NAT/FOSCO</t>
  </si>
  <si>
    <t>PINTURA ALUMINIO PL ARCH + COR</t>
  </si>
  <si>
    <t>1022219 (PUXADOR PINT NAT)</t>
  </si>
  <si>
    <t>PUXADOR ARCH 160MM P/ FTE ALUM + COR</t>
  </si>
  <si>
    <t>PUXADOR ARCH 160MM P/ FTE ALUM - S/ACAB</t>
  </si>
  <si>
    <t>PINTURA ALUMINIO PUXADOR ARCH + COR</t>
  </si>
  <si>
    <t>PERFIL INCOLOR 4 ALETAS P/FTE ARCH/PIANO AG206.0015</t>
  </si>
  <si>
    <t>VIDROS VITRUM</t>
  </si>
  <si>
    <t>PAINEL ESTOFADO</t>
  </si>
  <si>
    <t>CÓDIGO PAINEL ESTOFADO</t>
  </si>
  <si>
    <t>COR DO TECIDO</t>
  </si>
  <si>
    <t>OPÇÕES DE PAINEL ESTOFADO</t>
  </si>
  <si>
    <t>12</t>
  </si>
  <si>
    <t>14</t>
  </si>
  <si>
    <t>15</t>
  </si>
  <si>
    <t>16</t>
  </si>
  <si>
    <t>LATERAL DIR ARCH 2210X45X25 +COR</t>
  </si>
  <si>
    <t>LATERAL ESQ ARCH 2210X45X25 C/ REC PUX+COR</t>
  </si>
  <si>
    <t>CABECEIRA SUP/INF ARCH 586X45X25+COR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</si>
</sst>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2060"/>
      <name val="Verdana"/>
      <family val="2"/>
    </font>
    <font>
      <b/>
      <sz val="18"/>
      <color rgb="FFFF0000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sz val="10"/>
      <color rgb="FFFF0000"/>
      <name val="Verdana"/>
      <family val="2"/>
    </font>
    <font>
      <sz val="10"/>
      <name val="Arial"/>
      <family val="2"/>
    </font>
    <font>
      <b/>
      <sz val="16"/>
      <color theme="0"/>
      <name val="Verdana"/>
      <family val="2"/>
    </font>
    <font>
      <sz val="10"/>
      <color rgb="FF0000FF"/>
      <name val="Verdana"/>
      <family val="2"/>
    </font>
    <font>
      <sz val="10"/>
      <name val="Verdana"/>
      <family val="2"/>
    </font>
    <font>
      <b/>
      <sz val="12"/>
      <color rgb="FFFF0000"/>
      <name val="Verdana"/>
      <family val="2"/>
    </font>
    <font>
      <sz val="8"/>
      <name val="Calibri"/>
      <family val="2"/>
      <scheme val="minor"/>
    </font>
    <font>
      <b/>
      <sz val="11"/>
      <color theme="0"/>
      <name val="Bahnschrift Light SemiCondensed"/>
      <family val="2"/>
    </font>
    <font>
      <sz val="12"/>
      <name val="Verdana"/>
      <family val="2"/>
    </font>
    <font>
      <b/>
      <sz val="8"/>
      <color theme="1"/>
      <name val="Verdana"/>
      <family val="2"/>
    </font>
    <font>
      <sz val="8"/>
      <color theme="1"/>
      <name val="Verdana"/>
      <family val="2"/>
    </font>
    <font>
      <sz val="10"/>
      <color theme="1"/>
      <name val="Verdana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Verdana"/>
      <family val="2"/>
    </font>
    <font>
      <b/>
      <sz val="10"/>
      <color rgb="FFFF0000"/>
      <name val="Verdana"/>
      <family val="2"/>
    </font>
    <font>
      <b/>
      <sz val="8"/>
      <color indexed="8"/>
      <name val="Verdana"/>
      <family val="2"/>
    </font>
    <font>
      <sz val="10"/>
      <color indexed="8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120">
    <xf numFmtId="0" fontId="0" fillId="0" borderId="0" xfId="0"/>
    <xf numFmtId="0" fontId="5" fillId="0" borderId="3" xfId="0" applyFont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49" fontId="9" fillId="0" borderId="3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6" fillId="3" borderId="3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10" fillId="0" borderId="3" xfId="0" quotePrefix="1" applyFont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1" fontId="0" fillId="0" borderId="0" xfId="0" applyNumberFormat="1"/>
    <xf numFmtId="0" fontId="13" fillId="6" borderId="3" xfId="0" applyFont="1" applyFill="1" applyBorder="1" applyAlignment="1">
      <alignment horizontal="center"/>
    </xf>
    <xf numFmtId="0" fontId="13" fillId="6" borderId="7" xfId="0" applyFont="1" applyFill="1" applyBorder="1" applyAlignment="1">
      <alignment horizontal="center"/>
    </xf>
    <xf numFmtId="0" fontId="4" fillId="0" borderId="6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/>
    </xf>
    <xf numFmtId="0" fontId="6" fillId="3" borderId="3" xfId="1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3" xfId="1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vertical="center"/>
    </xf>
    <xf numFmtId="0" fontId="10" fillId="0" borderId="5" xfId="0" applyFont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0" fillId="0" borderId="3" xfId="0" applyFont="1" applyBorder="1" applyAlignment="1">
      <alignment horizontal="center" vertical="center" wrapText="1"/>
    </xf>
    <xf numFmtId="0" fontId="9" fillId="0" borderId="3" xfId="0" applyFont="1" applyBorder="1" applyAlignment="1">
      <alignment vertical="center"/>
    </xf>
    <xf numFmtId="0" fontId="10" fillId="7" borderId="3" xfId="0" applyFont="1" applyFill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49" fontId="10" fillId="0" borderId="3" xfId="0" applyNumberFormat="1" applyFont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49" fontId="10" fillId="8" borderId="3" xfId="0" applyNumberFormat="1" applyFont="1" applyFill="1" applyBorder="1" applyAlignment="1">
      <alignment horizontal="center" vertical="center"/>
    </xf>
    <xf numFmtId="0" fontId="10" fillId="8" borderId="3" xfId="0" applyFont="1" applyFill="1" applyBorder="1" applyAlignment="1">
      <alignment horizontal="left" vertical="center"/>
    </xf>
    <xf numFmtId="0" fontId="17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center"/>
    </xf>
    <xf numFmtId="49" fontId="10" fillId="0" borderId="3" xfId="0" quotePrefix="1" applyNumberFormat="1" applyFont="1" applyBorder="1" applyAlignment="1">
      <alignment horizontal="center" vertical="center"/>
    </xf>
    <xf numFmtId="0" fontId="10" fillId="0" borderId="0" xfId="0" applyFont="1"/>
    <xf numFmtId="16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14" fillId="0" borderId="0" xfId="0" applyFont="1"/>
    <xf numFmtId="0" fontId="20" fillId="0" borderId="0" xfId="0" applyFont="1"/>
    <xf numFmtId="14" fontId="0" fillId="0" borderId="0" xfId="0" applyNumberFormat="1"/>
    <xf numFmtId="0" fontId="17" fillId="0" borderId="3" xfId="1" applyFont="1" applyBorder="1" applyAlignment="1">
      <alignment horizontal="center" vertical="center"/>
    </xf>
    <xf numFmtId="0" fontId="17" fillId="0" borderId="3" xfId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3" fillId="0" borderId="3" xfId="0" applyFont="1" applyBorder="1" applyAlignment="1">
      <alignment horizontal="left" vertical="center"/>
    </xf>
    <xf numFmtId="0" fontId="4" fillId="0" borderId="6" xfId="0" applyFont="1" applyBorder="1" applyAlignment="1">
      <alignment horizontal="center" vertical="center" wrapText="1"/>
    </xf>
    <xf numFmtId="49" fontId="6" fillId="3" borderId="3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 vertical="center"/>
    </xf>
    <xf numFmtId="0" fontId="4" fillId="0" borderId="6" xfId="0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 wrapText="1"/>
    </xf>
    <xf numFmtId="0" fontId="11" fillId="5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 wrapText="1"/>
    </xf>
    <xf numFmtId="0" fontId="21" fillId="3" borderId="9" xfId="0" applyFont="1" applyFill="1" applyBorder="1" applyAlignment="1">
      <alignment horizontal="center" vertical="center" wrapText="1"/>
    </xf>
    <xf numFmtId="0" fontId="21" fillId="3" borderId="3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</cellXfs>
  <cellStyles count="3">
    <cellStyle name="Normal" xfId="0" builtinId="0"/>
    <cellStyle name="Normal 2 2 2" xfId="2" xr:uid="{4FD528BC-93E0-4578-899B-3CA5A751E781}"/>
    <cellStyle name="Normal 8 2" xfId="1" xr:uid="{AF4320A5-7199-472B-87E6-EAC56AF5F3C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59870</xdr:colOff>
      <xdr:row>10</xdr:row>
      <xdr:rowOff>95248</xdr:rowOff>
    </xdr:from>
    <xdr:to>
      <xdr:col>22</xdr:col>
      <xdr:colOff>361948</xdr:colOff>
      <xdr:row>15</xdr:row>
      <xdr:rowOff>190232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DD9312B-A618-4134-8CDD-B07CB13E7AF4}"/>
            </a:ext>
          </a:extLst>
        </xdr:cNvPr>
        <xdr:cNvGrpSpPr/>
      </xdr:nvGrpSpPr>
      <xdr:grpSpPr>
        <a:xfrm>
          <a:off x="22715763" y="4980212"/>
          <a:ext cx="914399" cy="1999984"/>
          <a:chOff x="14039850" y="381000"/>
          <a:chExt cx="914400" cy="1115520"/>
        </a:xfrm>
      </xdr:grpSpPr>
      <xdr:pic macro="[0]!Limpar1">
        <xdr:nvPicPr>
          <xdr:cNvPr id="3" name="Gráfico 2" descr="Borracha">
            <a:extLst>
              <a:ext uri="{FF2B5EF4-FFF2-40B4-BE49-F238E27FC236}">
                <a16:creationId xmlns:a16="http://schemas.microsoft.com/office/drawing/2014/main" id="{5174ED3E-1F66-8BAC-F339-E326A5F6AF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039850" y="381000"/>
            <a:ext cx="914400" cy="914400"/>
          </a:xfrm>
          <a:prstGeom prst="rect">
            <a:avLst/>
          </a:prstGeom>
        </xdr:spPr>
      </xdr:pic>
      <xdr:sp macro="[0]!Limpar1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5CEA5E1C-479E-295E-D357-5E86F737C9B5}"/>
              </a:ext>
            </a:extLst>
          </xdr:cNvPr>
          <xdr:cNvSpPr txBox="1"/>
        </xdr:nvSpPr>
        <xdr:spPr>
          <a:xfrm>
            <a:off x="14116050" y="12192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>
                <a:latin typeface="Century" panose="02040604050505020304" pitchFamily="18" charset="0"/>
              </a:rPr>
              <a:t>Limpar</a:t>
            </a:r>
          </a:p>
        </xdr:txBody>
      </xdr:sp>
    </xdr:grpSp>
    <xdr:clientData/>
  </xdr:twoCellAnchor>
  <xdr:twoCellAnchor>
    <xdr:from>
      <xdr:col>20</xdr:col>
      <xdr:colOff>503464</xdr:colOff>
      <xdr:row>1</xdr:row>
      <xdr:rowOff>258535</xdr:rowOff>
    </xdr:from>
    <xdr:to>
      <xdr:col>22</xdr:col>
      <xdr:colOff>427263</xdr:colOff>
      <xdr:row>10</xdr:row>
      <xdr:rowOff>54427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19B67E8-3199-4001-AA25-55E31D4A3D9A}"/>
            </a:ext>
          </a:extLst>
        </xdr:cNvPr>
        <xdr:cNvGrpSpPr/>
      </xdr:nvGrpSpPr>
      <xdr:grpSpPr>
        <a:xfrm>
          <a:off x="22547035" y="693964"/>
          <a:ext cx="1148442" cy="4245427"/>
          <a:chOff x="22487165" y="421822"/>
          <a:chExt cx="1148442" cy="1524000"/>
        </a:xfrm>
      </xdr:grpSpPr>
      <xdr:sp macro="[0]!Montar_Estruturas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A7962A66-245F-7453-987F-2594B4B7F54D}"/>
              </a:ext>
            </a:extLst>
          </xdr:cNvPr>
          <xdr:cNvSpPr txBox="1"/>
        </xdr:nvSpPr>
        <xdr:spPr>
          <a:xfrm>
            <a:off x="22487165" y="1341665"/>
            <a:ext cx="1148442" cy="6041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latin typeface="Century" panose="02040604050505020304" pitchFamily="18" charset="0"/>
              </a:rPr>
              <a:t>Montar</a:t>
            </a:r>
            <a:endParaRPr lang="pt-BR" sz="1200" b="1" baseline="0">
              <a:latin typeface="Century" panose="02040604050505020304" pitchFamily="18" charset="0"/>
            </a:endParaRPr>
          </a:p>
          <a:p>
            <a:pPr algn="ctr"/>
            <a:r>
              <a:rPr lang="pt-BR" sz="1200" b="1" baseline="0">
                <a:latin typeface="Century" panose="02040604050505020304" pitchFamily="18" charset="0"/>
              </a:rPr>
              <a:t>Estrutura</a:t>
            </a:r>
            <a:endParaRPr lang="pt-BR" sz="1200" b="1">
              <a:latin typeface="Century" panose="02040604050505020304" pitchFamily="18" charset="0"/>
            </a:endParaRPr>
          </a:p>
        </xdr:txBody>
      </xdr:sp>
      <xdr:pic macro="[0]!Montar_Estruturas">
        <xdr:nvPicPr>
          <xdr:cNvPr id="7" name="Gráfico 6" descr="Ferramentas">
            <a:extLst>
              <a:ext uri="{FF2B5EF4-FFF2-40B4-BE49-F238E27FC236}">
                <a16:creationId xmlns:a16="http://schemas.microsoft.com/office/drawing/2014/main" id="{93B86D57-B08C-06C6-D418-C4AB71BB22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42286" y="421822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180975</xdr:colOff>
      <xdr:row>9</xdr:row>
      <xdr:rowOff>47625</xdr:rowOff>
    </xdr:from>
    <xdr:to>
      <xdr:col>26</xdr:col>
      <xdr:colOff>485775</xdr:colOff>
      <xdr:row>15</xdr:row>
      <xdr:rowOff>20145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1E56368-0C4E-4183-AF3F-AFF5C54D762C}"/>
            </a:ext>
          </a:extLst>
        </xdr:cNvPr>
        <xdr:cNvGrpSpPr/>
      </xdr:nvGrpSpPr>
      <xdr:grpSpPr>
        <a:xfrm>
          <a:off x="16668750" y="1762125"/>
          <a:ext cx="914400" cy="1115520"/>
          <a:chOff x="14039850" y="381000"/>
          <a:chExt cx="914400" cy="1115520"/>
        </a:xfrm>
      </xdr:grpSpPr>
      <xdr:pic macro="[0]!Limpar2">
        <xdr:nvPicPr>
          <xdr:cNvPr id="3" name="Gráfico 2" descr="Borracha">
            <a:extLst>
              <a:ext uri="{FF2B5EF4-FFF2-40B4-BE49-F238E27FC236}">
                <a16:creationId xmlns:a16="http://schemas.microsoft.com/office/drawing/2014/main" id="{DFB83DB4-9059-6411-A42C-D1829E70CE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039850" y="381000"/>
            <a:ext cx="914400" cy="914400"/>
          </a:xfrm>
          <a:prstGeom prst="rect">
            <a:avLst/>
          </a:prstGeom>
        </xdr:spPr>
      </xdr:pic>
      <xdr:sp macro="[0]!Limpar2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95561273-801F-FE31-6E41-74E9DB2052A2}"/>
              </a:ext>
            </a:extLst>
          </xdr:cNvPr>
          <xdr:cNvSpPr txBox="1"/>
        </xdr:nvSpPr>
        <xdr:spPr>
          <a:xfrm>
            <a:off x="14116050" y="12192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>
                <a:latin typeface="Century" panose="02040604050505020304" pitchFamily="18" charset="0"/>
              </a:rPr>
              <a:t>Limpar</a:t>
            </a:r>
          </a:p>
        </xdr:txBody>
      </xdr:sp>
    </xdr:grpSp>
    <xdr:clientData/>
  </xdr:twoCellAnchor>
  <xdr:twoCellAnchor>
    <xdr:from>
      <xdr:col>25</xdr:col>
      <xdr:colOff>171450</xdr:colOff>
      <xdr:row>1</xdr:row>
      <xdr:rowOff>180975</xdr:rowOff>
    </xdr:from>
    <xdr:to>
      <xdr:col>26</xdr:col>
      <xdr:colOff>476250</xdr:colOff>
      <xdr:row>8</xdr:row>
      <xdr:rowOff>1095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97F57FD-AD65-40AB-A1B6-B71F1848D00D}"/>
            </a:ext>
          </a:extLst>
        </xdr:cNvPr>
        <xdr:cNvGrpSpPr/>
      </xdr:nvGrpSpPr>
      <xdr:grpSpPr>
        <a:xfrm>
          <a:off x="16659225" y="371475"/>
          <a:ext cx="914400" cy="1153620"/>
          <a:chOff x="13430250" y="3429000"/>
          <a:chExt cx="914400" cy="1153620"/>
        </a:xfrm>
      </xdr:grpSpPr>
      <xdr:pic macro="[0]!Exportar">
        <xdr:nvPicPr>
          <xdr:cNvPr id="6" name="Gráfico 5" descr="Disco">
            <a:extLst>
              <a:ext uri="{FF2B5EF4-FFF2-40B4-BE49-F238E27FC236}">
                <a16:creationId xmlns:a16="http://schemas.microsoft.com/office/drawing/2014/main" id="{F5587BB7-5610-DF91-927B-2227FC9847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430250" y="3429000"/>
            <a:ext cx="914400" cy="914400"/>
          </a:xfrm>
          <a:prstGeom prst="rect">
            <a:avLst/>
          </a:prstGeom>
        </xdr:spPr>
      </xdr:pic>
      <xdr:sp macro="[0]!Exportar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710B7C4D-CFCE-104B-0E30-90DA10138E39}"/>
              </a:ext>
            </a:extLst>
          </xdr:cNvPr>
          <xdr:cNvSpPr txBox="1"/>
        </xdr:nvSpPr>
        <xdr:spPr>
          <a:xfrm>
            <a:off x="13525500" y="43053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latin typeface="Century" panose="02040604050505020304" pitchFamily="18" charset="0"/>
              </a:rPr>
              <a:t>Exportar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552450</xdr:colOff>
      <xdr:row>2</xdr:row>
      <xdr:rowOff>152400</xdr:rowOff>
    </xdr:from>
    <xdr:to>
      <xdr:col>27</xdr:col>
      <xdr:colOff>104775</xdr:colOff>
      <xdr:row>6</xdr:row>
      <xdr:rowOff>57150</xdr:rowOff>
    </xdr:to>
    <xdr:sp macro="[0]!Exportar2" textlink="">
      <xdr:nvSpPr>
        <xdr:cNvPr id="2" name="Retângulo 1">
          <a:extLst>
            <a:ext uri="{FF2B5EF4-FFF2-40B4-BE49-F238E27FC236}">
              <a16:creationId xmlns:a16="http://schemas.microsoft.com/office/drawing/2014/main" id="{81F822FB-C0B1-DB37-DEB8-008B69336C16}"/>
            </a:ext>
          </a:extLst>
        </xdr:cNvPr>
        <xdr:cNvSpPr/>
      </xdr:nvSpPr>
      <xdr:spPr>
        <a:xfrm>
          <a:off x="16030575" y="533400"/>
          <a:ext cx="1381125" cy="666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EXPORTAR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2)%20DOCUMENTOS%20LAN&#199;AMENTOS\LAN&#199;AMENTOS%202023\FRENTES%20-%202023\FRENTES%20ALUM&#205;NIO%202023-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15%20-%20FICHAS%20T&#201;CNICAS%20LAN&#199;AMENTOS%202023\FICHAS%20TECNICAS%20-%202023\FTES%20E%20PRAT%20ALUM%20-%202023\ARCH%20-%202023\FTES%20ARCH%20202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2)%20DOCUMENTOS%20LAN&#199;AMENTOS\LAN&#199;AMENTOS%202022\LAN&#199;AMENTOS%202022-2\FRENTES%20-%202022\FRENTES%20ALUM&#205;NIO%202022-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14%20-%20FICHAS%20T&#201;CNICAS%20LAN&#199;AMENTOS%202022\LAN&#199;AMENTOS%202022-2\FICHAS%20T&#201;CNICAS%20-%202022\FTES%20E%20PRAT%20ALUM%20-%202022\FILO%20-%202021\FRENTES%20FILO%20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G COZ ALUM"/>
      <sheetName val="CG COZ ALUM ESP"/>
      <sheetName val="SLIM COZ ALUM"/>
      <sheetName val="SLIM COZ ALUM ESP"/>
      <sheetName val="AQUA COZ ALUM"/>
      <sheetName val="FILO COZ ALUM"/>
      <sheetName val="FILO COZ ALUM ESP"/>
      <sheetName val="CG DORM"/>
      <sheetName val="CG DORM ESP"/>
      <sheetName val="SLIM DORM"/>
      <sheetName val="SLIM DORM ESP"/>
      <sheetName val="FILO DORM ALUM"/>
      <sheetName val="FILO DORM ALUM ESP"/>
      <sheetName val="ARCH DORM ALUM"/>
      <sheetName val="ARCH DORM ALUM ESP"/>
      <sheetName val="PIANO DORM ALUM"/>
      <sheetName val="PIANO DORM ALUM ESP"/>
      <sheetName val="PIANO DORM ALUM-BP"/>
      <sheetName val="PIANO DORM ALUM-BP ESP"/>
      <sheetName val="PRAT ALUM FRAME"/>
      <sheetName val="Plan1"/>
      <sheetName val="FRENTES ALUMÍNIO 2023-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10">
          <cell r="B10">
            <v>227018</v>
          </cell>
          <cell r="C10">
            <v>590850</v>
          </cell>
          <cell r="D10" t="str">
            <v>FRENTE DIR ARM 2210X336X25+COR</v>
          </cell>
          <cell r="E10">
            <v>2210</v>
          </cell>
          <cell r="F10">
            <v>336</v>
          </cell>
        </row>
        <row r="11">
          <cell r="B11">
            <v>227019</v>
          </cell>
          <cell r="C11">
            <v>590861</v>
          </cell>
          <cell r="D11" t="str">
            <v>FRENTE ESQ ARM 2210X336X25+COR</v>
          </cell>
          <cell r="E11">
            <v>2210</v>
          </cell>
          <cell r="F11">
            <v>336</v>
          </cell>
        </row>
        <row r="12">
          <cell r="B12">
            <v>227000</v>
          </cell>
          <cell r="C12">
            <v>590150</v>
          </cell>
          <cell r="D12" t="str">
            <v>FRENTE DIR ARM 2210X386X25+COR</v>
          </cell>
          <cell r="E12">
            <v>2210</v>
          </cell>
          <cell r="F12">
            <v>386</v>
          </cell>
        </row>
        <row r="13">
          <cell r="B13">
            <v>227008</v>
          </cell>
          <cell r="C13">
            <v>590175</v>
          </cell>
          <cell r="D13" t="str">
            <v>FRENTE ESQ ARM 2210X386X25+COR</v>
          </cell>
          <cell r="E13">
            <v>2210</v>
          </cell>
          <cell r="F13">
            <v>386</v>
          </cell>
        </row>
        <row r="14">
          <cell r="B14">
            <v>227002</v>
          </cell>
          <cell r="C14">
            <v>590152</v>
          </cell>
          <cell r="D14" t="str">
            <v>FRENTE DIR ARM 2210X436X25+COR</v>
          </cell>
          <cell r="E14">
            <v>2210</v>
          </cell>
          <cell r="F14">
            <v>436</v>
          </cell>
        </row>
        <row r="15">
          <cell r="B15">
            <v>227010</v>
          </cell>
          <cell r="C15">
            <v>590177</v>
          </cell>
          <cell r="D15" t="str">
            <v>FRENTE ESQ ARM 2210X436X25+COR</v>
          </cell>
          <cell r="E15">
            <v>2210</v>
          </cell>
          <cell r="F15">
            <v>436</v>
          </cell>
        </row>
        <row r="16">
          <cell r="B16">
            <v>227003</v>
          </cell>
          <cell r="C16">
            <v>590153</v>
          </cell>
          <cell r="D16" t="str">
            <v>FRENTE DIR CTO 90 2210X468X25+COR</v>
          </cell>
          <cell r="E16">
            <v>2210</v>
          </cell>
          <cell r="F16">
            <v>468</v>
          </cell>
        </row>
        <row r="17">
          <cell r="B17">
            <v>227004</v>
          </cell>
          <cell r="C17">
            <v>590154</v>
          </cell>
          <cell r="D17" t="str">
            <v>FRENTE DIR ARM 2210X486X25+COR</v>
          </cell>
          <cell r="E17">
            <v>2210</v>
          </cell>
          <cell r="F17">
            <v>486</v>
          </cell>
        </row>
        <row r="18">
          <cell r="B18">
            <v>227011</v>
          </cell>
          <cell r="C18">
            <v>590178</v>
          </cell>
          <cell r="D18" t="str">
            <v>FRENTE ESQ ARM 2210X486X25+COR</v>
          </cell>
          <cell r="E18">
            <v>2210</v>
          </cell>
          <cell r="F18">
            <v>486</v>
          </cell>
        </row>
        <row r="19">
          <cell r="B19">
            <v>227005</v>
          </cell>
          <cell r="C19">
            <v>590155</v>
          </cell>
          <cell r="D19" t="str">
            <v>FRENTE ESQ CTO 90 S/ PUX 2210X492X25+COR</v>
          </cell>
          <cell r="E19">
            <v>2210</v>
          </cell>
          <cell r="F19">
            <v>492</v>
          </cell>
        </row>
        <row r="20">
          <cell r="B20">
            <v>227006</v>
          </cell>
          <cell r="C20">
            <v>590156</v>
          </cell>
          <cell r="D20" t="str">
            <v>FRENTE DIR ARM 2210X536X25+COR</v>
          </cell>
          <cell r="E20">
            <v>2210</v>
          </cell>
          <cell r="F20">
            <v>536</v>
          </cell>
        </row>
        <row r="21">
          <cell r="B21">
            <v>227012</v>
          </cell>
          <cell r="C21">
            <v>590179</v>
          </cell>
          <cell r="D21" t="str">
            <v>FRENTE ESQ ARM 2210X536X25+COR</v>
          </cell>
          <cell r="E21">
            <v>2210</v>
          </cell>
          <cell r="F21">
            <v>536</v>
          </cell>
        </row>
        <row r="22">
          <cell r="B22">
            <v>227007</v>
          </cell>
          <cell r="C22">
            <v>590157</v>
          </cell>
          <cell r="D22" t="str">
            <v>FRENTE DIR ARM 2210X586X25+COR</v>
          </cell>
          <cell r="E22">
            <v>2210</v>
          </cell>
          <cell r="F22">
            <v>586</v>
          </cell>
        </row>
        <row r="23">
          <cell r="B23">
            <v>227013</v>
          </cell>
          <cell r="C23">
            <v>590180</v>
          </cell>
          <cell r="D23" t="str">
            <v>FRENTE ESQ ARM 2210X586X25+COR</v>
          </cell>
          <cell r="E23">
            <v>2210</v>
          </cell>
          <cell r="F23">
            <v>586</v>
          </cell>
        </row>
        <row r="24">
          <cell r="B24">
            <v>227009</v>
          </cell>
          <cell r="C24">
            <v>590920</v>
          </cell>
          <cell r="D24" t="str">
            <v>FRENTE DIR ARM S/DOB 2210X586X25+COR</v>
          </cell>
          <cell r="E24">
            <v>2210</v>
          </cell>
          <cell r="F24">
            <v>586</v>
          </cell>
        </row>
        <row r="25">
          <cell r="B25">
            <v>227015</v>
          </cell>
          <cell r="C25">
            <v>590923</v>
          </cell>
          <cell r="D25" t="str">
            <v>FRENTE ESQ ARM S/DOB 2210X586X25+COR</v>
          </cell>
          <cell r="E25">
            <v>2210</v>
          </cell>
          <cell r="F25">
            <v>586</v>
          </cell>
        </row>
        <row r="26">
          <cell r="B26"/>
          <cell r="C26"/>
          <cell r="D26"/>
          <cell r="E26"/>
          <cell r="F26"/>
        </row>
        <row r="27">
          <cell r="B27">
            <v>227118</v>
          </cell>
          <cell r="C27">
            <v>590851</v>
          </cell>
          <cell r="D27" t="str">
            <v>FRENTE DIR ARM 2390X336X25+COR</v>
          </cell>
          <cell r="E27">
            <v>2390</v>
          </cell>
          <cell r="F27">
            <v>336</v>
          </cell>
        </row>
        <row r="28">
          <cell r="B28">
            <v>227119</v>
          </cell>
          <cell r="C28">
            <v>590862</v>
          </cell>
          <cell r="D28" t="str">
            <v>FRENTE ESQ ARM 2390X336X25+COR</v>
          </cell>
          <cell r="E28">
            <v>2390</v>
          </cell>
          <cell r="F28">
            <v>336</v>
          </cell>
        </row>
        <row r="29">
          <cell r="B29">
            <v>227100</v>
          </cell>
          <cell r="C29">
            <v>590158</v>
          </cell>
          <cell r="D29" t="str">
            <v>FRENTE DIR ARM 2390X386X25+COR</v>
          </cell>
          <cell r="E29">
            <v>2390</v>
          </cell>
          <cell r="F29">
            <v>386</v>
          </cell>
        </row>
        <row r="30">
          <cell r="B30">
            <v>227108</v>
          </cell>
          <cell r="C30">
            <v>590181</v>
          </cell>
          <cell r="D30" t="str">
            <v>FRENTE ESQ ARM 2390X386X25+COR</v>
          </cell>
          <cell r="E30">
            <v>2390</v>
          </cell>
          <cell r="F30">
            <v>386</v>
          </cell>
        </row>
        <row r="31">
          <cell r="B31">
            <v>227102</v>
          </cell>
          <cell r="C31">
            <v>590160</v>
          </cell>
          <cell r="D31" t="str">
            <v>FRENTE DIR ARM 2390X436X25+COR</v>
          </cell>
          <cell r="E31">
            <v>2390</v>
          </cell>
          <cell r="F31">
            <v>436</v>
          </cell>
        </row>
        <row r="32">
          <cell r="B32">
            <v>227110</v>
          </cell>
          <cell r="C32">
            <v>590183</v>
          </cell>
          <cell r="D32" t="str">
            <v>FRENTE ESQ ARM 2390X436X25+COR</v>
          </cell>
          <cell r="E32">
            <v>2390</v>
          </cell>
          <cell r="F32">
            <v>436</v>
          </cell>
        </row>
        <row r="33">
          <cell r="B33">
            <v>227103</v>
          </cell>
          <cell r="C33">
            <v>590161</v>
          </cell>
          <cell r="D33" t="str">
            <v>FRENTE DIR CTO 90 2390X468X25+COR</v>
          </cell>
          <cell r="E33">
            <v>2390</v>
          </cell>
          <cell r="F33">
            <v>468</v>
          </cell>
        </row>
        <row r="34">
          <cell r="B34">
            <v>227104</v>
          </cell>
          <cell r="C34">
            <v>590162</v>
          </cell>
          <cell r="D34" t="str">
            <v>FRENTE DIR ARM 2390X486X25+COR</v>
          </cell>
          <cell r="E34">
            <v>2390</v>
          </cell>
          <cell r="F34">
            <v>486</v>
          </cell>
        </row>
        <row r="35">
          <cell r="B35">
            <v>227111</v>
          </cell>
          <cell r="C35">
            <v>590184</v>
          </cell>
          <cell r="D35" t="str">
            <v>FRENTE ESQ ARM 2390X486X25+COR</v>
          </cell>
          <cell r="E35">
            <v>2390</v>
          </cell>
          <cell r="F35">
            <v>486</v>
          </cell>
        </row>
        <row r="36">
          <cell r="B36">
            <v>227105</v>
          </cell>
          <cell r="C36">
            <v>590163</v>
          </cell>
          <cell r="D36" t="str">
            <v>FRENTE ESQ CTO 90 S/ PUX 2390X492X25+COR</v>
          </cell>
          <cell r="E36">
            <v>2390</v>
          </cell>
          <cell r="F36">
            <v>492</v>
          </cell>
        </row>
        <row r="37">
          <cell r="B37">
            <v>227106</v>
          </cell>
          <cell r="C37">
            <v>590164</v>
          </cell>
          <cell r="D37" t="str">
            <v>FRENTE DIR ARM 2390X536X25+COR</v>
          </cell>
          <cell r="E37">
            <v>2390</v>
          </cell>
          <cell r="F37">
            <v>536</v>
          </cell>
        </row>
        <row r="38">
          <cell r="B38">
            <v>227112</v>
          </cell>
          <cell r="C38">
            <v>590185</v>
          </cell>
          <cell r="D38" t="str">
            <v>FRENTE ESQ ARM 2390X536X25+COR</v>
          </cell>
          <cell r="E38">
            <v>2390</v>
          </cell>
          <cell r="F38">
            <v>536</v>
          </cell>
        </row>
        <row r="39">
          <cell r="B39">
            <v>227107</v>
          </cell>
          <cell r="C39">
            <v>590165</v>
          </cell>
          <cell r="D39" t="str">
            <v>FRENTE DIR ARM 2390X586X25+COR</v>
          </cell>
          <cell r="E39">
            <v>2390</v>
          </cell>
          <cell r="F39">
            <v>586</v>
          </cell>
        </row>
        <row r="40">
          <cell r="B40">
            <v>227113</v>
          </cell>
          <cell r="C40">
            <v>590186</v>
          </cell>
          <cell r="D40" t="str">
            <v>FRENTE ESQ ARM 2390X586X25+COR</v>
          </cell>
          <cell r="E40">
            <v>2390</v>
          </cell>
          <cell r="F40">
            <v>586</v>
          </cell>
        </row>
        <row r="41">
          <cell r="B41">
            <v>227109</v>
          </cell>
          <cell r="C41">
            <v>590921</v>
          </cell>
          <cell r="D41" t="str">
            <v>FRENTE DIR ARM S/DOB 2390X586X25+COR</v>
          </cell>
          <cell r="E41">
            <v>2390</v>
          </cell>
          <cell r="F41">
            <v>586</v>
          </cell>
        </row>
        <row r="42">
          <cell r="B42">
            <v>227115</v>
          </cell>
          <cell r="C42">
            <v>590924</v>
          </cell>
          <cell r="D42" t="str">
            <v>FRENTE ESQ ARM S/DOB 2390X586X25+COR</v>
          </cell>
          <cell r="E42">
            <v>2390</v>
          </cell>
          <cell r="F42">
            <v>586</v>
          </cell>
        </row>
        <row r="43">
          <cell r="B43"/>
          <cell r="C43"/>
          <cell r="D43"/>
          <cell r="E43"/>
          <cell r="F43"/>
        </row>
        <row r="44">
          <cell r="B44">
            <v>227218</v>
          </cell>
          <cell r="C44">
            <v>590852</v>
          </cell>
          <cell r="D44" t="str">
            <v>FRENTE DIR ARM 2570X336X25+COR</v>
          </cell>
          <cell r="E44">
            <v>2570</v>
          </cell>
          <cell r="F44">
            <v>336</v>
          </cell>
        </row>
        <row r="45">
          <cell r="B45">
            <v>227219</v>
          </cell>
          <cell r="C45">
            <v>590863</v>
          </cell>
          <cell r="D45" t="str">
            <v>FRENTE ESQ ARM 2570X336X25+COR</v>
          </cell>
          <cell r="E45">
            <v>2570</v>
          </cell>
          <cell r="F45">
            <v>336</v>
          </cell>
        </row>
        <row r="46">
          <cell r="B46">
            <v>227200</v>
          </cell>
          <cell r="C46">
            <v>590166</v>
          </cell>
          <cell r="D46" t="str">
            <v>FRENTE DIR ARM 2570X386X25+COR</v>
          </cell>
          <cell r="E46">
            <v>2570</v>
          </cell>
          <cell r="F46">
            <v>386</v>
          </cell>
        </row>
        <row r="47">
          <cell r="B47">
            <v>227208</v>
          </cell>
          <cell r="C47">
            <v>590187</v>
          </cell>
          <cell r="D47" t="str">
            <v>FRENTE ESQ ARM 2570X386X25+COR</v>
          </cell>
          <cell r="E47">
            <v>2570</v>
          </cell>
          <cell r="F47">
            <v>386</v>
          </cell>
        </row>
        <row r="48">
          <cell r="B48">
            <v>227202</v>
          </cell>
          <cell r="C48">
            <v>590168</v>
          </cell>
          <cell r="D48" t="str">
            <v>FRENTE DIR ARM 2570X436X25+COR</v>
          </cell>
          <cell r="E48">
            <v>2570</v>
          </cell>
          <cell r="F48">
            <v>436</v>
          </cell>
        </row>
        <row r="49">
          <cell r="B49">
            <v>227210</v>
          </cell>
          <cell r="C49">
            <v>590189</v>
          </cell>
          <cell r="D49" t="str">
            <v>FRENTE ESQ ARM 2570X436X25+COR</v>
          </cell>
          <cell r="E49">
            <v>2570</v>
          </cell>
          <cell r="F49">
            <v>436</v>
          </cell>
        </row>
        <row r="50">
          <cell r="B50">
            <v>227203</v>
          </cell>
          <cell r="C50">
            <v>590169</v>
          </cell>
          <cell r="D50" t="str">
            <v>FRENTE DIR CTO 90 2570X468X25+COR</v>
          </cell>
          <cell r="E50">
            <v>2570</v>
          </cell>
          <cell r="F50">
            <v>468</v>
          </cell>
        </row>
        <row r="51">
          <cell r="B51">
            <v>227204</v>
          </cell>
          <cell r="C51">
            <v>590170</v>
          </cell>
          <cell r="D51" t="str">
            <v>FRENTE DIR ARM 2570X486X25+COR</v>
          </cell>
          <cell r="E51">
            <v>2570</v>
          </cell>
          <cell r="F51">
            <v>486</v>
          </cell>
        </row>
        <row r="52">
          <cell r="B52">
            <v>227211</v>
          </cell>
          <cell r="C52">
            <v>590190</v>
          </cell>
          <cell r="D52" t="str">
            <v>FRENTE ESQ ARM 2570X486X25+COR</v>
          </cell>
          <cell r="E52">
            <v>2570</v>
          </cell>
          <cell r="F52">
            <v>486</v>
          </cell>
        </row>
        <row r="53">
          <cell r="B53">
            <v>227205</v>
          </cell>
          <cell r="C53">
            <v>590171</v>
          </cell>
          <cell r="D53" t="str">
            <v>FRENTE ESQ CTO 90 S/ PUX 2570X492X25+COR</v>
          </cell>
          <cell r="E53">
            <v>2570</v>
          </cell>
          <cell r="F53">
            <v>492</v>
          </cell>
        </row>
        <row r="54">
          <cell r="B54">
            <v>227206</v>
          </cell>
          <cell r="C54">
            <v>590172</v>
          </cell>
          <cell r="D54" t="str">
            <v>FRENTE DIR ARM 2570X536X25+COR</v>
          </cell>
          <cell r="E54">
            <v>2570</v>
          </cell>
          <cell r="F54">
            <v>536</v>
          </cell>
        </row>
        <row r="55">
          <cell r="B55">
            <v>227212</v>
          </cell>
          <cell r="C55">
            <v>590191</v>
          </cell>
          <cell r="D55" t="str">
            <v>FRENTE ESQ ARM 2570X536X25+COR</v>
          </cell>
          <cell r="E55">
            <v>2570</v>
          </cell>
          <cell r="F55">
            <v>536</v>
          </cell>
        </row>
        <row r="56">
          <cell r="B56">
            <v>227207</v>
          </cell>
          <cell r="C56">
            <v>590173</v>
          </cell>
          <cell r="D56" t="str">
            <v>FRENTE DIR ARM 2570X586X25+COR</v>
          </cell>
          <cell r="E56">
            <v>2570</v>
          </cell>
          <cell r="F56">
            <v>586</v>
          </cell>
        </row>
        <row r="57">
          <cell r="B57">
            <v>227213</v>
          </cell>
          <cell r="C57">
            <v>590192</v>
          </cell>
          <cell r="D57" t="str">
            <v>FRENTE ESQ ARM 2570X586X25+COR</v>
          </cell>
          <cell r="E57">
            <v>2570</v>
          </cell>
          <cell r="F57">
            <v>586</v>
          </cell>
        </row>
        <row r="58">
          <cell r="B58">
            <v>227209</v>
          </cell>
          <cell r="C58">
            <v>590922</v>
          </cell>
          <cell r="D58" t="str">
            <v>FRENTE DIR ARM S/DOB 2570X586X25+COR</v>
          </cell>
          <cell r="E58">
            <v>2570</v>
          </cell>
          <cell r="F58">
            <v>586</v>
          </cell>
        </row>
        <row r="59">
          <cell r="B59">
            <v>227215</v>
          </cell>
          <cell r="C59">
            <v>590925</v>
          </cell>
          <cell r="D59" t="str">
            <v>FRENTE ESQ ARM S/DOB 2570X586X25+COR</v>
          </cell>
          <cell r="E59">
            <v>2570</v>
          </cell>
          <cell r="F59">
            <v>586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FIL ALUM ARCH"/>
      <sheetName val="VIDROS ARCH"/>
      <sheetName val="PAINEL"/>
      <sheetName val="PERFIS"/>
    </sheetNames>
    <sheetDataSet>
      <sheetData sheetId="0"/>
      <sheetData sheetId="1"/>
      <sheetData sheetId="2">
        <row r="23">
          <cell r="B23" t="str">
            <v>DESCRIÇÃO</v>
          </cell>
          <cell r="C23" t="str">
            <v>CÓD. PAINÉL</v>
          </cell>
        </row>
        <row r="24">
          <cell r="B24"/>
          <cell r="C24"/>
        </row>
        <row r="25">
          <cell r="B25"/>
          <cell r="C25"/>
        </row>
        <row r="26">
          <cell r="B26" t="str">
            <v>PAINEL EST FTE ALUM ARCH 1046X329X18 + COR</v>
          </cell>
          <cell r="C26">
            <v>10270</v>
          </cell>
        </row>
        <row r="27">
          <cell r="B27" t="str">
            <v>PAINEL EST FTE ALUM ARCH 1046X379X18 + COR</v>
          </cell>
          <cell r="C27">
            <v>10271</v>
          </cell>
        </row>
        <row r="28">
          <cell r="B28" t="str">
            <v>PAINEL EST FTE ALUM ARCH 1046X429X18 + COR</v>
          </cell>
          <cell r="C28">
            <v>10272</v>
          </cell>
        </row>
        <row r="29">
          <cell r="B29" t="str">
            <v>PAINEL EST FTE ALUM ARCH 1046X461X18 + COR</v>
          </cell>
          <cell r="C29">
            <v>10273</v>
          </cell>
        </row>
        <row r="30">
          <cell r="B30" t="str">
            <v>PAINEL EST FTE ALUM ARCH 1046X479X18 + COR</v>
          </cell>
          <cell r="C30">
            <v>10274</v>
          </cell>
        </row>
        <row r="31">
          <cell r="B31" t="str">
            <v>PAINEL EST FTE ALUM ARCH 1046X485X18 + COR</v>
          </cell>
          <cell r="C31">
            <v>10275</v>
          </cell>
        </row>
        <row r="32">
          <cell r="B32" t="str">
            <v>PAINEL EST FTE ALUM ARCH 1046X529X18 + COR</v>
          </cell>
          <cell r="C32">
            <v>10276</v>
          </cell>
        </row>
        <row r="33">
          <cell r="B33" t="str">
            <v>PAINEL EST FTE ALUM ARCH 1046X579X18 + COR</v>
          </cell>
          <cell r="C33">
            <v>10277</v>
          </cell>
        </row>
        <row r="37">
          <cell r="B37"/>
          <cell r="C37"/>
        </row>
        <row r="38">
          <cell r="B38" t="str">
            <v>DESCRIÇÃO</v>
          </cell>
          <cell r="C38" t="str">
            <v>CÓD. PAINÉL</v>
          </cell>
        </row>
        <row r="39">
          <cell r="B39"/>
          <cell r="C39"/>
        </row>
        <row r="41">
          <cell r="B41" t="str">
            <v>PAINEL EST FTE ALUM ARCH 2203X329X18 + COR</v>
          </cell>
          <cell r="C41">
            <v>10310</v>
          </cell>
        </row>
        <row r="42">
          <cell r="B42" t="str">
            <v>PAINEL EST FTE ALUM ARCH 2203X379X18 + COR</v>
          </cell>
          <cell r="C42">
            <v>10311</v>
          </cell>
        </row>
        <row r="43">
          <cell r="B43" t="str">
            <v>PAINEL EST FTE ALUM ARCH 2203X429X18 + COR</v>
          </cell>
          <cell r="C43">
            <v>10312</v>
          </cell>
        </row>
        <row r="44">
          <cell r="B44" t="str">
            <v>PAINEL EST FTE ALUM ARCH 2203X461X18 + COR</v>
          </cell>
          <cell r="C44">
            <v>10313</v>
          </cell>
        </row>
        <row r="45">
          <cell r="B45" t="str">
            <v>PAINEL EST FTE ALUM ARCH 2203X479X18 + COR</v>
          </cell>
          <cell r="C45">
            <v>10314</v>
          </cell>
        </row>
        <row r="46">
          <cell r="B46" t="str">
            <v>PAINEL EST FTE ALUM ARCH 2203X485X18 + COR</v>
          </cell>
          <cell r="C46">
            <v>10315</v>
          </cell>
        </row>
        <row r="47">
          <cell r="B47" t="str">
            <v>PAINEL EST FTE ALUM ARCH 2203X529X18 + COR</v>
          </cell>
          <cell r="C47">
            <v>10316</v>
          </cell>
        </row>
        <row r="48">
          <cell r="B48" t="str">
            <v>PAINEL EST FTE ALUM ARCH 2203X579X18 + COR</v>
          </cell>
          <cell r="C48">
            <v>10317</v>
          </cell>
        </row>
        <row r="50">
          <cell r="B50" t="str">
            <v>PAINEL EST FTE ALUM ARCH 2383X329X18 + COR</v>
          </cell>
          <cell r="C50">
            <v>10318</v>
          </cell>
        </row>
        <row r="51">
          <cell r="B51" t="str">
            <v>PAINEL EST FTE ALUM ARCH 2383X379X18 + COR</v>
          </cell>
          <cell r="C51">
            <v>10319</v>
          </cell>
        </row>
        <row r="52">
          <cell r="B52" t="str">
            <v>PAINEL EST FTE ALUM ARCH 2383X429X18 + COR</v>
          </cell>
          <cell r="C52">
            <v>10320</v>
          </cell>
        </row>
        <row r="53">
          <cell r="B53" t="str">
            <v>PAINEL EST FTE ALUM ARCH 2383X461X18 + COR</v>
          </cell>
          <cell r="C53">
            <v>10321</v>
          </cell>
        </row>
        <row r="54">
          <cell r="B54" t="str">
            <v>PAINEL EST FTE ALUM ARCH 2383X479X18 + COR</v>
          </cell>
          <cell r="C54">
            <v>10322</v>
          </cell>
        </row>
        <row r="55">
          <cell r="B55" t="str">
            <v>PAINEL EST FTE ALUM ARCH 2383X485X18 + COR</v>
          </cell>
          <cell r="C55">
            <v>10323</v>
          </cell>
        </row>
        <row r="56">
          <cell r="B56" t="str">
            <v>PAINEL EST FTE ALUM ARCH 2383X529X18 + COR</v>
          </cell>
          <cell r="C56">
            <v>10324</v>
          </cell>
        </row>
        <row r="57">
          <cell r="B57" t="str">
            <v>PAINEL EST FTE ALUM ARCH 2383X579X18 + COR</v>
          </cell>
          <cell r="C57">
            <v>10325</v>
          </cell>
        </row>
        <row r="59">
          <cell r="B59" t="str">
            <v>PAINEL EST FTE ALUM ARCH 2563X329X18 + COR</v>
          </cell>
          <cell r="C59">
            <v>10326</v>
          </cell>
        </row>
        <row r="60">
          <cell r="B60" t="str">
            <v>PAINEL EST FTE ALUM ARCH 2563X379X18 + COR</v>
          </cell>
          <cell r="C60">
            <v>10327</v>
          </cell>
        </row>
        <row r="61">
          <cell r="B61" t="str">
            <v>PAINEL EST FTE ALUM ARCH 2563X429X18 + COR</v>
          </cell>
          <cell r="C61">
            <v>10328</v>
          </cell>
        </row>
        <row r="62">
          <cell r="B62" t="str">
            <v>PAINEL EST FTE ALUM ARCH 2563X461X18 + COR</v>
          </cell>
          <cell r="C62">
            <v>10329</v>
          </cell>
        </row>
        <row r="63">
          <cell r="B63" t="str">
            <v>PAINEL EST FTE ALUM ARCH 2563X479X18 + COR</v>
          </cell>
          <cell r="C63">
            <v>10330</v>
          </cell>
        </row>
        <row r="64">
          <cell r="B64" t="str">
            <v>PAINEL EST FTE ALUM ARCH 2563X485X18 + COR</v>
          </cell>
          <cell r="C64">
            <v>10331</v>
          </cell>
        </row>
        <row r="65">
          <cell r="B65" t="str">
            <v>PAINEL EST FTE ALUM ARCH 2563X529X18 + COR</v>
          </cell>
          <cell r="C65">
            <v>10332</v>
          </cell>
        </row>
        <row r="66">
          <cell r="B66" t="str">
            <v>PAINEL EST FTE ALUM ARCH 2563X579X18 + COR</v>
          </cell>
          <cell r="C66">
            <v>10333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G COZ ALUM"/>
      <sheetName val="CG COZ ALUM ESP"/>
      <sheetName val="SLIM COZ ALUM"/>
      <sheetName val="SLIM COZ ALUM ESP"/>
      <sheetName val="AQUA COZ ALUM"/>
      <sheetName val="FILO COZ ALUM"/>
      <sheetName val="FILO COZ ALUM ESP"/>
      <sheetName val="CG DORM"/>
      <sheetName val="CG DORM ESP"/>
      <sheetName val="SLIM DORM"/>
      <sheetName val="SLIM DORM ESP"/>
      <sheetName val="FILO DORM ALUM"/>
      <sheetName val="FILO DORM ALUM ESP"/>
      <sheetName val="ARCH DORM ALUM"/>
      <sheetName val="ARCH DORM ALUM ESP"/>
      <sheetName val="PIANO DORM ALUM"/>
      <sheetName val="PIANO DORM ALUM ESP"/>
      <sheetName val="PIANO DORM ALUM-BP"/>
      <sheetName val="PIANO DORM ALUM-BP ESP"/>
      <sheetName val="PRAT ALUM FRAME"/>
      <sheetName val="Plan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7">
          <cell r="B7"/>
          <cell r="C7"/>
          <cell r="D7"/>
          <cell r="E7"/>
          <cell r="F7"/>
        </row>
        <row r="8">
          <cell r="B8" t="str">
            <v>COD. COMERCIAL</v>
          </cell>
          <cell r="C8" t="str">
            <v>CÓD. INTERNO</v>
          </cell>
          <cell r="D8" t="str">
            <v>DESCRIÇÃO</v>
          </cell>
          <cell r="E8" t="str">
            <v>ALTURA</v>
          </cell>
          <cell r="F8" t="str">
            <v>LARGURA</v>
          </cell>
        </row>
        <row r="9">
          <cell r="B9">
            <v>223000</v>
          </cell>
          <cell r="C9">
            <v>590000</v>
          </cell>
          <cell r="D9" t="str">
            <v>FRENTE ARTIC 354X595X20,3+COR</v>
          </cell>
          <cell r="E9">
            <v>354</v>
          </cell>
          <cell r="F9">
            <v>595</v>
          </cell>
        </row>
        <row r="10">
          <cell r="B10">
            <v>223001</v>
          </cell>
          <cell r="C10">
            <v>590001</v>
          </cell>
          <cell r="D10" t="str">
            <v>FRENTE ARTIC 354X695X20,3+COR</v>
          </cell>
          <cell r="E10">
            <v>354</v>
          </cell>
          <cell r="F10">
            <v>695</v>
          </cell>
        </row>
        <row r="11">
          <cell r="B11">
            <v>223002</v>
          </cell>
          <cell r="C11">
            <v>590002</v>
          </cell>
          <cell r="D11" t="str">
            <v>FRENTE ARTIC 354X795X20,3+COR</v>
          </cell>
          <cell r="E11">
            <v>354</v>
          </cell>
          <cell r="F11">
            <v>795</v>
          </cell>
        </row>
        <row r="12">
          <cell r="B12">
            <v>223003</v>
          </cell>
          <cell r="C12">
            <v>590003</v>
          </cell>
          <cell r="D12" t="str">
            <v>FRENTE ARTIC 354X895X20,3+COR</v>
          </cell>
          <cell r="E12">
            <v>354</v>
          </cell>
          <cell r="F12">
            <v>895</v>
          </cell>
        </row>
        <row r="13">
          <cell r="B13">
            <v>223004</v>
          </cell>
          <cell r="C13">
            <v>590004</v>
          </cell>
          <cell r="D13" t="str">
            <v>FRENTE ARTIC 354X995X20,3+COR</v>
          </cell>
          <cell r="E13">
            <v>354</v>
          </cell>
          <cell r="F13">
            <v>995</v>
          </cell>
        </row>
        <row r="14">
          <cell r="B14">
            <v>223005</v>
          </cell>
          <cell r="C14">
            <v>590005</v>
          </cell>
          <cell r="D14" t="str">
            <v>FRENTE ARTIC 354X1095X20,3+COR</v>
          </cell>
          <cell r="E14">
            <v>354</v>
          </cell>
          <cell r="F14">
            <v>1095</v>
          </cell>
        </row>
        <row r="15">
          <cell r="B15">
            <v>223006</v>
          </cell>
          <cell r="C15">
            <v>590006</v>
          </cell>
          <cell r="D15" t="str">
            <v>FRENTE ARTIC 354X1195X20,3+COR</v>
          </cell>
          <cell r="E15">
            <v>354</v>
          </cell>
          <cell r="F15">
            <v>1195</v>
          </cell>
        </row>
        <row r="16">
          <cell r="B16">
            <v>223007</v>
          </cell>
          <cell r="C16">
            <v>590007</v>
          </cell>
          <cell r="D16" t="str">
            <v>FRENTE ARTIC 354X1395X20,3+COR</v>
          </cell>
          <cell r="E16">
            <v>354</v>
          </cell>
          <cell r="F16">
            <v>1395</v>
          </cell>
        </row>
        <row r="17">
          <cell r="B17"/>
          <cell r="C17"/>
          <cell r="D17"/>
          <cell r="E17"/>
          <cell r="F17"/>
        </row>
        <row r="18">
          <cell r="B18">
            <v>223010</v>
          </cell>
          <cell r="C18">
            <v>590008</v>
          </cell>
          <cell r="D18" t="str">
            <v>FRENTE ARTIC S/ DOB 354X595X20,3+COR</v>
          </cell>
          <cell r="E18">
            <v>354</v>
          </cell>
          <cell r="F18">
            <v>595</v>
          </cell>
        </row>
        <row r="19">
          <cell r="B19">
            <v>223011</v>
          </cell>
          <cell r="C19">
            <v>590009</v>
          </cell>
          <cell r="D19" t="str">
            <v>FRENTE ARTIC S/ DOB 354X695X20,3+COR</v>
          </cell>
          <cell r="E19">
            <v>354</v>
          </cell>
          <cell r="F19">
            <v>695</v>
          </cell>
        </row>
        <row r="20">
          <cell r="B20">
            <v>223012</v>
          </cell>
          <cell r="C20">
            <v>590010</v>
          </cell>
          <cell r="D20" t="str">
            <v>FRENTE ARTIC S/ DOB 354X795X20,3+COR</v>
          </cell>
          <cell r="E20">
            <v>354</v>
          </cell>
          <cell r="F20">
            <v>795</v>
          </cell>
        </row>
        <row r="21">
          <cell r="B21">
            <v>223013</v>
          </cell>
          <cell r="C21">
            <v>590011</v>
          </cell>
          <cell r="D21" t="str">
            <v>FRENTE ARTIC S/ DOB 354X895X20,3+COR</v>
          </cell>
          <cell r="E21">
            <v>354</v>
          </cell>
          <cell r="F21">
            <v>895</v>
          </cell>
        </row>
        <row r="22">
          <cell r="B22">
            <v>223014</v>
          </cell>
          <cell r="C22">
            <v>590012</v>
          </cell>
          <cell r="D22" t="str">
            <v>FRENTE ARTIC S/ DOB 354X995X20,3+COR</v>
          </cell>
          <cell r="E22">
            <v>354</v>
          </cell>
          <cell r="F22">
            <v>995</v>
          </cell>
        </row>
        <row r="23">
          <cell r="B23">
            <v>223015</v>
          </cell>
          <cell r="C23">
            <v>590013</v>
          </cell>
          <cell r="D23" t="str">
            <v>FRENTE ARTIC S/ DOB 354X1095X20,3+COR</v>
          </cell>
          <cell r="E23">
            <v>354</v>
          </cell>
          <cell r="F23">
            <v>1095</v>
          </cell>
        </row>
        <row r="24">
          <cell r="B24">
            <v>223016</v>
          </cell>
          <cell r="C24">
            <v>590014</v>
          </cell>
          <cell r="D24" t="str">
            <v>FRENTE ARTIC S/ DOB 354X1195X20,3+COR</v>
          </cell>
          <cell r="E24">
            <v>354</v>
          </cell>
          <cell r="F24">
            <v>1195</v>
          </cell>
        </row>
        <row r="25">
          <cell r="B25">
            <v>223017</v>
          </cell>
          <cell r="C25">
            <v>590015</v>
          </cell>
          <cell r="D25" t="str">
            <v>FRENTE ARTIC S/ DOB 354X1395X20,3+COR</v>
          </cell>
          <cell r="E25">
            <v>354</v>
          </cell>
          <cell r="F25">
            <v>1395</v>
          </cell>
        </row>
        <row r="26">
          <cell r="B26"/>
          <cell r="C26"/>
          <cell r="D26"/>
          <cell r="E26"/>
          <cell r="F26"/>
        </row>
        <row r="27">
          <cell r="B27">
            <v>223038</v>
          </cell>
          <cell r="C27">
            <v>590510</v>
          </cell>
          <cell r="D27" t="str">
            <v>FRENTE ARTIC AVT 354X595X20,3+COR</v>
          </cell>
          <cell r="E27">
            <v>354</v>
          </cell>
          <cell r="F27">
            <v>595</v>
          </cell>
        </row>
        <row r="28">
          <cell r="B28">
            <v>223039</v>
          </cell>
          <cell r="C28">
            <v>590511</v>
          </cell>
          <cell r="D28" t="str">
            <v>FRENTE ARTIC AVT 354X695X20,3+COR</v>
          </cell>
          <cell r="E28">
            <v>354</v>
          </cell>
          <cell r="F28">
            <v>695</v>
          </cell>
        </row>
        <row r="29">
          <cell r="B29">
            <v>223040</v>
          </cell>
          <cell r="C29">
            <v>590512</v>
          </cell>
          <cell r="D29" t="str">
            <v>FRENTE ARTIC AVT 354X795X20,3+COR</v>
          </cell>
          <cell r="E29">
            <v>354</v>
          </cell>
          <cell r="F29">
            <v>795</v>
          </cell>
        </row>
        <row r="30">
          <cell r="B30">
            <v>223041</v>
          </cell>
          <cell r="C30">
            <v>590513</v>
          </cell>
          <cell r="D30" t="str">
            <v>FRENTE ARTIC AVT 354X895X20,3+COR</v>
          </cell>
          <cell r="E30">
            <v>354</v>
          </cell>
          <cell r="F30">
            <v>895</v>
          </cell>
        </row>
        <row r="31">
          <cell r="B31">
            <v>223042</v>
          </cell>
          <cell r="C31">
            <v>590514</v>
          </cell>
          <cell r="D31" t="str">
            <v>FRENTE ARTIC AVT 354X995X20,3+COR</v>
          </cell>
          <cell r="E31">
            <v>354</v>
          </cell>
          <cell r="F31">
            <v>995</v>
          </cell>
        </row>
        <row r="32">
          <cell r="B32">
            <v>223043</v>
          </cell>
          <cell r="C32">
            <v>590515</v>
          </cell>
          <cell r="D32" t="str">
            <v>FRENTE ARTIC AVT 354X1095X20,3+COR</v>
          </cell>
          <cell r="E32">
            <v>354</v>
          </cell>
          <cell r="F32">
            <v>1095</v>
          </cell>
        </row>
        <row r="33">
          <cell r="B33">
            <v>223044</v>
          </cell>
          <cell r="C33">
            <v>590516</v>
          </cell>
          <cell r="D33" t="str">
            <v>FRENTE ARTIC AVT 354X1195X20,3+COR</v>
          </cell>
          <cell r="E33">
            <v>354</v>
          </cell>
          <cell r="F33">
            <v>1195</v>
          </cell>
        </row>
        <row r="34">
          <cell r="B34">
            <v>223045</v>
          </cell>
          <cell r="C34">
            <v>590517</v>
          </cell>
          <cell r="D34" t="str">
            <v>FRENTE ARTIC AVT 354X1395X20,3+COR</v>
          </cell>
          <cell r="E34">
            <v>354</v>
          </cell>
          <cell r="F34">
            <v>1395</v>
          </cell>
        </row>
        <row r="35">
          <cell r="B35"/>
          <cell r="C35"/>
          <cell r="D35"/>
          <cell r="E35"/>
          <cell r="F35"/>
        </row>
        <row r="36">
          <cell r="B36">
            <v>223830</v>
          </cell>
          <cell r="C36">
            <v>590680</v>
          </cell>
          <cell r="D36" t="str">
            <v>FRENTE ARTIC 444X595X20,3+COR</v>
          </cell>
          <cell r="E36">
            <v>444</v>
          </cell>
          <cell r="F36">
            <v>595</v>
          </cell>
        </row>
        <row r="37">
          <cell r="B37">
            <v>223831</v>
          </cell>
          <cell r="C37">
            <v>590681</v>
          </cell>
          <cell r="D37" t="str">
            <v>FRENTE ARTIC 444X695X20,3+COR</v>
          </cell>
          <cell r="E37">
            <v>444</v>
          </cell>
          <cell r="F37">
            <v>695</v>
          </cell>
        </row>
        <row r="38">
          <cell r="B38">
            <v>223832</v>
          </cell>
          <cell r="C38">
            <v>590682</v>
          </cell>
          <cell r="D38" t="str">
            <v>FRENTE ARTIC 444X795X20,3+COR</v>
          </cell>
          <cell r="E38">
            <v>444</v>
          </cell>
          <cell r="F38">
            <v>795</v>
          </cell>
        </row>
        <row r="39">
          <cell r="B39">
            <v>223833</v>
          </cell>
          <cell r="C39">
            <v>590683</v>
          </cell>
          <cell r="D39" t="str">
            <v>FRENTE ARTIC 444X895X20,3+COR</v>
          </cell>
          <cell r="E39">
            <v>444</v>
          </cell>
          <cell r="F39">
            <v>895</v>
          </cell>
        </row>
        <row r="40">
          <cell r="B40">
            <v>223834</v>
          </cell>
          <cell r="C40">
            <v>590684</v>
          </cell>
          <cell r="D40" t="str">
            <v>FRENTE ARTIC 444X995X20,3+COR</v>
          </cell>
          <cell r="E40">
            <v>444</v>
          </cell>
          <cell r="F40">
            <v>995</v>
          </cell>
        </row>
        <row r="41">
          <cell r="B41">
            <v>223835</v>
          </cell>
          <cell r="C41">
            <v>590685</v>
          </cell>
          <cell r="D41" t="str">
            <v>FRENTE ARTIC 444X1095X20,3+COR</v>
          </cell>
          <cell r="E41">
            <v>444</v>
          </cell>
          <cell r="F41">
            <v>1095</v>
          </cell>
        </row>
        <row r="42">
          <cell r="B42">
            <v>223836</v>
          </cell>
          <cell r="C42">
            <v>590686</v>
          </cell>
          <cell r="D42" t="str">
            <v>FRENTE ARTIC 444X1195X20,3+COR</v>
          </cell>
          <cell r="E42">
            <v>444</v>
          </cell>
          <cell r="F42">
            <v>1195</v>
          </cell>
        </row>
        <row r="43">
          <cell r="B43">
            <v>223837</v>
          </cell>
          <cell r="C43">
            <v>590687</v>
          </cell>
          <cell r="D43" t="str">
            <v>FRENTE ARTIC 444X1395X20,3+COR</v>
          </cell>
          <cell r="E43">
            <v>444</v>
          </cell>
          <cell r="F43">
            <v>1395</v>
          </cell>
        </row>
        <row r="44">
          <cell r="B44"/>
          <cell r="C44"/>
          <cell r="D44"/>
          <cell r="E44"/>
          <cell r="F44"/>
        </row>
        <row r="45">
          <cell r="B45">
            <v>223840</v>
          </cell>
          <cell r="C45">
            <v>590688</v>
          </cell>
          <cell r="D45" t="str">
            <v>FRENTE ARTIC S/ DOB 444X595X20,3+COR</v>
          </cell>
          <cell r="E45">
            <v>444</v>
          </cell>
          <cell r="F45">
            <v>595</v>
          </cell>
        </row>
        <row r="46">
          <cell r="B46">
            <v>223841</v>
          </cell>
          <cell r="C46">
            <v>590689</v>
          </cell>
          <cell r="D46" t="str">
            <v>FRENTE ARTIC S/ DOB 444X695X20,3+COR</v>
          </cell>
          <cell r="E46">
            <v>444</v>
          </cell>
          <cell r="F46">
            <v>695</v>
          </cell>
        </row>
        <row r="47">
          <cell r="B47">
            <v>223842</v>
          </cell>
          <cell r="C47">
            <v>590690</v>
          </cell>
          <cell r="D47" t="str">
            <v>FRENTE ARTIC S/ DOB 444X795X20,3+COR</v>
          </cell>
          <cell r="E47">
            <v>444</v>
          </cell>
          <cell r="F47">
            <v>795</v>
          </cell>
        </row>
        <row r="48">
          <cell r="B48">
            <v>223843</v>
          </cell>
          <cell r="C48">
            <v>590691</v>
          </cell>
          <cell r="D48" t="str">
            <v>FRENTE ARTIC S/ DOB 444X895X20,3+COR</v>
          </cell>
          <cell r="E48">
            <v>444</v>
          </cell>
          <cell r="F48">
            <v>895</v>
          </cell>
        </row>
        <row r="49">
          <cell r="B49">
            <v>223844</v>
          </cell>
          <cell r="C49">
            <v>590692</v>
          </cell>
          <cell r="D49" t="str">
            <v>FRENTE ARTIC S/ DOB 444X995X20,3+COR</v>
          </cell>
          <cell r="E49">
            <v>444</v>
          </cell>
          <cell r="F49">
            <v>995</v>
          </cell>
        </row>
        <row r="50">
          <cell r="B50">
            <v>223845</v>
          </cell>
          <cell r="C50">
            <v>590693</v>
          </cell>
          <cell r="D50" t="str">
            <v>FRENTE ARTIC S/ DOB 444X1095X20,3+COR</v>
          </cell>
          <cell r="E50">
            <v>444</v>
          </cell>
          <cell r="F50">
            <v>1095</v>
          </cell>
        </row>
        <row r="51">
          <cell r="B51">
            <v>223846</v>
          </cell>
          <cell r="C51">
            <v>590694</v>
          </cell>
          <cell r="D51" t="str">
            <v>FRENTE ARTIC S/ DOB 444X1195X20,3+COR</v>
          </cell>
          <cell r="E51">
            <v>444</v>
          </cell>
          <cell r="F51">
            <v>1195</v>
          </cell>
        </row>
        <row r="52">
          <cell r="B52">
            <v>223847</v>
          </cell>
          <cell r="C52">
            <v>590695</v>
          </cell>
          <cell r="D52" t="str">
            <v>FRENTE ARTIC S/ DOB 444X1395X20,3+COR</v>
          </cell>
          <cell r="E52">
            <v>444</v>
          </cell>
          <cell r="F52">
            <v>1395</v>
          </cell>
        </row>
        <row r="53">
          <cell r="B53"/>
          <cell r="C53"/>
          <cell r="D53"/>
          <cell r="E53"/>
          <cell r="F53"/>
        </row>
        <row r="54">
          <cell r="B54">
            <v>223870</v>
          </cell>
          <cell r="C54">
            <v>590696</v>
          </cell>
          <cell r="D54" t="str">
            <v>FRENTE ARTIC AVT 444X595X20,3+COR</v>
          </cell>
          <cell r="E54">
            <v>444</v>
          </cell>
          <cell r="F54">
            <v>595</v>
          </cell>
        </row>
        <row r="55">
          <cell r="B55">
            <v>223871</v>
          </cell>
          <cell r="C55">
            <v>590697</v>
          </cell>
          <cell r="D55" t="str">
            <v>FRENTE ARTIC AVT 444X695X20,3+COR</v>
          </cell>
          <cell r="E55">
            <v>444</v>
          </cell>
          <cell r="F55">
            <v>695</v>
          </cell>
        </row>
        <row r="56">
          <cell r="B56">
            <v>223872</v>
          </cell>
          <cell r="C56">
            <v>590698</v>
          </cell>
          <cell r="D56" t="str">
            <v>FRENTE ARTIC AVT 444X795X20,3+COR</v>
          </cell>
          <cell r="E56">
            <v>444</v>
          </cell>
          <cell r="F56">
            <v>795</v>
          </cell>
        </row>
        <row r="57">
          <cell r="B57">
            <v>223873</v>
          </cell>
          <cell r="C57">
            <v>590699</v>
          </cell>
          <cell r="D57" t="str">
            <v>FRENTE ARTIC AVT 444X895X20,3+COR</v>
          </cell>
          <cell r="E57">
            <v>444</v>
          </cell>
          <cell r="F57">
            <v>895</v>
          </cell>
        </row>
        <row r="58">
          <cell r="B58">
            <v>223874</v>
          </cell>
          <cell r="C58">
            <v>590700</v>
          </cell>
          <cell r="D58" t="str">
            <v>FRENTE ARTIC AVT 444X995X20,3+COR</v>
          </cell>
          <cell r="E58">
            <v>444</v>
          </cell>
          <cell r="F58">
            <v>995</v>
          </cell>
        </row>
        <row r="59">
          <cell r="B59">
            <v>223875</v>
          </cell>
          <cell r="C59">
            <v>590701</v>
          </cell>
          <cell r="D59" t="str">
            <v>FRENTE ARTIC AVT 444X1095X20,3+COR</v>
          </cell>
          <cell r="E59">
            <v>444</v>
          </cell>
          <cell r="F59">
            <v>1095</v>
          </cell>
        </row>
        <row r="60">
          <cell r="B60">
            <v>223876</v>
          </cell>
          <cell r="C60">
            <v>590702</v>
          </cell>
          <cell r="D60" t="str">
            <v>FRENTE ARTIC AVT 444X1195X20,3+COR</v>
          </cell>
          <cell r="E60">
            <v>444</v>
          </cell>
          <cell r="F60">
            <v>1195</v>
          </cell>
        </row>
        <row r="61">
          <cell r="B61">
            <v>223877</v>
          </cell>
          <cell r="C61">
            <v>590703</v>
          </cell>
          <cell r="D61" t="str">
            <v>FRENTE ARTIC AVT 444X1395X20,3+COR</v>
          </cell>
          <cell r="E61">
            <v>444</v>
          </cell>
          <cell r="F61">
            <v>1395</v>
          </cell>
        </row>
        <row r="62">
          <cell r="B62"/>
          <cell r="C62"/>
          <cell r="D62"/>
          <cell r="E62"/>
          <cell r="F62"/>
        </row>
        <row r="63">
          <cell r="B63">
            <v>223020</v>
          </cell>
          <cell r="C63">
            <v>590016</v>
          </cell>
          <cell r="D63" t="str">
            <v>FRENTE ARTIC 534X595X20,3+COR</v>
          </cell>
          <cell r="E63">
            <v>534</v>
          </cell>
          <cell r="F63">
            <v>595</v>
          </cell>
        </row>
        <row r="64">
          <cell r="B64">
            <v>223021</v>
          </cell>
          <cell r="C64">
            <v>590017</v>
          </cell>
          <cell r="D64" t="str">
            <v>FRENTE ARTIC 534X695X20,3+COR</v>
          </cell>
          <cell r="E64">
            <v>534</v>
          </cell>
          <cell r="F64">
            <v>695</v>
          </cell>
        </row>
        <row r="65">
          <cell r="B65">
            <v>223022</v>
          </cell>
          <cell r="C65">
            <v>590018</v>
          </cell>
          <cell r="D65" t="str">
            <v>FRENTE ARTIC 534X795X20,3+COR</v>
          </cell>
          <cell r="E65">
            <v>534</v>
          </cell>
          <cell r="F65">
            <v>795</v>
          </cell>
        </row>
        <row r="66">
          <cell r="B66">
            <v>223023</v>
          </cell>
          <cell r="C66">
            <v>590019</v>
          </cell>
          <cell r="D66" t="str">
            <v>FRENTE ARTIC 534X895X20,3+COR</v>
          </cell>
          <cell r="E66">
            <v>534</v>
          </cell>
          <cell r="F66">
            <v>895</v>
          </cell>
        </row>
        <row r="67">
          <cell r="B67">
            <v>223024</v>
          </cell>
          <cell r="C67">
            <v>590020</v>
          </cell>
          <cell r="D67" t="str">
            <v>FRENTE ARTIC 534X995X20,3+COR</v>
          </cell>
          <cell r="E67">
            <v>534</v>
          </cell>
          <cell r="F67">
            <v>995</v>
          </cell>
        </row>
        <row r="68">
          <cell r="B68">
            <v>223025</v>
          </cell>
          <cell r="C68">
            <v>590021</v>
          </cell>
          <cell r="D68" t="str">
            <v>FRENTE ARTIC 534X1095X20,3+COR</v>
          </cell>
          <cell r="E68">
            <v>534</v>
          </cell>
          <cell r="F68">
            <v>1095</v>
          </cell>
        </row>
        <row r="69">
          <cell r="B69">
            <v>223026</v>
          </cell>
          <cell r="C69">
            <v>590022</v>
          </cell>
          <cell r="D69" t="str">
            <v>FRENTE ARTIC 534X1195X20,3+COR</v>
          </cell>
          <cell r="E69">
            <v>534</v>
          </cell>
          <cell r="F69">
            <v>1195</v>
          </cell>
        </row>
        <row r="70">
          <cell r="B70">
            <v>223027</v>
          </cell>
          <cell r="C70">
            <v>590023</v>
          </cell>
          <cell r="D70" t="str">
            <v>FRENTE ARTIC 534X1395X20,3+COR</v>
          </cell>
          <cell r="E70">
            <v>534</v>
          </cell>
          <cell r="F70">
            <v>1395</v>
          </cell>
        </row>
        <row r="71">
          <cell r="B71"/>
          <cell r="C71"/>
          <cell r="D71"/>
          <cell r="E71"/>
          <cell r="F71"/>
        </row>
        <row r="72">
          <cell r="B72">
            <v>223030</v>
          </cell>
          <cell r="C72">
            <v>590024</v>
          </cell>
          <cell r="D72" t="str">
            <v>FRENTE ARTIC S/ DOB 534X595X20,3+COR</v>
          </cell>
          <cell r="E72">
            <v>534</v>
          </cell>
          <cell r="F72">
            <v>595</v>
          </cell>
        </row>
        <row r="73">
          <cell r="B73">
            <v>223031</v>
          </cell>
          <cell r="C73">
            <v>590025</v>
          </cell>
          <cell r="D73" t="str">
            <v>FRENTE ARTIC S/ DOB 534X695X20,3+COR</v>
          </cell>
          <cell r="E73">
            <v>534</v>
          </cell>
          <cell r="F73">
            <v>695</v>
          </cell>
        </row>
        <row r="74">
          <cell r="B74">
            <v>223032</v>
          </cell>
          <cell r="C74">
            <v>590026</v>
          </cell>
          <cell r="D74" t="str">
            <v>FRENTE ARTIC S/ DOB 534X795X20,3+COR</v>
          </cell>
          <cell r="E74">
            <v>534</v>
          </cell>
          <cell r="F74">
            <v>795</v>
          </cell>
        </row>
        <row r="75">
          <cell r="B75">
            <v>223033</v>
          </cell>
          <cell r="C75">
            <v>590027</v>
          </cell>
          <cell r="D75" t="str">
            <v>FRENTE ARTIC S/ DOB 534X895X20,3+COR</v>
          </cell>
          <cell r="E75">
            <v>534</v>
          </cell>
          <cell r="F75">
            <v>895</v>
          </cell>
        </row>
        <row r="76">
          <cell r="B76">
            <v>223034</v>
          </cell>
          <cell r="C76">
            <v>590028</v>
          </cell>
          <cell r="D76" t="str">
            <v>FRENTE ARTIC S/ DOB 534X995X20,3+COR</v>
          </cell>
          <cell r="E76">
            <v>534</v>
          </cell>
          <cell r="F76">
            <v>995</v>
          </cell>
        </row>
        <row r="77">
          <cell r="B77">
            <v>223035</v>
          </cell>
          <cell r="C77">
            <v>590029</v>
          </cell>
          <cell r="D77" t="str">
            <v>FRENTE ARTIC S/ DOB 534X1095X20,3+COR</v>
          </cell>
          <cell r="E77">
            <v>534</v>
          </cell>
          <cell r="F77">
            <v>1095</v>
          </cell>
        </row>
        <row r="78">
          <cell r="B78">
            <v>223036</v>
          </cell>
          <cell r="C78">
            <v>590030</v>
          </cell>
          <cell r="D78" t="str">
            <v>FRENTE ARTIC S/ DOB 534X1195X20,3+COR</v>
          </cell>
          <cell r="E78">
            <v>534</v>
          </cell>
          <cell r="F78">
            <v>1195</v>
          </cell>
        </row>
        <row r="79">
          <cell r="B79">
            <v>223037</v>
          </cell>
          <cell r="C79">
            <v>590031</v>
          </cell>
          <cell r="D79" t="str">
            <v>FRENTE ARTIC S/ DOB 534X1395X20,3+COR</v>
          </cell>
          <cell r="E79">
            <v>534</v>
          </cell>
          <cell r="F79">
            <v>1395</v>
          </cell>
        </row>
        <row r="80">
          <cell r="B80"/>
          <cell r="C80"/>
          <cell r="D80"/>
          <cell r="E80"/>
          <cell r="F80"/>
        </row>
        <row r="81">
          <cell r="B81">
            <v>223100</v>
          </cell>
          <cell r="C81">
            <v>590032</v>
          </cell>
          <cell r="D81" t="str">
            <v>FRENTE DIR 535X295X20,3+COR</v>
          </cell>
          <cell r="E81">
            <v>535</v>
          </cell>
          <cell r="F81">
            <v>295</v>
          </cell>
        </row>
        <row r="82">
          <cell r="B82">
            <v>223120</v>
          </cell>
          <cell r="C82">
            <v>590518</v>
          </cell>
          <cell r="D82" t="str">
            <v>FRENTE ESQ 535X295X20,3+COR</v>
          </cell>
          <cell r="E82">
            <v>535</v>
          </cell>
          <cell r="F82">
            <v>295</v>
          </cell>
        </row>
        <row r="83">
          <cell r="B83">
            <v>223101</v>
          </cell>
          <cell r="C83">
            <v>590033</v>
          </cell>
          <cell r="D83" t="str">
            <v>FRENTE DIR 535X345X20,3+COR</v>
          </cell>
          <cell r="E83">
            <v>535</v>
          </cell>
          <cell r="F83">
            <v>345</v>
          </cell>
        </row>
        <row r="84">
          <cell r="B84">
            <v>223121</v>
          </cell>
          <cell r="C84">
            <v>590519</v>
          </cell>
          <cell r="D84" t="str">
            <v>FRENTE ESQ 535X345X20,3+COR</v>
          </cell>
          <cell r="E84">
            <v>535</v>
          </cell>
          <cell r="F84">
            <v>345</v>
          </cell>
        </row>
        <row r="85">
          <cell r="B85">
            <v>223102</v>
          </cell>
          <cell r="C85">
            <v>590034</v>
          </cell>
          <cell r="D85" t="str">
            <v>FRENTE DIR 535X395X20,3+COR</v>
          </cell>
          <cell r="E85">
            <v>535</v>
          </cell>
          <cell r="F85">
            <v>395</v>
          </cell>
        </row>
        <row r="86">
          <cell r="B86">
            <v>223122</v>
          </cell>
          <cell r="C86">
            <v>590520</v>
          </cell>
          <cell r="D86" t="str">
            <v>FRENTE ESQ 535X395X20,3+COR</v>
          </cell>
          <cell r="E86">
            <v>535</v>
          </cell>
          <cell r="F86">
            <v>395</v>
          </cell>
        </row>
        <row r="87">
          <cell r="B87">
            <v>223103</v>
          </cell>
          <cell r="C87">
            <v>590035</v>
          </cell>
          <cell r="D87" t="str">
            <v>FRENTE DIR 535X445X20,3+COR</v>
          </cell>
          <cell r="E87">
            <v>535</v>
          </cell>
          <cell r="F87">
            <v>445</v>
          </cell>
        </row>
        <row r="88">
          <cell r="B88">
            <v>223123</v>
          </cell>
          <cell r="C88">
            <v>590521</v>
          </cell>
          <cell r="D88" t="str">
            <v>FRENTE ESQ 535X445X20,3+COR</v>
          </cell>
          <cell r="E88">
            <v>535</v>
          </cell>
          <cell r="F88">
            <v>445</v>
          </cell>
        </row>
        <row r="89">
          <cell r="B89">
            <v>223104</v>
          </cell>
          <cell r="C89">
            <v>590036</v>
          </cell>
          <cell r="D89" t="str">
            <v>FRENTE DIR 535X495X20,3+COR</v>
          </cell>
          <cell r="E89">
            <v>535</v>
          </cell>
          <cell r="F89">
            <v>495</v>
          </cell>
        </row>
        <row r="90">
          <cell r="B90">
            <v>223124</v>
          </cell>
          <cell r="C90">
            <v>590522</v>
          </cell>
          <cell r="D90" t="str">
            <v>FRENTE ESQ 535X495X20,3+COR</v>
          </cell>
          <cell r="E90">
            <v>535</v>
          </cell>
          <cell r="F90">
            <v>495</v>
          </cell>
        </row>
        <row r="91">
          <cell r="B91">
            <v>223106</v>
          </cell>
          <cell r="C91">
            <v>590038</v>
          </cell>
          <cell r="D91" t="str">
            <v>FRENTE DIR CTO RETO/CTO 90 535X520X20,3+COR</v>
          </cell>
          <cell r="E91">
            <v>535</v>
          </cell>
          <cell r="F91">
            <v>520</v>
          </cell>
        </row>
        <row r="92">
          <cell r="B92">
            <v>223126</v>
          </cell>
          <cell r="C92">
            <v>590523</v>
          </cell>
          <cell r="D92" t="str">
            <v>FRENTE ESQ CTO RETO 535X520X20,3+COR</v>
          </cell>
          <cell r="E92">
            <v>535</v>
          </cell>
          <cell r="F92">
            <v>520</v>
          </cell>
        </row>
        <row r="93">
          <cell r="B93">
            <v>223107</v>
          </cell>
          <cell r="C93">
            <v>590039</v>
          </cell>
          <cell r="D93" t="str">
            <v>FRENTE CTO 90 S/ PUX 535X541X20,3+COR</v>
          </cell>
          <cell r="E93">
            <v>535</v>
          </cell>
          <cell r="F93">
            <v>541</v>
          </cell>
        </row>
        <row r="94">
          <cell r="B94">
            <v>223108</v>
          </cell>
          <cell r="C94">
            <v>590040</v>
          </cell>
          <cell r="D94" t="str">
            <v>FRENTE DIR 535X545X20,3+COR</v>
          </cell>
          <cell r="E94">
            <v>535</v>
          </cell>
          <cell r="F94">
            <v>545</v>
          </cell>
        </row>
        <row r="95">
          <cell r="B95">
            <v>223128</v>
          </cell>
          <cell r="C95">
            <v>590524</v>
          </cell>
          <cell r="D95" t="str">
            <v>FRENTE ESQ 535X545X20,3+COR</v>
          </cell>
          <cell r="E95">
            <v>535</v>
          </cell>
          <cell r="F95">
            <v>545</v>
          </cell>
        </row>
        <row r="96">
          <cell r="B96">
            <v>223109</v>
          </cell>
          <cell r="C96">
            <v>590041</v>
          </cell>
          <cell r="D96" t="str">
            <v>FRENTE DIR 535X595X20,3+COR</v>
          </cell>
          <cell r="E96">
            <v>535</v>
          </cell>
          <cell r="F96">
            <v>595</v>
          </cell>
        </row>
        <row r="97">
          <cell r="B97">
            <v>223129</v>
          </cell>
          <cell r="C97">
            <v>590525</v>
          </cell>
          <cell r="D97" t="str">
            <v>FRENTE ESQ 535X595X20,3+COR</v>
          </cell>
          <cell r="E97">
            <v>535</v>
          </cell>
          <cell r="F97">
            <v>595</v>
          </cell>
        </row>
        <row r="98">
          <cell r="B98">
            <v>223110</v>
          </cell>
          <cell r="C98">
            <v>590903</v>
          </cell>
          <cell r="D98" t="str">
            <v>FRENTE DIR S/DOB 535X595X20,3+COR</v>
          </cell>
          <cell r="E98">
            <v>535</v>
          </cell>
          <cell r="F98">
            <v>595</v>
          </cell>
        </row>
        <row r="99">
          <cell r="B99">
            <v>223587</v>
          </cell>
          <cell r="C99">
            <v>590912</v>
          </cell>
          <cell r="D99" t="str">
            <v>FRENTE ESQ S/DOB 535X595X20,3+COR</v>
          </cell>
          <cell r="E99">
            <v>535</v>
          </cell>
          <cell r="F99">
            <v>595</v>
          </cell>
        </row>
        <row r="100">
          <cell r="B100"/>
          <cell r="C100"/>
          <cell r="D100"/>
          <cell r="E100"/>
          <cell r="F100"/>
        </row>
        <row r="101">
          <cell r="B101">
            <v>223213</v>
          </cell>
          <cell r="C101">
            <v>590242</v>
          </cell>
          <cell r="D101" t="str">
            <v>FRENTE PTA TDBOX TEMPERO 713X195X20,3+COR</v>
          </cell>
          <cell r="E101">
            <v>713</v>
          </cell>
          <cell r="F101">
            <v>195</v>
          </cell>
        </row>
        <row r="102">
          <cell r="B102">
            <v>223214</v>
          </cell>
          <cell r="C102">
            <v>590247</v>
          </cell>
          <cell r="D102" t="str">
            <v>FRENTE PTA TEMPERO 713X195X20,3+COR</v>
          </cell>
          <cell r="E102">
            <v>713</v>
          </cell>
          <cell r="F102">
            <v>195</v>
          </cell>
        </row>
        <row r="103">
          <cell r="B103">
            <v>223200</v>
          </cell>
          <cell r="C103">
            <v>590043</v>
          </cell>
          <cell r="D103" t="str">
            <v>FRENTE DIR 713X195X20,3+COR</v>
          </cell>
          <cell r="E103">
            <v>713</v>
          </cell>
          <cell r="F103">
            <v>195</v>
          </cell>
        </row>
        <row r="104">
          <cell r="B104">
            <v>223220</v>
          </cell>
          <cell r="C104">
            <v>590526</v>
          </cell>
          <cell r="D104" t="str">
            <v>FRENTE ESQ 713X195X20,3+COR</v>
          </cell>
          <cell r="E104">
            <v>713</v>
          </cell>
          <cell r="F104">
            <v>195</v>
          </cell>
        </row>
        <row r="105">
          <cell r="B105">
            <v>223201</v>
          </cell>
          <cell r="C105">
            <v>590044</v>
          </cell>
          <cell r="D105" t="str">
            <v>FRENTE DIR 713X295X20,3+COR</v>
          </cell>
          <cell r="E105">
            <v>713</v>
          </cell>
          <cell r="F105">
            <v>295</v>
          </cell>
        </row>
        <row r="106">
          <cell r="B106">
            <v>223221</v>
          </cell>
          <cell r="C106">
            <v>590527</v>
          </cell>
          <cell r="D106" t="str">
            <v>FRENTE ESQ 713X295X20,3+COR</v>
          </cell>
          <cell r="E106">
            <v>713</v>
          </cell>
          <cell r="F106">
            <v>295</v>
          </cell>
        </row>
        <row r="107">
          <cell r="B107">
            <v>223202</v>
          </cell>
          <cell r="C107">
            <v>590045</v>
          </cell>
          <cell r="D107" t="str">
            <v>FRENTE DIR 713X345X20,3+COR</v>
          </cell>
          <cell r="E107">
            <v>713</v>
          </cell>
          <cell r="F107">
            <v>345</v>
          </cell>
        </row>
        <row r="108">
          <cell r="B108">
            <v>223222</v>
          </cell>
          <cell r="C108">
            <v>590528</v>
          </cell>
          <cell r="D108" t="str">
            <v>FRENTE ESQ 713X345X20,3+COR</v>
          </cell>
          <cell r="E108">
            <v>713</v>
          </cell>
          <cell r="F108">
            <v>345</v>
          </cell>
        </row>
        <row r="109">
          <cell r="B109">
            <v>223203</v>
          </cell>
          <cell r="C109">
            <v>590046</v>
          </cell>
          <cell r="D109" t="str">
            <v>FRENTE DIR 713X395X20,3+COR</v>
          </cell>
          <cell r="E109">
            <v>713</v>
          </cell>
          <cell r="F109">
            <v>395</v>
          </cell>
        </row>
        <row r="110">
          <cell r="B110">
            <v>223223</v>
          </cell>
          <cell r="C110">
            <v>590529</v>
          </cell>
          <cell r="D110" t="str">
            <v>FRENTE ESQ 713X395X20,3+COR</v>
          </cell>
          <cell r="E110">
            <v>713</v>
          </cell>
          <cell r="F110">
            <v>395</v>
          </cell>
        </row>
        <row r="111">
          <cell r="B111">
            <v>223204</v>
          </cell>
          <cell r="C111">
            <v>590047</v>
          </cell>
          <cell r="D111" t="str">
            <v>FRENTE DIR 713X445X20,3+COR</v>
          </cell>
          <cell r="E111">
            <v>713</v>
          </cell>
          <cell r="F111">
            <v>445</v>
          </cell>
        </row>
        <row r="112">
          <cell r="B112">
            <v>223224</v>
          </cell>
          <cell r="C112">
            <v>590530</v>
          </cell>
          <cell r="D112" t="str">
            <v>FRENTE ESQ 713X445X20,3+COR</v>
          </cell>
          <cell r="E112">
            <v>713</v>
          </cell>
          <cell r="F112">
            <v>445</v>
          </cell>
        </row>
        <row r="113">
          <cell r="B113">
            <v>223205</v>
          </cell>
          <cell r="C113">
            <v>590048</v>
          </cell>
          <cell r="D113" t="str">
            <v>FRENTE CTO 90 713X481X20,3+COR</v>
          </cell>
          <cell r="E113">
            <v>713</v>
          </cell>
          <cell r="F113">
            <v>481</v>
          </cell>
        </row>
        <row r="114">
          <cell r="B114">
            <v>223206</v>
          </cell>
          <cell r="C114">
            <v>590049</v>
          </cell>
          <cell r="D114" t="str">
            <v>FRENTE CTO 90 S/ PUX 713X501X20,3+COR</v>
          </cell>
          <cell r="E114">
            <v>713</v>
          </cell>
          <cell r="F114">
            <v>501</v>
          </cell>
        </row>
        <row r="115">
          <cell r="B115">
            <v>223207</v>
          </cell>
          <cell r="C115">
            <v>590050</v>
          </cell>
          <cell r="D115" t="str">
            <v>FRENTE DIR 713X495X20,3+COR</v>
          </cell>
          <cell r="E115">
            <v>713</v>
          </cell>
          <cell r="F115">
            <v>495</v>
          </cell>
        </row>
        <row r="116">
          <cell r="B116">
            <v>223227</v>
          </cell>
          <cell r="C116">
            <v>590531</v>
          </cell>
          <cell r="D116" t="str">
            <v>FRENTE ESQ 713X495X20,3+COR</v>
          </cell>
          <cell r="E116">
            <v>713</v>
          </cell>
          <cell r="F116">
            <v>495</v>
          </cell>
        </row>
        <row r="117">
          <cell r="B117">
            <v>223209</v>
          </cell>
          <cell r="C117">
            <v>590052</v>
          </cell>
          <cell r="D117" t="str">
            <v>FRENTE DIR CTO RETO/CTO 90 713X520X20,3+COR</v>
          </cell>
          <cell r="E117">
            <v>713</v>
          </cell>
          <cell r="F117">
            <v>520</v>
          </cell>
        </row>
        <row r="118">
          <cell r="B118">
            <v>223229</v>
          </cell>
          <cell r="C118">
            <v>590532</v>
          </cell>
          <cell r="D118" t="str">
            <v>FRENTE ESQ CTO RETO 713X520X20,3+COR</v>
          </cell>
          <cell r="E118">
            <v>713</v>
          </cell>
          <cell r="F118">
            <v>520</v>
          </cell>
        </row>
        <row r="119">
          <cell r="B119">
            <v>223210</v>
          </cell>
          <cell r="C119">
            <v>590053</v>
          </cell>
          <cell r="D119" t="str">
            <v>FRENTE CTO 90 S/ PUX 713X541X20,3+COR</v>
          </cell>
          <cell r="E119">
            <v>713</v>
          </cell>
          <cell r="F119">
            <v>541</v>
          </cell>
        </row>
        <row r="120">
          <cell r="B120">
            <v>223211</v>
          </cell>
          <cell r="C120">
            <v>590054</v>
          </cell>
          <cell r="D120" t="str">
            <v>FRENTE DIR 713X545X20,3+COR</v>
          </cell>
          <cell r="E120">
            <v>713</v>
          </cell>
          <cell r="F120">
            <v>545</v>
          </cell>
        </row>
        <row r="121">
          <cell r="B121">
            <v>223231</v>
          </cell>
          <cell r="C121">
            <v>590533</v>
          </cell>
          <cell r="D121" t="str">
            <v>FRENTE ESQ 713X545X20,3+COR</v>
          </cell>
          <cell r="E121">
            <v>713</v>
          </cell>
          <cell r="F121">
            <v>545</v>
          </cell>
        </row>
        <row r="122">
          <cell r="B122">
            <v>223212</v>
          </cell>
          <cell r="C122">
            <v>590055</v>
          </cell>
          <cell r="D122" t="str">
            <v>FRENTE DIR 713X595X20,3+COR</v>
          </cell>
          <cell r="E122">
            <v>713</v>
          </cell>
          <cell r="F122">
            <v>595</v>
          </cell>
        </row>
        <row r="123">
          <cell r="B123">
            <v>223232</v>
          </cell>
          <cell r="C123">
            <v>590534</v>
          </cell>
          <cell r="D123" t="str">
            <v>FRENTE ESQ 713X595X20,3+COR</v>
          </cell>
          <cell r="E123">
            <v>713</v>
          </cell>
          <cell r="F123">
            <v>595</v>
          </cell>
        </row>
        <row r="124">
          <cell r="B124">
            <v>223215</v>
          </cell>
          <cell r="C124">
            <v>590904</v>
          </cell>
          <cell r="D124" t="str">
            <v>FRENTE DIR S/DOB 713X595X20,3+COR</v>
          </cell>
          <cell r="E124">
            <v>713</v>
          </cell>
          <cell r="F124">
            <v>595</v>
          </cell>
        </row>
        <row r="125">
          <cell r="B125">
            <v>223588</v>
          </cell>
          <cell r="C125">
            <v>590913</v>
          </cell>
          <cell r="D125" t="str">
            <v>FRENTE ESQ S/DOB 713X595X20,3+COR</v>
          </cell>
          <cell r="E125">
            <v>713</v>
          </cell>
          <cell r="F125">
            <v>595</v>
          </cell>
        </row>
        <row r="126">
          <cell r="B126">
            <v>223215</v>
          </cell>
          <cell r="C126">
            <v>590904</v>
          </cell>
          <cell r="D126" t="str">
            <v>FRENTE DIR S/DOB 713X595X20,3+COR</v>
          </cell>
          <cell r="E126">
            <v>713</v>
          </cell>
          <cell r="F126">
            <v>595</v>
          </cell>
        </row>
        <row r="127">
          <cell r="B127">
            <v>223300</v>
          </cell>
          <cell r="C127">
            <v>590056</v>
          </cell>
          <cell r="D127" t="str">
            <v>FRENTE DIR 895X295X20,3+COR</v>
          </cell>
          <cell r="E127">
            <v>895</v>
          </cell>
          <cell r="F127">
            <v>295</v>
          </cell>
        </row>
        <row r="128">
          <cell r="B128">
            <v>223320</v>
          </cell>
          <cell r="C128">
            <v>590535</v>
          </cell>
          <cell r="D128" t="str">
            <v>FRENTE ESQ 895X295X20,3+COR</v>
          </cell>
          <cell r="E128">
            <v>895</v>
          </cell>
          <cell r="F128">
            <v>295</v>
          </cell>
        </row>
        <row r="129">
          <cell r="B129">
            <v>223301</v>
          </cell>
          <cell r="C129">
            <v>590057</v>
          </cell>
          <cell r="D129" t="str">
            <v>FRENTE DIR 895X345X20,3+COR</v>
          </cell>
          <cell r="E129">
            <v>895</v>
          </cell>
          <cell r="F129">
            <v>345</v>
          </cell>
        </row>
        <row r="130">
          <cell r="B130">
            <v>223321</v>
          </cell>
          <cell r="C130">
            <v>590536</v>
          </cell>
          <cell r="D130" t="str">
            <v>FRENTE ESQ 895X345X20,3+COR</v>
          </cell>
          <cell r="E130">
            <v>895</v>
          </cell>
          <cell r="F130">
            <v>345</v>
          </cell>
        </row>
        <row r="131">
          <cell r="B131">
            <v>223302</v>
          </cell>
          <cell r="C131">
            <v>590058</v>
          </cell>
          <cell r="D131" t="str">
            <v>FRENTE DIR 895X395X20,3+COR</v>
          </cell>
          <cell r="E131">
            <v>895</v>
          </cell>
          <cell r="F131">
            <v>395</v>
          </cell>
        </row>
        <row r="132">
          <cell r="B132">
            <v>223322</v>
          </cell>
          <cell r="C132">
            <v>590537</v>
          </cell>
          <cell r="D132" t="str">
            <v>FRENTE ESQ 895X395X20,3+COR</v>
          </cell>
          <cell r="E132">
            <v>895</v>
          </cell>
          <cell r="F132">
            <v>395</v>
          </cell>
        </row>
        <row r="133">
          <cell r="B133">
            <v>223303</v>
          </cell>
          <cell r="C133">
            <v>590059</v>
          </cell>
          <cell r="D133" t="str">
            <v>FRENTE DIR 895X445X20,3+COR</v>
          </cell>
          <cell r="E133">
            <v>895</v>
          </cell>
          <cell r="F133">
            <v>445</v>
          </cell>
        </row>
        <row r="134">
          <cell r="B134">
            <v>223323</v>
          </cell>
          <cell r="C134">
            <v>590538</v>
          </cell>
          <cell r="D134" t="str">
            <v>FRENTE ESQ 895X445X20,3+COR</v>
          </cell>
          <cell r="E134">
            <v>895</v>
          </cell>
          <cell r="F134">
            <v>445</v>
          </cell>
        </row>
        <row r="135">
          <cell r="B135">
            <v>223304</v>
          </cell>
          <cell r="C135">
            <v>590060</v>
          </cell>
          <cell r="D135" t="str">
            <v>FRENTE DIR 895X495X20,3+COR</v>
          </cell>
          <cell r="E135">
            <v>895</v>
          </cell>
          <cell r="F135">
            <v>495</v>
          </cell>
        </row>
        <row r="136">
          <cell r="B136">
            <v>223324</v>
          </cell>
          <cell r="C136">
            <v>590539</v>
          </cell>
          <cell r="D136" t="str">
            <v>FRENTE ESQ 895X495X20,3+COR</v>
          </cell>
          <cell r="E136">
            <v>895</v>
          </cell>
          <cell r="F136">
            <v>495</v>
          </cell>
        </row>
        <row r="137">
          <cell r="B137">
            <v>223306</v>
          </cell>
          <cell r="C137">
            <v>590062</v>
          </cell>
          <cell r="D137" t="str">
            <v>FRENTE DIR CTO RETO/CTO 90 895X520X20,3+COR</v>
          </cell>
          <cell r="E137">
            <v>895</v>
          </cell>
          <cell r="F137">
            <v>520</v>
          </cell>
        </row>
        <row r="138">
          <cell r="B138">
            <v>223326</v>
          </cell>
          <cell r="C138">
            <v>590540</v>
          </cell>
          <cell r="D138" t="str">
            <v>FRENTE ESQ CTO RETO 895X520X20,3+COR</v>
          </cell>
          <cell r="E138">
            <v>895</v>
          </cell>
          <cell r="F138">
            <v>520</v>
          </cell>
        </row>
        <row r="139">
          <cell r="B139">
            <v>223307</v>
          </cell>
          <cell r="C139">
            <v>590063</v>
          </cell>
          <cell r="D139" t="str">
            <v>FRENTE CTO 90 S/ PUX 895X541X20,3+COR</v>
          </cell>
          <cell r="E139">
            <v>895</v>
          </cell>
          <cell r="F139">
            <v>541</v>
          </cell>
        </row>
        <row r="140">
          <cell r="B140">
            <v>223308</v>
          </cell>
          <cell r="C140">
            <v>590064</v>
          </cell>
          <cell r="D140" t="str">
            <v>FRENTE DIR 895X545X20,3+COR</v>
          </cell>
          <cell r="E140">
            <v>895</v>
          </cell>
          <cell r="F140">
            <v>545</v>
          </cell>
        </row>
        <row r="141">
          <cell r="B141">
            <v>223328</v>
          </cell>
          <cell r="C141">
            <v>590541</v>
          </cell>
          <cell r="D141" t="str">
            <v>FRENTE ESQ 895X545X20,3+COR</v>
          </cell>
          <cell r="E141">
            <v>895</v>
          </cell>
          <cell r="F141">
            <v>545</v>
          </cell>
        </row>
        <row r="142">
          <cell r="B142">
            <v>223309</v>
          </cell>
          <cell r="C142">
            <v>590065</v>
          </cell>
          <cell r="D142" t="str">
            <v>FRENTE DIR 895X595X20,3+COR</v>
          </cell>
          <cell r="E142">
            <v>895</v>
          </cell>
          <cell r="F142">
            <v>595</v>
          </cell>
        </row>
        <row r="143">
          <cell r="B143">
            <v>223329</v>
          </cell>
          <cell r="C143">
            <v>590542</v>
          </cell>
          <cell r="D143" t="str">
            <v>FRENTE ESQ 895X595X20,3+COR</v>
          </cell>
          <cell r="E143">
            <v>895</v>
          </cell>
          <cell r="F143">
            <v>595</v>
          </cell>
        </row>
        <row r="144">
          <cell r="B144">
            <v>223310</v>
          </cell>
          <cell r="C144">
            <v>590905</v>
          </cell>
          <cell r="D144" t="str">
            <v>FRENTE DIR S/DOB 895X595X20,3+COR</v>
          </cell>
          <cell r="E144">
            <v>895</v>
          </cell>
          <cell r="F144">
            <v>595</v>
          </cell>
        </row>
        <row r="145">
          <cell r="B145">
            <v>223589</v>
          </cell>
          <cell r="C145">
            <v>590914</v>
          </cell>
          <cell r="D145" t="str">
            <v>FRENTE ESQ S/DOB 895X595X20,3+COR</v>
          </cell>
          <cell r="E145">
            <v>895</v>
          </cell>
          <cell r="F145">
            <v>595</v>
          </cell>
        </row>
        <row r="146">
          <cell r="B146">
            <v>223310</v>
          </cell>
          <cell r="C146">
            <v>590905</v>
          </cell>
          <cell r="D146" t="str">
            <v>FRENTE DIR S/DOB 895X595X20,3+COR</v>
          </cell>
          <cell r="E146">
            <v>895</v>
          </cell>
          <cell r="F146">
            <v>595</v>
          </cell>
        </row>
        <row r="147">
          <cell r="B147">
            <v>223400</v>
          </cell>
          <cell r="C147">
            <v>590066</v>
          </cell>
          <cell r="D147" t="str">
            <v>FRENTE DIR 1075X295X20,3+COR</v>
          </cell>
          <cell r="E147">
            <v>1075</v>
          </cell>
          <cell r="F147">
            <v>295</v>
          </cell>
        </row>
        <row r="148">
          <cell r="B148">
            <v>223420</v>
          </cell>
          <cell r="C148">
            <v>590543</v>
          </cell>
          <cell r="D148" t="str">
            <v>FRENTE ESQ 1075X295X20,3+COR</v>
          </cell>
          <cell r="E148">
            <v>1075</v>
          </cell>
          <cell r="F148">
            <v>295</v>
          </cell>
        </row>
        <row r="149">
          <cell r="B149">
            <v>223401</v>
          </cell>
          <cell r="C149">
            <v>590067</v>
          </cell>
          <cell r="D149" t="str">
            <v>FRENTE DIR 1075X345X20,3+COR</v>
          </cell>
          <cell r="E149">
            <v>1075</v>
          </cell>
          <cell r="F149">
            <v>345</v>
          </cell>
        </row>
        <row r="150">
          <cell r="B150">
            <v>223421</v>
          </cell>
          <cell r="C150">
            <v>590544</v>
          </cell>
          <cell r="D150" t="str">
            <v>FRENTE ESQ 1075X345X20,3+COR</v>
          </cell>
          <cell r="E150">
            <v>1075</v>
          </cell>
          <cell r="F150">
            <v>345</v>
          </cell>
        </row>
        <row r="151">
          <cell r="B151">
            <v>223402</v>
          </cell>
          <cell r="C151">
            <v>590068</v>
          </cell>
          <cell r="D151" t="str">
            <v>FRENTE DIR 1075X395X20,3+COR</v>
          </cell>
          <cell r="E151">
            <v>1075</v>
          </cell>
          <cell r="F151">
            <v>395</v>
          </cell>
        </row>
        <row r="152">
          <cell r="B152">
            <v>223422</v>
          </cell>
          <cell r="C152">
            <v>590545</v>
          </cell>
          <cell r="D152" t="str">
            <v>FRENTE ESQ 1075X395X20,3+COR</v>
          </cell>
          <cell r="E152">
            <v>1075</v>
          </cell>
          <cell r="F152">
            <v>395</v>
          </cell>
        </row>
        <row r="153">
          <cell r="B153">
            <v>223403</v>
          </cell>
          <cell r="C153">
            <v>590069</v>
          </cell>
          <cell r="D153" t="str">
            <v>FRENTE DIR 1075X445X20,3+COR</v>
          </cell>
          <cell r="E153">
            <v>1075</v>
          </cell>
          <cell r="F153">
            <v>445</v>
          </cell>
        </row>
        <row r="154">
          <cell r="B154">
            <v>223423</v>
          </cell>
          <cell r="C154">
            <v>590546</v>
          </cell>
          <cell r="D154" t="str">
            <v>FRENTE ESQ 1075X445X20,3+COR</v>
          </cell>
          <cell r="E154">
            <v>1075</v>
          </cell>
          <cell r="F154">
            <v>445</v>
          </cell>
        </row>
        <row r="155">
          <cell r="B155">
            <v>223404</v>
          </cell>
          <cell r="C155">
            <v>590070</v>
          </cell>
          <cell r="D155" t="str">
            <v>FRENTE DIR 1075X495X20,3+COR</v>
          </cell>
          <cell r="E155">
            <v>1075</v>
          </cell>
          <cell r="F155">
            <v>495</v>
          </cell>
        </row>
        <row r="156">
          <cell r="B156">
            <v>223424</v>
          </cell>
          <cell r="C156">
            <v>590547</v>
          </cell>
          <cell r="D156" t="str">
            <v>FRENTE ESQ 1075X495X20,3+COR</v>
          </cell>
          <cell r="E156">
            <v>1075</v>
          </cell>
          <cell r="F156">
            <v>495</v>
          </cell>
        </row>
        <row r="157">
          <cell r="B157">
            <v>223406</v>
          </cell>
          <cell r="C157">
            <v>590072</v>
          </cell>
          <cell r="D157" t="str">
            <v>FRENTE DIR CTO RETO/CTO 90 1075X520X20,3+COR</v>
          </cell>
          <cell r="E157">
            <v>1075</v>
          </cell>
          <cell r="F157">
            <v>520</v>
          </cell>
        </row>
        <row r="158">
          <cell r="B158">
            <v>223426</v>
          </cell>
          <cell r="C158">
            <v>590548</v>
          </cell>
          <cell r="D158" t="str">
            <v>FRENTE ESQ CTO RETO 1075X520X20,3+COR</v>
          </cell>
          <cell r="E158">
            <v>1075</v>
          </cell>
          <cell r="F158">
            <v>520</v>
          </cell>
        </row>
        <row r="159">
          <cell r="B159">
            <v>223407</v>
          </cell>
          <cell r="C159">
            <v>590073</v>
          </cell>
          <cell r="D159" t="str">
            <v>FRENTE CTO 90 S/ PUX 1075X541X20,3+COR</v>
          </cell>
          <cell r="E159">
            <v>1075</v>
          </cell>
          <cell r="F159">
            <v>541</v>
          </cell>
        </row>
        <row r="160">
          <cell r="B160">
            <v>223408</v>
          </cell>
          <cell r="C160">
            <v>590074</v>
          </cell>
          <cell r="D160" t="str">
            <v>FRENTE DIR 1075X545X20,3+COR</v>
          </cell>
          <cell r="E160">
            <v>1075</v>
          </cell>
          <cell r="F160">
            <v>545</v>
          </cell>
        </row>
        <row r="161">
          <cell r="B161">
            <v>223428</v>
          </cell>
          <cell r="C161">
            <v>590549</v>
          </cell>
          <cell r="D161" t="str">
            <v>FRENTE ESQ 1075X545X20,3+COR</v>
          </cell>
          <cell r="E161">
            <v>1075</v>
          </cell>
          <cell r="F161">
            <v>545</v>
          </cell>
        </row>
        <row r="162">
          <cell r="B162">
            <v>223409</v>
          </cell>
          <cell r="C162">
            <v>590075</v>
          </cell>
          <cell r="D162" t="str">
            <v>FRENTE DIR 1075X595X20,3+COR</v>
          </cell>
          <cell r="E162">
            <v>1075</v>
          </cell>
          <cell r="F162">
            <v>595</v>
          </cell>
        </row>
        <row r="163">
          <cell r="B163">
            <v>223429</v>
          </cell>
          <cell r="C163">
            <v>590550</v>
          </cell>
          <cell r="D163" t="str">
            <v>FRENTE ESQ 1075X595X20,3+COR</v>
          </cell>
          <cell r="E163">
            <v>1075</v>
          </cell>
          <cell r="F163">
            <v>595</v>
          </cell>
        </row>
        <row r="164">
          <cell r="B164">
            <v>223410</v>
          </cell>
          <cell r="C164">
            <v>590906</v>
          </cell>
          <cell r="D164" t="str">
            <v>FRENTE DIR S/DOB 1075X595X20,3+COR</v>
          </cell>
          <cell r="E164">
            <v>1075</v>
          </cell>
          <cell r="F164">
            <v>595</v>
          </cell>
        </row>
        <row r="165">
          <cell r="B165">
            <v>223590</v>
          </cell>
          <cell r="C165">
            <v>590915</v>
          </cell>
          <cell r="D165" t="str">
            <v>FRENTE ESQ S/DOB 1075X595X20,3+COR</v>
          </cell>
          <cell r="E165">
            <v>1075</v>
          </cell>
          <cell r="F165">
            <v>595</v>
          </cell>
        </row>
        <row r="166">
          <cell r="B166">
            <v>223410</v>
          </cell>
          <cell r="C166">
            <v>590906</v>
          </cell>
          <cell r="D166" t="str">
            <v>FRENTE DIR S/DOB 1075X595X20,3+COR</v>
          </cell>
          <cell r="E166">
            <v>1075</v>
          </cell>
          <cell r="F166">
            <v>595</v>
          </cell>
        </row>
        <row r="167">
          <cell r="B167">
            <v>223513</v>
          </cell>
          <cell r="C167">
            <v>590139</v>
          </cell>
          <cell r="D167" t="str">
            <v>FRENTE DIR 1255X345X20,3+COR</v>
          </cell>
          <cell r="E167">
            <v>1255</v>
          </cell>
          <cell r="F167">
            <v>345</v>
          </cell>
        </row>
        <row r="168">
          <cell r="B168">
            <v>223555</v>
          </cell>
          <cell r="C168">
            <v>590892</v>
          </cell>
          <cell r="D168" t="str">
            <v>FRENTE ESQ 1255X345X20,3+COR</v>
          </cell>
          <cell r="E168">
            <v>1255</v>
          </cell>
          <cell r="F168">
            <v>345</v>
          </cell>
        </row>
        <row r="169">
          <cell r="B169">
            <v>223500</v>
          </cell>
          <cell r="C169">
            <v>590076</v>
          </cell>
          <cell r="D169" t="str">
            <v>FRENTE DIR 1255X395X20,3+COR</v>
          </cell>
          <cell r="E169">
            <v>1255</v>
          </cell>
          <cell r="F169">
            <v>395</v>
          </cell>
        </row>
        <row r="170">
          <cell r="B170">
            <v>223520</v>
          </cell>
          <cell r="C170">
            <v>590551</v>
          </cell>
          <cell r="D170" t="str">
            <v>FRENTE ESQ 1255X395X20,3+COR</v>
          </cell>
          <cell r="E170">
            <v>1255</v>
          </cell>
          <cell r="F170">
            <v>395</v>
          </cell>
        </row>
        <row r="171">
          <cell r="B171">
            <v>223514</v>
          </cell>
          <cell r="C171">
            <v>590140</v>
          </cell>
          <cell r="D171" t="str">
            <v>FRENTE DIR 1255X445X20,3+COR</v>
          </cell>
          <cell r="E171">
            <v>1255</v>
          </cell>
          <cell r="F171">
            <v>445</v>
          </cell>
        </row>
        <row r="172">
          <cell r="B172">
            <v>223556</v>
          </cell>
          <cell r="C172">
            <v>590893</v>
          </cell>
          <cell r="D172" t="str">
            <v>FRENTE ESQ 1255X445X20,3+COR</v>
          </cell>
          <cell r="E172">
            <v>1255</v>
          </cell>
          <cell r="F172">
            <v>445</v>
          </cell>
        </row>
        <row r="173">
          <cell r="B173">
            <v>223501</v>
          </cell>
          <cell r="C173">
            <v>590077</v>
          </cell>
          <cell r="D173" t="str">
            <v>FRENTE DIR 1255X495X20,3+COR</v>
          </cell>
          <cell r="E173">
            <v>1255</v>
          </cell>
          <cell r="F173">
            <v>495</v>
          </cell>
        </row>
        <row r="174">
          <cell r="B174">
            <v>223521</v>
          </cell>
          <cell r="C174">
            <v>590552</v>
          </cell>
          <cell r="D174" t="str">
            <v>FRENTE ESQ 1255X495X20,3+COR</v>
          </cell>
          <cell r="E174">
            <v>1255</v>
          </cell>
          <cell r="F174">
            <v>495</v>
          </cell>
        </row>
        <row r="175">
          <cell r="B175">
            <v>223502</v>
          </cell>
          <cell r="C175">
            <v>590078</v>
          </cell>
          <cell r="D175" t="str">
            <v>FRENTE DIR 1255X595X20,3+COR</v>
          </cell>
          <cell r="E175">
            <v>1255</v>
          </cell>
          <cell r="F175">
            <v>595</v>
          </cell>
        </row>
        <row r="176">
          <cell r="B176">
            <v>223522</v>
          </cell>
          <cell r="C176">
            <v>590553</v>
          </cell>
          <cell r="D176" t="str">
            <v>FRENTE ESQ 1255X595X20,3+COR</v>
          </cell>
          <cell r="E176">
            <v>1255</v>
          </cell>
          <cell r="F176">
            <v>595</v>
          </cell>
        </row>
        <row r="177">
          <cell r="B177">
            <v>223512</v>
          </cell>
          <cell r="C177">
            <v>590907</v>
          </cell>
          <cell r="D177" t="str">
            <v>FRENTE DIR S/DOB 1255X595X20,3+COR</v>
          </cell>
          <cell r="E177">
            <v>1255</v>
          </cell>
          <cell r="F177">
            <v>595</v>
          </cell>
        </row>
        <row r="178">
          <cell r="B178">
            <v>223591</v>
          </cell>
          <cell r="C178">
            <v>590916</v>
          </cell>
          <cell r="D178" t="str">
            <v>FRENTE ESQ S/DOB 1255X595X20,3+COR</v>
          </cell>
          <cell r="E178">
            <v>1255</v>
          </cell>
          <cell r="F178">
            <v>595</v>
          </cell>
        </row>
        <row r="179">
          <cell r="B179">
            <v>223512</v>
          </cell>
          <cell r="C179">
            <v>590907</v>
          </cell>
          <cell r="D179" t="str">
            <v>FRENTE DIR S/DOB 1255X595X20,3+COR</v>
          </cell>
          <cell r="E179">
            <v>1255</v>
          </cell>
          <cell r="F179">
            <v>595</v>
          </cell>
        </row>
        <row r="180">
          <cell r="B180">
            <v>223515</v>
          </cell>
          <cell r="C180">
            <v>590141</v>
          </cell>
          <cell r="D180" t="str">
            <v>FRENTE DIR 1795X345X20,3+COR</v>
          </cell>
          <cell r="E180">
            <v>1795</v>
          </cell>
          <cell r="F180">
            <v>345</v>
          </cell>
        </row>
        <row r="181">
          <cell r="B181">
            <v>223557</v>
          </cell>
          <cell r="C181">
            <v>592894</v>
          </cell>
          <cell r="D181" t="str">
            <v>FRENTE ESQ 1795X345X20,3+COR</v>
          </cell>
          <cell r="E181">
            <v>1795</v>
          </cell>
          <cell r="F181">
            <v>345</v>
          </cell>
        </row>
        <row r="182">
          <cell r="B182">
            <v>223503</v>
          </cell>
          <cell r="C182">
            <v>590079</v>
          </cell>
          <cell r="D182" t="str">
            <v>FRENTE DIR 1795X395X20,3+COR</v>
          </cell>
          <cell r="E182">
            <v>1795</v>
          </cell>
          <cell r="F182">
            <v>395</v>
          </cell>
        </row>
        <row r="183">
          <cell r="B183">
            <v>223523</v>
          </cell>
          <cell r="C183">
            <v>590840</v>
          </cell>
          <cell r="D183" t="str">
            <v>FRENTE ESQ 1795X395X20,3+COR</v>
          </cell>
          <cell r="E183">
            <v>1795</v>
          </cell>
          <cell r="F183">
            <v>395</v>
          </cell>
        </row>
        <row r="184">
          <cell r="B184">
            <v>223516</v>
          </cell>
          <cell r="C184">
            <v>590142</v>
          </cell>
          <cell r="D184" t="str">
            <v>FRENTE DIR 1795X445X20,3+COR</v>
          </cell>
          <cell r="E184">
            <v>1795</v>
          </cell>
          <cell r="F184">
            <v>445</v>
          </cell>
        </row>
        <row r="185">
          <cell r="B185">
            <v>223558</v>
          </cell>
          <cell r="C185">
            <v>592895</v>
          </cell>
          <cell r="D185" t="str">
            <v>FRENTE ESQ 1795X445X20,3+COR</v>
          </cell>
          <cell r="E185">
            <v>1795</v>
          </cell>
          <cell r="F185">
            <v>445</v>
          </cell>
        </row>
        <row r="186">
          <cell r="B186">
            <v>223504</v>
          </cell>
          <cell r="C186">
            <v>590080</v>
          </cell>
          <cell r="D186" t="str">
            <v>FRENTE DIR 1795X495X20,3+COR</v>
          </cell>
          <cell r="E186">
            <v>1795</v>
          </cell>
          <cell r="F186">
            <v>495</v>
          </cell>
        </row>
        <row r="187">
          <cell r="B187">
            <v>223524</v>
          </cell>
          <cell r="C187">
            <v>590841</v>
          </cell>
          <cell r="D187" t="str">
            <v>FRENTE ESQ 1795X495X20,3+COR</v>
          </cell>
          <cell r="E187">
            <v>1795</v>
          </cell>
          <cell r="F187">
            <v>495</v>
          </cell>
        </row>
        <row r="188">
          <cell r="B188">
            <v>223505</v>
          </cell>
          <cell r="C188">
            <v>590081</v>
          </cell>
          <cell r="D188" t="str">
            <v>FRENTE DIR 1795X595X20,3+COR</v>
          </cell>
          <cell r="E188">
            <v>1795</v>
          </cell>
          <cell r="F188">
            <v>595</v>
          </cell>
        </row>
        <row r="189">
          <cell r="B189">
            <v>223525</v>
          </cell>
          <cell r="C189">
            <v>590842</v>
          </cell>
          <cell r="D189" t="str">
            <v>FRENTE ESQ 1795X595X20,3+COR</v>
          </cell>
          <cell r="E189">
            <v>1795</v>
          </cell>
          <cell r="F189">
            <v>595</v>
          </cell>
        </row>
        <row r="190">
          <cell r="B190">
            <v>223583</v>
          </cell>
          <cell r="C190">
            <v>590908</v>
          </cell>
          <cell r="D190" t="str">
            <v>FRENTE DIR S/DOB 1795X595X20,3+COR</v>
          </cell>
          <cell r="E190">
            <v>1795</v>
          </cell>
          <cell r="F190">
            <v>595</v>
          </cell>
        </row>
        <row r="191">
          <cell r="B191">
            <v>223592</v>
          </cell>
          <cell r="C191">
            <v>590917</v>
          </cell>
          <cell r="D191" t="str">
            <v>FRENTE ESQ S/DOB 1795X595X20,3+COR</v>
          </cell>
          <cell r="E191">
            <v>1795</v>
          </cell>
          <cell r="F191">
            <v>595</v>
          </cell>
        </row>
        <row r="192">
          <cell r="B192">
            <v>223583</v>
          </cell>
          <cell r="C192">
            <v>590908</v>
          </cell>
          <cell r="D192" t="str">
            <v>FRENTE DIR S/DOB 1795X595X20,3+COR</v>
          </cell>
          <cell r="E192">
            <v>1795</v>
          </cell>
          <cell r="F192">
            <v>595</v>
          </cell>
        </row>
        <row r="193">
          <cell r="B193">
            <v>223517</v>
          </cell>
          <cell r="C193">
            <v>590885</v>
          </cell>
          <cell r="D193" t="str">
            <v>FRENTE DIR 1975X345X20,3+COR</v>
          </cell>
          <cell r="E193">
            <v>1975</v>
          </cell>
          <cell r="F193">
            <v>345</v>
          </cell>
        </row>
        <row r="194">
          <cell r="B194">
            <v>223559</v>
          </cell>
          <cell r="C194">
            <v>590896</v>
          </cell>
          <cell r="D194" t="str">
            <v>FRENTE ESQ 1975X345X20,3+COR</v>
          </cell>
          <cell r="E194">
            <v>1975</v>
          </cell>
          <cell r="F194">
            <v>345</v>
          </cell>
        </row>
        <row r="195">
          <cell r="B195">
            <v>223506</v>
          </cell>
          <cell r="C195">
            <v>590082</v>
          </cell>
          <cell r="D195" t="str">
            <v>FRENTE DIR 1975X395X20,3+COR</v>
          </cell>
          <cell r="E195">
            <v>1975</v>
          </cell>
          <cell r="F195">
            <v>395</v>
          </cell>
        </row>
        <row r="196">
          <cell r="B196">
            <v>223526</v>
          </cell>
          <cell r="C196">
            <v>590843</v>
          </cell>
          <cell r="D196" t="str">
            <v>FRENTE ESQ 1975X395X20,3+COR</v>
          </cell>
          <cell r="E196">
            <v>1975</v>
          </cell>
          <cell r="F196">
            <v>395</v>
          </cell>
        </row>
        <row r="197">
          <cell r="B197">
            <v>223518</v>
          </cell>
          <cell r="C197">
            <v>590886</v>
          </cell>
          <cell r="D197" t="str">
            <v>FRENTE DIR 1975X445X20,3+COR</v>
          </cell>
          <cell r="E197">
            <v>1975</v>
          </cell>
          <cell r="F197">
            <v>445</v>
          </cell>
        </row>
        <row r="198">
          <cell r="B198">
            <v>223560</v>
          </cell>
          <cell r="C198">
            <v>590182</v>
          </cell>
          <cell r="D198" t="str">
            <v>FRENTE ESQ 1975X445X20,3+COR</v>
          </cell>
          <cell r="E198">
            <v>1975</v>
          </cell>
          <cell r="F198">
            <v>445</v>
          </cell>
        </row>
        <row r="199">
          <cell r="B199">
            <v>223507</v>
          </cell>
          <cell r="C199">
            <v>590083</v>
          </cell>
          <cell r="D199" t="str">
            <v>FRENTE DIR 1975X495X20,3+COR</v>
          </cell>
          <cell r="E199">
            <v>1975</v>
          </cell>
          <cell r="F199">
            <v>495</v>
          </cell>
        </row>
        <row r="200">
          <cell r="B200">
            <v>223527</v>
          </cell>
          <cell r="C200">
            <v>590844</v>
          </cell>
          <cell r="D200" t="str">
            <v>FRENTE ESQ 1975X495X20,3+COR</v>
          </cell>
          <cell r="E200">
            <v>1975</v>
          </cell>
          <cell r="F200">
            <v>495</v>
          </cell>
        </row>
        <row r="201">
          <cell r="B201">
            <v>223508</v>
          </cell>
          <cell r="C201">
            <v>590084</v>
          </cell>
          <cell r="D201" t="str">
            <v>FRENTE DIR 1975X595X20,3+COR</v>
          </cell>
          <cell r="E201">
            <v>1975</v>
          </cell>
          <cell r="F201">
            <v>595</v>
          </cell>
        </row>
        <row r="202">
          <cell r="B202">
            <v>223528</v>
          </cell>
          <cell r="C202">
            <v>590845</v>
          </cell>
          <cell r="D202" t="str">
            <v>FRENTE ESQ 1975X595X20,3+COR</v>
          </cell>
          <cell r="E202">
            <v>1975</v>
          </cell>
          <cell r="F202">
            <v>595</v>
          </cell>
        </row>
        <row r="203">
          <cell r="B203">
            <v>223584</v>
          </cell>
          <cell r="C203">
            <v>590909</v>
          </cell>
          <cell r="D203" t="str">
            <v>FRENTE DIR S/DOB 1975X595X20,3+COR</v>
          </cell>
          <cell r="E203">
            <v>1975</v>
          </cell>
          <cell r="F203">
            <v>595</v>
          </cell>
        </row>
        <row r="204">
          <cell r="B204">
            <v>223593</v>
          </cell>
          <cell r="C204">
            <v>590918</v>
          </cell>
          <cell r="D204" t="str">
            <v>FRENTE ESQ S/DOB 1975X595X20,3+COR</v>
          </cell>
          <cell r="E204">
            <v>1975</v>
          </cell>
          <cell r="F204">
            <v>595</v>
          </cell>
        </row>
        <row r="205">
          <cell r="B205">
            <v>223584</v>
          </cell>
          <cell r="C205">
            <v>590909</v>
          </cell>
          <cell r="D205" t="str">
            <v>FRENTE DIR S/DOB 1975X595X20,3+COR</v>
          </cell>
          <cell r="E205">
            <v>1975</v>
          </cell>
          <cell r="F205">
            <v>595</v>
          </cell>
        </row>
        <row r="206">
          <cell r="B206">
            <v>223547</v>
          </cell>
          <cell r="C206">
            <v>590887</v>
          </cell>
          <cell r="D206" t="str">
            <v>FRENTE DIR 2155X345X20,3+COR</v>
          </cell>
          <cell r="E206">
            <v>2155</v>
          </cell>
          <cell r="F206">
            <v>345</v>
          </cell>
        </row>
        <row r="207">
          <cell r="B207">
            <v>223561</v>
          </cell>
          <cell r="C207">
            <v>590897</v>
          </cell>
          <cell r="D207" t="str">
            <v>FRENTE ESQ 2155X345X20,3+COR</v>
          </cell>
          <cell r="E207">
            <v>2155</v>
          </cell>
          <cell r="F207">
            <v>345</v>
          </cell>
        </row>
        <row r="208">
          <cell r="B208">
            <v>223509</v>
          </cell>
          <cell r="C208">
            <v>590085</v>
          </cell>
          <cell r="D208" t="str">
            <v>FRENTE DIR 2155X395X20,3+COR</v>
          </cell>
          <cell r="E208">
            <v>2155</v>
          </cell>
          <cell r="F208">
            <v>395</v>
          </cell>
        </row>
        <row r="209">
          <cell r="B209">
            <v>223529</v>
          </cell>
          <cell r="C209">
            <v>590846</v>
          </cell>
          <cell r="D209" t="str">
            <v>FRENTE ESQ 2155X395X20,3+COR</v>
          </cell>
          <cell r="E209">
            <v>2155</v>
          </cell>
          <cell r="F209">
            <v>395</v>
          </cell>
        </row>
        <row r="210">
          <cell r="B210">
            <v>223548</v>
          </cell>
          <cell r="C210">
            <v>590888</v>
          </cell>
          <cell r="D210" t="str">
            <v>FRENTE DIR 2155X445X20,3+COR</v>
          </cell>
          <cell r="E210">
            <v>2155</v>
          </cell>
          <cell r="F210">
            <v>445</v>
          </cell>
        </row>
        <row r="211">
          <cell r="B211">
            <v>223562</v>
          </cell>
          <cell r="C211">
            <v>590898</v>
          </cell>
          <cell r="D211" t="str">
            <v>FRENTE ESQ 2155X445X20,3+COR</v>
          </cell>
          <cell r="E211">
            <v>2155</v>
          </cell>
          <cell r="F211">
            <v>445</v>
          </cell>
        </row>
        <row r="212">
          <cell r="B212">
            <v>223510</v>
          </cell>
          <cell r="C212">
            <v>590086</v>
          </cell>
          <cell r="D212" t="str">
            <v>FRENTE DIR 2155X495X20,3+COR</v>
          </cell>
          <cell r="E212">
            <v>2155</v>
          </cell>
          <cell r="F212">
            <v>495</v>
          </cell>
        </row>
        <row r="213">
          <cell r="B213">
            <v>223530</v>
          </cell>
          <cell r="C213">
            <v>590847</v>
          </cell>
          <cell r="D213" t="str">
            <v>FRENTE ESQ 2155X495X20,3+COR</v>
          </cell>
          <cell r="E213">
            <v>2155</v>
          </cell>
          <cell r="F213">
            <v>495</v>
          </cell>
        </row>
        <row r="214">
          <cell r="B214">
            <v>223511</v>
          </cell>
          <cell r="C214">
            <v>590087</v>
          </cell>
          <cell r="D214" t="str">
            <v>FRENTE DIR 2155X595X20,3+COR</v>
          </cell>
          <cell r="E214">
            <v>2155</v>
          </cell>
          <cell r="F214">
            <v>595</v>
          </cell>
        </row>
        <row r="215">
          <cell r="B215">
            <v>223531</v>
          </cell>
          <cell r="C215">
            <v>590848</v>
          </cell>
          <cell r="D215" t="str">
            <v>FRENTE ESQ 2155X595X20,3+COR</v>
          </cell>
          <cell r="E215">
            <v>2155</v>
          </cell>
          <cell r="F215">
            <v>595</v>
          </cell>
        </row>
        <row r="216">
          <cell r="B216">
            <v>223585</v>
          </cell>
          <cell r="C216">
            <v>590910</v>
          </cell>
          <cell r="D216" t="str">
            <v>FRENTE DIR S/DOB 2155X595X20,3+COR</v>
          </cell>
          <cell r="E216">
            <v>2155</v>
          </cell>
          <cell r="F216">
            <v>595</v>
          </cell>
        </row>
        <row r="217">
          <cell r="B217">
            <v>223594</v>
          </cell>
          <cell r="C217">
            <v>590919</v>
          </cell>
          <cell r="D217" t="str">
            <v>FRENTE ESQ S/DOB 2155X595X20,3+COR</v>
          </cell>
          <cell r="E217">
            <v>2155</v>
          </cell>
          <cell r="F217">
            <v>595</v>
          </cell>
        </row>
        <row r="218">
          <cell r="B218">
            <v>223585</v>
          </cell>
          <cell r="C218">
            <v>590910</v>
          </cell>
          <cell r="D218" t="str">
            <v>FRENTE DIR S/DOB 2155X595X20,3+COR</v>
          </cell>
          <cell r="E218">
            <v>2155</v>
          </cell>
          <cell r="F218">
            <v>595</v>
          </cell>
        </row>
        <row r="219">
          <cell r="B219">
            <v>223550</v>
          </cell>
          <cell r="C219">
            <v>590174</v>
          </cell>
          <cell r="D219" t="str">
            <v>FRENTE DIR 2335X345X20,3+COR</v>
          </cell>
          <cell r="E219">
            <v>2335</v>
          </cell>
          <cell r="F219">
            <v>345</v>
          </cell>
        </row>
        <row r="220">
          <cell r="B220">
            <v>223563</v>
          </cell>
          <cell r="C220">
            <v>590899</v>
          </cell>
          <cell r="D220" t="str">
            <v>FRENTE ESQ 2335X345X20,3+COR</v>
          </cell>
          <cell r="E220">
            <v>2335</v>
          </cell>
          <cell r="F220">
            <v>345</v>
          </cell>
        </row>
        <row r="221">
          <cell r="B221">
            <v>223551</v>
          </cell>
          <cell r="C221">
            <v>590889</v>
          </cell>
          <cell r="D221" t="str">
            <v>FRENTE DIR 2335X395X20,3+COR</v>
          </cell>
          <cell r="E221">
            <v>2335</v>
          </cell>
          <cell r="F221">
            <v>395</v>
          </cell>
        </row>
        <row r="222">
          <cell r="B222">
            <v>223564</v>
          </cell>
          <cell r="C222">
            <v>590900</v>
          </cell>
          <cell r="D222" t="str">
            <v>FRENTE ESQ 2335X395X20,3+COR</v>
          </cell>
          <cell r="E222">
            <v>2335</v>
          </cell>
          <cell r="F222">
            <v>395</v>
          </cell>
        </row>
        <row r="223">
          <cell r="B223">
            <v>223552</v>
          </cell>
          <cell r="C223">
            <v>590176</v>
          </cell>
          <cell r="D223" t="str">
            <v>FRENTE DIR 2335X445X20,3+COR</v>
          </cell>
          <cell r="E223">
            <v>2335</v>
          </cell>
          <cell r="F223">
            <v>445</v>
          </cell>
        </row>
        <row r="224">
          <cell r="B224">
            <v>223565</v>
          </cell>
          <cell r="C224">
            <v>590901</v>
          </cell>
          <cell r="D224" t="str">
            <v>FRENTE ESQ 2335X445X20,3+COR</v>
          </cell>
          <cell r="E224">
            <v>2335</v>
          </cell>
          <cell r="F224">
            <v>445</v>
          </cell>
        </row>
        <row r="225">
          <cell r="B225">
            <v>223553</v>
          </cell>
          <cell r="C225">
            <v>590890</v>
          </cell>
          <cell r="D225" t="str">
            <v>FRENTE DIR 2335X495X20,3+COR</v>
          </cell>
          <cell r="E225">
            <v>2335</v>
          </cell>
          <cell r="F225">
            <v>495</v>
          </cell>
        </row>
        <row r="226">
          <cell r="B226">
            <v>223566</v>
          </cell>
          <cell r="C226">
            <v>590188</v>
          </cell>
          <cell r="D226" t="str">
            <v>FRENTE ESQ 2335X495X20,3+COR</v>
          </cell>
          <cell r="E226">
            <v>2335</v>
          </cell>
          <cell r="F226">
            <v>495</v>
          </cell>
        </row>
        <row r="227">
          <cell r="B227">
            <v>223554</v>
          </cell>
          <cell r="C227">
            <v>590891</v>
          </cell>
          <cell r="D227" t="str">
            <v>FRENTE DIR 2335X595X20,3+COR</v>
          </cell>
          <cell r="E227">
            <v>2335</v>
          </cell>
          <cell r="F227">
            <v>595</v>
          </cell>
        </row>
        <row r="228">
          <cell r="B228">
            <v>223567</v>
          </cell>
          <cell r="C228">
            <v>590902</v>
          </cell>
          <cell r="D228" t="str">
            <v>FRENTE ESQ 2335X595X20,3+COR</v>
          </cell>
          <cell r="E228">
            <v>2335</v>
          </cell>
          <cell r="F228">
            <v>595</v>
          </cell>
        </row>
        <row r="229">
          <cell r="B229">
            <v>223586</v>
          </cell>
          <cell r="C229">
            <v>590911</v>
          </cell>
          <cell r="D229" t="str">
            <v>FRENTE DIR S/DOB 2335X595X20,3+COR</v>
          </cell>
          <cell r="E229">
            <v>2335</v>
          </cell>
          <cell r="F229">
            <v>595</v>
          </cell>
        </row>
        <row r="230">
          <cell r="B230">
            <v>223595</v>
          </cell>
          <cell r="C230">
            <v>590926</v>
          </cell>
          <cell r="D230" t="str">
            <v>FRENTE ESQ S/DOB 2335X595X20,3+COR</v>
          </cell>
          <cell r="E230">
            <v>2335</v>
          </cell>
          <cell r="F230">
            <v>595</v>
          </cell>
        </row>
        <row r="231">
          <cell r="B231">
            <v>223586</v>
          </cell>
          <cell r="C231">
            <v>590911</v>
          </cell>
          <cell r="D231" t="str">
            <v>FRENTE DIR S/DOB 2335X595X20,3+COR</v>
          </cell>
          <cell r="E231">
            <v>2335</v>
          </cell>
          <cell r="F231">
            <v>595</v>
          </cell>
        </row>
        <row r="232">
          <cell r="B232">
            <v>223610</v>
          </cell>
          <cell r="C232">
            <v>590088</v>
          </cell>
          <cell r="D232" t="str">
            <v>FRENTE GAV 175X295X20,3+COR</v>
          </cell>
          <cell r="E232">
            <v>175</v>
          </cell>
          <cell r="F232">
            <v>295</v>
          </cell>
        </row>
        <row r="233">
          <cell r="B233">
            <v>223611</v>
          </cell>
          <cell r="C233">
            <v>590089</v>
          </cell>
          <cell r="D233" t="str">
            <v>FRENTE GAV 175X395X20,3+COR</v>
          </cell>
          <cell r="E233">
            <v>175</v>
          </cell>
          <cell r="F233">
            <v>395</v>
          </cell>
        </row>
        <row r="234">
          <cell r="B234">
            <v>223612</v>
          </cell>
          <cell r="C234">
            <v>590090</v>
          </cell>
          <cell r="D234" t="str">
            <v>FRENTE GAV 175X445X20,3+COR</v>
          </cell>
          <cell r="E234">
            <v>175</v>
          </cell>
          <cell r="F234">
            <v>445</v>
          </cell>
        </row>
        <row r="235">
          <cell r="B235">
            <v>223613</v>
          </cell>
          <cell r="C235">
            <v>590091</v>
          </cell>
          <cell r="D235" t="str">
            <v>FRENTE GAV 175X495X20,3+COR</v>
          </cell>
          <cell r="E235">
            <v>175</v>
          </cell>
          <cell r="F235">
            <v>495</v>
          </cell>
        </row>
        <row r="236">
          <cell r="B236">
            <v>223614</v>
          </cell>
          <cell r="C236">
            <v>590092</v>
          </cell>
          <cell r="D236" t="str">
            <v>FRENTE GAV 175X545X20,3+COR</v>
          </cell>
          <cell r="E236">
            <v>175</v>
          </cell>
          <cell r="F236">
            <v>545</v>
          </cell>
        </row>
        <row r="237">
          <cell r="B237">
            <v>223615</v>
          </cell>
          <cell r="C237">
            <v>590093</v>
          </cell>
          <cell r="D237" t="str">
            <v>FRENTE GAV 175X595X20,3+COR</v>
          </cell>
          <cell r="E237">
            <v>175</v>
          </cell>
          <cell r="F237">
            <v>595</v>
          </cell>
        </row>
        <row r="238">
          <cell r="B238">
            <v>223616</v>
          </cell>
          <cell r="C238">
            <v>590094</v>
          </cell>
          <cell r="D238" t="str">
            <v>FRENTE GAV 175X695X20,3+COR</v>
          </cell>
          <cell r="E238">
            <v>175</v>
          </cell>
          <cell r="F238">
            <v>695</v>
          </cell>
        </row>
        <row r="239">
          <cell r="B239">
            <v>223617</v>
          </cell>
          <cell r="C239">
            <v>590095</v>
          </cell>
          <cell r="D239" t="str">
            <v>FRENTE GAV 175X795X20,3+COR</v>
          </cell>
          <cell r="E239">
            <v>175</v>
          </cell>
          <cell r="F239">
            <v>795</v>
          </cell>
        </row>
        <row r="240">
          <cell r="B240">
            <v>223618</v>
          </cell>
          <cell r="C240">
            <v>590096</v>
          </cell>
          <cell r="D240" t="str">
            <v>FRENTE GAV 175X895X20,3+COR</v>
          </cell>
          <cell r="E240">
            <v>175</v>
          </cell>
          <cell r="F240">
            <v>895</v>
          </cell>
        </row>
        <row r="241">
          <cell r="B241">
            <v>223619</v>
          </cell>
          <cell r="C241">
            <v>590097</v>
          </cell>
          <cell r="D241" t="str">
            <v>FRENTE GAV 175X995X20,3+COR</v>
          </cell>
          <cell r="E241">
            <v>175</v>
          </cell>
          <cell r="F241">
            <v>995</v>
          </cell>
        </row>
        <row r="242">
          <cell r="B242">
            <v>223620</v>
          </cell>
          <cell r="C242">
            <v>590098</v>
          </cell>
          <cell r="D242" t="str">
            <v>FRENTE GAV 175X1095X20,3+COR</v>
          </cell>
          <cell r="E242">
            <v>175</v>
          </cell>
          <cell r="F242">
            <v>1095</v>
          </cell>
        </row>
        <row r="243">
          <cell r="B243">
            <v>223621</v>
          </cell>
          <cell r="C243">
            <v>590099</v>
          </cell>
          <cell r="D243" t="str">
            <v>FRENTE GAV 175X1195X20,3+COR</v>
          </cell>
          <cell r="E243">
            <v>175</v>
          </cell>
          <cell r="F243">
            <v>1195</v>
          </cell>
        </row>
        <row r="244">
          <cell r="B244">
            <v>223620</v>
          </cell>
          <cell r="C244">
            <v>590098</v>
          </cell>
          <cell r="D244" t="str">
            <v>FRENTE GAV 175X1095X20,3+COR</v>
          </cell>
          <cell r="E244">
            <v>175</v>
          </cell>
          <cell r="F244">
            <v>1095</v>
          </cell>
        </row>
        <row r="245">
          <cell r="B245">
            <v>223630</v>
          </cell>
          <cell r="C245">
            <v>590101</v>
          </cell>
          <cell r="D245" t="str">
            <v>FRENTE GAV TDBOX 175X295X20,3+COR</v>
          </cell>
          <cell r="E245">
            <v>175</v>
          </cell>
          <cell r="F245">
            <v>295</v>
          </cell>
        </row>
        <row r="246">
          <cell r="B246">
            <v>223631</v>
          </cell>
          <cell r="C246">
            <v>590102</v>
          </cell>
          <cell r="D246" t="str">
            <v>FRENTE GAV TDBOX 175X395X20,3+COR</v>
          </cell>
          <cell r="E246">
            <v>175</v>
          </cell>
          <cell r="F246">
            <v>395</v>
          </cell>
        </row>
        <row r="247">
          <cell r="B247">
            <v>223632</v>
          </cell>
          <cell r="C247">
            <v>590103</v>
          </cell>
          <cell r="D247" t="str">
            <v>FRENTE GAV TDBOX 175X445X20,3+COR</v>
          </cell>
          <cell r="E247">
            <v>175</v>
          </cell>
          <cell r="F247">
            <v>445</v>
          </cell>
        </row>
        <row r="248">
          <cell r="B248">
            <v>223633</v>
          </cell>
          <cell r="C248">
            <v>590104</v>
          </cell>
          <cell r="D248" t="str">
            <v>FRENTE GAV TDBOX 175X495X20,3+COR</v>
          </cell>
          <cell r="E248">
            <v>175</v>
          </cell>
          <cell r="F248">
            <v>495</v>
          </cell>
        </row>
        <row r="249">
          <cell r="B249">
            <v>223634</v>
          </cell>
          <cell r="C249">
            <v>590105</v>
          </cell>
          <cell r="D249" t="str">
            <v>FRENTE GAV TDBOX 175X545X20,3+COR</v>
          </cell>
          <cell r="E249">
            <v>175</v>
          </cell>
          <cell r="F249">
            <v>545</v>
          </cell>
        </row>
        <row r="250">
          <cell r="B250">
            <v>223635</v>
          </cell>
          <cell r="C250">
            <v>590106</v>
          </cell>
          <cell r="D250" t="str">
            <v>FRENTE GAV TDBOX 175X595X20,3+COR</v>
          </cell>
          <cell r="E250">
            <v>175</v>
          </cell>
          <cell r="F250">
            <v>595</v>
          </cell>
        </row>
        <row r="251">
          <cell r="B251">
            <v>223636</v>
          </cell>
          <cell r="C251">
            <v>590107</v>
          </cell>
          <cell r="D251" t="str">
            <v>FRENTE GAV TDBOX 175X695X20,3+COR</v>
          </cell>
          <cell r="E251">
            <v>175</v>
          </cell>
          <cell r="F251">
            <v>695</v>
          </cell>
        </row>
        <row r="252">
          <cell r="B252">
            <v>223637</v>
          </cell>
          <cell r="C252">
            <v>590108</v>
          </cell>
          <cell r="D252" t="str">
            <v>FRENTE GAV TDBOX 175X795X20,3+COR</v>
          </cell>
          <cell r="E252">
            <v>175</v>
          </cell>
          <cell r="F252">
            <v>795</v>
          </cell>
        </row>
        <row r="253">
          <cell r="B253">
            <v>223638</v>
          </cell>
          <cell r="C253">
            <v>590109</v>
          </cell>
          <cell r="D253" t="str">
            <v>FRENTE GAV TDBOX 175X895X20,3+COR</v>
          </cell>
          <cell r="E253">
            <v>175</v>
          </cell>
          <cell r="F253">
            <v>895</v>
          </cell>
        </row>
        <row r="254">
          <cell r="B254">
            <v>223639</v>
          </cell>
          <cell r="C254">
            <v>590110</v>
          </cell>
          <cell r="D254" t="str">
            <v>FRENTE GAV TDBOX 175X995X20,3+COR</v>
          </cell>
          <cell r="E254">
            <v>175</v>
          </cell>
          <cell r="F254">
            <v>995</v>
          </cell>
        </row>
        <row r="255">
          <cell r="B255">
            <v>223640</v>
          </cell>
          <cell r="C255">
            <v>590111</v>
          </cell>
          <cell r="D255" t="str">
            <v>FRENTE GAV TDBOX 175X1095X20,3+COR</v>
          </cell>
          <cell r="E255">
            <v>175</v>
          </cell>
          <cell r="F255">
            <v>1095</v>
          </cell>
        </row>
        <row r="256">
          <cell r="B256">
            <v>223641</v>
          </cell>
          <cell r="C256">
            <v>590112</v>
          </cell>
          <cell r="D256" t="str">
            <v>FRENTE GAV TDBOX 175X1195X20,3+COR</v>
          </cell>
          <cell r="E256">
            <v>175</v>
          </cell>
          <cell r="F256">
            <v>1195</v>
          </cell>
        </row>
        <row r="257">
          <cell r="B257">
            <v>223640</v>
          </cell>
          <cell r="C257">
            <v>590111</v>
          </cell>
          <cell r="D257" t="str">
            <v>FRENTE GAV TDBOX 175X1095X20,3+COR</v>
          </cell>
          <cell r="E257">
            <v>175</v>
          </cell>
          <cell r="F257">
            <v>1095</v>
          </cell>
        </row>
        <row r="258">
          <cell r="B258">
            <v>223650</v>
          </cell>
          <cell r="C258">
            <v>590114</v>
          </cell>
          <cell r="D258" t="str">
            <v>FRENTE GAV 354X395X20,3+COR</v>
          </cell>
          <cell r="E258">
            <v>354</v>
          </cell>
          <cell r="F258">
            <v>395</v>
          </cell>
        </row>
        <row r="259">
          <cell r="B259">
            <v>223651</v>
          </cell>
          <cell r="C259">
            <v>590115</v>
          </cell>
          <cell r="D259" t="str">
            <v>FRENTE GAV 354X445X20,3+COR</v>
          </cell>
          <cell r="E259">
            <v>354</v>
          </cell>
          <cell r="F259">
            <v>445</v>
          </cell>
        </row>
        <row r="260">
          <cell r="B260">
            <v>223652</v>
          </cell>
          <cell r="C260">
            <v>590116</v>
          </cell>
          <cell r="D260" t="str">
            <v>FRENTE GAV 354X495X20,3+COR</v>
          </cell>
          <cell r="E260">
            <v>354</v>
          </cell>
          <cell r="F260">
            <v>495</v>
          </cell>
        </row>
        <row r="261">
          <cell r="B261">
            <v>223653</v>
          </cell>
          <cell r="C261">
            <v>590117</v>
          </cell>
          <cell r="D261" t="str">
            <v>FRENTE GAV 354X545X20,3+COR</v>
          </cell>
          <cell r="E261">
            <v>354</v>
          </cell>
          <cell r="F261">
            <v>545</v>
          </cell>
        </row>
        <row r="262">
          <cell r="B262">
            <v>223654</v>
          </cell>
          <cell r="C262">
            <v>590118</v>
          </cell>
          <cell r="D262" t="str">
            <v>FRENTE GAV 354X595X20,3+COR</v>
          </cell>
          <cell r="E262">
            <v>354</v>
          </cell>
          <cell r="F262">
            <v>595</v>
          </cell>
        </row>
        <row r="263">
          <cell r="B263">
            <v>223655</v>
          </cell>
          <cell r="C263">
            <v>590119</v>
          </cell>
          <cell r="D263" t="str">
            <v>FRENTE GAV 354X695X20,3+COR</v>
          </cell>
          <cell r="E263">
            <v>354</v>
          </cell>
          <cell r="F263">
            <v>695</v>
          </cell>
        </row>
        <row r="264">
          <cell r="B264">
            <v>223656</v>
          </cell>
          <cell r="C264">
            <v>590120</v>
          </cell>
          <cell r="D264" t="str">
            <v>FRENTE GAV 354X795X20,3+COR</v>
          </cell>
          <cell r="E264">
            <v>354</v>
          </cell>
          <cell r="F264">
            <v>795</v>
          </cell>
        </row>
        <row r="265">
          <cell r="B265">
            <v>223657</v>
          </cell>
          <cell r="C265">
            <v>590121</v>
          </cell>
          <cell r="D265" t="str">
            <v>FRENTE GAV 354X895X20,3+COR</v>
          </cell>
          <cell r="E265">
            <v>354</v>
          </cell>
          <cell r="F265">
            <v>895</v>
          </cell>
        </row>
        <row r="266">
          <cell r="B266">
            <v>223658</v>
          </cell>
          <cell r="C266">
            <v>590122</v>
          </cell>
          <cell r="D266" t="str">
            <v>FRENTE GAV 354X995X20,3+COR</v>
          </cell>
          <cell r="E266">
            <v>354</v>
          </cell>
          <cell r="F266">
            <v>995</v>
          </cell>
        </row>
        <row r="267">
          <cell r="B267">
            <v>223659</v>
          </cell>
          <cell r="C267">
            <v>590123</v>
          </cell>
          <cell r="D267" t="str">
            <v>FRENTE GAV 354X1095X20,3+COR</v>
          </cell>
          <cell r="E267">
            <v>354</v>
          </cell>
          <cell r="F267">
            <v>1095</v>
          </cell>
        </row>
        <row r="268">
          <cell r="B268">
            <v>223660</v>
          </cell>
          <cell r="C268">
            <v>590124</v>
          </cell>
          <cell r="D268" t="str">
            <v>FRENTE GAV 354X1195X20,3+COR</v>
          </cell>
          <cell r="E268">
            <v>354</v>
          </cell>
          <cell r="F268">
            <v>1195</v>
          </cell>
        </row>
        <row r="269">
          <cell r="B269">
            <v>223659</v>
          </cell>
          <cell r="C269">
            <v>590123</v>
          </cell>
          <cell r="D269" t="str">
            <v>FRENTE GAV 354X1095X20,3+COR</v>
          </cell>
          <cell r="E269">
            <v>354</v>
          </cell>
          <cell r="F269">
            <v>1095</v>
          </cell>
        </row>
        <row r="270">
          <cell r="B270">
            <v>223670</v>
          </cell>
          <cell r="C270">
            <v>590126</v>
          </cell>
          <cell r="D270" t="str">
            <v>FRENTE GAV TDBOX 354X395X20,3+COR</v>
          </cell>
          <cell r="E270">
            <v>354</v>
          </cell>
          <cell r="F270">
            <v>395</v>
          </cell>
        </row>
        <row r="271">
          <cell r="B271">
            <v>223671</v>
          </cell>
          <cell r="C271">
            <v>590127</v>
          </cell>
          <cell r="D271" t="str">
            <v>FRENTE GAV TDBOX 354X445X20,3+COR</v>
          </cell>
          <cell r="E271">
            <v>354</v>
          </cell>
          <cell r="F271">
            <v>445</v>
          </cell>
        </row>
        <row r="272">
          <cell r="B272">
            <v>223672</v>
          </cell>
          <cell r="C272">
            <v>590128</v>
          </cell>
          <cell r="D272" t="str">
            <v>FRENTE GAV TDBOX 354X495X20,3+COR</v>
          </cell>
          <cell r="E272">
            <v>354</v>
          </cell>
          <cell r="F272">
            <v>495</v>
          </cell>
        </row>
        <row r="273">
          <cell r="B273">
            <v>223673</v>
          </cell>
          <cell r="C273">
            <v>590129</v>
          </cell>
          <cell r="D273" t="str">
            <v>FRENTE GAV TDBOX 354X545X20,3+COR</v>
          </cell>
          <cell r="E273">
            <v>354</v>
          </cell>
          <cell r="F273">
            <v>545</v>
          </cell>
        </row>
        <row r="274">
          <cell r="B274">
            <v>223674</v>
          </cell>
          <cell r="C274">
            <v>590130</v>
          </cell>
          <cell r="D274" t="str">
            <v>FRENTE GAV TDBOX 354X595X20,3+COR</v>
          </cell>
          <cell r="E274">
            <v>354</v>
          </cell>
          <cell r="F274">
            <v>595</v>
          </cell>
        </row>
        <row r="275">
          <cell r="B275">
            <v>223675</v>
          </cell>
          <cell r="C275">
            <v>590131</v>
          </cell>
          <cell r="D275" t="str">
            <v>FRENTE GAV TDBOX 354X695X20,3+COR</v>
          </cell>
          <cell r="E275">
            <v>354</v>
          </cell>
          <cell r="F275">
            <v>695</v>
          </cell>
        </row>
        <row r="276">
          <cell r="B276">
            <v>223676</v>
          </cell>
          <cell r="C276">
            <v>590132</v>
          </cell>
          <cell r="D276" t="str">
            <v>FRENTE GAV TDBOX 354X795X20,3+COR</v>
          </cell>
          <cell r="E276">
            <v>354</v>
          </cell>
          <cell r="F276">
            <v>795</v>
          </cell>
        </row>
        <row r="277">
          <cell r="B277">
            <v>223677</v>
          </cell>
          <cell r="C277">
            <v>590133</v>
          </cell>
          <cell r="D277" t="str">
            <v>FRENTE GAV TDBOX 354X895X20,3+COR</v>
          </cell>
          <cell r="E277">
            <v>354</v>
          </cell>
          <cell r="F277">
            <v>895</v>
          </cell>
        </row>
        <row r="278">
          <cell r="B278">
            <v>223678</v>
          </cell>
          <cell r="C278">
            <v>590134</v>
          </cell>
          <cell r="D278" t="str">
            <v>FRENTE GAV TDBOX 354X995X20,3+COR</v>
          </cell>
          <cell r="E278">
            <v>354</v>
          </cell>
          <cell r="F278">
            <v>995</v>
          </cell>
        </row>
        <row r="279">
          <cell r="B279">
            <v>223679</v>
          </cell>
          <cell r="C279">
            <v>590135</v>
          </cell>
          <cell r="D279" t="str">
            <v>FRENTE GAV TDBOX 354X1095X20,3+COR</v>
          </cell>
          <cell r="E279">
            <v>354</v>
          </cell>
          <cell r="F279">
            <v>1095</v>
          </cell>
        </row>
        <row r="280">
          <cell r="B280">
            <v>223680</v>
          </cell>
          <cell r="C280">
            <v>590136</v>
          </cell>
          <cell r="D280" t="str">
            <v>FRENTE GAV TDBOX 354X1195X20,3+COR</v>
          </cell>
          <cell r="E280">
            <v>354</v>
          </cell>
          <cell r="F280">
            <v>1195</v>
          </cell>
        </row>
        <row r="281">
          <cell r="B281">
            <v>223679</v>
          </cell>
          <cell r="C281">
            <v>590135</v>
          </cell>
          <cell r="D281" t="str">
            <v>FRENTE GAV TDBOX 354X1095X20,3+COR</v>
          </cell>
          <cell r="E281">
            <v>354</v>
          </cell>
          <cell r="F281">
            <v>1095</v>
          </cell>
        </row>
        <row r="282">
          <cell r="B282">
            <v>223690</v>
          </cell>
          <cell r="C282">
            <v>590138</v>
          </cell>
          <cell r="D282" t="str">
            <v>FRENTE TÁBUA DE PASSAR 175X395X20,3+COR</v>
          </cell>
          <cell r="E282">
            <v>175</v>
          </cell>
          <cell r="F282">
            <v>395</v>
          </cell>
        </row>
        <row r="283">
          <cell r="B283"/>
          <cell r="C283"/>
          <cell r="D283"/>
          <cell r="E283"/>
          <cell r="F283"/>
        </row>
        <row r="284">
          <cell r="B284">
            <v>223710</v>
          </cell>
          <cell r="C284">
            <v>590143</v>
          </cell>
          <cell r="D284" t="str">
            <v>FRENTE DESLIZ LINE S/ PUX 895X895X20,3+COR</v>
          </cell>
          <cell r="E284">
            <v>895</v>
          </cell>
          <cell r="F284">
            <v>895</v>
          </cell>
        </row>
        <row r="285">
          <cell r="B285">
            <v>223711</v>
          </cell>
          <cell r="C285">
            <v>590144</v>
          </cell>
          <cell r="D285" t="str">
            <v>FRENTE DESLIZ LINE S/ PUX 895X995X20,3+COR</v>
          </cell>
          <cell r="E285">
            <v>895</v>
          </cell>
          <cell r="F285">
            <v>995</v>
          </cell>
        </row>
        <row r="286">
          <cell r="B286">
            <v>223712</v>
          </cell>
          <cell r="C286">
            <v>590145</v>
          </cell>
          <cell r="D286" t="str">
            <v>FRENTE DESLIZ LINE S/ PUX 895X1095X20,3+COR</v>
          </cell>
          <cell r="E286">
            <v>895</v>
          </cell>
          <cell r="F286">
            <v>1095</v>
          </cell>
        </row>
        <row r="287">
          <cell r="B287">
            <v>223713</v>
          </cell>
          <cell r="C287">
            <v>590146</v>
          </cell>
          <cell r="D287" t="str">
            <v>FRENTE DESLIZ LINE S/ PUX 895X1195X20,3+COR</v>
          </cell>
          <cell r="E287">
            <v>895</v>
          </cell>
          <cell r="F287">
            <v>1195</v>
          </cell>
        </row>
        <row r="288">
          <cell r="B288">
            <v>223712</v>
          </cell>
          <cell r="C288">
            <v>590145</v>
          </cell>
          <cell r="D288" t="str">
            <v>FRENTE DESLIZ LINE S/ PUX 895X1095X20,3+COR</v>
          </cell>
          <cell r="E288">
            <v>895</v>
          </cell>
          <cell r="F288">
            <v>1095</v>
          </cell>
        </row>
        <row r="289">
          <cell r="B289">
            <v>223715</v>
          </cell>
          <cell r="C289">
            <v>590147</v>
          </cell>
          <cell r="D289" t="str">
            <v>FRENTE DESLIZ LINE S/ PUX 1075X895X20,3+COR</v>
          </cell>
          <cell r="E289">
            <v>1075</v>
          </cell>
          <cell r="F289">
            <v>895</v>
          </cell>
        </row>
        <row r="290">
          <cell r="B290">
            <v>223716</v>
          </cell>
          <cell r="C290">
            <v>590148</v>
          </cell>
          <cell r="D290" t="str">
            <v>FRENTE DESLIZ LINE S/ PUX 1075X995X20,3+COR</v>
          </cell>
          <cell r="E290">
            <v>1075</v>
          </cell>
          <cell r="F290">
            <v>995</v>
          </cell>
        </row>
        <row r="291">
          <cell r="B291">
            <v>223717</v>
          </cell>
          <cell r="C291">
            <v>590149</v>
          </cell>
          <cell r="D291" t="str">
            <v>FRENTE DESLIZ LINE S/ PUX 1075X1095X20,3+COR</v>
          </cell>
          <cell r="E291">
            <v>1075</v>
          </cell>
          <cell r="F291">
            <v>1095</v>
          </cell>
        </row>
        <row r="292">
          <cell r="B292">
            <v>223716</v>
          </cell>
          <cell r="C292">
            <v>590148</v>
          </cell>
          <cell r="D292" t="str">
            <v>FRENTE DESLIZ LINE S/ PUX 1075X995X20,3+COR</v>
          </cell>
          <cell r="E292">
            <v>1075</v>
          </cell>
          <cell r="F292">
            <v>995</v>
          </cell>
        </row>
        <row r="293">
          <cell r="B293">
            <v>223720</v>
          </cell>
          <cell r="C293">
            <v>590650</v>
          </cell>
          <cell r="D293" t="str">
            <v>FRENTE DIR DESLIZ LINE 516X618X20,3+COR</v>
          </cell>
          <cell r="E293">
            <v>516</v>
          </cell>
          <cell r="F293">
            <v>618</v>
          </cell>
        </row>
        <row r="294">
          <cell r="B294">
            <v>223750</v>
          </cell>
          <cell r="C294">
            <v>590704</v>
          </cell>
          <cell r="D294" t="str">
            <v>FRENTE ESQ DESLIZ LINE 516X618X20,3+COR</v>
          </cell>
          <cell r="E294">
            <v>516</v>
          </cell>
          <cell r="F294">
            <v>618</v>
          </cell>
        </row>
        <row r="295">
          <cell r="B295">
            <v>223721</v>
          </cell>
          <cell r="C295">
            <v>590651</v>
          </cell>
          <cell r="D295" t="str">
            <v>FRENTE DIR DESLIZ LINE 516X718X20,3+COR</v>
          </cell>
          <cell r="E295">
            <v>516</v>
          </cell>
          <cell r="F295">
            <v>718</v>
          </cell>
        </row>
        <row r="296">
          <cell r="B296">
            <v>223751</v>
          </cell>
          <cell r="C296">
            <v>590705</v>
          </cell>
          <cell r="D296" t="str">
            <v>FRENTE ESQ DESLIZ LINE 516X718X20,3+COR</v>
          </cell>
          <cell r="E296">
            <v>516</v>
          </cell>
          <cell r="F296">
            <v>718</v>
          </cell>
        </row>
        <row r="297">
          <cell r="B297">
            <v>223722</v>
          </cell>
          <cell r="C297">
            <v>590652</v>
          </cell>
          <cell r="D297" t="str">
            <v>FRENTE DIR DESLIZ LINE 516X818X20,3+COR</v>
          </cell>
          <cell r="E297">
            <v>516</v>
          </cell>
          <cell r="F297">
            <v>818</v>
          </cell>
        </row>
        <row r="298">
          <cell r="B298">
            <v>223752</v>
          </cell>
          <cell r="C298">
            <v>590706</v>
          </cell>
          <cell r="D298" t="str">
            <v>FRENTE ESQ DESLIZ LINE 516X818X20,3+COR</v>
          </cell>
          <cell r="E298">
            <v>516</v>
          </cell>
          <cell r="F298">
            <v>818</v>
          </cell>
        </row>
        <row r="299">
          <cell r="B299">
            <v>223723</v>
          </cell>
          <cell r="C299">
            <v>590653</v>
          </cell>
          <cell r="D299" t="str">
            <v>FRENTE DIR DESLIZ LINE 516X918X20,3+COR</v>
          </cell>
          <cell r="E299">
            <v>516</v>
          </cell>
          <cell r="F299">
            <v>918</v>
          </cell>
        </row>
        <row r="300">
          <cell r="B300">
            <v>223753</v>
          </cell>
          <cell r="C300">
            <v>590707</v>
          </cell>
          <cell r="D300" t="str">
            <v>FRENTE ESQ DESLIZ LINE 516X918X20,3+COR</v>
          </cell>
          <cell r="E300">
            <v>516</v>
          </cell>
          <cell r="F300">
            <v>918</v>
          </cell>
        </row>
        <row r="301">
          <cell r="B301">
            <v>223724</v>
          </cell>
          <cell r="C301">
            <v>590654</v>
          </cell>
          <cell r="D301" t="str">
            <v>FRENTE DIR DESLIZ LINE 516X1018X20,3+COR</v>
          </cell>
          <cell r="E301">
            <v>516</v>
          </cell>
          <cell r="F301">
            <v>1018</v>
          </cell>
        </row>
        <row r="302">
          <cell r="B302">
            <v>223754</v>
          </cell>
          <cell r="C302">
            <v>590708</v>
          </cell>
          <cell r="D302" t="str">
            <v>FRENTE ESQ DESLIZ LINE 516X1018X20,3+COR</v>
          </cell>
          <cell r="E302">
            <v>516</v>
          </cell>
          <cell r="F302">
            <v>1018</v>
          </cell>
        </row>
        <row r="303">
          <cell r="B303">
            <v>223725</v>
          </cell>
          <cell r="C303">
            <v>590655</v>
          </cell>
          <cell r="D303" t="str">
            <v>FRENTE DIR DESLIZ LINE 516X1118X20,3+COR</v>
          </cell>
          <cell r="E303">
            <v>516</v>
          </cell>
          <cell r="F303">
            <v>1118</v>
          </cell>
        </row>
        <row r="304">
          <cell r="B304">
            <v>223755</v>
          </cell>
          <cell r="C304">
            <v>590709</v>
          </cell>
          <cell r="D304" t="str">
            <v>FRENTE ESQ DESLIZ LINE 516X1118X20,3+COR</v>
          </cell>
          <cell r="E304">
            <v>516</v>
          </cell>
          <cell r="F304">
            <v>1118</v>
          </cell>
        </row>
        <row r="305">
          <cell r="B305">
            <v>223726</v>
          </cell>
          <cell r="C305">
            <v>590656</v>
          </cell>
          <cell r="D305" t="str">
            <v>FRENTE DIR DESLIZ LINE 516X1218X20,3+COR</v>
          </cell>
          <cell r="E305">
            <v>516</v>
          </cell>
          <cell r="F305">
            <v>1218</v>
          </cell>
        </row>
        <row r="306">
          <cell r="B306">
            <v>223756</v>
          </cell>
          <cell r="C306">
            <v>590710</v>
          </cell>
          <cell r="D306" t="str">
            <v>FRENTE ESQ DESLIZ LINE 516X1218X20,3+COR</v>
          </cell>
          <cell r="E306">
            <v>516</v>
          </cell>
          <cell r="F306">
            <v>1218</v>
          </cell>
        </row>
        <row r="307">
          <cell r="B307">
            <v>223726</v>
          </cell>
          <cell r="C307">
            <v>590656</v>
          </cell>
          <cell r="D307" t="str">
            <v>FRENTE DIR DESLIZ LINE 516X1218X20,3+COR</v>
          </cell>
          <cell r="E307">
            <v>516</v>
          </cell>
          <cell r="F307">
            <v>1218</v>
          </cell>
        </row>
        <row r="308">
          <cell r="B308">
            <v>223727</v>
          </cell>
          <cell r="C308">
            <v>590657</v>
          </cell>
          <cell r="D308" t="str">
            <v>FRENTE DIR DESLIZ LINE 696X618X20,3+COR</v>
          </cell>
          <cell r="E308">
            <v>696</v>
          </cell>
          <cell r="F308">
            <v>618</v>
          </cell>
        </row>
        <row r="309">
          <cell r="B309">
            <v>223757</v>
          </cell>
          <cell r="C309">
            <v>590711</v>
          </cell>
          <cell r="D309" t="str">
            <v>FRENTE ESQ DESLIZ LINE 696X618X20,3+COR</v>
          </cell>
          <cell r="E309">
            <v>696</v>
          </cell>
          <cell r="F309">
            <v>618</v>
          </cell>
        </row>
        <row r="310">
          <cell r="B310">
            <v>223728</v>
          </cell>
          <cell r="C310">
            <v>590658</v>
          </cell>
          <cell r="D310" t="str">
            <v>FRENTE DIR DESLIZ LINE 696X718X20,3+COR</v>
          </cell>
          <cell r="E310">
            <v>696</v>
          </cell>
          <cell r="F310">
            <v>718</v>
          </cell>
        </row>
        <row r="311">
          <cell r="B311">
            <v>223758</v>
          </cell>
          <cell r="C311">
            <v>590712</v>
          </cell>
          <cell r="D311" t="str">
            <v>FRENTE ESQ DESLIZ LINE 696X718X20,3+COR</v>
          </cell>
          <cell r="E311">
            <v>696</v>
          </cell>
          <cell r="F311">
            <v>718</v>
          </cell>
        </row>
        <row r="312">
          <cell r="B312">
            <v>223729</v>
          </cell>
          <cell r="C312">
            <v>590659</v>
          </cell>
          <cell r="D312" t="str">
            <v>FRENTE DIR DESLIZ LINE 696X818X20,3+COR</v>
          </cell>
          <cell r="E312">
            <v>696</v>
          </cell>
          <cell r="F312">
            <v>818</v>
          </cell>
        </row>
        <row r="313">
          <cell r="B313">
            <v>223759</v>
          </cell>
          <cell r="C313">
            <v>590713</v>
          </cell>
          <cell r="D313" t="str">
            <v>FRENTE ESQ DESLIZ LINE 696X818X20,3+COR</v>
          </cell>
          <cell r="E313">
            <v>696</v>
          </cell>
          <cell r="F313">
            <v>818</v>
          </cell>
        </row>
        <row r="314">
          <cell r="B314">
            <v>223730</v>
          </cell>
          <cell r="C314">
            <v>590660</v>
          </cell>
          <cell r="D314" t="str">
            <v>FRENTE DIR DESLIZ LINE 696X918X20,3+COR</v>
          </cell>
          <cell r="E314">
            <v>696</v>
          </cell>
          <cell r="F314">
            <v>918</v>
          </cell>
        </row>
        <row r="315">
          <cell r="B315">
            <v>223760</v>
          </cell>
          <cell r="C315">
            <v>590714</v>
          </cell>
          <cell r="D315" t="str">
            <v>FRENTE ESQ DESLIZ LINE 696X918X20,3+COR</v>
          </cell>
          <cell r="E315">
            <v>696</v>
          </cell>
          <cell r="F315">
            <v>918</v>
          </cell>
        </row>
        <row r="316">
          <cell r="B316">
            <v>223731</v>
          </cell>
          <cell r="C316">
            <v>590661</v>
          </cell>
          <cell r="D316" t="str">
            <v>FRENTE DIR DESLIZ LINE 696X1018X20,3+COR</v>
          </cell>
          <cell r="E316">
            <v>696</v>
          </cell>
          <cell r="F316">
            <v>1018</v>
          </cell>
        </row>
        <row r="317">
          <cell r="B317">
            <v>223761</v>
          </cell>
          <cell r="C317">
            <v>590715</v>
          </cell>
          <cell r="D317" t="str">
            <v>FRENTE ESQ DESLIZ LINE 696X1018X20,3+COR</v>
          </cell>
          <cell r="E317">
            <v>696</v>
          </cell>
          <cell r="F317">
            <v>1018</v>
          </cell>
        </row>
        <row r="318">
          <cell r="B318">
            <v>223732</v>
          </cell>
          <cell r="C318">
            <v>590662</v>
          </cell>
          <cell r="D318" t="str">
            <v>FRENTE DIR DESLIZ LINE 696X1118X20,3+COR</v>
          </cell>
          <cell r="E318">
            <v>696</v>
          </cell>
          <cell r="F318">
            <v>1118</v>
          </cell>
        </row>
        <row r="319">
          <cell r="B319">
            <v>223762</v>
          </cell>
          <cell r="C319">
            <v>590716</v>
          </cell>
          <cell r="D319" t="str">
            <v>FRENTE ESQ DESLIZ LINE 696X1118X20,3+COR</v>
          </cell>
          <cell r="E319">
            <v>696</v>
          </cell>
          <cell r="F319">
            <v>1118</v>
          </cell>
        </row>
        <row r="320">
          <cell r="B320">
            <v>223733</v>
          </cell>
          <cell r="C320">
            <v>590663</v>
          </cell>
          <cell r="D320" t="str">
            <v>FRENTE DIR DESLIZ LINE 696X1218X20,3+COR</v>
          </cell>
          <cell r="E320">
            <v>696</v>
          </cell>
          <cell r="F320">
            <v>1218</v>
          </cell>
        </row>
        <row r="321">
          <cell r="B321">
            <v>223763</v>
          </cell>
          <cell r="C321">
            <v>590717</v>
          </cell>
          <cell r="D321" t="str">
            <v>FRENTE ESQ DESLIZ LINE 696X1218X20,3+COR</v>
          </cell>
          <cell r="E321">
            <v>696</v>
          </cell>
          <cell r="F321">
            <v>1218</v>
          </cell>
        </row>
        <row r="322">
          <cell r="B322">
            <v>223733</v>
          </cell>
          <cell r="C322">
            <v>590663</v>
          </cell>
          <cell r="D322" t="str">
            <v>FRENTE DIR DESLIZ LINE 696X1218X20,3+COR</v>
          </cell>
          <cell r="E322">
            <v>696</v>
          </cell>
          <cell r="F322">
            <v>1218</v>
          </cell>
        </row>
        <row r="323">
          <cell r="B323">
            <v>223734</v>
          </cell>
          <cell r="C323">
            <v>590664</v>
          </cell>
          <cell r="D323" t="str">
            <v>FRENTE DIR DESLIZ LINE 876X618X20,3+COR</v>
          </cell>
          <cell r="E323">
            <v>876</v>
          </cell>
          <cell r="F323">
            <v>618</v>
          </cell>
        </row>
        <row r="324">
          <cell r="B324">
            <v>223764</v>
          </cell>
          <cell r="C324">
            <v>590718</v>
          </cell>
          <cell r="D324" t="str">
            <v>FRENTE ESQ DESLIZ LINE 876X618X20,3+COR</v>
          </cell>
          <cell r="E324">
            <v>876</v>
          </cell>
          <cell r="F324">
            <v>618</v>
          </cell>
        </row>
        <row r="325">
          <cell r="B325">
            <v>223735</v>
          </cell>
          <cell r="C325">
            <v>590665</v>
          </cell>
          <cell r="D325" t="str">
            <v>FRENTE DIR DESLIZ LINE 876X718X20,3+COR</v>
          </cell>
          <cell r="E325">
            <v>876</v>
          </cell>
          <cell r="F325">
            <v>718</v>
          </cell>
        </row>
        <row r="326">
          <cell r="B326">
            <v>223765</v>
          </cell>
          <cell r="C326">
            <v>590719</v>
          </cell>
          <cell r="D326" t="str">
            <v>FRENTE ESQ DESLIZ LINE 876X718X20,3+COR</v>
          </cell>
          <cell r="E326">
            <v>876</v>
          </cell>
          <cell r="F326">
            <v>718</v>
          </cell>
        </row>
        <row r="327">
          <cell r="B327">
            <v>223736</v>
          </cell>
          <cell r="C327">
            <v>590666</v>
          </cell>
          <cell r="D327" t="str">
            <v>FRENTE DIR DESLIZ LINE 876X818X20,3+COR</v>
          </cell>
          <cell r="E327">
            <v>876</v>
          </cell>
          <cell r="F327">
            <v>818</v>
          </cell>
        </row>
        <row r="328">
          <cell r="B328">
            <v>223766</v>
          </cell>
          <cell r="C328">
            <v>590720</v>
          </cell>
          <cell r="D328" t="str">
            <v>FRENTE ESQ DESLIZ LINE 876X818X20,3+COR</v>
          </cell>
          <cell r="E328">
            <v>876</v>
          </cell>
          <cell r="F328">
            <v>818</v>
          </cell>
        </row>
        <row r="329">
          <cell r="B329">
            <v>223737</v>
          </cell>
          <cell r="C329">
            <v>590667</v>
          </cell>
          <cell r="D329" t="str">
            <v>FRENTE DIR DESLIZ LINE 876X918X20,3+COR</v>
          </cell>
          <cell r="E329">
            <v>876</v>
          </cell>
          <cell r="F329">
            <v>918</v>
          </cell>
        </row>
        <row r="330">
          <cell r="B330">
            <v>223767</v>
          </cell>
          <cell r="C330">
            <v>590721</v>
          </cell>
          <cell r="D330" t="str">
            <v>FRENTE ESQ DESLIZ LINE 876X918X20,3+COR</v>
          </cell>
          <cell r="E330">
            <v>876</v>
          </cell>
          <cell r="F330">
            <v>918</v>
          </cell>
        </row>
        <row r="331">
          <cell r="B331">
            <v>223738</v>
          </cell>
          <cell r="C331">
            <v>590668</v>
          </cell>
          <cell r="D331" t="str">
            <v>FRENTE DIR DESLIZ LINE 876X1018X20,3+COR</v>
          </cell>
          <cell r="E331">
            <v>876</v>
          </cell>
          <cell r="F331">
            <v>1018</v>
          </cell>
        </row>
        <row r="332">
          <cell r="B332">
            <v>223768</v>
          </cell>
          <cell r="C332">
            <v>590722</v>
          </cell>
          <cell r="D332" t="str">
            <v>FRENTE ESQ DESLIZ LINE 876X1018X20,3+COR</v>
          </cell>
          <cell r="E332">
            <v>876</v>
          </cell>
          <cell r="F332">
            <v>1018</v>
          </cell>
        </row>
        <row r="333">
          <cell r="B333">
            <v>223739</v>
          </cell>
          <cell r="C333">
            <v>590669</v>
          </cell>
          <cell r="D333" t="str">
            <v>FRENTE DIR DESLIZ LINE 876X1118X20,3+COR</v>
          </cell>
          <cell r="E333">
            <v>876</v>
          </cell>
          <cell r="F333">
            <v>1118</v>
          </cell>
        </row>
        <row r="334">
          <cell r="B334">
            <v>223769</v>
          </cell>
          <cell r="C334">
            <v>590723</v>
          </cell>
          <cell r="D334" t="str">
            <v>FRENTE ESQ DESLIZ LINE 876X1118X20,3+COR</v>
          </cell>
          <cell r="E334">
            <v>876</v>
          </cell>
          <cell r="F334">
            <v>1118</v>
          </cell>
        </row>
        <row r="335">
          <cell r="B335">
            <v>223740</v>
          </cell>
          <cell r="C335">
            <v>590670</v>
          </cell>
          <cell r="D335" t="str">
            <v>FRENTE DIR DESLIZ LINE 876X1218X20,3+COR</v>
          </cell>
          <cell r="E335">
            <v>876</v>
          </cell>
          <cell r="F335">
            <v>1218</v>
          </cell>
        </row>
        <row r="336">
          <cell r="B336">
            <v>223770</v>
          </cell>
          <cell r="C336">
            <v>590724</v>
          </cell>
          <cell r="D336" t="str">
            <v>FRENTE ESQ DESLIZ LINE 876X1218X20,3+COR</v>
          </cell>
          <cell r="E336">
            <v>876</v>
          </cell>
          <cell r="F336">
            <v>1218</v>
          </cell>
        </row>
        <row r="338">
          <cell r="B338">
            <v>223741</v>
          </cell>
          <cell r="C338">
            <v>590671</v>
          </cell>
          <cell r="D338" t="str">
            <v>FRENTE DIR DESLIZ LINE 1056X618X20,3+COR</v>
          </cell>
          <cell r="E338">
            <v>1056</v>
          </cell>
          <cell r="F338">
            <v>618</v>
          </cell>
        </row>
        <row r="339">
          <cell r="B339">
            <v>223771</v>
          </cell>
          <cell r="C339">
            <v>590725</v>
          </cell>
          <cell r="D339" t="str">
            <v>FRENTE ESQ DESLIZ LINE 1056X618X20,3+COR</v>
          </cell>
          <cell r="E339">
            <v>1056</v>
          </cell>
          <cell r="F339">
            <v>618</v>
          </cell>
        </row>
        <row r="340">
          <cell r="B340">
            <v>223742</v>
          </cell>
          <cell r="C340">
            <v>590672</v>
          </cell>
          <cell r="D340" t="str">
            <v>FRENTE DIR DESLIZ LINE 1056X718X20,3+COR</v>
          </cell>
          <cell r="E340">
            <v>1056</v>
          </cell>
          <cell r="F340">
            <v>718</v>
          </cell>
        </row>
        <row r="341">
          <cell r="B341">
            <v>223772</v>
          </cell>
          <cell r="C341">
            <v>590726</v>
          </cell>
          <cell r="D341" t="str">
            <v>FRENTE ESQ DESLIZ LINE 1056X718X20,3+COR</v>
          </cell>
          <cell r="E341">
            <v>1056</v>
          </cell>
          <cell r="F341">
            <v>718</v>
          </cell>
        </row>
        <row r="342">
          <cell r="B342">
            <v>223743</v>
          </cell>
          <cell r="C342">
            <v>590673</v>
          </cell>
          <cell r="D342" t="str">
            <v>FRENTE DIR DESLIZ LINE 1056X818X20,3+COR</v>
          </cell>
          <cell r="E342">
            <v>1056</v>
          </cell>
          <cell r="F342">
            <v>818</v>
          </cell>
        </row>
        <row r="343">
          <cell r="B343">
            <v>223773</v>
          </cell>
          <cell r="C343">
            <v>590727</v>
          </cell>
          <cell r="D343" t="str">
            <v>FRENTE ESQ DESLIZ LINE 1056X818X20,3+COR</v>
          </cell>
          <cell r="E343">
            <v>1056</v>
          </cell>
          <cell r="F343">
            <v>818</v>
          </cell>
        </row>
        <row r="344">
          <cell r="B344">
            <v>223744</v>
          </cell>
          <cell r="C344">
            <v>590674</v>
          </cell>
          <cell r="D344" t="str">
            <v>FRENTE DIR DESLIZ LINE 1056X918X20,3+COR</v>
          </cell>
          <cell r="E344">
            <v>1056</v>
          </cell>
          <cell r="F344">
            <v>918</v>
          </cell>
        </row>
        <row r="345">
          <cell r="B345">
            <v>223774</v>
          </cell>
          <cell r="C345">
            <v>590728</v>
          </cell>
          <cell r="D345" t="str">
            <v>FRENTE ESQ DESLIZ LINE 1056X918X20,3+COR</v>
          </cell>
          <cell r="E345">
            <v>1056</v>
          </cell>
          <cell r="F345">
            <v>918</v>
          </cell>
        </row>
        <row r="346">
          <cell r="B346">
            <v>223745</v>
          </cell>
          <cell r="C346">
            <v>590675</v>
          </cell>
          <cell r="D346" t="str">
            <v>FRENTE DIR DESLIZ LINE 1056X1018X20,3+COR</v>
          </cell>
          <cell r="E346">
            <v>1056</v>
          </cell>
          <cell r="F346">
            <v>1018</v>
          </cell>
        </row>
        <row r="347">
          <cell r="B347">
            <v>223775</v>
          </cell>
          <cell r="C347">
            <v>590729</v>
          </cell>
          <cell r="D347" t="str">
            <v>FRENTE ESQ DESLIZ LINE 1056X1018X20,3+COR</v>
          </cell>
          <cell r="E347">
            <v>1056</v>
          </cell>
          <cell r="F347">
            <v>1018</v>
          </cell>
        </row>
        <row r="348">
          <cell r="B348">
            <v>223746</v>
          </cell>
          <cell r="C348">
            <v>590676</v>
          </cell>
          <cell r="D348" t="str">
            <v>FRENTE DIR DESLIZ LINE 1056X1118X20,3+COR</v>
          </cell>
          <cell r="E348">
            <v>1056</v>
          </cell>
          <cell r="F348">
            <v>1118</v>
          </cell>
        </row>
        <row r="349">
          <cell r="B349">
            <v>223776</v>
          </cell>
          <cell r="C349">
            <v>590730</v>
          </cell>
          <cell r="D349" t="str">
            <v>FRENTE ESQ DESLIZ LINE 1056X1118X20,3+COR</v>
          </cell>
          <cell r="E349">
            <v>1056</v>
          </cell>
          <cell r="F349">
            <v>1118</v>
          </cell>
        </row>
        <row r="350">
          <cell r="B350">
            <v>223747</v>
          </cell>
          <cell r="C350">
            <v>590677</v>
          </cell>
          <cell r="D350" t="str">
            <v>FRENTE DIR DESLIZ LINE 1056X1218X20,3+COR</v>
          </cell>
          <cell r="E350">
            <v>1056</v>
          </cell>
          <cell r="F350">
            <v>1218</v>
          </cell>
        </row>
        <row r="351">
          <cell r="B351">
            <v>223777</v>
          </cell>
          <cell r="C351">
            <v>590731</v>
          </cell>
          <cell r="D351" t="str">
            <v>FRENTE ESQ DESLIZ LINE 1056X1218X20,3+COR</v>
          </cell>
          <cell r="E351">
            <v>1056</v>
          </cell>
          <cell r="F351">
            <v>1218</v>
          </cell>
        </row>
        <row r="353">
          <cell r="B353">
            <v>223695</v>
          </cell>
          <cell r="C353">
            <v>591080</v>
          </cell>
          <cell r="D353" t="str">
            <v>FRENTE FALSA GAV 354X395X18+COR</v>
          </cell>
          <cell r="E353">
            <v>354</v>
          </cell>
          <cell r="F353">
            <v>395</v>
          </cell>
        </row>
        <row r="354">
          <cell r="B354">
            <v>223696</v>
          </cell>
          <cell r="C354">
            <v>591081</v>
          </cell>
          <cell r="D354" t="str">
            <v>FRENTE FALSA GAV 354X445X18+COR</v>
          </cell>
          <cell r="E354">
            <v>354</v>
          </cell>
          <cell r="F354">
            <v>445</v>
          </cell>
        </row>
        <row r="355">
          <cell r="B355">
            <v>223697</v>
          </cell>
          <cell r="C355">
            <v>591082</v>
          </cell>
          <cell r="D355" t="str">
            <v>FRENTE FALSA GAV 354X495X18+COR</v>
          </cell>
          <cell r="E355">
            <v>354</v>
          </cell>
          <cell r="F355">
            <v>495</v>
          </cell>
        </row>
        <row r="356">
          <cell r="B356">
            <v>223698</v>
          </cell>
          <cell r="C356">
            <v>591083</v>
          </cell>
          <cell r="D356" t="str">
            <v>FRENTE FALSA GAV 354X545X18+COR</v>
          </cell>
          <cell r="E356">
            <v>354</v>
          </cell>
          <cell r="F356">
            <v>545</v>
          </cell>
        </row>
        <row r="357">
          <cell r="B357">
            <v>223699</v>
          </cell>
          <cell r="C357">
            <v>591084</v>
          </cell>
          <cell r="D357" t="str">
            <v>FRENTE FALSA GAV 354X595X18+COR</v>
          </cell>
          <cell r="E357">
            <v>354</v>
          </cell>
          <cell r="F357">
            <v>595</v>
          </cell>
        </row>
        <row r="358">
          <cell r="B358">
            <v>223708</v>
          </cell>
          <cell r="C358">
            <v>591085</v>
          </cell>
          <cell r="D358" t="str">
            <v>FRENTE FALSA GAV 354X695X18+COR</v>
          </cell>
          <cell r="E358">
            <v>354</v>
          </cell>
          <cell r="F358">
            <v>695</v>
          </cell>
        </row>
        <row r="359">
          <cell r="B359">
            <v>223709</v>
          </cell>
          <cell r="C359">
            <v>591086</v>
          </cell>
          <cell r="D359" t="str">
            <v>FRENTE FALSA GAV 354X795X18+COR</v>
          </cell>
          <cell r="E359">
            <v>354</v>
          </cell>
          <cell r="F359">
            <v>795</v>
          </cell>
        </row>
        <row r="360">
          <cell r="B360">
            <v>223714</v>
          </cell>
          <cell r="C360">
            <v>591087</v>
          </cell>
          <cell r="D360" t="str">
            <v>FRENTE FALSA GAV 354X895X18+COR</v>
          </cell>
          <cell r="E360">
            <v>354</v>
          </cell>
          <cell r="F360">
            <v>895</v>
          </cell>
        </row>
        <row r="361">
          <cell r="B361">
            <v>223718</v>
          </cell>
          <cell r="C361">
            <v>591088</v>
          </cell>
          <cell r="D361" t="str">
            <v>FRENTE FALSA GAV 354X995X18+COR</v>
          </cell>
          <cell r="E361">
            <v>354</v>
          </cell>
          <cell r="F361">
            <v>995</v>
          </cell>
        </row>
        <row r="362">
          <cell r="B362">
            <v>223748</v>
          </cell>
          <cell r="C362">
            <v>591089</v>
          </cell>
          <cell r="D362" t="str">
            <v>FRENTE FALSA GAV 354X1095X18+COR</v>
          </cell>
          <cell r="E362">
            <v>354</v>
          </cell>
          <cell r="F362">
            <v>1095</v>
          </cell>
        </row>
        <row r="363">
          <cell r="B363">
            <v>223749</v>
          </cell>
          <cell r="C363">
            <v>591090</v>
          </cell>
          <cell r="D363" t="str">
            <v>FRENTE FALSA GAV 354X1195X18+COR</v>
          </cell>
          <cell r="E363">
            <v>354</v>
          </cell>
          <cell r="F363">
            <v>1195</v>
          </cell>
        </row>
        <row r="365">
          <cell r="B365">
            <v>223778</v>
          </cell>
          <cell r="C365">
            <v>591091</v>
          </cell>
          <cell r="D365" t="str">
            <v>FRENTE FALSA GAV 534X395X18+COR</v>
          </cell>
          <cell r="E365">
            <v>534</v>
          </cell>
          <cell r="F365">
            <v>395</v>
          </cell>
        </row>
        <row r="366">
          <cell r="B366">
            <v>223779</v>
          </cell>
          <cell r="C366">
            <v>591092</v>
          </cell>
          <cell r="D366" t="str">
            <v>FRENTE FALSA GAV 534X445X18+COR</v>
          </cell>
          <cell r="E366">
            <v>534</v>
          </cell>
          <cell r="F366">
            <v>445</v>
          </cell>
        </row>
        <row r="367">
          <cell r="B367">
            <v>223780</v>
          </cell>
          <cell r="C367">
            <v>591093</v>
          </cell>
          <cell r="D367" t="str">
            <v>FRENTE FALSA GAV 534X495X18+COR</v>
          </cell>
          <cell r="E367">
            <v>534</v>
          </cell>
          <cell r="F367">
            <v>495</v>
          </cell>
        </row>
        <row r="368">
          <cell r="B368">
            <v>223781</v>
          </cell>
          <cell r="C368">
            <v>591094</v>
          </cell>
          <cell r="D368" t="str">
            <v>FRENTE FALSA GAV 534X545X18+COR</v>
          </cell>
          <cell r="E368">
            <v>534</v>
          </cell>
          <cell r="F368">
            <v>545</v>
          </cell>
        </row>
        <row r="369">
          <cell r="B369">
            <v>223782</v>
          </cell>
          <cell r="C369">
            <v>591095</v>
          </cell>
          <cell r="D369" t="str">
            <v>FRENTE FALSA GAV 534X595X18+COR</v>
          </cell>
          <cell r="E369">
            <v>534</v>
          </cell>
          <cell r="F369">
            <v>595</v>
          </cell>
        </row>
        <row r="370">
          <cell r="B370">
            <v>223783</v>
          </cell>
          <cell r="C370">
            <v>591096</v>
          </cell>
          <cell r="D370" t="str">
            <v>FRENTE FALSA GAV 534X695X18+COR</v>
          </cell>
          <cell r="E370">
            <v>534</v>
          </cell>
          <cell r="F370">
            <v>695</v>
          </cell>
        </row>
        <row r="371">
          <cell r="B371">
            <v>223784</v>
          </cell>
          <cell r="C371">
            <v>591097</v>
          </cell>
          <cell r="D371" t="str">
            <v>FRENTE FALSA GAV 534X795X18+COR</v>
          </cell>
          <cell r="E371">
            <v>534</v>
          </cell>
          <cell r="F371">
            <v>795</v>
          </cell>
        </row>
        <row r="372">
          <cell r="B372">
            <v>223785</v>
          </cell>
          <cell r="C372">
            <v>591098</v>
          </cell>
          <cell r="D372" t="str">
            <v>FRENTE FALSA GAV 534X895X18+COR</v>
          </cell>
          <cell r="E372">
            <v>534</v>
          </cell>
          <cell r="F372">
            <v>895</v>
          </cell>
        </row>
        <row r="373">
          <cell r="B373">
            <v>223786</v>
          </cell>
          <cell r="C373">
            <v>591099</v>
          </cell>
          <cell r="D373" t="str">
            <v>FRENTE FALSA GAV 534X995X18+COR</v>
          </cell>
          <cell r="E373">
            <v>534</v>
          </cell>
          <cell r="F373">
            <v>995</v>
          </cell>
        </row>
        <row r="375">
          <cell r="B375">
            <v>223787</v>
          </cell>
          <cell r="C375">
            <v>591100</v>
          </cell>
          <cell r="D375" t="str">
            <v>FRENTE FALSA GAV 713X396X18+COR</v>
          </cell>
          <cell r="E375">
            <v>713</v>
          </cell>
          <cell r="F375">
            <v>395</v>
          </cell>
        </row>
        <row r="376">
          <cell r="B376">
            <v>223788</v>
          </cell>
          <cell r="C376">
            <v>591101</v>
          </cell>
          <cell r="D376" t="str">
            <v>FRENTE FALSA GAV 713X446X18+COR</v>
          </cell>
          <cell r="E376">
            <v>713</v>
          </cell>
          <cell r="F376">
            <v>445</v>
          </cell>
        </row>
        <row r="377">
          <cell r="B377">
            <v>223789</v>
          </cell>
          <cell r="C377">
            <v>591102</v>
          </cell>
          <cell r="D377" t="str">
            <v>FRENTE FALSA GAV 713X496X18+COR</v>
          </cell>
          <cell r="E377">
            <v>713</v>
          </cell>
          <cell r="F377">
            <v>495</v>
          </cell>
        </row>
        <row r="378">
          <cell r="B378">
            <v>223790</v>
          </cell>
          <cell r="C378">
            <v>591103</v>
          </cell>
          <cell r="D378" t="str">
            <v>FRENTE FALSA GAV 713X546X18+COR</v>
          </cell>
          <cell r="E378">
            <v>713</v>
          </cell>
          <cell r="F378">
            <v>545</v>
          </cell>
        </row>
        <row r="379">
          <cell r="B379">
            <v>223791</v>
          </cell>
          <cell r="C379">
            <v>591104</v>
          </cell>
          <cell r="D379" t="str">
            <v>FRENTE FALSA GAV 713X596X18+COR</v>
          </cell>
          <cell r="E379">
            <v>713</v>
          </cell>
          <cell r="F379">
            <v>595</v>
          </cell>
        </row>
        <row r="380">
          <cell r="B380">
            <v>223792</v>
          </cell>
          <cell r="C380">
            <v>591105</v>
          </cell>
          <cell r="D380" t="str">
            <v>FRENTE FALSA GAV 713X696X18+COR</v>
          </cell>
          <cell r="E380">
            <v>713</v>
          </cell>
          <cell r="F380">
            <v>695</v>
          </cell>
        </row>
        <row r="381">
          <cell r="B381">
            <v>223793</v>
          </cell>
          <cell r="C381">
            <v>591106</v>
          </cell>
          <cell r="D381" t="str">
            <v>FRENTE FALSA GAV 713X796X18+COR</v>
          </cell>
          <cell r="E381">
            <v>713</v>
          </cell>
          <cell r="F381">
            <v>795</v>
          </cell>
        </row>
        <row r="382">
          <cell r="B382">
            <v>223794</v>
          </cell>
          <cell r="C382">
            <v>591107</v>
          </cell>
          <cell r="D382" t="str">
            <v>FRENTE FALSA GAV 713X896X18+COR</v>
          </cell>
          <cell r="E382">
            <v>713</v>
          </cell>
          <cell r="F382">
            <v>895</v>
          </cell>
        </row>
        <row r="383">
          <cell r="B383">
            <v>223795</v>
          </cell>
          <cell r="C383">
            <v>591108</v>
          </cell>
          <cell r="D383" t="str">
            <v>FRENTE FALSA GAV 713X996X18+COR</v>
          </cell>
          <cell r="E383">
            <v>713</v>
          </cell>
          <cell r="F383">
            <v>995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FIL ALUM FILO"/>
      <sheetName val="VIDROS FILO"/>
      <sheetName val="PAINEL CARPI"/>
      <sheetName val="PERFIS"/>
    </sheetNames>
    <sheetDataSet>
      <sheetData sheetId="0">
        <row r="6">
          <cell r="A6">
            <v>595550</v>
          </cell>
          <cell r="B6">
            <v>2899</v>
          </cell>
          <cell r="C6">
            <v>2801</v>
          </cell>
          <cell r="D6">
            <v>2802</v>
          </cell>
          <cell r="E6">
            <v>2803</v>
          </cell>
          <cell r="F6">
            <v>2804</v>
          </cell>
          <cell r="G6">
            <v>2805</v>
          </cell>
          <cell r="H6">
            <v>2806</v>
          </cell>
          <cell r="I6">
            <v>2807</v>
          </cell>
          <cell r="J6">
            <v>2808</v>
          </cell>
          <cell r="K6">
            <v>2809</v>
          </cell>
          <cell r="L6">
            <v>2810</v>
          </cell>
          <cell r="M6">
            <v>2800</v>
          </cell>
          <cell r="N6" t="str">
            <v>CABECEIRA SUP/INF FILO 195X45X20,3 + COR</v>
          </cell>
          <cell r="O6">
            <v>195</v>
          </cell>
          <cell r="P6">
            <v>45</v>
          </cell>
          <cell r="Q6">
            <v>20.3</v>
          </cell>
        </row>
        <row r="7">
          <cell r="A7">
            <v>595551</v>
          </cell>
          <cell r="B7">
            <v>2899</v>
          </cell>
          <cell r="C7">
            <v>2801</v>
          </cell>
          <cell r="D7">
            <v>2802</v>
          </cell>
          <cell r="E7">
            <v>2803</v>
          </cell>
          <cell r="F7">
            <v>2804</v>
          </cell>
          <cell r="G7">
            <v>2805</v>
          </cell>
          <cell r="H7">
            <v>2806</v>
          </cell>
          <cell r="I7">
            <v>2807</v>
          </cell>
          <cell r="J7">
            <v>2808</v>
          </cell>
          <cell r="K7">
            <v>2809</v>
          </cell>
          <cell r="L7">
            <v>2810</v>
          </cell>
          <cell r="M7">
            <v>2800</v>
          </cell>
          <cell r="N7" t="str">
            <v>CABECEIRA SUP/INF FILO 295X45X20,3 + COR</v>
          </cell>
          <cell r="O7">
            <v>295</v>
          </cell>
          <cell r="P7">
            <v>45</v>
          </cell>
          <cell r="Q7">
            <v>20.3</v>
          </cell>
        </row>
        <row r="8">
          <cell r="A8">
            <v>595552</v>
          </cell>
          <cell r="B8">
            <v>2899</v>
          </cell>
          <cell r="C8">
            <v>2801</v>
          </cell>
          <cell r="D8">
            <v>2802</v>
          </cell>
          <cell r="E8">
            <v>2803</v>
          </cell>
          <cell r="F8">
            <v>2804</v>
          </cell>
          <cell r="G8">
            <v>2805</v>
          </cell>
          <cell r="H8">
            <v>2806</v>
          </cell>
          <cell r="I8">
            <v>2807</v>
          </cell>
          <cell r="J8">
            <v>2808</v>
          </cell>
          <cell r="K8">
            <v>2809</v>
          </cell>
          <cell r="L8">
            <v>2810</v>
          </cell>
          <cell r="M8">
            <v>2800</v>
          </cell>
          <cell r="N8" t="str">
            <v>CABECEIRA SUP/INF FILO 345X45X20,3 + COR</v>
          </cell>
          <cell r="O8">
            <v>345</v>
          </cell>
          <cell r="P8">
            <v>45</v>
          </cell>
          <cell r="Q8">
            <v>20.3</v>
          </cell>
        </row>
        <row r="9">
          <cell r="A9">
            <v>595553</v>
          </cell>
          <cell r="B9">
            <v>2899</v>
          </cell>
          <cell r="C9">
            <v>2801</v>
          </cell>
          <cell r="D9">
            <v>2802</v>
          </cell>
          <cell r="E9">
            <v>2803</v>
          </cell>
          <cell r="F9">
            <v>2804</v>
          </cell>
          <cell r="G9">
            <v>2805</v>
          </cell>
          <cell r="H9">
            <v>2806</v>
          </cell>
          <cell r="I9">
            <v>2807</v>
          </cell>
          <cell r="J9">
            <v>2808</v>
          </cell>
          <cell r="K9">
            <v>2809</v>
          </cell>
          <cell r="L9">
            <v>2810</v>
          </cell>
          <cell r="M9">
            <v>2800</v>
          </cell>
          <cell r="N9" t="str">
            <v>CABECEIRA SUP/INF FILO 395X45X20,3 + COR</v>
          </cell>
          <cell r="O9">
            <v>395</v>
          </cell>
          <cell r="P9">
            <v>45</v>
          </cell>
          <cell r="Q9">
            <v>20.3</v>
          </cell>
        </row>
        <row r="10">
          <cell r="A10">
            <v>595554</v>
          </cell>
          <cell r="B10">
            <v>2899</v>
          </cell>
          <cell r="C10">
            <v>2801</v>
          </cell>
          <cell r="D10">
            <v>2802</v>
          </cell>
          <cell r="E10">
            <v>2803</v>
          </cell>
          <cell r="F10">
            <v>2804</v>
          </cell>
          <cell r="G10">
            <v>2805</v>
          </cell>
          <cell r="H10">
            <v>2806</v>
          </cell>
          <cell r="I10">
            <v>2807</v>
          </cell>
          <cell r="J10">
            <v>2808</v>
          </cell>
          <cell r="K10">
            <v>2809</v>
          </cell>
          <cell r="L10">
            <v>2810</v>
          </cell>
          <cell r="M10">
            <v>2800</v>
          </cell>
          <cell r="N10" t="str">
            <v>CABECEIRA SUP/INF FILO 445X45X20,3 + COR</v>
          </cell>
          <cell r="O10">
            <v>445</v>
          </cell>
          <cell r="P10">
            <v>45</v>
          </cell>
          <cell r="Q10">
            <v>20.3</v>
          </cell>
        </row>
        <row r="11">
          <cell r="A11">
            <v>595555</v>
          </cell>
          <cell r="B11">
            <v>2899</v>
          </cell>
          <cell r="C11">
            <v>2801</v>
          </cell>
          <cell r="D11">
            <v>2802</v>
          </cell>
          <cell r="E11">
            <v>2803</v>
          </cell>
          <cell r="F11">
            <v>2804</v>
          </cell>
          <cell r="G11">
            <v>2805</v>
          </cell>
          <cell r="H11">
            <v>2806</v>
          </cell>
          <cell r="I11">
            <v>2807</v>
          </cell>
          <cell r="J11">
            <v>2808</v>
          </cell>
          <cell r="K11">
            <v>2809</v>
          </cell>
          <cell r="L11">
            <v>2810</v>
          </cell>
          <cell r="M11">
            <v>2800</v>
          </cell>
          <cell r="N11" t="str">
            <v>CABECEIRA SUP/INF FILO 481X45X20,3 + COR</v>
          </cell>
          <cell r="O11">
            <v>481</v>
          </cell>
          <cell r="P11">
            <v>45</v>
          </cell>
          <cell r="Q11">
            <v>20.3</v>
          </cell>
        </row>
        <row r="12">
          <cell r="A12">
            <v>595556</v>
          </cell>
          <cell r="B12">
            <v>2899</v>
          </cell>
          <cell r="C12">
            <v>2801</v>
          </cell>
          <cell r="D12">
            <v>2802</v>
          </cell>
          <cell r="E12">
            <v>2803</v>
          </cell>
          <cell r="F12">
            <v>2804</v>
          </cell>
          <cell r="G12">
            <v>2805</v>
          </cell>
          <cell r="H12">
            <v>2806</v>
          </cell>
          <cell r="I12">
            <v>2807</v>
          </cell>
          <cell r="J12">
            <v>2808</v>
          </cell>
          <cell r="K12">
            <v>2809</v>
          </cell>
          <cell r="L12">
            <v>2810</v>
          </cell>
          <cell r="M12">
            <v>2800</v>
          </cell>
          <cell r="N12" t="str">
            <v>CABECEIRA SUP/INF FILO 501X45X20,3 + COR</v>
          </cell>
          <cell r="O12">
            <v>501</v>
          </cell>
          <cell r="P12">
            <v>45</v>
          </cell>
          <cell r="Q12">
            <v>20.3</v>
          </cell>
        </row>
        <row r="13">
          <cell r="A13">
            <v>595557</v>
          </cell>
          <cell r="B13">
            <v>2899</v>
          </cell>
          <cell r="C13">
            <v>2801</v>
          </cell>
          <cell r="D13">
            <v>2802</v>
          </cell>
          <cell r="E13">
            <v>2803</v>
          </cell>
          <cell r="F13">
            <v>2804</v>
          </cell>
          <cell r="G13">
            <v>2805</v>
          </cell>
          <cell r="H13">
            <v>2806</v>
          </cell>
          <cell r="I13">
            <v>2807</v>
          </cell>
          <cell r="J13">
            <v>2808</v>
          </cell>
          <cell r="K13">
            <v>2809</v>
          </cell>
          <cell r="L13">
            <v>2810</v>
          </cell>
          <cell r="M13">
            <v>2800</v>
          </cell>
          <cell r="N13" t="str">
            <v>CABECEIRA SUP/INF FILO 495X45X20,3 + COR</v>
          </cell>
          <cell r="O13">
            <v>495</v>
          </cell>
          <cell r="P13">
            <v>45</v>
          </cell>
          <cell r="Q13">
            <v>20.3</v>
          </cell>
        </row>
        <row r="14">
          <cell r="A14">
            <v>595558</v>
          </cell>
          <cell r="B14">
            <v>2899</v>
          </cell>
          <cell r="C14">
            <v>2801</v>
          </cell>
          <cell r="D14">
            <v>2802</v>
          </cell>
          <cell r="E14">
            <v>2803</v>
          </cell>
          <cell r="F14">
            <v>2804</v>
          </cell>
          <cell r="G14">
            <v>2805</v>
          </cell>
          <cell r="H14">
            <v>2806</v>
          </cell>
          <cell r="I14">
            <v>2807</v>
          </cell>
          <cell r="J14">
            <v>2808</v>
          </cell>
          <cell r="K14">
            <v>2809</v>
          </cell>
          <cell r="L14">
            <v>2810</v>
          </cell>
          <cell r="M14">
            <v>2800</v>
          </cell>
          <cell r="N14" t="str">
            <v>CABECEIRA SUP/INF FILO 520X45X20,3 + COR</v>
          </cell>
          <cell r="O14">
            <v>520</v>
          </cell>
          <cell r="P14">
            <v>45</v>
          </cell>
          <cell r="Q14">
            <v>20.3</v>
          </cell>
        </row>
        <row r="15">
          <cell r="A15">
            <v>595559</v>
          </cell>
          <cell r="B15">
            <v>2899</v>
          </cell>
          <cell r="C15">
            <v>2801</v>
          </cell>
          <cell r="D15">
            <v>2802</v>
          </cell>
          <cell r="E15">
            <v>2803</v>
          </cell>
          <cell r="F15">
            <v>2804</v>
          </cell>
          <cell r="G15">
            <v>2805</v>
          </cell>
          <cell r="H15">
            <v>2806</v>
          </cell>
          <cell r="I15">
            <v>2807</v>
          </cell>
          <cell r="J15">
            <v>2808</v>
          </cell>
          <cell r="K15">
            <v>2809</v>
          </cell>
          <cell r="L15">
            <v>2810</v>
          </cell>
          <cell r="M15">
            <v>2800</v>
          </cell>
          <cell r="N15" t="str">
            <v>CABECEIRA SUP/INF FILO 541X45X20,3 + COR</v>
          </cell>
          <cell r="O15">
            <v>541</v>
          </cell>
          <cell r="P15">
            <v>45</v>
          </cell>
          <cell r="Q15">
            <v>20.3</v>
          </cell>
        </row>
        <row r="16">
          <cell r="A16">
            <v>595560</v>
          </cell>
          <cell r="B16">
            <v>2899</v>
          </cell>
          <cell r="C16">
            <v>2801</v>
          </cell>
          <cell r="D16">
            <v>2802</v>
          </cell>
          <cell r="E16">
            <v>2803</v>
          </cell>
          <cell r="F16">
            <v>2804</v>
          </cell>
          <cell r="G16">
            <v>2805</v>
          </cell>
          <cell r="H16">
            <v>2806</v>
          </cell>
          <cell r="I16">
            <v>2807</v>
          </cell>
          <cell r="J16">
            <v>2808</v>
          </cell>
          <cell r="K16">
            <v>2809</v>
          </cell>
          <cell r="L16">
            <v>2810</v>
          </cell>
          <cell r="M16">
            <v>2800</v>
          </cell>
          <cell r="N16" t="str">
            <v>CABECEIRA SUP/INF FILO 545X45X20,3 + COR</v>
          </cell>
          <cell r="O16">
            <v>545</v>
          </cell>
          <cell r="P16">
            <v>45</v>
          </cell>
          <cell r="Q16">
            <v>20.3</v>
          </cell>
        </row>
        <row r="17">
          <cell r="A17">
            <v>595561</v>
          </cell>
          <cell r="B17">
            <v>2899</v>
          </cell>
          <cell r="C17">
            <v>2801</v>
          </cell>
          <cell r="D17">
            <v>2802</v>
          </cell>
          <cell r="E17">
            <v>2803</v>
          </cell>
          <cell r="F17">
            <v>2804</v>
          </cell>
          <cell r="G17">
            <v>2805</v>
          </cell>
          <cell r="H17">
            <v>2806</v>
          </cell>
          <cell r="I17">
            <v>2807</v>
          </cell>
          <cell r="J17">
            <v>2808</v>
          </cell>
          <cell r="K17">
            <v>2809</v>
          </cell>
          <cell r="L17">
            <v>2810</v>
          </cell>
          <cell r="M17">
            <v>2800</v>
          </cell>
          <cell r="N17" t="str">
            <v>CABECEIRA SUP/INF FILO 595X45X20,3 + COR</v>
          </cell>
          <cell r="O17">
            <v>595</v>
          </cell>
          <cell r="P17">
            <v>45</v>
          </cell>
          <cell r="Q17">
            <v>20.3</v>
          </cell>
        </row>
        <row r="18">
          <cell r="A18">
            <v>595562</v>
          </cell>
          <cell r="B18">
            <v>2899</v>
          </cell>
          <cell r="C18">
            <v>2801</v>
          </cell>
          <cell r="D18">
            <v>2802</v>
          </cell>
          <cell r="E18">
            <v>2803</v>
          </cell>
          <cell r="F18">
            <v>2804</v>
          </cell>
          <cell r="G18">
            <v>2805</v>
          </cell>
          <cell r="H18">
            <v>2806</v>
          </cell>
          <cell r="I18">
            <v>2807</v>
          </cell>
          <cell r="J18">
            <v>2808</v>
          </cell>
          <cell r="K18">
            <v>2809</v>
          </cell>
          <cell r="L18">
            <v>2810</v>
          </cell>
          <cell r="M18">
            <v>2800</v>
          </cell>
          <cell r="N18" t="str">
            <v>CABECEIRA SUP/INF FILO 695X45X20,3 + COR</v>
          </cell>
          <cell r="O18">
            <v>695</v>
          </cell>
          <cell r="P18">
            <v>45</v>
          </cell>
          <cell r="Q18">
            <v>20.3</v>
          </cell>
        </row>
        <row r="19">
          <cell r="A19">
            <v>595563</v>
          </cell>
          <cell r="B19">
            <v>2899</v>
          </cell>
          <cell r="C19">
            <v>2801</v>
          </cell>
          <cell r="D19">
            <v>2802</v>
          </cell>
          <cell r="E19">
            <v>2803</v>
          </cell>
          <cell r="F19">
            <v>2804</v>
          </cell>
          <cell r="G19">
            <v>2805</v>
          </cell>
          <cell r="H19">
            <v>2806</v>
          </cell>
          <cell r="I19">
            <v>2807</v>
          </cell>
          <cell r="J19">
            <v>2808</v>
          </cell>
          <cell r="K19">
            <v>2809</v>
          </cell>
          <cell r="L19">
            <v>2810</v>
          </cell>
          <cell r="M19">
            <v>2800</v>
          </cell>
          <cell r="N19" t="str">
            <v>CABECEIRA SUP/INF FILO 795X45X20,3 + COR</v>
          </cell>
          <cell r="O19">
            <v>795</v>
          </cell>
          <cell r="P19">
            <v>45</v>
          </cell>
          <cell r="Q19">
            <v>20.3</v>
          </cell>
        </row>
        <row r="20">
          <cell r="A20">
            <v>595564</v>
          </cell>
          <cell r="B20">
            <v>2899</v>
          </cell>
          <cell r="C20">
            <v>2801</v>
          </cell>
          <cell r="D20">
            <v>2802</v>
          </cell>
          <cell r="E20">
            <v>2803</v>
          </cell>
          <cell r="F20">
            <v>2804</v>
          </cell>
          <cell r="G20">
            <v>2805</v>
          </cell>
          <cell r="H20">
            <v>2806</v>
          </cell>
          <cell r="I20">
            <v>2807</v>
          </cell>
          <cell r="J20">
            <v>2808</v>
          </cell>
          <cell r="K20">
            <v>2809</v>
          </cell>
          <cell r="L20">
            <v>2810</v>
          </cell>
          <cell r="M20">
            <v>2800</v>
          </cell>
          <cell r="N20" t="str">
            <v>CABECEIRA SUP/INF FILO 895X45X20,3 + COR</v>
          </cell>
          <cell r="O20">
            <v>895</v>
          </cell>
          <cell r="P20">
            <v>45</v>
          </cell>
          <cell r="Q20">
            <v>20.3</v>
          </cell>
        </row>
        <row r="21">
          <cell r="A21">
            <v>595565</v>
          </cell>
          <cell r="B21">
            <v>2899</v>
          </cell>
          <cell r="C21">
            <v>2801</v>
          </cell>
          <cell r="D21">
            <v>2802</v>
          </cell>
          <cell r="E21">
            <v>2803</v>
          </cell>
          <cell r="F21">
            <v>2804</v>
          </cell>
          <cell r="G21">
            <v>2805</v>
          </cell>
          <cell r="H21">
            <v>2806</v>
          </cell>
          <cell r="I21">
            <v>2807</v>
          </cell>
          <cell r="J21">
            <v>2808</v>
          </cell>
          <cell r="K21">
            <v>2809</v>
          </cell>
          <cell r="L21">
            <v>2810</v>
          </cell>
          <cell r="M21">
            <v>2800</v>
          </cell>
          <cell r="N21" t="str">
            <v>CABECEIRA SUP/INF FILO 995X45X20,3 + COR</v>
          </cell>
          <cell r="O21">
            <v>995</v>
          </cell>
          <cell r="P21">
            <v>45</v>
          </cell>
          <cell r="Q21">
            <v>20.3</v>
          </cell>
        </row>
        <row r="22">
          <cell r="A22">
            <v>595566</v>
          </cell>
          <cell r="B22">
            <v>2899</v>
          </cell>
          <cell r="C22">
            <v>2801</v>
          </cell>
          <cell r="D22">
            <v>2802</v>
          </cell>
          <cell r="E22">
            <v>2803</v>
          </cell>
          <cell r="F22">
            <v>2804</v>
          </cell>
          <cell r="G22">
            <v>2805</v>
          </cell>
          <cell r="H22">
            <v>2806</v>
          </cell>
          <cell r="I22">
            <v>2807</v>
          </cell>
          <cell r="J22">
            <v>2808</v>
          </cell>
          <cell r="K22">
            <v>2809</v>
          </cell>
          <cell r="L22">
            <v>2810</v>
          </cell>
          <cell r="M22">
            <v>2800</v>
          </cell>
          <cell r="N22" t="str">
            <v>CABECEIRA SUP/INF FILO 1095X45X20,3 + COR</v>
          </cell>
          <cell r="O22">
            <v>1095</v>
          </cell>
          <cell r="P22">
            <v>45</v>
          </cell>
          <cell r="Q22">
            <v>20.3</v>
          </cell>
        </row>
        <row r="23">
          <cell r="A23">
            <v>595567</v>
          </cell>
          <cell r="B23">
            <v>2899</v>
          </cell>
          <cell r="C23">
            <v>2801</v>
          </cell>
          <cell r="D23">
            <v>2802</v>
          </cell>
          <cell r="E23">
            <v>2803</v>
          </cell>
          <cell r="F23">
            <v>2804</v>
          </cell>
          <cell r="G23">
            <v>2805</v>
          </cell>
          <cell r="H23">
            <v>2806</v>
          </cell>
          <cell r="I23">
            <v>2807</v>
          </cell>
          <cell r="J23">
            <v>2808</v>
          </cell>
          <cell r="K23">
            <v>2809</v>
          </cell>
          <cell r="L23">
            <v>2810</v>
          </cell>
          <cell r="M23">
            <v>2800</v>
          </cell>
          <cell r="N23" t="str">
            <v>CABECEIRA SUP/INF FILO 1195X45X20,3 + COR</v>
          </cell>
          <cell r="O23">
            <v>1195</v>
          </cell>
          <cell r="P23">
            <v>45</v>
          </cell>
          <cell r="Q23">
            <v>20.3</v>
          </cell>
        </row>
        <row r="24">
          <cell r="A24">
            <v>595568</v>
          </cell>
          <cell r="B24">
            <v>2899</v>
          </cell>
          <cell r="C24">
            <v>2801</v>
          </cell>
          <cell r="D24">
            <v>2802</v>
          </cell>
          <cell r="E24">
            <v>2803</v>
          </cell>
          <cell r="F24">
            <v>2804</v>
          </cell>
          <cell r="G24">
            <v>2805</v>
          </cell>
          <cell r="H24">
            <v>2806</v>
          </cell>
          <cell r="I24">
            <v>2807</v>
          </cell>
          <cell r="J24">
            <v>2808</v>
          </cell>
          <cell r="K24">
            <v>2809</v>
          </cell>
          <cell r="L24">
            <v>2810</v>
          </cell>
          <cell r="M24">
            <v>2800</v>
          </cell>
          <cell r="N24" t="str">
            <v>CABECEIRA SUP/INF FILO 1395X45X20,3 + COR</v>
          </cell>
          <cell r="O24">
            <v>1395</v>
          </cell>
          <cell r="P24">
            <v>45</v>
          </cell>
          <cell r="Q24">
            <v>20.3</v>
          </cell>
        </row>
        <row r="25">
          <cell r="A25">
            <v>595569</v>
          </cell>
          <cell r="B25">
            <v>2899</v>
          </cell>
          <cell r="C25">
            <v>2801</v>
          </cell>
          <cell r="D25">
            <v>2802</v>
          </cell>
          <cell r="E25">
            <v>2803</v>
          </cell>
          <cell r="F25">
            <v>2804</v>
          </cell>
          <cell r="G25">
            <v>2805</v>
          </cell>
          <cell r="H25">
            <v>2806</v>
          </cell>
          <cell r="I25">
            <v>2807</v>
          </cell>
          <cell r="J25">
            <v>2808</v>
          </cell>
          <cell r="K25">
            <v>2809</v>
          </cell>
          <cell r="L25">
            <v>2810</v>
          </cell>
          <cell r="M25">
            <v>2800</v>
          </cell>
          <cell r="N25" t="str">
            <v>CABECEIRA INF TAB PASSAR FILO 395X45X20,3 C/FURO DOB+COR</v>
          </cell>
          <cell r="O25">
            <v>395</v>
          </cell>
          <cell r="P25">
            <v>45</v>
          </cell>
          <cell r="Q25">
            <v>20.3</v>
          </cell>
        </row>
        <row r="26">
          <cell r="A26"/>
          <cell r="B26"/>
          <cell r="C26"/>
          <cell r="D26"/>
          <cell r="E26"/>
          <cell r="F26"/>
        </row>
        <row r="27">
          <cell r="A27">
            <v>595570</v>
          </cell>
          <cell r="B27">
            <v>2899</v>
          </cell>
          <cell r="C27">
            <v>2801</v>
          </cell>
          <cell r="D27">
            <v>2802</v>
          </cell>
          <cell r="E27">
            <v>2803</v>
          </cell>
          <cell r="F27">
            <v>2804</v>
          </cell>
          <cell r="G27">
            <v>2805</v>
          </cell>
          <cell r="H27">
            <v>2806</v>
          </cell>
          <cell r="I27">
            <v>2807</v>
          </cell>
          <cell r="J27">
            <v>2808</v>
          </cell>
          <cell r="K27">
            <v>2809</v>
          </cell>
          <cell r="L27">
            <v>2810</v>
          </cell>
          <cell r="M27">
            <v>2800</v>
          </cell>
          <cell r="N27" t="str">
            <v>CABECEIRA SUP/INF FILO 595X45X20,3 C/ FURO DOB + COR</v>
          </cell>
          <cell r="O27">
            <v>595</v>
          </cell>
          <cell r="P27">
            <v>45</v>
          </cell>
          <cell r="Q27">
            <v>20.3</v>
          </cell>
        </row>
        <row r="28">
          <cell r="A28">
            <v>595571</v>
          </cell>
          <cell r="B28">
            <v>2899</v>
          </cell>
          <cell r="C28">
            <v>2801</v>
          </cell>
          <cell r="D28">
            <v>2802</v>
          </cell>
          <cell r="E28">
            <v>2803</v>
          </cell>
          <cell r="F28">
            <v>2804</v>
          </cell>
          <cell r="G28">
            <v>2805</v>
          </cell>
          <cell r="H28">
            <v>2806</v>
          </cell>
          <cell r="I28">
            <v>2807</v>
          </cell>
          <cell r="J28">
            <v>2808</v>
          </cell>
          <cell r="K28">
            <v>2809</v>
          </cell>
          <cell r="L28">
            <v>2810</v>
          </cell>
          <cell r="M28">
            <v>2800</v>
          </cell>
          <cell r="N28" t="str">
            <v>CABECEIRA SUP/INF FILO 695X45X20,3 C/ FURO DOB + COR</v>
          </cell>
          <cell r="O28">
            <v>695</v>
          </cell>
          <cell r="P28">
            <v>45</v>
          </cell>
          <cell r="Q28">
            <v>20.3</v>
          </cell>
        </row>
        <row r="29">
          <cell r="A29">
            <v>595572</v>
          </cell>
          <cell r="B29">
            <v>2899</v>
          </cell>
          <cell r="C29">
            <v>2801</v>
          </cell>
          <cell r="D29">
            <v>2802</v>
          </cell>
          <cell r="E29">
            <v>2803</v>
          </cell>
          <cell r="F29">
            <v>2804</v>
          </cell>
          <cell r="G29">
            <v>2805</v>
          </cell>
          <cell r="H29">
            <v>2806</v>
          </cell>
          <cell r="I29">
            <v>2807</v>
          </cell>
          <cell r="J29">
            <v>2808</v>
          </cell>
          <cell r="K29">
            <v>2809</v>
          </cell>
          <cell r="L29">
            <v>2810</v>
          </cell>
          <cell r="M29">
            <v>2800</v>
          </cell>
          <cell r="N29" t="str">
            <v>CABECEIRA SUP/INF FILO 795X45X20,3 C/ FURO DOB + COR</v>
          </cell>
          <cell r="O29">
            <v>795</v>
          </cell>
          <cell r="P29">
            <v>45</v>
          </cell>
          <cell r="Q29">
            <v>20.3</v>
          </cell>
        </row>
        <row r="30">
          <cell r="A30">
            <v>595573</v>
          </cell>
          <cell r="B30">
            <v>2899</v>
          </cell>
          <cell r="C30">
            <v>2801</v>
          </cell>
          <cell r="D30">
            <v>2802</v>
          </cell>
          <cell r="E30">
            <v>2803</v>
          </cell>
          <cell r="F30">
            <v>2804</v>
          </cell>
          <cell r="G30">
            <v>2805</v>
          </cell>
          <cell r="H30">
            <v>2806</v>
          </cell>
          <cell r="I30">
            <v>2807</v>
          </cell>
          <cell r="J30">
            <v>2808</v>
          </cell>
          <cell r="K30">
            <v>2809</v>
          </cell>
          <cell r="L30">
            <v>2810</v>
          </cell>
          <cell r="M30">
            <v>2800</v>
          </cell>
          <cell r="N30" t="str">
            <v>CABECEIRA SUP/INF FILO 895X45X20,3 C/ FURO DOB + COR</v>
          </cell>
          <cell r="O30">
            <v>895</v>
          </cell>
          <cell r="P30">
            <v>45</v>
          </cell>
          <cell r="Q30">
            <v>20.3</v>
          </cell>
        </row>
        <row r="31">
          <cell r="A31">
            <v>595574</v>
          </cell>
          <cell r="B31">
            <v>2899</v>
          </cell>
          <cell r="C31">
            <v>2801</v>
          </cell>
          <cell r="D31">
            <v>2802</v>
          </cell>
          <cell r="E31">
            <v>2803</v>
          </cell>
          <cell r="F31">
            <v>2804</v>
          </cell>
          <cell r="G31">
            <v>2805</v>
          </cell>
          <cell r="H31">
            <v>2806</v>
          </cell>
          <cell r="I31">
            <v>2807</v>
          </cell>
          <cell r="J31">
            <v>2808</v>
          </cell>
          <cell r="K31">
            <v>2809</v>
          </cell>
          <cell r="L31">
            <v>2810</v>
          </cell>
          <cell r="M31">
            <v>2800</v>
          </cell>
          <cell r="N31" t="str">
            <v>CABECEIRA SUP/INF FILO 995X45X20,3 C/ FURO DOB + COR</v>
          </cell>
          <cell r="O31">
            <v>995</v>
          </cell>
          <cell r="P31">
            <v>45</v>
          </cell>
          <cell r="Q31">
            <v>20.3</v>
          </cell>
        </row>
        <row r="32">
          <cell r="A32">
            <v>595575</v>
          </cell>
          <cell r="B32">
            <v>2899</v>
          </cell>
          <cell r="C32">
            <v>2801</v>
          </cell>
          <cell r="D32">
            <v>2802</v>
          </cell>
          <cell r="E32">
            <v>2803</v>
          </cell>
          <cell r="F32">
            <v>2804</v>
          </cell>
          <cell r="G32">
            <v>2805</v>
          </cell>
          <cell r="H32">
            <v>2806</v>
          </cell>
          <cell r="I32">
            <v>2807</v>
          </cell>
          <cell r="J32">
            <v>2808</v>
          </cell>
          <cell r="K32">
            <v>2809</v>
          </cell>
          <cell r="L32">
            <v>2810</v>
          </cell>
          <cell r="M32">
            <v>2800</v>
          </cell>
          <cell r="N32" t="str">
            <v>CABECEIRA SUP/INF FILO 1095X45X20,3 C/ FURO DOB + COR</v>
          </cell>
          <cell r="O32">
            <v>1095</v>
          </cell>
          <cell r="P32">
            <v>45</v>
          </cell>
          <cell r="Q32">
            <v>20.3</v>
          </cell>
        </row>
        <row r="33">
          <cell r="A33">
            <v>595576</v>
          </cell>
          <cell r="B33">
            <v>2899</v>
          </cell>
          <cell r="C33">
            <v>2801</v>
          </cell>
          <cell r="D33">
            <v>2802</v>
          </cell>
          <cell r="E33">
            <v>2803</v>
          </cell>
          <cell r="F33">
            <v>2804</v>
          </cell>
          <cell r="G33">
            <v>2805</v>
          </cell>
          <cell r="H33">
            <v>2806</v>
          </cell>
          <cell r="I33">
            <v>2807</v>
          </cell>
          <cell r="J33">
            <v>2808</v>
          </cell>
          <cell r="K33">
            <v>2809</v>
          </cell>
          <cell r="L33">
            <v>2810</v>
          </cell>
          <cell r="M33">
            <v>2800</v>
          </cell>
          <cell r="N33" t="str">
            <v>CABECEIRA SUP/INF FILO 1195X45X20,3 C/ FURO DOB + COR</v>
          </cell>
          <cell r="O33">
            <v>1195</v>
          </cell>
          <cell r="P33">
            <v>45</v>
          </cell>
          <cell r="Q33">
            <v>20.3</v>
          </cell>
        </row>
        <row r="34">
          <cell r="A34">
            <v>595577</v>
          </cell>
          <cell r="B34">
            <v>2899</v>
          </cell>
          <cell r="C34">
            <v>2801</v>
          </cell>
          <cell r="D34">
            <v>2802</v>
          </cell>
          <cell r="E34">
            <v>2803</v>
          </cell>
          <cell r="F34">
            <v>2804</v>
          </cell>
          <cell r="G34">
            <v>2805</v>
          </cell>
          <cell r="H34">
            <v>2806</v>
          </cell>
          <cell r="I34">
            <v>2807</v>
          </cell>
          <cell r="J34">
            <v>2808</v>
          </cell>
          <cell r="K34">
            <v>2809</v>
          </cell>
          <cell r="L34">
            <v>2810</v>
          </cell>
          <cell r="M34">
            <v>2800</v>
          </cell>
          <cell r="N34" t="str">
            <v>CABECEIRA SUP/INF FILO 1395X45X20,3 C/ FURO DOB + COR</v>
          </cell>
          <cell r="O34">
            <v>1395</v>
          </cell>
          <cell r="P34">
            <v>45</v>
          </cell>
          <cell r="Q34">
            <v>20.3</v>
          </cell>
        </row>
        <row r="36">
          <cell r="A36">
            <v>595515</v>
          </cell>
          <cell r="B36">
            <v>2899</v>
          </cell>
          <cell r="C36">
            <v>2801</v>
          </cell>
          <cell r="D36">
            <v>2802</v>
          </cell>
          <cell r="E36">
            <v>2803</v>
          </cell>
          <cell r="F36">
            <v>2804</v>
          </cell>
          <cell r="G36">
            <v>2805</v>
          </cell>
          <cell r="H36">
            <v>2806</v>
          </cell>
          <cell r="I36">
            <v>2807</v>
          </cell>
          <cell r="J36">
            <v>2808</v>
          </cell>
          <cell r="K36">
            <v>2809</v>
          </cell>
          <cell r="L36">
            <v>2810</v>
          </cell>
          <cell r="M36">
            <v>2800</v>
          </cell>
          <cell r="N36" t="str">
            <v>CABECEIRA DIR/ESQ FILO 195X45X20,3 C/ REC PUX + COR</v>
          </cell>
          <cell r="O36">
            <v>195</v>
          </cell>
          <cell r="P36">
            <v>45</v>
          </cell>
          <cell r="Q36">
            <v>20.3</v>
          </cell>
        </row>
        <row r="37">
          <cell r="A37">
            <v>595516</v>
          </cell>
          <cell r="B37">
            <v>2899</v>
          </cell>
          <cell r="C37">
            <v>2801</v>
          </cell>
          <cell r="D37">
            <v>2802</v>
          </cell>
          <cell r="E37">
            <v>2803</v>
          </cell>
          <cell r="F37">
            <v>2804</v>
          </cell>
          <cell r="G37">
            <v>2805</v>
          </cell>
          <cell r="H37">
            <v>2806</v>
          </cell>
          <cell r="I37">
            <v>2807</v>
          </cell>
          <cell r="J37">
            <v>2808</v>
          </cell>
          <cell r="K37">
            <v>2809</v>
          </cell>
          <cell r="L37">
            <v>2810</v>
          </cell>
          <cell r="M37">
            <v>2800</v>
          </cell>
          <cell r="N37" t="str">
            <v>CABECEIRA DIR FILO 295X45X20,3 C/ REC PUX + COR</v>
          </cell>
          <cell r="O37">
            <v>295</v>
          </cell>
          <cell r="P37">
            <v>45</v>
          </cell>
          <cell r="Q37">
            <v>20.3</v>
          </cell>
        </row>
        <row r="38">
          <cell r="A38">
            <v>595517</v>
          </cell>
          <cell r="B38">
            <v>2899</v>
          </cell>
          <cell r="C38">
            <v>2801</v>
          </cell>
          <cell r="D38">
            <v>2802</v>
          </cell>
          <cell r="E38">
            <v>2803</v>
          </cell>
          <cell r="F38">
            <v>2804</v>
          </cell>
          <cell r="G38">
            <v>2805</v>
          </cell>
          <cell r="H38">
            <v>2806</v>
          </cell>
          <cell r="I38">
            <v>2807</v>
          </cell>
          <cell r="J38">
            <v>2808</v>
          </cell>
          <cell r="K38">
            <v>2809</v>
          </cell>
          <cell r="L38">
            <v>2810</v>
          </cell>
          <cell r="M38">
            <v>2800</v>
          </cell>
          <cell r="N38" t="str">
            <v>CABECEIRA ESQ FILO 295X45X20,3 C/ REC PUX + COR</v>
          </cell>
          <cell r="O38">
            <v>295</v>
          </cell>
          <cell r="P38">
            <v>45</v>
          </cell>
          <cell r="Q38">
            <v>20.3</v>
          </cell>
        </row>
        <row r="39">
          <cell r="A39">
            <v>595518</v>
          </cell>
          <cell r="B39">
            <v>2899</v>
          </cell>
          <cell r="C39">
            <v>2801</v>
          </cell>
          <cell r="D39">
            <v>2802</v>
          </cell>
          <cell r="E39">
            <v>2803</v>
          </cell>
          <cell r="F39">
            <v>2804</v>
          </cell>
          <cell r="G39">
            <v>2805</v>
          </cell>
          <cell r="H39">
            <v>2806</v>
          </cell>
          <cell r="I39">
            <v>2807</v>
          </cell>
          <cell r="J39">
            <v>2808</v>
          </cell>
          <cell r="K39">
            <v>2809</v>
          </cell>
          <cell r="L39">
            <v>2810</v>
          </cell>
          <cell r="M39">
            <v>2800</v>
          </cell>
          <cell r="N39" t="str">
            <v>CABECEIRA DIR FILO 345X45X20,3 C/ REC PUX + COR</v>
          </cell>
          <cell r="O39">
            <v>345</v>
          </cell>
          <cell r="P39">
            <v>45</v>
          </cell>
          <cell r="Q39">
            <v>20.3</v>
          </cell>
        </row>
        <row r="40">
          <cell r="A40">
            <v>595519</v>
          </cell>
          <cell r="B40">
            <v>2899</v>
          </cell>
          <cell r="C40">
            <v>2801</v>
          </cell>
          <cell r="D40">
            <v>2802</v>
          </cell>
          <cell r="E40">
            <v>2803</v>
          </cell>
          <cell r="F40">
            <v>2804</v>
          </cell>
          <cell r="G40">
            <v>2805</v>
          </cell>
          <cell r="H40">
            <v>2806</v>
          </cell>
          <cell r="I40">
            <v>2807</v>
          </cell>
          <cell r="J40">
            <v>2808</v>
          </cell>
          <cell r="K40">
            <v>2809</v>
          </cell>
          <cell r="L40">
            <v>2810</v>
          </cell>
          <cell r="M40">
            <v>2800</v>
          </cell>
          <cell r="N40" t="str">
            <v>CABECEIRA ESQ FILO 345X45X20,3 C/ REC PUX + COR</v>
          </cell>
          <cell r="O40">
            <v>345</v>
          </cell>
          <cell r="P40">
            <v>45</v>
          </cell>
          <cell r="Q40">
            <v>20.3</v>
          </cell>
        </row>
        <row r="41">
          <cell r="A41">
            <v>595500</v>
          </cell>
          <cell r="B41">
            <v>2899</v>
          </cell>
          <cell r="C41">
            <v>2801</v>
          </cell>
          <cell r="D41">
            <v>2802</v>
          </cell>
          <cell r="E41">
            <v>2803</v>
          </cell>
          <cell r="F41">
            <v>2804</v>
          </cell>
          <cell r="G41">
            <v>2805</v>
          </cell>
          <cell r="H41">
            <v>2806</v>
          </cell>
          <cell r="I41">
            <v>2807</v>
          </cell>
          <cell r="J41">
            <v>2808</v>
          </cell>
          <cell r="K41">
            <v>2809</v>
          </cell>
          <cell r="L41">
            <v>2810</v>
          </cell>
          <cell r="M41">
            <v>2800</v>
          </cell>
          <cell r="N41" t="str">
            <v>CABECEIRA DIR FILO 395X45X20,3 C/ REC PUX + COR</v>
          </cell>
          <cell r="O41">
            <v>395</v>
          </cell>
          <cell r="P41">
            <v>45</v>
          </cell>
          <cell r="Q41">
            <v>20.3</v>
          </cell>
        </row>
        <row r="42">
          <cell r="A42">
            <v>595501</v>
          </cell>
          <cell r="B42">
            <v>2899</v>
          </cell>
          <cell r="C42">
            <v>2801</v>
          </cell>
          <cell r="D42">
            <v>2802</v>
          </cell>
          <cell r="E42">
            <v>2803</v>
          </cell>
          <cell r="F42">
            <v>2804</v>
          </cell>
          <cell r="G42">
            <v>2805</v>
          </cell>
          <cell r="H42">
            <v>2806</v>
          </cell>
          <cell r="I42">
            <v>2807</v>
          </cell>
          <cell r="J42">
            <v>2808</v>
          </cell>
          <cell r="K42">
            <v>2809</v>
          </cell>
          <cell r="L42">
            <v>2810</v>
          </cell>
          <cell r="M42">
            <v>2800</v>
          </cell>
          <cell r="N42" t="str">
            <v>CABECEIRA ESQ FILO 395X45X20,3 C/ REC PUX + COR</v>
          </cell>
          <cell r="O42">
            <v>395</v>
          </cell>
          <cell r="P42">
            <v>45</v>
          </cell>
          <cell r="Q42">
            <v>20.3</v>
          </cell>
        </row>
        <row r="43">
          <cell r="A43">
            <v>595520</v>
          </cell>
          <cell r="B43">
            <v>2899</v>
          </cell>
          <cell r="C43">
            <v>2801</v>
          </cell>
          <cell r="D43">
            <v>2802</v>
          </cell>
          <cell r="E43">
            <v>2803</v>
          </cell>
          <cell r="F43">
            <v>2804</v>
          </cell>
          <cell r="G43">
            <v>2805</v>
          </cell>
          <cell r="H43">
            <v>2806</v>
          </cell>
          <cell r="I43">
            <v>2807</v>
          </cell>
          <cell r="J43">
            <v>2808</v>
          </cell>
          <cell r="K43">
            <v>2809</v>
          </cell>
          <cell r="L43">
            <v>2810</v>
          </cell>
          <cell r="M43">
            <v>2800</v>
          </cell>
          <cell r="N43" t="str">
            <v>CABECEIRA DIR FILO 445X45X20,3 C/ REC PUX + COR</v>
          </cell>
          <cell r="O43">
            <v>445</v>
          </cell>
          <cell r="P43">
            <v>45</v>
          </cell>
          <cell r="Q43">
            <v>20.3</v>
          </cell>
        </row>
        <row r="44">
          <cell r="A44">
            <v>595521</v>
          </cell>
          <cell r="B44">
            <v>2899</v>
          </cell>
          <cell r="C44">
            <v>2801</v>
          </cell>
          <cell r="D44">
            <v>2802</v>
          </cell>
          <cell r="E44">
            <v>2803</v>
          </cell>
          <cell r="F44">
            <v>2804</v>
          </cell>
          <cell r="G44">
            <v>2805</v>
          </cell>
          <cell r="H44">
            <v>2806</v>
          </cell>
          <cell r="I44">
            <v>2807</v>
          </cell>
          <cell r="J44">
            <v>2808</v>
          </cell>
          <cell r="K44">
            <v>2809</v>
          </cell>
          <cell r="L44">
            <v>2810</v>
          </cell>
          <cell r="M44">
            <v>2800</v>
          </cell>
          <cell r="N44" t="str">
            <v>CABECEIRA ESQ FILO 445X45X20,3 C/ REC PUX + COR</v>
          </cell>
          <cell r="O44">
            <v>445</v>
          </cell>
          <cell r="P44">
            <v>45</v>
          </cell>
          <cell r="Q44">
            <v>20.3</v>
          </cell>
        </row>
        <row r="45">
          <cell r="A45">
            <v>595522</v>
          </cell>
          <cell r="B45">
            <v>2899</v>
          </cell>
          <cell r="C45">
            <v>2801</v>
          </cell>
          <cell r="D45">
            <v>2802</v>
          </cell>
          <cell r="E45">
            <v>2803</v>
          </cell>
          <cell r="F45">
            <v>2804</v>
          </cell>
          <cell r="G45">
            <v>2805</v>
          </cell>
          <cell r="H45">
            <v>2806</v>
          </cell>
          <cell r="I45">
            <v>2807</v>
          </cell>
          <cell r="J45">
            <v>2808</v>
          </cell>
          <cell r="K45">
            <v>2809</v>
          </cell>
          <cell r="L45">
            <v>2810</v>
          </cell>
          <cell r="M45">
            <v>2800</v>
          </cell>
          <cell r="N45" t="str">
            <v>CABECEIRA DIR FILO 481X45X20,3 C/ REC PUX + COR</v>
          </cell>
          <cell r="O45">
            <v>481</v>
          </cell>
          <cell r="P45">
            <v>45</v>
          </cell>
          <cell r="Q45">
            <v>20.3</v>
          </cell>
        </row>
        <row r="46">
          <cell r="A46">
            <v>595502</v>
          </cell>
          <cell r="B46">
            <v>2899</v>
          </cell>
          <cell r="C46">
            <v>2801</v>
          </cell>
          <cell r="D46">
            <v>2802</v>
          </cell>
          <cell r="E46">
            <v>2803</v>
          </cell>
          <cell r="F46">
            <v>2804</v>
          </cell>
          <cell r="G46">
            <v>2805</v>
          </cell>
          <cell r="H46">
            <v>2806</v>
          </cell>
          <cell r="I46">
            <v>2807</v>
          </cell>
          <cell r="J46">
            <v>2808</v>
          </cell>
          <cell r="K46">
            <v>2809</v>
          </cell>
          <cell r="L46">
            <v>2810</v>
          </cell>
          <cell r="M46">
            <v>2800</v>
          </cell>
          <cell r="N46" t="str">
            <v>CABECEIRA DIR FILO 495X45X20,3 C/ REC PUX + COR</v>
          </cell>
          <cell r="O46">
            <v>495</v>
          </cell>
          <cell r="P46">
            <v>45</v>
          </cell>
          <cell r="Q46">
            <v>20.3</v>
          </cell>
        </row>
        <row r="47">
          <cell r="A47">
            <v>595503</v>
          </cell>
          <cell r="B47">
            <v>2899</v>
          </cell>
          <cell r="C47">
            <v>2801</v>
          </cell>
          <cell r="D47">
            <v>2802</v>
          </cell>
          <cell r="E47">
            <v>2803</v>
          </cell>
          <cell r="F47">
            <v>2804</v>
          </cell>
          <cell r="G47">
            <v>2805</v>
          </cell>
          <cell r="H47">
            <v>2806</v>
          </cell>
          <cell r="I47">
            <v>2807</v>
          </cell>
          <cell r="J47">
            <v>2808</v>
          </cell>
          <cell r="K47">
            <v>2809</v>
          </cell>
          <cell r="L47">
            <v>2810</v>
          </cell>
          <cell r="M47">
            <v>2800</v>
          </cell>
          <cell r="N47" t="str">
            <v>CABECEIRA ESQ FILO 495X45X20,3 C/ REC PUX + COR</v>
          </cell>
          <cell r="O47">
            <v>495</v>
          </cell>
          <cell r="P47">
            <v>45</v>
          </cell>
          <cell r="Q47">
            <v>20.3</v>
          </cell>
        </row>
        <row r="48">
          <cell r="A48">
            <v>595523</v>
          </cell>
          <cell r="B48">
            <v>2899</v>
          </cell>
          <cell r="C48">
            <v>2801</v>
          </cell>
          <cell r="D48">
            <v>2802</v>
          </cell>
          <cell r="E48">
            <v>2803</v>
          </cell>
          <cell r="F48">
            <v>2804</v>
          </cell>
          <cell r="G48">
            <v>2805</v>
          </cell>
          <cell r="H48">
            <v>2806</v>
          </cell>
          <cell r="I48">
            <v>2807</v>
          </cell>
          <cell r="J48">
            <v>2808</v>
          </cell>
          <cell r="K48">
            <v>2809</v>
          </cell>
          <cell r="L48">
            <v>2810</v>
          </cell>
          <cell r="M48">
            <v>2800</v>
          </cell>
          <cell r="N48" t="str">
            <v>CABECEIRA DIR FILO 520X45X20,3 C/ REC PUX + COR</v>
          </cell>
          <cell r="O48">
            <v>520</v>
          </cell>
          <cell r="P48">
            <v>45</v>
          </cell>
          <cell r="Q48">
            <v>20.3</v>
          </cell>
        </row>
        <row r="49">
          <cell r="A49">
            <v>595524</v>
          </cell>
          <cell r="B49">
            <v>2899</v>
          </cell>
          <cell r="C49">
            <v>2801</v>
          </cell>
          <cell r="D49">
            <v>2802</v>
          </cell>
          <cell r="E49">
            <v>2803</v>
          </cell>
          <cell r="F49">
            <v>2804</v>
          </cell>
          <cell r="G49">
            <v>2805</v>
          </cell>
          <cell r="H49">
            <v>2806</v>
          </cell>
          <cell r="I49">
            <v>2807</v>
          </cell>
          <cell r="J49">
            <v>2808</v>
          </cell>
          <cell r="K49">
            <v>2809</v>
          </cell>
          <cell r="L49">
            <v>2810</v>
          </cell>
          <cell r="M49">
            <v>2800</v>
          </cell>
          <cell r="N49" t="str">
            <v>CABECEIRA ESQ FILO 520X45X20,3 C/ REC PUX + COR</v>
          </cell>
          <cell r="O49">
            <v>520</v>
          </cell>
          <cell r="P49">
            <v>45</v>
          </cell>
          <cell r="Q49">
            <v>20.3</v>
          </cell>
        </row>
        <row r="50">
          <cell r="A50">
            <v>595525</v>
          </cell>
          <cell r="B50">
            <v>2899</v>
          </cell>
          <cell r="C50">
            <v>2801</v>
          </cell>
          <cell r="D50">
            <v>2802</v>
          </cell>
          <cell r="E50">
            <v>2803</v>
          </cell>
          <cell r="F50">
            <v>2804</v>
          </cell>
          <cell r="G50">
            <v>2805</v>
          </cell>
          <cell r="H50">
            <v>2806</v>
          </cell>
          <cell r="I50">
            <v>2807</v>
          </cell>
          <cell r="J50">
            <v>2808</v>
          </cell>
          <cell r="K50">
            <v>2809</v>
          </cell>
          <cell r="L50">
            <v>2810</v>
          </cell>
          <cell r="M50">
            <v>2800</v>
          </cell>
          <cell r="N50" t="str">
            <v>CABECEIRA DIR FILO 545X45X20,3 C/ REC PUX + COR</v>
          </cell>
          <cell r="O50">
            <v>545</v>
          </cell>
          <cell r="P50">
            <v>45</v>
          </cell>
          <cell r="Q50">
            <v>20.3</v>
          </cell>
        </row>
        <row r="51">
          <cell r="A51">
            <v>595526</v>
          </cell>
          <cell r="B51">
            <v>2899</v>
          </cell>
          <cell r="C51">
            <v>2801</v>
          </cell>
          <cell r="D51">
            <v>2802</v>
          </cell>
          <cell r="E51">
            <v>2803</v>
          </cell>
          <cell r="F51">
            <v>2804</v>
          </cell>
          <cell r="G51">
            <v>2805</v>
          </cell>
          <cell r="H51">
            <v>2806</v>
          </cell>
          <cell r="I51">
            <v>2807</v>
          </cell>
          <cell r="J51">
            <v>2808</v>
          </cell>
          <cell r="K51">
            <v>2809</v>
          </cell>
          <cell r="L51">
            <v>2810</v>
          </cell>
          <cell r="M51">
            <v>2800</v>
          </cell>
          <cell r="N51" t="str">
            <v>CABECEIRA ESQ FILO 545X45X20,3 C/ REC PUX + COR</v>
          </cell>
          <cell r="O51">
            <v>545</v>
          </cell>
          <cell r="P51">
            <v>45</v>
          </cell>
          <cell r="Q51">
            <v>20.3</v>
          </cell>
        </row>
        <row r="52">
          <cell r="A52">
            <v>595504</v>
          </cell>
          <cell r="B52">
            <v>2899</v>
          </cell>
          <cell r="C52">
            <v>2801</v>
          </cell>
          <cell r="D52">
            <v>2802</v>
          </cell>
          <cell r="E52">
            <v>2803</v>
          </cell>
          <cell r="F52">
            <v>2804</v>
          </cell>
          <cell r="G52">
            <v>2805</v>
          </cell>
          <cell r="H52">
            <v>2806</v>
          </cell>
          <cell r="I52">
            <v>2807</v>
          </cell>
          <cell r="J52">
            <v>2808</v>
          </cell>
          <cell r="K52">
            <v>2809</v>
          </cell>
          <cell r="L52">
            <v>2810</v>
          </cell>
          <cell r="M52">
            <v>2800</v>
          </cell>
          <cell r="N52" t="str">
            <v>CABECEIRA DIR FILO 595X45X20,3 C/ REC PUX + COR</v>
          </cell>
          <cell r="O52">
            <v>595</v>
          </cell>
          <cell r="P52">
            <v>45</v>
          </cell>
          <cell r="Q52">
            <v>20.3</v>
          </cell>
        </row>
        <row r="53">
          <cell r="A53">
            <v>595505</v>
          </cell>
          <cell r="B53">
            <v>2899</v>
          </cell>
          <cell r="C53">
            <v>2801</v>
          </cell>
          <cell r="D53">
            <v>2802</v>
          </cell>
          <cell r="E53">
            <v>2803</v>
          </cell>
          <cell r="F53">
            <v>2804</v>
          </cell>
          <cell r="G53">
            <v>2805</v>
          </cell>
          <cell r="H53">
            <v>2806</v>
          </cell>
          <cell r="I53">
            <v>2807</v>
          </cell>
          <cell r="J53">
            <v>2808</v>
          </cell>
          <cell r="K53">
            <v>2809</v>
          </cell>
          <cell r="L53">
            <v>2810</v>
          </cell>
          <cell r="M53">
            <v>2800</v>
          </cell>
          <cell r="N53" t="str">
            <v>CABECEIRA ESQ FILO 595X45X20,3 C/ REC PUX + COR</v>
          </cell>
          <cell r="O53">
            <v>595</v>
          </cell>
          <cell r="P53">
            <v>45</v>
          </cell>
          <cell r="Q53">
            <v>20.3</v>
          </cell>
        </row>
        <row r="54">
          <cell r="A54"/>
          <cell r="B54"/>
          <cell r="C54"/>
          <cell r="D54"/>
          <cell r="E54"/>
          <cell r="F54"/>
        </row>
        <row r="55">
          <cell r="A55">
            <v>595527</v>
          </cell>
          <cell r="B55">
            <v>2899</v>
          </cell>
          <cell r="C55">
            <v>2801</v>
          </cell>
          <cell r="D55">
            <v>2802</v>
          </cell>
          <cell r="E55">
            <v>2803</v>
          </cell>
          <cell r="F55">
            <v>2804</v>
          </cell>
          <cell r="G55">
            <v>2805</v>
          </cell>
          <cell r="H55">
            <v>2806</v>
          </cell>
          <cell r="I55">
            <v>2807</v>
          </cell>
          <cell r="J55">
            <v>2808</v>
          </cell>
          <cell r="K55">
            <v>2809</v>
          </cell>
          <cell r="L55">
            <v>2810</v>
          </cell>
          <cell r="M55">
            <v>2800</v>
          </cell>
          <cell r="N55" t="str">
            <v>CABECEIRA SUP/INF FILO 295X45X20,3 C/ REC PUX + COR</v>
          </cell>
          <cell r="O55">
            <v>295</v>
          </cell>
          <cell r="P55">
            <v>45</v>
          </cell>
          <cell r="Q55">
            <v>20.3</v>
          </cell>
        </row>
        <row r="56">
          <cell r="A56">
            <v>595528</v>
          </cell>
          <cell r="B56">
            <v>2899</v>
          </cell>
          <cell r="C56">
            <v>2801</v>
          </cell>
          <cell r="D56">
            <v>2802</v>
          </cell>
          <cell r="E56">
            <v>2803</v>
          </cell>
          <cell r="F56">
            <v>2804</v>
          </cell>
          <cell r="G56">
            <v>2805</v>
          </cell>
          <cell r="H56">
            <v>2806</v>
          </cell>
          <cell r="I56">
            <v>2807</v>
          </cell>
          <cell r="J56">
            <v>2808</v>
          </cell>
          <cell r="K56">
            <v>2809</v>
          </cell>
          <cell r="L56">
            <v>2810</v>
          </cell>
          <cell r="M56">
            <v>2800</v>
          </cell>
          <cell r="N56" t="str">
            <v>CABECEIRA SUP/INF FILO 395X45X20,3 C/ REC PUX + COR</v>
          </cell>
          <cell r="O56">
            <v>395</v>
          </cell>
          <cell r="P56">
            <v>45</v>
          </cell>
          <cell r="Q56">
            <v>20.3</v>
          </cell>
        </row>
        <row r="57">
          <cell r="A57">
            <v>595529</v>
          </cell>
          <cell r="B57">
            <v>2899</v>
          </cell>
          <cell r="C57">
            <v>2801</v>
          </cell>
          <cell r="D57">
            <v>2802</v>
          </cell>
          <cell r="E57">
            <v>2803</v>
          </cell>
          <cell r="F57">
            <v>2804</v>
          </cell>
          <cell r="G57">
            <v>2805</v>
          </cell>
          <cell r="H57">
            <v>2806</v>
          </cell>
          <cell r="I57">
            <v>2807</v>
          </cell>
          <cell r="J57">
            <v>2808</v>
          </cell>
          <cell r="K57">
            <v>2809</v>
          </cell>
          <cell r="L57">
            <v>2810</v>
          </cell>
          <cell r="M57">
            <v>2800</v>
          </cell>
          <cell r="N57" t="str">
            <v>CABECEIRA SUP/INF FILO 445X45X20,3 C/ REC PUX + COR</v>
          </cell>
          <cell r="O57">
            <v>445</v>
          </cell>
          <cell r="P57">
            <v>45</v>
          </cell>
          <cell r="Q57">
            <v>20.3</v>
          </cell>
        </row>
        <row r="58">
          <cell r="A58">
            <v>595530</v>
          </cell>
          <cell r="B58">
            <v>2899</v>
          </cell>
          <cell r="C58">
            <v>2801</v>
          </cell>
          <cell r="D58">
            <v>2802</v>
          </cell>
          <cell r="E58">
            <v>2803</v>
          </cell>
          <cell r="F58">
            <v>2804</v>
          </cell>
          <cell r="G58">
            <v>2805</v>
          </cell>
          <cell r="H58">
            <v>2806</v>
          </cell>
          <cell r="I58">
            <v>2807</v>
          </cell>
          <cell r="J58">
            <v>2808</v>
          </cell>
          <cell r="K58">
            <v>2809</v>
          </cell>
          <cell r="L58">
            <v>2810</v>
          </cell>
          <cell r="M58">
            <v>2800</v>
          </cell>
          <cell r="N58" t="str">
            <v>CABECEIRA SUP/INF FILO 495X45X20,3 C/ REC PUX + COR</v>
          </cell>
          <cell r="O58">
            <v>495</v>
          </cell>
          <cell r="P58">
            <v>45</v>
          </cell>
          <cell r="Q58">
            <v>20.3</v>
          </cell>
        </row>
        <row r="59">
          <cell r="A59">
            <v>595531</v>
          </cell>
          <cell r="B59">
            <v>2899</v>
          </cell>
          <cell r="C59">
            <v>2801</v>
          </cell>
          <cell r="D59">
            <v>2802</v>
          </cell>
          <cell r="E59">
            <v>2803</v>
          </cell>
          <cell r="F59">
            <v>2804</v>
          </cell>
          <cell r="G59">
            <v>2805</v>
          </cell>
          <cell r="H59">
            <v>2806</v>
          </cell>
          <cell r="I59">
            <v>2807</v>
          </cell>
          <cell r="J59">
            <v>2808</v>
          </cell>
          <cell r="K59">
            <v>2809</v>
          </cell>
          <cell r="L59">
            <v>2810</v>
          </cell>
          <cell r="M59">
            <v>2800</v>
          </cell>
          <cell r="N59" t="str">
            <v>CABECEIRA SUP/INF FILO 545X45X20,3 C/ REC PUX + COR</v>
          </cell>
          <cell r="O59">
            <v>545</v>
          </cell>
          <cell r="P59">
            <v>45</v>
          </cell>
          <cell r="Q59">
            <v>20.3</v>
          </cell>
        </row>
        <row r="60">
          <cell r="A60">
            <v>595506</v>
          </cell>
          <cell r="B60">
            <v>2899</v>
          </cell>
          <cell r="C60">
            <v>2801</v>
          </cell>
          <cell r="D60">
            <v>2802</v>
          </cell>
          <cell r="E60">
            <v>2803</v>
          </cell>
          <cell r="F60">
            <v>2804</v>
          </cell>
          <cell r="G60">
            <v>2805</v>
          </cell>
          <cell r="H60">
            <v>2806</v>
          </cell>
          <cell r="I60">
            <v>2807</v>
          </cell>
          <cell r="J60">
            <v>2808</v>
          </cell>
          <cell r="K60">
            <v>2809</v>
          </cell>
          <cell r="L60">
            <v>2810</v>
          </cell>
          <cell r="M60">
            <v>2800</v>
          </cell>
          <cell r="N60" t="str">
            <v>CABECEIRA SUP/INF FILO 595X45X20,3 C/ REC PUX + COR</v>
          </cell>
          <cell r="O60">
            <v>595</v>
          </cell>
          <cell r="P60">
            <v>45</v>
          </cell>
          <cell r="Q60">
            <v>20.3</v>
          </cell>
        </row>
        <row r="61">
          <cell r="A61">
            <v>595507</v>
          </cell>
          <cell r="B61">
            <v>2899</v>
          </cell>
          <cell r="C61">
            <v>2801</v>
          </cell>
          <cell r="D61">
            <v>2802</v>
          </cell>
          <cell r="E61">
            <v>2803</v>
          </cell>
          <cell r="F61">
            <v>2804</v>
          </cell>
          <cell r="G61">
            <v>2805</v>
          </cell>
          <cell r="H61">
            <v>2806</v>
          </cell>
          <cell r="I61">
            <v>2807</v>
          </cell>
          <cell r="J61">
            <v>2808</v>
          </cell>
          <cell r="K61">
            <v>2809</v>
          </cell>
          <cell r="L61">
            <v>2810</v>
          </cell>
          <cell r="M61">
            <v>2800</v>
          </cell>
          <cell r="N61" t="str">
            <v>CABECEIRA SUP/INF FILO 695X45X20,3 C/ REC PUX + COR</v>
          </cell>
          <cell r="O61">
            <v>695</v>
          </cell>
          <cell r="P61">
            <v>45</v>
          </cell>
          <cell r="Q61">
            <v>20.3</v>
          </cell>
        </row>
        <row r="62">
          <cell r="A62">
            <v>595508</v>
          </cell>
          <cell r="B62">
            <v>2899</v>
          </cell>
          <cell r="C62">
            <v>2801</v>
          </cell>
          <cell r="D62">
            <v>2802</v>
          </cell>
          <cell r="E62">
            <v>2803</v>
          </cell>
          <cell r="F62">
            <v>2804</v>
          </cell>
          <cell r="G62">
            <v>2805</v>
          </cell>
          <cell r="H62">
            <v>2806</v>
          </cell>
          <cell r="I62">
            <v>2807</v>
          </cell>
          <cell r="J62">
            <v>2808</v>
          </cell>
          <cell r="K62">
            <v>2809</v>
          </cell>
          <cell r="L62">
            <v>2810</v>
          </cell>
          <cell r="M62">
            <v>2800</v>
          </cell>
          <cell r="N62" t="str">
            <v>CABECEIRA SUP/INF FILO 795X45X20,3 C/ REC PUX + COR</v>
          </cell>
          <cell r="O62">
            <v>795</v>
          </cell>
          <cell r="P62">
            <v>45</v>
          </cell>
          <cell r="Q62">
            <v>20.3</v>
          </cell>
        </row>
        <row r="63">
          <cell r="A63">
            <v>595509</v>
          </cell>
          <cell r="B63">
            <v>2899</v>
          </cell>
          <cell r="C63">
            <v>2801</v>
          </cell>
          <cell r="D63">
            <v>2802</v>
          </cell>
          <cell r="E63">
            <v>2803</v>
          </cell>
          <cell r="F63">
            <v>2804</v>
          </cell>
          <cell r="G63">
            <v>2805</v>
          </cell>
          <cell r="H63">
            <v>2806</v>
          </cell>
          <cell r="I63">
            <v>2807</v>
          </cell>
          <cell r="J63">
            <v>2808</v>
          </cell>
          <cell r="K63">
            <v>2809</v>
          </cell>
          <cell r="L63">
            <v>2810</v>
          </cell>
          <cell r="M63">
            <v>2800</v>
          </cell>
          <cell r="N63" t="str">
            <v>CABECEIRA SUP/INF FILO 895X45X20,3 C/ REC PUX + COR</v>
          </cell>
          <cell r="O63">
            <v>895</v>
          </cell>
          <cell r="P63">
            <v>45</v>
          </cell>
          <cell r="Q63">
            <v>20.3</v>
          </cell>
        </row>
        <row r="64">
          <cell r="A64">
            <v>595510</v>
          </cell>
          <cell r="B64">
            <v>2899</v>
          </cell>
          <cell r="C64">
            <v>2801</v>
          </cell>
          <cell r="D64">
            <v>2802</v>
          </cell>
          <cell r="E64">
            <v>2803</v>
          </cell>
          <cell r="F64">
            <v>2804</v>
          </cell>
          <cell r="G64">
            <v>2805</v>
          </cell>
          <cell r="H64">
            <v>2806</v>
          </cell>
          <cell r="I64">
            <v>2807</v>
          </cell>
          <cell r="J64">
            <v>2808</v>
          </cell>
          <cell r="K64">
            <v>2809</v>
          </cell>
          <cell r="L64">
            <v>2810</v>
          </cell>
          <cell r="M64">
            <v>2800</v>
          </cell>
          <cell r="N64" t="str">
            <v>CABECEIRA SUP/INF FILO 995X45X20,3 C/ REC PUX + COR</v>
          </cell>
          <cell r="O64">
            <v>995</v>
          </cell>
          <cell r="P64">
            <v>45</v>
          </cell>
          <cell r="Q64">
            <v>20.3</v>
          </cell>
        </row>
        <row r="65">
          <cell r="A65">
            <v>595511</v>
          </cell>
          <cell r="B65">
            <v>2899</v>
          </cell>
          <cell r="C65">
            <v>2801</v>
          </cell>
          <cell r="D65">
            <v>2802</v>
          </cell>
          <cell r="E65">
            <v>2803</v>
          </cell>
          <cell r="F65">
            <v>2804</v>
          </cell>
          <cell r="G65">
            <v>2805</v>
          </cell>
          <cell r="H65">
            <v>2806</v>
          </cell>
          <cell r="I65">
            <v>2807</v>
          </cell>
          <cell r="J65">
            <v>2808</v>
          </cell>
          <cell r="K65">
            <v>2809</v>
          </cell>
          <cell r="L65">
            <v>2810</v>
          </cell>
          <cell r="M65">
            <v>2800</v>
          </cell>
          <cell r="N65" t="str">
            <v>CABECEIRA SUP/INF FILO 1095X45X20,3 C/ REC PUX + COR</v>
          </cell>
          <cell r="O65">
            <v>1095</v>
          </cell>
          <cell r="P65">
            <v>45</v>
          </cell>
          <cell r="Q65">
            <v>20.3</v>
          </cell>
        </row>
        <row r="66">
          <cell r="A66">
            <v>595512</v>
          </cell>
          <cell r="B66">
            <v>2899</v>
          </cell>
          <cell r="C66">
            <v>2801</v>
          </cell>
          <cell r="D66">
            <v>2802</v>
          </cell>
          <cell r="E66">
            <v>2803</v>
          </cell>
          <cell r="F66">
            <v>2804</v>
          </cell>
          <cell r="G66">
            <v>2805</v>
          </cell>
          <cell r="H66">
            <v>2806</v>
          </cell>
          <cell r="I66">
            <v>2807</v>
          </cell>
          <cell r="J66">
            <v>2808</v>
          </cell>
          <cell r="K66">
            <v>2809</v>
          </cell>
          <cell r="L66">
            <v>2810</v>
          </cell>
          <cell r="M66">
            <v>2800</v>
          </cell>
          <cell r="N66" t="str">
            <v>CABECEIRA SUP/INF FILO 1195X45X20,3 C/ REC PUX + COR</v>
          </cell>
          <cell r="O66">
            <v>1195</v>
          </cell>
          <cell r="P66">
            <v>45</v>
          </cell>
          <cell r="Q66">
            <v>20.3</v>
          </cell>
        </row>
        <row r="67">
          <cell r="A67">
            <v>595532</v>
          </cell>
          <cell r="B67">
            <v>2899</v>
          </cell>
          <cell r="C67">
            <v>2801</v>
          </cell>
          <cell r="D67">
            <v>2802</v>
          </cell>
          <cell r="E67">
            <v>2803</v>
          </cell>
          <cell r="F67">
            <v>2804</v>
          </cell>
          <cell r="G67">
            <v>2805</v>
          </cell>
          <cell r="H67">
            <v>2806</v>
          </cell>
          <cell r="I67">
            <v>2807</v>
          </cell>
          <cell r="J67">
            <v>2808</v>
          </cell>
          <cell r="K67">
            <v>2809</v>
          </cell>
          <cell r="L67">
            <v>2810</v>
          </cell>
          <cell r="M67">
            <v>2800</v>
          </cell>
          <cell r="N67" t="str">
            <v>CABECEIRA SUP/INF FILO 1395X45X20,3 C/ REC PUX + COR</v>
          </cell>
          <cell r="O67">
            <v>1395</v>
          </cell>
          <cell r="P67">
            <v>45</v>
          </cell>
          <cell r="Q67">
            <v>20.3</v>
          </cell>
        </row>
        <row r="69">
          <cell r="A69">
            <v>595578</v>
          </cell>
          <cell r="B69">
            <v>2899</v>
          </cell>
          <cell r="C69">
            <v>2801</v>
          </cell>
          <cell r="D69">
            <v>2802</v>
          </cell>
          <cell r="E69">
            <v>2803</v>
          </cell>
          <cell r="F69">
            <v>2804</v>
          </cell>
          <cell r="G69">
            <v>2805</v>
          </cell>
          <cell r="H69">
            <v>2806</v>
          </cell>
          <cell r="I69">
            <v>2807</v>
          </cell>
          <cell r="J69">
            <v>2808</v>
          </cell>
          <cell r="K69">
            <v>2809</v>
          </cell>
          <cell r="L69">
            <v>2810</v>
          </cell>
          <cell r="M69">
            <v>2800</v>
          </cell>
          <cell r="N69" t="str">
            <v>LATERAL DIR C/MARC FILO 354X45X20,3 + COR</v>
          </cell>
          <cell r="O69">
            <v>354</v>
          </cell>
          <cell r="P69">
            <v>45</v>
          </cell>
          <cell r="Q69">
            <v>20.3</v>
          </cell>
        </row>
        <row r="70">
          <cell r="A70">
            <v>595579</v>
          </cell>
          <cell r="B70">
            <v>2899</v>
          </cell>
          <cell r="C70">
            <v>2801</v>
          </cell>
          <cell r="D70">
            <v>2802</v>
          </cell>
          <cell r="E70">
            <v>2803</v>
          </cell>
          <cell r="F70">
            <v>2804</v>
          </cell>
          <cell r="G70">
            <v>2805</v>
          </cell>
          <cell r="H70">
            <v>2806</v>
          </cell>
          <cell r="I70">
            <v>2807</v>
          </cell>
          <cell r="J70">
            <v>2808</v>
          </cell>
          <cell r="K70">
            <v>2809</v>
          </cell>
          <cell r="L70">
            <v>2810</v>
          </cell>
          <cell r="M70">
            <v>2800</v>
          </cell>
          <cell r="N70" t="str">
            <v>LATERAL ESQ C/MARC FILO 354X45X20,3 + COR</v>
          </cell>
          <cell r="O70">
            <v>354</v>
          </cell>
          <cell r="P70">
            <v>45</v>
          </cell>
          <cell r="Q70">
            <v>20.3</v>
          </cell>
        </row>
        <row r="71">
          <cell r="A71">
            <v>595580</v>
          </cell>
          <cell r="B71">
            <v>2899</v>
          </cell>
          <cell r="C71">
            <v>2801</v>
          </cell>
          <cell r="D71">
            <v>2802</v>
          </cell>
          <cell r="E71">
            <v>2803</v>
          </cell>
          <cell r="F71">
            <v>2804</v>
          </cell>
          <cell r="G71">
            <v>2805</v>
          </cell>
          <cell r="H71">
            <v>2806</v>
          </cell>
          <cell r="I71">
            <v>2807</v>
          </cell>
          <cell r="J71">
            <v>2808</v>
          </cell>
          <cell r="K71">
            <v>2809</v>
          </cell>
          <cell r="L71">
            <v>2810</v>
          </cell>
          <cell r="M71">
            <v>2800</v>
          </cell>
          <cell r="N71" t="str">
            <v>LATERAL DIR C/MARC AVT FILO 354X45X20,3 + COR</v>
          </cell>
          <cell r="O71">
            <v>354</v>
          </cell>
          <cell r="P71">
            <v>45</v>
          </cell>
          <cell r="Q71">
            <v>20.3</v>
          </cell>
        </row>
        <row r="72">
          <cell r="A72">
            <v>595581</v>
          </cell>
          <cell r="B72">
            <v>2899</v>
          </cell>
          <cell r="C72">
            <v>2801</v>
          </cell>
          <cell r="D72">
            <v>2802</v>
          </cell>
          <cell r="E72">
            <v>2803</v>
          </cell>
          <cell r="F72">
            <v>2804</v>
          </cell>
          <cell r="G72">
            <v>2805</v>
          </cell>
          <cell r="H72">
            <v>2806</v>
          </cell>
          <cell r="I72">
            <v>2807</v>
          </cell>
          <cell r="J72">
            <v>2808</v>
          </cell>
          <cell r="K72">
            <v>2809</v>
          </cell>
          <cell r="L72">
            <v>2810</v>
          </cell>
          <cell r="M72">
            <v>2800</v>
          </cell>
          <cell r="N72" t="str">
            <v>LATERAL ESQ C/MARC AVT FILO 354X45X20,3 + COR</v>
          </cell>
          <cell r="O72">
            <v>354</v>
          </cell>
          <cell r="P72">
            <v>45</v>
          </cell>
          <cell r="Q72">
            <v>20.3</v>
          </cell>
        </row>
        <row r="73">
          <cell r="A73">
            <v>595582</v>
          </cell>
          <cell r="B73">
            <v>2899</v>
          </cell>
          <cell r="C73">
            <v>2801</v>
          </cell>
          <cell r="D73">
            <v>2802</v>
          </cell>
          <cell r="E73">
            <v>2803</v>
          </cell>
          <cell r="F73">
            <v>2804</v>
          </cell>
          <cell r="G73">
            <v>2805</v>
          </cell>
          <cell r="H73">
            <v>2806</v>
          </cell>
          <cell r="I73">
            <v>2807</v>
          </cell>
          <cell r="J73">
            <v>2808</v>
          </cell>
          <cell r="K73">
            <v>2809</v>
          </cell>
          <cell r="L73">
            <v>2810</v>
          </cell>
          <cell r="M73">
            <v>2800</v>
          </cell>
          <cell r="N73" t="str">
            <v>LATERAL D/E S/MARC FILO 354X45X20,3 + COR</v>
          </cell>
          <cell r="O73">
            <v>354</v>
          </cell>
          <cell r="P73">
            <v>45</v>
          </cell>
          <cell r="Q73">
            <v>20.3</v>
          </cell>
        </row>
        <row r="75">
          <cell r="A75">
            <v>595583</v>
          </cell>
          <cell r="B75">
            <v>2899</v>
          </cell>
          <cell r="C75">
            <v>2801</v>
          </cell>
          <cell r="D75">
            <v>2802</v>
          </cell>
          <cell r="E75">
            <v>2803</v>
          </cell>
          <cell r="F75">
            <v>2804</v>
          </cell>
          <cell r="G75">
            <v>2805</v>
          </cell>
          <cell r="H75">
            <v>2806</v>
          </cell>
          <cell r="I75">
            <v>2807</v>
          </cell>
          <cell r="J75">
            <v>2808</v>
          </cell>
          <cell r="K75">
            <v>2809</v>
          </cell>
          <cell r="L75">
            <v>2810</v>
          </cell>
          <cell r="M75">
            <v>2800</v>
          </cell>
          <cell r="N75" t="str">
            <v>LATERAL DIR C/MARC FILO 444X45X20,3 + COR</v>
          </cell>
          <cell r="O75">
            <v>444</v>
          </cell>
          <cell r="P75">
            <v>45</v>
          </cell>
          <cell r="Q75">
            <v>20.3</v>
          </cell>
        </row>
        <row r="76">
          <cell r="A76">
            <v>595584</v>
          </cell>
          <cell r="B76">
            <v>2899</v>
          </cell>
          <cell r="C76">
            <v>2801</v>
          </cell>
          <cell r="D76">
            <v>2802</v>
          </cell>
          <cell r="E76">
            <v>2803</v>
          </cell>
          <cell r="F76">
            <v>2804</v>
          </cell>
          <cell r="G76">
            <v>2805</v>
          </cell>
          <cell r="H76">
            <v>2806</v>
          </cell>
          <cell r="I76">
            <v>2807</v>
          </cell>
          <cell r="J76">
            <v>2808</v>
          </cell>
          <cell r="K76">
            <v>2809</v>
          </cell>
          <cell r="L76">
            <v>2810</v>
          </cell>
          <cell r="M76">
            <v>2800</v>
          </cell>
          <cell r="N76" t="str">
            <v>LATERAL ESQ C/MARC FILO 444X45X20,3 + COR</v>
          </cell>
          <cell r="O76">
            <v>444</v>
          </cell>
          <cell r="P76">
            <v>45</v>
          </cell>
          <cell r="Q76">
            <v>20.3</v>
          </cell>
        </row>
        <row r="77">
          <cell r="A77">
            <v>595585</v>
          </cell>
          <cell r="B77">
            <v>2899</v>
          </cell>
          <cell r="C77">
            <v>2801</v>
          </cell>
          <cell r="D77">
            <v>2802</v>
          </cell>
          <cell r="E77">
            <v>2803</v>
          </cell>
          <cell r="F77">
            <v>2804</v>
          </cell>
          <cell r="G77">
            <v>2805</v>
          </cell>
          <cell r="H77">
            <v>2806</v>
          </cell>
          <cell r="I77">
            <v>2807</v>
          </cell>
          <cell r="J77">
            <v>2808</v>
          </cell>
          <cell r="K77">
            <v>2809</v>
          </cell>
          <cell r="L77">
            <v>2810</v>
          </cell>
          <cell r="M77">
            <v>2800</v>
          </cell>
          <cell r="N77" t="str">
            <v>LATERAL DIR C/MARC AVT FILO 444X45X20,3 + COR</v>
          </cell>
          <cell r="O77">
            <v>444</v>
          </cell>
          <cell r="P77">
            <v>45</v>
          </cell>
          <cell r="Q77">
            <v>20.3</v>
          </cell>
        </row>
        <row r="78">
          <cell r="A78">
            <v>595586</v>
          </cell>
          <cell r="B78">
            <v>2899</v>
          </cell>
          <cell r="C78">
            <v>2801</v>
          </cell>
          <cell r="D78">
            <v>2802</v>
          </cell>
          <cell r="E78">
            <v>2803</v>
          </cell>
          <cell r="F78">
            <v>2804</v>
          </cell>
          <cell r="G78">
            <v>2805</v>
          </cell>
          <cell r="H78">
            <v>2806</v>
          </cell>
          <cell r="I78">
            <v>2807</v>
          </cell>
          <cell r="J78">
            <v>2808</v>
          </cell>
          <cell r="K78">
            <v>2809</v>
          </cell>
          <cell r="L78">
            <v>2810</v>
          </cell>
          <cell r="M78">
            <v>2800</v>
          </cell>
          <cell r="N78" t="str">
            <v>LATERAL ESQ C/MARC AVT FILO 444X45X20,3 + COR</v>
          </cell>
          <cell r="O78">
            <v>444</v>
          </cell>
          <cell r="P78">
            <v>45</v>
          </cell>
          <cell r="Q78">
            <v>20.3</v>
          </cell>
        </row>
        <row r="79">
          <cell r="A79">
            <v>595587</v>
          </cell>
          <cell r="B79">
            <v>2899</v>
          </cell>
          <cell r="C79">
            <v>2801</v>
          </cell>
          <cell r="D79">
            <v>2802</v>
          </cell>
          <cell r="E79">
            <v>2803</v>
          </cell>
          <cell r="F79">
            <v>2804</v>
          </cell>
          <cell r="G79">
            <v>2805</v>
          </cell>
          <cell r="H79">
            <v>2806</v>
          </cell>
          <cell r="I79">
            <v>2807</v>
          </cell>
          <cell r="J79">
            <v>2808</v>
          </cell>
          <cell r="K79">
            <v>2809</v>
          </cell>
          <cell r="L79">
            <v>2810</v>
          </cell>
          <cell r="M79">
            <v>2800</v>
          </cell>
          <cell r="N79" t="str">
            <v>LATERAL D/E S/MARC FILO 444X45X20,3 + COR</v>
          </cell>
          <cell r="O79">
            <v>444</v>
          </cell>
          <cell r="P79">
            <v>45</v>
          </cell>
          <cell r="Q79">
            <v>20.3</v>
          </cell>
        </row>
        <row r="81">
          <cell r="A81">
            <v>595588</v>
          </cell>
          <cell r="B81">
            <v>2899</v>
          </cell>
          <cell r="C81">
            <v>2801</v>
          </cell>
          <cell r="D81">
            <v>2802</v>
          </cell>
          <cell r="E81">
            <v>2803</v>
          </cell>
          <cell r="F81">
            <v>2804</v>
          </cell>
          <cell r="G81">
            <v>2805</v>
          </cell>
          <cell r="H81">
            <v>2806</v>
          </cell>
          <cell r="I81">
            <v>2807</v>
          </cell>
          <cell r="J81">
            <v>2808</v>
          </cell>
          <cell r="K81">
            <v>2809</v>
          </cell>
          <cell r="L81">
            <v>2810</v>
          </cell>
          <cell r="M81">
            <v>2800</v>
          </cell>
          <cell r="N81" t="str">
            <v>LATERAL DIR C/MARC FILO 534X45X20,3 + COR</v>
          </cell>
          <cell r="O81">
            <v>534</v>
          </cell>
          <cell r="P81">
            <v>45</v>
          </cell>
          <cell r="Q81">
            <v>20.3</v>
          </cell>
        </row>
        <row r="82">
          <cell r="A82">
            <v>595589</v>
          </cell>
          <cell r="B82">
            <v>2899</v>
          </cell>
          <cell r="C82">
            <v>2801</v>
          </cell>
          <cell r="D82">
            <v>2802</v>
          </cell>
          <cell r="E82">
            <v>2803</v>
          </cell>
          <cell r="F82">
            <v>2804</v>
          </cell>
          <cell r="G82">
            <v>2805</v>
          </cell>
          <cell r="H82">
            <v>2806</v>
          </cell>
          <cell r="I82">
            <v>2807</v>
          </cell>
          <cell r="J82">
            <v>2808</v>
          </cell>
          <cell r="K82">
            <v>2809</v>
          </cell>
          <cell r="L82">
            <v>2810</v>
          </cell>
          <cell r="M82">
            <v>2800</v>
          </cell>
          <cell r="N82" t="str">
            <v>LATERAL ESQ C/MARC FILO 534X45X20,3 + COR</v>
          </cell>
          <cell r="O82">
            <v>534</v>
          </cell>
          <cell r="P82">
            <v>45</v>
          </cell>
          <cell r="Q82">
            <v>20.3</v>
          </cell>
        </row>
        <row r="83">
          <cell r="A83">
            <v>595590</v>
          </cell>
          <cell r="B83">
            <v>2899</v>
          </cell>
          <cell r="C83">
            <v>2801</v>
          </cell>
          <cell r="D83">
            <v>2802</v>
          </cell>
          <cell r="E83">
            <v>2803</v>
          </cell>
          <cell r="F83">
            <v>2804</v>
          </cell>
          <cell r="G83">
            <v>2805</v>
          </cell>
          <cell r="H83">
            <v>2806</v>
          </cell>
          <cell r="I83">
            <v>2807</v>
          </cell>
          <cell r="J83">
            <v>2808</v>
          </cell>
          <cell r="K83">
            <v>2809</v>
          </cell>
          <cell r="L83">
            <v>2810</v>
          </cell>
          <cell r="M83">
            <v>2800</v>
          </cell>
          <cell r="N83" t="str">
            <v>LATERAL DIR C/MARC AVT FILO 534X45X20,3 + COR</v>
          </cell>
          <cell r="O83">
            <v>534</v>
          </cell>
          <cell r="P83">
            <v>45</v>
          </cell>
          <cell r="Q83">
            <v>20.3</v>
          </cell>
        </row>
        <row r="84">
          <cell r="A84">
            <v>595591</v>
          </cell>
          <cell r="B84">
            <v>2899</v>
          </cell>
          <cell r="C84">
            <v>2801</v>
          </cell>
          <cell r="D84">
            <v>2802</v>
          </cell>
          <cell r="E84">
            <v>2803</v>
          </cell>
          <cell r="F84">
            <v>2804</v>
          </cell>
          <cell r="G84">
            <v>2805</v>
          </cell>
          <cell r="H84">
            <v>2806</v>
          </cell>
          <cell r="I84">
            <v>2807</v>
          </cell>
          <cell r="J84">
            <v>2808</v>
          </cell>
          <cell r="K84">
            <v>2809</v>
          </cell>
          <cell r="L84">
            <v>2810</v>
          </cell>
          <cell r="M84">
            <v>2800</v>
          </cell>
          <cell r="N84" t="str">
            <v>LATERAL ESQ C/MARC AVT FILO 534X45X20,3 + COR</v>
          </cell>
          <cell r="O84">
            <v>534</v>
          </cell>
          <cell r="P84">
            <v>45</v>
          </cell>
          <cell r="Q84">
            <v>20.3</v>
          </cell>
        </row>
        <row r="85">
          <cell r="A85"/>
          <cell r="B85"/>
          <cell r="C85"/>
          <cell r="D85"/>
          <cell r="E85"/>
          <cell r="F85"/>
        </row>
        <row r="86">
          <cell r="A86">
            <v>595037</v>
          </cell>
          <cell r="B86">
            <v>2899</v>
          </cell>
          <cell r="C86">
            <v>2801</v>
          </cell>
          <cell r="D86">
            <v>2802</v>
          </cell>
          <cell r="E86">
            <v>2803</v>
          </cell>
          <cell r="F86">
            <v>2804</v>
          </cell>
          <cell r="G86">
            <v>2805</v>
          </cell>
          <cell r="H86">
            <v>2806</v>
          </cell>
          <cell r="I86">
            <v>2807</v>
          </cell>
          <cell r="J86">
            <v>2808</v>
          </cell>
          <cell r="K86">
            <v>2809</v>
          </cell>
          <cell r="L86">
            <v>2810</v>
          </cell>
          <cell r="M86">
            <v>2800</v>
          </cell>
          <cell r="N86" t="str">
            <v>LATERAL DIR/ESQ FILO 535X45X20,3 + COR</v>
          </cell>
          <cell r="O86">
            <v>535</v>
          </cell>
          <cell r="P86">
            <v>45</v>
          </cell>
          <cell r="Q86">
            <v>20.3</v>
          </cell>
        </row>
        <row r="87">
          <cell r="A87">
            <v>595038</v>
          </cell>
          <cell r="B87">
            <v>2899</v>
          </cell>
          <cell r="C87">
            <v>2801</v>
          </cell>
          <cell r="D87">
            <v>2802</v>
          </cell>
          <cell r="E87">
            <v>2803</v>
          </cell>
          <cell r="F87">
            <v>2804</v>
          </cell>
          <cell r="G87">
            <v>2805</v>
          </cell>
          <cell r="H87">
            <v>2806</v>
          </cell>
          <cell r="I87">
            <v>2807</v>
          </cell>
          <cell r="J87">
            <v>2808</v>
          </cell>
          <cell r="K87">
            <v>2809</v>
          </cell>
          <cell r="L87">
            <v>2810</v>
          </cell>
          <cell r="M87">
            <v>2800</v>
          </cell>
          <cell r="N87" t="str">
            <v>LATERAL DIR/ESQ FILO 713X45X20,3 + COR</v>
          </cell>
          <cell r="O87">
            <v>713</v>
          </cell>
          <cell r="P87">
            <v>45</v>
          </cell>
          <cell r="Q87">
            <v>20.3</v>
          </cell>
        </row>
        <row r="88">
          <cell r="A88">
            <v>595039</v>
          </cell>
          <cell r="B88">
            <v>2899</v>
          </cell>
          <cell r="C88">
            <v>2801</v>
          </cell>
          <cell r="D88">
            <v>2802</v>
          </cell>
          <cell r="E88">
            <v>2803</v>
          </cell>
          <cell r="F88">
            <v>2804</v>
          </cell>
          <cell r="G88">
            <v>2805</v>
          </cell>
          <cell r="H88">
            <v>2806</v>
          </cell>
          <cell r="I88">
            <v>2807</v>
          </cell>
          <cell r="J88">
            <v>2808</v>
          </cell>
          <cell r="K88">
            <v>2809</v>
          </cell>
          <cell r="L88">
            <v>2810</v>
          </cell>
          <cell r="M88">
            <v>2800</v>
          </cell>
          <cell r="N88" t="str">
            <v>LATERAL DIR/ESQ FILO 895X45X20,3 + COR</v>
          </cell>
          <cell r="O88">
            <v>895</v>
          </cell>
          <cell r="P88">
            <v>45</v>
          </cell>
          <cell r="Q88">
            <v>20.3</v>
          </cell>
        </row>
        <row r="89">
          <cell r="A89">
            <v>595040</v>
          </cell>
          <cell r="B89">
            <v>2899</v>
          </cell>
          <cell r="C89">
            <v>2801</v>
          </cell>
          <cell r="D89">
            <v>2802</v>
          </cell>
          <cell r="E89">
            <v>2803</v>
          </cell>
          <cell r="F89">
            <v>2804</v>
          </cell>
          <cell r="G89">
            <v>2805</v>
          </cell>
          <cell r="H89">
            <v>2806</v>
          </cell>
          <cell r="I89">
            <v>2807</v>
          </cell>
          <cell r="J89">
            <v>2808</v>
          </cell>
          <cell r="K89">
            <v>2809</v>
          </cell>
          <cell r="L89">
            <v>2810</v>
          </cell>
          <cell r="M89">
            <v>2800</v>
          </cell>
          <cell r="N89" t="str">
            <v>LATERAL DIR/ESQ FILO 1075X45X20,3 + COR</v>
          </cell>
          <cell r="O89">
            <v>1075</v>
          </cell>
          <cell r="P89">
            <v>45</v>
          </cell>
          <cell r="Q89">
            <v>20.3</v>
          </cell>
        </row>
        <row r="90">
          <cell r="A90">
            <v>595041</v>
          </cell>
          <cell r="B90">
            <v>2899</v>
          </cell>
          <cell r="C90">
            <v>2801</v>
          </cell>
          <cell r="D90">
            <v>2802</v>
          </cell>
          <cell r="E90">
            <v>2803</v>
          </cell>
          <cell r="F90">
            <v>2804</v>
          </cell>
          <cell r="G90">
            <v>2805</v>
          </cell>
          <cell r="H90">
            <v>2806</v>
          </cell>
          <cell r="I90">
            <v>2807</v>
          </cell>
          <cell r="J90">
            <v>2808</v>
          </cell>
          <cell r="K90">
            <v>2809</v>
          </cell>
          <cell r="L90">
            <v>2810</v>
          </cell>
          <cell r="M90">
            <v>2800</v>
          </cell>
          <cell r="N90" t="str">
            <v>LATERAL DIR/ESQ FILO 1255X45X18+COR</v>
          </cell>
          <cell r="O90">
            <v>1255</v>
          </cell>
          <cell r="P90">
            <v>45</v>
          </cell>
          <cell r="Q90">
            <v>20.3</v>
          </cell>
        </row>
        <row r="91">
          <cell r="A91">
            <v>595042</v>
          </cell>
          <cell r="B91">
            <v>2899</v>
          </cell>
          <cell r="C91">
            <v>2801</v>
          </cell>
          <cell r="D91">
            <v>2802</v>
          </cell>
          <cell r="E91">
            <v>2803</v>
          </cell>
          <cell r="F91">
            <v>2804</v>
          </cell>
          <cell r="G91">
            <v>2805</v>
          </cell>
          <cell r="H91">
            <v>2806</v>
          </cell>
          <cell r="I91">
            <v>2807</v>
          </cell>
          <cell r="J91">
            <v>2808</v>
          </cell>
          <cell r="K91">
            <v>2809</v>
          </cell>
          <cell r="L91">
            <v>2810</v>
          </cell>
          <cell r="M91">
            <v>2800</v>
          </cell>
          <cell r="N91" t="str">
            <v>LATERAL DIR/ESQ FILO 1795X45X18+COR</v>
          </cell>
          <cell r="O91">
            <v>1795</v>
          </cell>
          <cell r="P91">
            <v>45</v>
          </cell>
          <cell r="Q91">
            <v>20.3</v>
          </cell>
        </row>
        <row r="92">
          <cell r="A92">
            <v>595043</v>
          </cell>
          <cell r="B92">
            <v>2899</v>
          </cell>
          <cell r="C92">
            <v>2801</v>
          </cell>
          <cell r="D92">
            <v>2802</v>
          </cell>
          <cell r="E92">
            <v>2803</v>
          </cell>
          <cell r="F92">
            <v>2804</v>
          </cell>
          <cell r="G92">
            <v>2805</v>
          </cell>
          <cell r="H92">
            <v>2806</v>
          </cell>
          <cell r="I92">
            <v>2807</v>
          </cell>
          <cell r="J92">
            <v>2808</v>
          </cell>
          <cell r="K92">
            <v>2809</v>
          </cell>
          <cell r="L92">
            <v>2810</v>
          </cell>
          <cell r="M92">
            <v>2800</v>
          </cell>
          <cell r="N92" t="str">
            <v>LATERAL DIR/ESQ FILO 1975X45X18+COR</v>
          </cell>
          <cell r="O92">
            <v>1975</v>
          </cell>
          <cell r="P92">
            <v>45</v>
          </cell>
          <cell r="Q92">
            <v>20.3</v>
          </cell>
        </row>
        <row r="93">
          <cell r="A93">
            <v>595044</v>
          </cell>
          <cell r="B93">
            <v>2899</v>
          </cell>
          <cell r="C93">
            <v>2801</v>
          </cell>
          <cell r="D93">
            <v>2802</v>
          </cell>
          <cell r="E93">
            <v>2803</v>
          </cell>
          <cell r="F93">
            <v>2804</v>
          </cell>
          <cell r="G93">
            <v>2805</v>
          </cell>
          <cell r="H93">
            <v>2806</v>
          </cell>
          <cell r="I93">
            <v>2807</v>
          </cell>
          <cell r="J93">
            <v>2808</v>
          </cell>
          <cell r="K93">
            <v>2809</v>
          </cell>
          <cell r="L93">
            <v>2810</v>
          </cell>
          <cell r="M93">
            <v>2800</v>
          </cell>
          <cell r="N93" t="str">
            <v>LATERAL DIR/ESQ FILO 2155X45X18+COR</v>
          </cell>
          <cell r="O93">
            <v>2155</v>
          </cell>
          <cell r="P93">
            <v>45</v>
          </cell>
          <cell r="Q93">
            <v>20.3</v>
          </cell>
        </row>
        <row r="94">
          <cell r="A94">
            <v>595971</v>
          </cell>
          <cell r="B94">
            <v>2899</v>
          </cell>
          <cell r="C94">
            <v>2801</v>
          </cell>
          <cell r="D94">
            <v>2802</v>
          </cell>
          <cell r="E94">
            <v>2803</v>
          </cell>
          <cell r="F94">
            <v>2804</v>
          </cell>
          <cell r="G94">
            <v>2805</v>
          </cell>
          <cell r="H94">
            <v>2806</v>
          </cell>
          <cell r="I94">
            <v>2807</v>
          </cell>
          <cell r="J94">
            <v>2808</v>
          </cell>
          <cell r="K94">
            <v>2809</v>
          </cell>
          <cell r="L94">
            <v>2810</v>
          </cell>
          <cell r="M94">
            <v>2800</v>
          </cell>
          <cell r="N94" t="str">
            <v>LATERAL DIR/ESQ FILO 2335X45X18+COR</v>
          </cell>
          <cell r="O94">
            <v>2335</v>
          </cell>
          <cell r="P94">
            <v>45</v>
          </cell>
          <cell r="Q94">
            <v>20.3</v>
          </cell>
        </row>
        <row r="95">
          <cell r="A95">
            <v>595055</v>
          </cell>
          <cell r="B95">
            <v>2899</v>
          </cell>
          <cell r="C95">
            <v>2801</v>
          </cell>
          <cell r="D95">
            <v>2802</v>
          </cell>
          <cell r="E95">
            <v>2803</v>
          </cell>
          <cell r="F95">
            <v>2804</v>
          </cell>
          <cell r="G95">
            <v>2805</v>
          </cell>
          <cell r="H95">
            <v>2806</v>
          </cell>
          <cell r="I95">
            <v>2807</v>
          </cell>
          <cell r="J95">
            <v>2808</v>
          </cell>
          <cell r="K95">
            <v>2809</v>
          </cell>
          <cell r="L95">
            <v>2810</v>
          </cell>
          <cell r="M95">
            <v>2800</v>
          </cell>
          <cell r="N95" t="str">
            <v>LATERAL DIR/ESQ TAB PASSAR FILO 175X45X20,3+COR</v>
          </cell>
          <cell r="O95">
            <v>175</v>
          </cell>
          <cell r="P95">
            <v>45</v>
          </cell>
          <cell r="Q95">
            <v>20.3</v>
          </cell>
        </row>
        <row r="96">
          <cell r="A96"/>
          <cell r="B96"/>
          <cell r="C96"/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/>
        </row>
        <row r="97">
          <cell r="A97">
            <v>595047</v>
          </cell>
          <cell r="B97">
            <v>2899</v>
          </cell>
          <cell r="C97">
            <v>2801</v>
          </cell>
          <cell r="D97">
            <v>2802</v>
          </cell>
          <cell r="E97">
            <v>2803</v>
          </cell>
          <cell r="F97">
            <v>2804</v>
          </cell>
          <cell r="G97">
            <v>2805</v>
          </cell>
          <cell r="H97">
            <v>2806</v>
          </cell>
          <cell r="I97">
            <v>2807</v>
          </cell>
          <cell r="J97">
            <v>2808</v>
          </cell>
          <cell r="K97">
            <v>2809</v>
          </cell>
          <cell r="L97">
            <v>2810</v>
          </cell>
          <cell r="M97">
            <v>2800</v>
          </cell>
          <cell r="N97" t="str">
            <v>LATERAL DIR/ESQ FILO 535X45X20,3 C/ FURO DOB + COR</v>
          </cell>
          <cell r="O97">
            <v>535</v>
          </cell>
          <cell r="P97">
            <v>45</v>
          </cell>
          <cell r="Q97">
            <v>20.3</v>
          </cell>
        </row>
        <row r="98">
          <cell r="A98">
            <v>595048</v>
          </cell>
          <cell r="B98">
            <v>2899</v>
          </cell>
          <cell r="C98">
            <v>2801</v>
          </cell>
          <cell r="D98">
            <v>2802</v>
          </cell>
          <cell r="E98">
            <v>2803</v>
          </cell>
          <cell r="F98">
            <v>2804</v>
          </cell>
          <cell r="G98">
            <v>2805</v>
          </cell>
          <cell r="H98">
            <v>2806</v>
          </cell>
          <cell r="I98">
            <v>2807</v>
          </cell>
          <cell r="J98">
            <v>2808</v>
          </cell>
          <cell r="K98">
            <v>2809</v>
          </cell>
          <cell r="L98">
            <v>2810</v>
          </cell>
          <cell r="M98">
            <v>2800</v>
          </cell>
          <cell r="N98" t="str">
            <v>LATERAL DIR/ESQ FILO 713X45X20,3 C/ FURO DOB + COR</v>
          </cell>
          <cell r="O98">
            <v>713</v>
          </cell>
          <cell r="P98">
            <v>45</v>
          </cell>
          <cell r="Q98">
            <v>20.3</v>
          </cell>
        </row>
        <row r="99">
          <cell r="A99">
            <v>595049</v>
          </cell>
          <cell r="B99">
            <v>2899</v>
          </cell>
          <cell r="C99">
            <v>2801</v>
          </cell>
          <cell r="D99">
            <v>2802</v>
          </cell>
          <cell r="E99">
            <v>2803</v>
          </cell>
          <cell r="F99">
            <v>2804</v>
          </cell>
          <cell r="G99">
            <v>2805</v>
          </cell>
          <cell r="H99">
            <v>2806</v>
          </cell>
          <cell r="I99">
            <v>2807</v>
          </cell>
          <cell r="J99">
            <v>2808</v>
          </cell>
          <cell r="K99">
            <v>2809</v>
          </cell>
          <cell r="L99">
            <v>2810</v>
          </cell>
          <cell r="M99">
            <v>2800</v>
          </cell>
          <cell r="N99" t="str">
            <v>LATERAL DIR/ESQ FILO 895X45X20,3 C/ FURO DOB + COR</v>
          </cell>
          <cell r="O99">
            <v>895</v>
          </cell>
          <cell r="P99">
            <v>45</v>
          </cell>
          <cell r="Q99">
            <v>20.3</v>
          </cell>
        </row>
        <row r="100">
          <cell r="A100">
            <v>595050</v>
          </cell>
          <cell r="B100">
            <v>2899</v>
          </cell>
          <cell r="C100">
            <v>2801</v>
          </cell>
          <cell r="D100">
            <v>2802</v>
          </cell>
          <cell r="E100">
            <v>2803</v>
          </cell>
          <cell r="F100">
            <v>2804</v>
          </cell>
          <cell r="G100">
            <v>2805</v>
          </cell>
          <cell r="H100">
            <v>2806</v>
          </cell>
          <cell r="I100">
            <v>2807</v>
          </cell>
          <cell r="J100">
            <v>2808</v>
          </cell>
          <cell r="K100">
            <v>2809</v>
          </cell>
          <cell r="L100">
            <v>2810</v>
          </cell>
          <cell r="M100">
            <v>2800</v>
          </cell>
          <cell r="N100" t="str">
            <v>LATERAL DIR/ESQ FILO 1075X45X20,3 C/ FURO DOB + COR</v>
          </cell>
          <cell r="O100">
            <v>1075</v>
          </cell>
          <cell r="P100">
            <v>45</v>
          </cell>
          <cell r="Q100">
            <v>20.3</v>
          </cell>
        </row>
        <row r="101">
          <cell r="A101">
            <v>595051</v>
          </cell>
          <cell r="B101">
            <v>2899</v>
          </cell>
          <cell r="C101">
            <v>2801</v>
          </cell>
          <cell r="D101">
            <v>2802</v>
          </cell>
          <cell r="E101">
            <v>2803</v>
          </cell>
          <cell r="F101">
            <v>2804</v>
          </cell>
          <cell r="G101">
            <v>2805</v>
          </cell>
          <cell r="H101">
            <v>2806</v>
          </cell>
          <cell r="I101">
            <v>2807</v>
          </cell>
          <cell r="J101">
            <v>2808</v>
          </cell>
          <cell r="K101">
            <v>2809</v>
          </cell>
          <cell r="L101">
            <v>2810</v>
          </cell>
          <cell r="M101">
            <v>2800</v>
          </cell>
          <cell r="N101" t="str">
            <v>LATERAL DIR/ESQ FILO 1255X45X20,3 C/ FURO DOB + COR</v>
          </cell>
          <cell r="O101">
            <v>1255</v>
          </cell>
          <cell r="P101">
            <v>45</v>
          </cell>
          <cell r="Q101">
            <v>20.3</v>
          </cell>
        </row>
        <row r="102">
          <cell r="A102">
            <v>595052</v>
          </cell>
          <cell r="B102">
            <v>2899</v>
          </cell>
          <cell r="C102">
            <v>2801</v>
          </cell>
          <cell r="D102">
            <v>2802</v>
          </cell>
          <cell r="E102">
            <v>2803</v>
          </cell>
          <cell r="F102">
            <v>2804</v>
          </cell>
          <cell r="G102">
            <v>2805</v>
          </cell>
          <cell r="H102">
            <v>2806</v>
          </cell>
          <cell r="I102">
            <v>2807</v>
          </cell>
          <cell r="J102">
            <v>2808</v>
          </cell>
          <cell r="K102">
            <v>2809</v>
          </cell>
          <cell r="L102">
            <v>2810</v>
          </cell>
          <cell r="M102">
            <v>2800</v>
          </cell>
          <cell r="N102" t="str">
            <v>LATERAL DIR/ESQ FILO 1795X45X20,3 C/ FURO DOB + COR</v>
          </cell>
          <cell r="O102">
            <v>1795</v>
          </cell>
          <cell r="P102">
            <v>45</v>
          </cell>
          <cell r="Q102">
            <v>20.3</v>
          </cell>
        </row>
        <row r="103">
          <cell r="A103">
            <v>595053</v>
          </cell>
          <cell r="B103">
            <v>2899</v>
          </cell>
          <cell r="C103">
            <v>2801</v>
          </cell>
          <cell r="D103">
            <v>2802</v>
          </cell>
          <cell r="E103">
            <v>2803</v>
          </cell>
          <cell r="F103">
            <v>2804</v>
          </cell>
          <cell r="G103">
            <v>2805</v>
          </cell>
          <cell r="H103">
            <v>2806</v>
          </cell>
          <cell r="I103">
            <v>2807</v>
          </cell>
          <cell r="J103">
            <v>2808</v>
          </cell>
          <cell r="K103">
            <v>2809</v>
          </cell>
          <cell r="L103">
            <v>2810</v>
          </cell>
          <cell r="M103">
            <v>2800</v>
          </cell>
          <cell r="N103" t="str">
            <v>LATERAL DIR/ESQ FILO 1975X45X20,3 C/ FURO DOB + COR</v>
          </cell>
          <cell r="O103">
            <v>1975</v>
          </cell>
          <cell r="P103">
            <v>45</v>
          </cell>
          <cell r="Q103">
            <v>20.3</v>
          </cell>
        </row>
        <row r="104">
          <cell r="A104">
            <v>595054</v>
          </cell>
          <cell r="B104">
            <v>2899</v>
          </cell>
          <cell r="C104">
            <v>2801</v>
          </cell>
          <cell r="D104">
            <v>2802</v>
          </cell>
          <cell r="E104">
            <v>2803</v>
          </cell>
          <cell r="F104">
            <v>2804</v>
          </cell>
          <cell r="G104">
            <v>2805</v>
          </cell>
          <cell r="H104">
            <v>2806</v>
          </cell>
          <cell r="I104">
            <v>2807</v>
          </cell>
          <cell r="J104">
            <v>2808</v>
          </cell>
          <cell r="K104">
            <v>2809</v>
          </cell>
          <cell r="L104">
            <v>2810</v>
          </cell>
          <cell r="M104">
            <v>2800</v>
          </cell>
          <cell r="N104" t="str">
            <v>LATERAL DIR/ESQ FILO 2155X45X20,3 C/ FURO DOB + COR</v>
          </cell>
          <cell r="O104">
            <v>2155</v>
          </cell>
          <cell r="P104">
            <v>45</v>
          </cell>
          <cell r="Q104">
            <v>20.3</v>
          </cell>
        </row>
        <row r="105">
          <cell r="A105">
            <v>595972</v>
          </cell>
          <cell r="B105">
            <v>2899</v>
          </cell>
          <cell r="C105">
            <v>2801</v>
          </cell>
          <cell r="D105">
            <v>2802</v>
          </cell>
          <cell r="E105">
            <v>2803</v>
          </cell>
          <cell r="F105">
            <v>2804</v>
          </cell>
          <cell r="G105">
            <v>2805</v>
          </cell>
          <cell r="H105">
            <v>2806</v>
          </cell>
          <cell r="I105">
            <v>2807</v>
          </cell>
          <cell r="J105">
            <v>2808</v>
          </cell>
          <cell r="K105">
            <v>2809</v>
          </cell>
          <cell r="L105">
            <v>2810</v>
          </cell>
          <cell r="M105">
            <v>2800</v>
          </cell>
          <cell r="N105" t="str">
            <v>LATERAL DIR/ESQ FILO 2335X45X20,3 C/ FURO DOB + COR</v>
          </cell>
          <cell r="O105">
            <v>2335</v>
          </cell>
          <cell r="P105">
            <v>45</v>
          </cell>
          <cell r="Q105">
            <v>20.3</v>
          </cell>
        </row>
        <row r="106">
          <cell r="A106"/>
          <cell r="B106"/>
          <cell r="C106"/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  <cell r="N106"/>
          <cell r="O106"/>
          <cell r="P106"/>
          <cell r="Q106"/>
        </row>
        <row r="107">
          <cell r="A107">
            <v>595533</v>
          </cell>
          <cell r="B107">
            <v>2899</v>
          </cell>
          <cell r="C107">
            <v>2801</v>
          </cell>
          <cell r="D107">
            <v>2802</v>
          </cell>
          <cell r="E107">
            <v>2803</v>
          </cell>
          <cell r="F107">
            <v>2804</v>
          </cell>
          <cell r="G107">
            <v>2805</v>
          </cell>
          <cell r="H107">
            <v>2806</v>
          </cell>
          <cell r="I107">
            <v>2807</v>
          </cell>
          <cell r="J107">
            <v>2808</v>
          </cell>
          <cell r="K107">
            <v>2809</v>
          </cell>
          <cell r="L107">
            <v>2810</v>
          </cell>
          <cell r="M107">
            <v>2800</v>
          </cell>
          <cell r="N107" t="str">
            <v>LATERAL ESQ FILO 1795X45X20,3 C/ REC PUX + COR</v>
          </cell>
          <cell r="O107">
            <v>1795</v>
          </cell>
          <cell r="P107">
            <v>45</v>
          </cell>
          <cell r="Q107">
            <v>20.3</v>
          </cell>
        </row>
        <row r="108">
          <cell r="A108">
            <v>595452</v>
          </cell>
          <cell r="B108">
            <v>2899</v>
          </cell>
          <cell r="C108">
            <v>2801</v>
          </cell>
          <cell r="D108">
            <v>2802</v>
          </cell>
          <cell r="E108">
            <v>2803</v>
          </cell>
          <cell r="F108">
            <v>2804</v>
          </cell>
          <cell r="G108">
            <v>2805</v>
          </cell>
          <cell r="H108">
            <v>2806</v>
          </cell>
          <cell r="I108">
            <v>2807</v>
          </cell>
          <cell r="J108">
            <v>2808</v>
          </cell>
          <cell r="K108">
            <v>2809</v>
          </cell>
          <cell r="L108">
            <v>2810</v>
          </cell>
          <cell r="M108">
            <v>2800</v>
          </cell>
          <cell r="N108" t="str">
            <v>LATERAL DIR FILO 1795X45X20,3 C/ REC PUX + COR</v>
          </cell>
          <cell r="O108">
            <v>1795</v>
          </cell>
          <cell r="P108">
            <v>45</v>
          </cell>
          <cell r="Q108">
            <v>20.3</v>
          </cell>
        </row>
        <row r="109">
          <cell r="A109">
            <v>595534</v>
          </cell>
          <cell r="B109">
            <v>2899</v>
          </cell>
          <cell r="C109">
            <v>2801</v>
          </cell>
          <cell r="D109">
            <v>2802</v>
          </cell>
          <cell r="E109">
            <v>2803</v>
          </cell>
          <cell r="F109">
            <v>2804</v>
          </cell>
          <cell r="G109">
            <v>2805</v>
          </cell>
          <cell r="H109">
            <v>2806</v>
          </cell>
          <cell r="I109">
            <v>2807</v>
          </cell>
          <cell r="J109">
            <v>2808</v>
          </cell>
          <cell r="K109">
            <v>2809</v>
          </cell>
          <cell r="L109">
            <v>2810</v>
          </cell>
          <cell r="M109">
            <v>2800</v>
          </cell>
          <cell r="N109" t="str">
            <v>LATERAL ESQ FILO 1975X45X20,3 C/ REC PUX + COR</v>
          </cell>
          <cell r="O109">
            <v>1975</v>
          </cell>
          <cell r="P109">
            <v>45</v>
          </cell>
          <cell r="Q109">
            <v>20.3</v>
          </cell>
        </row>
        <row r="110">
          <cell r="A110">
            <v>595453</v>
          </cell>
          <cell r="B110">
            <v>2899</v>
          </cell>
          <cell r="C110">
            <v>2801</v>
          </cell>
          <cell r="D110">
            <v>2802</v>
          </cell>
          <cell r="E110">
            <v>2803</v>
          </cell>
          <cell r="F110">
            <v>2804</v>
          </cell>
          <cell r="G110">
            <v>2805</v>
          </cell>
          <cell r="H110">
            <v>2806</v>
          </cell>
          <cell r="I110">
            <v>2807</v>
          </cell>
          <cell r="J110">
            <v>2808</v>
          </cell>
          <cell r="K110">
            <v>2809</v>
          </cell>
          <cell r="L110">
            <v>2810</v>
          </cell>
          <cell r="M110">
            <v>2800</v>
          </cell>
          <cell r="N110" t="str">
            <v>LATERAL DIR FILO 1975X45X20,3 C/ REC PUX + COR</v>
          </cell>
          <cell r="O110">
            <v>1975</v>
          </cell>
          <cell r="P110">
            <v>45</v>
          </cell>
          <cell r="Q110">
            <v>20.3</v>
          </cell>
        </row>
        <row r="111">
          <cell r="A111">
            <v>595535</v>
          </cell>
          <cell r="B111">
            <v>2899</v>
          </cell>
          <cell r="C111">
            <v>2801</v>
          </cell>
          <cell r="D111">
            <v>2802</v>
          </cell>
          <cell r="E111">
            <v>2803</v>
          </cell>
          <cell r="F111">
            <v>2804</v>
          </cell>
          <cell r="G111">
            <v>2805</v>
          </cell>
          <cell r="H111">
            <v>2806</v>
          </cell>
          <cell r="I111">
            <v>2807</v>
          </cell>
          <cell r="J111">
            <v>2808</v>
          </cell>
          <cell r="K111">
            <v>2809</v>
          </cell>
          <cell r="L111">
            <v>2810</v>
          </cell>
          <cell r="M111">
            <v>2800</v>
          </cell>
          <cell r="N111" t="str">
            <v>LATERAL ESQ FILO 2155X45X20,3 C/ REC PUX + COR</v>
          </cell>
          <cell r="O111">
            <v>2155</v>
          </cell>
          <cell r="P111">
            <v>45</v>
          </cell>
          <cell r="Q111">
            <v>20.3</v>
          </cell>
        </row>
        <row r="112">
          <cell r="A112">
            <v>595454</v>
          </cell>
          <cell r="B112">
            <v>2899</v>
          </cell>
          <cell r="C112">
            <v>2801</v>
          </cell>
          <cell r="D112">
            <v>2802</v>
          </cell>
          <cell r="E112">
            <v>2803</v>
          </cell>
          <cell r="F112">
            <v>2804</v>
          </cell>
          <cell r="G112">
            <v>2805</v>
          </cell>
          <cell r="H112">
            <v>2806</v>
          </cell>
          <cell r="I112">
            <v>2807</v>
          </cell>
          <cell r="J112">
            <v>2808</v>
          </cell>
          <cell r="K112">
            <v>2809</v>
          </cell>
          <cell r="L112">
            <v>2810</v>
          </cell>
          <cell r="M112">
            <v>2800</v>
          </cell>
          <cell r="N112" t="str">
            <v>LATERAL DIR FILO 2155X45X20,3 C/ REC PUX + COR</v>
          </cell>
          <cell r="O112">
            <v>2155</v>
          </cell>
          <cell r="P112">
            <v>45</v>
          </cell>
          <cell r="Q112">
            <v>20.3</v>
          </cell>
        </row>
        <row r="113">
          <cell r="A113">
            <v>595973</v>
          </cell>
          <cell r="B113">
            <v>2899</v>
          </cell>
          <cell r="C113">
            <v>2801</v>
          </cell>
          <cell r="D113">
            <v>2802</v>
          </cell>
          <cell r="E113">
            <v>2803</v>
          </cell>
          <cell r="F113">
            <v>2804</v>
          </cell>
          <cell r="G113">
            <v>2805</v>
          </cell>
          <cell r="H113">
            <v>2806</v>
          </cell>
          <cell r="I113">
            <v>2807</v>
          </cell>
          <cell r="J113">
            <v>2808</v>
          </cell>
          <cell r="K113">
            <v>2809</v>
          </cell>
          <cell r="L113">
            <v>2810</v>
          </cell>
          <cell r="M113">
            <v>2800</v>
          </cell>
          <cell r="N113" t="str">
            <v>LATERAL ESQ FILO 2335X45X20,3 C/ REC PUX + COR</v>
          </cell>
          <cell r="O113">
            <v>2335</v>
          </cell>
          <cell r="P113">
            <v>45</v>
          </cell>
          <cell r="Q113">
            <v>20.3</v>
          </cell>
        </row>
        <row r="114">
          <cell r="A114">
            <v>595974</v>
          </cell>
          <cell r="B114">
            <v>2899</v>
          </cell>
          <cell r="C114">
            <v>2801</v>
          </cell>
          <cell r="D114">
            <v>2802</v>
          </cell>
          <cell r="E114">
            <v>2803</v>
          </cell>
          <cell r="F114">
            <v>2804</v>
          </cell>
          <cell r="G114">
            <v>2805</v>
          </cell>
          <cell r="H114">
            <v>2806</v>
          </cell>
          <cell r="I114">
            <v>2807</v>
          </cell>
          <cell r="J114">
            <v>2808</v>
          </cell>
          <cell r="K114">
            <v>2809</v>
          </cell>
          <cell r="L114">
            <v>2810</v>
          </cell>
          <cell r="M114">
            <v>2800</v>
          </cell>
          <cell r="N114" t="str">
            <v>LATERAL DIR FILO 2335X45X20,3 C/ REC PUX + COR</v>
          </cell>
          <cell r="O114">
            <v>2335</v>
          </cell>
          <cell r="P114">
            <v>45</v>
          </cell>
          <cell r="Q114">
            <v>20.3</v>
          </cell>
        </row>
        <row r="115">
          <cell r="A115"/>
          <cell r="B115"/>
          <cell r="C115"/>
          <cell r="D115"/>
          <cell r="E115"/>
          <cell r="F115"/>
        </row>
        <row r="116">
          <cell r="A116">
            <v>595592</v>
          </cell>
          <cell r="B116">
            <v>2899</v>
          </cell>
          <cell r="C116">
            <v>2801</v>
          </cell>
          <cell r="D116">
            <v>2802</v>
          </cell>
          <cell r="E116">
            <v>2803</v>
          </cell>
          <cell r="F116">
            <v>2804</v>
          </cell>
          <cell r="G116">
            <v>2805</v>
          </cell>
          <cell r="H116">
            <v>2806</v>
          </cell>
          <cell r="I116">
            <v>2807</v>
          </cell>
          <cell r="J116">
            <v>2808</v>
          </cell>
          <cell r="K116">
            <v>2809</v>
          </cell>
          <cell r="L116">
            <v>2810</v>
          </cell>
          <cell r="M116">
            <v>2800</v>
          </cell>
          <cell r="N116" t="str">
            <v>LATERAL DIR GAV FILO 175X45X20,3 + COR</v>
          </cell>
          <cell r="O116">
            <v>175</v>
          </cell>
          <cell r="P116">
            <v>45</v>
          </cell>
          <cell r="Q116">
            <v>20.3</v>
          </cell>
        </row>
        <row r="117">
          <cell r="A117">
            <v>595593</v>
          </cell>
          <cell r="B117">
            <v>2899</v>
          </cell>
          <cell r="C117">
            <v>2801</v>
          </cell>
          <cell r="D117">
            <v>2802</v>
          </cell>
          <cell r="E117">
            <v>2803</v>
          </cell>
          <cell r="F117">
            <v>2804</v>
          </cell>
          <cell r="G117">
            <v>2805</v>
          </cell>
          <cell r="H117">
            <v>2806</v>
          </cell>
          <cell r="I117">
            <v>2807</v>
          </cell>
          <cell r="J117">
            <v>2808</v>
          </cell>
          <cell r="K117">
            <v>2809</v>
          </cell>
          <cell r="L117">
            <v>2810</v>
          </cell>
          <cell r="M117">
            <v>2800</v>
          </cell>
          <cell r="N117" t="str">
            <v>LATERAL DIR GAV TDBOX FILO 175X45X20,3 + COR</v>
          </cell>
          <cell r="O117">
            <v>175</v>
          </cell>
          <cell r="P117">
            <v>45</v>
          </cell>
          <cell r="Q117">
            <v>20.3</v>
          </cell>
        </row>
        <row r="118">
          <cell r="A118">
            <v>595594</v>
          </cell>
          <cell r="B118">
            <v>2899</v>
          </cell>
          <cell r="C118">
            <v>2801</v>
          </cell>
          <cell r="D118">
            <v>2802</v>
          </cell>
          <cell r="E118">
            <v>2803</v>
          </cell>
          <cell r="F118">
            <v>2804</v>
          </cell>
          <cell r="G118">
            <v>2805</v>
          </cell>
          <cell r="H118">
            <v>2806</v>
          </cell>
          <cell r="I118">
            <v>2807</v>
          </cell>
          <cell r="J118">
            <v>2808</v>
          </cell>
          <cell r="K118">
            <v>2809</v>
          </cell>
          <cell r="L118">
            <v>2810</v>
          </cell>
          <cell r="M118">
            <v>2800</v>
          </cell>
          <cell r="N118" t="str">
            <v>LATERAL DIR GAV FILO 354X45X20,3 + COR</v>
          </cell>
          <cell r="O118">
            <v>354</v>
          </cell>
          <cell r="P118">
            <v>45</v>
          </cell>
          <cell r="Q118">
            <v>20.3</v>
          </cell>
        </row>
        <row r="119">
          <cell r="A119">
            <v>595450</v>
          </cell>
          <cell r="B119">
            <v>2899</v>
          </cell>
          <cell r="C119">
            <v>2801</v>
          </cell>
          <cell r="D119">
            <v>2802</v>
          </cell>
          <cell r="E119">
            <v>2803</v>
          </cell>
          <cell r="F119">
            <v>2804</v>
          </cell>
          <cell r="G119">
            <v>2805</v>
          </cell>
          <cell r="H119">
            <v>2806</v>
          </cell>
          <cell r="I119">
            <v>2807</v>
          </cell>
          <cell r="J119">
            <v>2808</v>
          </cell>
          <cell r="K119">
            <v>2809</v>
          </cell>
          <cell r="L119">
            <v>2810</v>
          </cell>
          <cell r="M119">
            <v>2800</v>
          </cell>
          <cell r="N119" t="str">
            <v>LATERAL DIR GAV MAIOR FILO 354X45X20,3 + COR</v>
          </cell>
          <cell r="O119">
            <v>354</v>
          </cell>
          <cell r="P119">
            <v>45</v>
          </cell>
          <cell r="Q119">
            <v>20.3</v>
          </cell>
        </row>
        <row r="120">
          <cell r="A120">
            <v>595595</v>
          </cell>
          <cell r="B120">
            <v>2899</v>
          </cell>
          <cell r="C120">
            <v>2801</v>
          </cell>
          <cell r="D120">
            <v>2802</v>
          </cell>
          <cell r="E120">
            <v>2803</v>
          </cell>
          <cell r="F120">
            <v>2804</v>
          </cell>
          <cell r="G120">
            <v>2805</v>
          </cell>
          <cell r="H120">
            <v>2806</v>
          </cell>
          <cell r="I120">
            <v>2807</v>
          </cell>
          <cell r="J120">
            <v>2808</v>
          </cell>
          <cell r="K120">
            <v>2809</v>
          </cell>
          <cell r="L120">
            <v>2810</v>
          </cell>
          <cell r="M120">
            <v>2800</v>
          </cell>
          <cell r="N120" t="str">
            <v>LATERAL DIR GAV TDBOX FILO 354X45X20,3 + COR</v>
          </cell>
          <cell r="O120">
            <v>354</v>
          </cell>
          <cell r="P120">
            <v>45</v>
          </cell>
          <cell r="Q120">
            <v>20.3</v>
          </cell>
        </row>
        <row r="121">
          <cell r="N121"/>
        </row>
        <row r="122">
          <cell r="A122">
            <v>595596</v>
          </cell>
          <cell r="B122">
            <v>2899</v>
          </cell>
          <cell r="C122">
            <v>2801</v>
          </cell>
          <cell r="D122">
            <v>2802</v>
          </cell>
          <cell r="E122">
            <v>2803</v>
          </cell>
          <cell r="F122">
            <v>2804</v>
          </cell>
          <cell r="G122">
            <v>2805</v>
          </cell>
          <cell r="H122">
            <v>2806</v>
          </cell>
          <cell r="I122">
            <v>2807</v>
          </cell>
          <cell r="J122">
            <v>2808</v>
          </cell>
          <cell r="K122">
            <v>2809</v>
          </cell>
          <cell r="L122">
            <v>2810</v>
          </cell>
          <cell r="M122">
            <v>2800</v>
          </cell>
          <cell r="N122" t="str">
            <v>LATERAL ESQ GAV FILO 175X45X20,3 + COR</v>
          </cell>
          <cell r="O122">
            <v>175</v>
          </cell>
          <cell r="P122">
            <v>45</v>
          </cell>
          <cell r="Q122">
            <v>20.3</v>
          </cell>
        </row>
        <row r="123">
          <cell r="A123">
            <v>595597</v>
          </cell>
          <cell r="B123">
            <v>2899</v>
          </cell>
          <cell r="C123">
            <v>2801</v>
          </cell>
          <cell r="D123">
            <v>2802</v>
          </cell>
          <cell r="E123">
            <v>2803</v>
          </cell>
          <cell r="F123">
            <v>2804</v>
          </cell>
          <cell r="G123">
            <v>2805</v>
          </cell>
          <cell r="H123">
            <v>2806</v>
          </cell>
          <cell r="I123">
            <v>2807</v>
          </cell>
          <cell r="J123">
            <v>2808</v>
          </cell>
          <cell r="K123">
            <v>2809</v>
          </cell>
          <cell r="L123">
            <v>2810</v>
          </cell>
          <cell r="M123">
            <v>2800</v>
          </cell>
          <cell r="N123" t="str">
            <v>LATERAL ESQ GAV TDBOX FILO 175X45X20,3 + COR</v>
          </cell>
          <cell r="O123">
            <v>175</v>
          </cell>
          <cell r="P123">
            <v>45</v>
          </cell>
          <cell r="Q123">
            <v>20.3</v>
          </cell>
        </row>
        <row r="124">
          <cell r="A124">
            <v>595598</v>
          </cell>
          <cell r="B124">
            <v>2899</v>
          </cell>
          <cell r="C124">
            <v>2801</v>
          </cell>
          <cell r="D124">
            <v>2802</v>
          </cell>
          <cell r="E124">
            <v>2803</v>
          </cell>
          <cell r="F124">
            <v>2804</v>
          </cell>
          <cell r="G124">
            <v>2805</v>
          </cell>
          <cell r="H124">
            <v>2806</v>
          </cell>
          <cell r="I124">
            <v>2807</v>
          </cell>
          <cell r="J124">
            <v>2808</v>
          </cell>
          <cell r="K124">
            <v>2809</v>
          </cell>
          <cell r="L124">
            <v>2810</v>
          </cell>
          <cell r="M124">
            <v>2800</v>
          </cell>
          <cell r="N124" t="str">
            <v>LATERAL ESQ GAV FILO 354X45X20,3 + COR</v>
          </cell>
          <cell r="O124">
            <v>354</v>
          </cell>
          <cell r="P124">
            <v>45</v>
          </cell>
          <cell r="Q124">
            <v>20.3</v>
          </cell>
        </row>
        <row r="125">
          <cell r="A125">
            <v>595451</v>
          </cell>
          <cell r="B125">
            <v>2899</v>
          </cell>
          <cell r="C125">
            <v>2801</v>
          </cell>
          <cell r="D125">
            <v>2802</v>
          </cell>
          <cell r="E125">
            <v>2803</v>
          </cell>
          <cell r="F125">
            <v>2804</v>
          </cell>
          <cell r="G125">
            <v>2805</v>
          </cell>
          <cell r="H125">
            <v>2806</v>
          </cell>
          <cell r="I125">
            <v>2807</v>
          </cell>
          <cell r="J125">
            <v>2808</v>
          </cell>
          <cell r="K125">
            <v>2809</v>
          </cell>
          <cell r="L125">
            <v>2810</v>
          </cell>
          <cell r="M125">
            <v>2800</v>
          </cell>
          <cell r="N125" t="str">
            <v>LATERAL ESQ GAV MAIOR FILO 354X45X20,3 + COR</v>
          </cell>
          <cell r="O125">
            <v>354</v>
          </cell>
          <cell r="P125">
            <v>45</v>
          </cell>
          <cell r="Q125">
            <v>20.3</v>
          </cell>
        </row>
        <row r="126">
          <cell r="A126">
            <v>595599</v>
          </cell>
          <cell r="B126">
            <v>2899</v>
          </cell>
          <cell r="C126">
            <v>2801</v>
          </cell>
          <cell r="D126">
            <v>2802</v>
          </cell>
          <cell r="E126">
            <v>2803</v>
          </cell>
          <cell r="F126">
            <v>2804</v>
          </cell>
          <cell r="G126">
            <v>2805</v>
          </cell>
          <cell r="H126">
            <v>2806</v>
          </cell>
          <cell r="I126">
            <v>2807</v>
          </cell>
          <cell r="J126">
            <v>2808</v>
          </cell>
          <cell r="K126">
            <v>2809</v>
          </cell>
          <cell r="L126">
            <v>2810</v>
          </cell>
          <cell r="M126">
            <v>2800</v>
          </cell>
          <cell r="N126" t="str">
            <v>LATERAL ESQ GAV TDBOX FILO 354X45X20,3 + COR</v>
          </cell>
          <cell r="O126">
            <v>354</v>
          </cell>
          <cell r="P126">
            <v>45</v>
          </cell>
          <cell r="Q126">
            <v>20.3</v>
          </cell>
        </row>
        <row r="127">
          <cell r="A127"/>
          <cell r="B127"/>
          <cell r="C127"/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</row>
        <row r="128">
          <cell r="A128">
            <v>595600</v>
          </cell>
          <cell r="B128">
            <v>2899</v>
          </cell>
          <cell r="C128">
            <v>2801</v>
          </cell>
          <cell r="D128">
            <v>2802</v>
          </cell>
          <cell r="E128">
            <v>2803</v>
          </cell>
          <cell r="F128">
            <v>2804</v>
          </cell>
          <cell r="G128">
            <v>2805</v>
          </cell>
          <cell r="H128">
            <v>2806</v>
          </cell>
          <cell r="I128">
            <v>2807</v>
          </cell>
          <cell r="J128">
            <v>2808</v>
          </cell>
          <cell r="K128">
            <v>2809</v>
          </cell>
          <cell r="L128">
            <v>2810</v>
          </cell>
          <cell r="M128">
            <v>2800</v>
          </cell>
          <cell r="N128" t="str">
            <v>LATERAL DIR PTA TEMP TDBOX FILO 713X45X20,3 + COR</v>
          </cell>
          <cell r="O128">
            <v>713</v>
          </cell>
          <cell r="P128">
            <v>45</v>
          </cell>
          <cell r="Q128">
            <v>20.3</v>
          </cell>
        </row>
        <row r="129">
          <cell r="A129">
            <v>595601</v>
          </cell>
          <cell r="B129">
            <v>2899</v>
          </cell>
          <cell r="C129">
            <v>2801</v>
          </cell>
          <cell r="D129">
            <v>2802</v>
          </cell>
          <cell r="E129">
            <v>2803</v>
          </cell>
          <cell r="F129">
            <v>2804</v>
          </cell>
          <cell r="G129">
            <v>2805</v>
          </cell>
          <cell r="H129">
            <v>2806</v>
          </cell>
          <cell r="I129">
            <v>2807</v>
          </cell>
          <cell r="J129">
            <v>2808</v>
          </cell>
          <cell r="K129">
            <v>2809</v>
          </cell>
          <cell r="L129">
            <v>2810</v>
          </cell>
          <cell r="M129">
            <v>2800</v>
          </cell>
          <cell r="N129" t="str">
            <v>LATERAL ESQ PTA TEMP TDBOX FILO 713X45X20,3 + COR</v>
          </cell>
          <cell r="O129">
            <v>713</v>
          </cell>
          <cell r="P129">
            <v>45</v>
          </cell>
          <cell r="Q129">
            <v>20.3</v>
          </cell>
        </row>
        <row r="130">
          <cell r="A130">
            <v>595602</v>
          </cell>
          <cell r="B130">
            <v>2899</v>
          </cell>
          <cell r="C130">
            <v>2801</v>
          </cell>
          <cell r="D130">
            <v>2802</v>
          </cell>
          <cell r="E130">
            <v>2803</v>
          </cell>
          <cell r="F130">
            <v>2804</v>
          </cell>
          <cell r="G130">
            <v>2805</v>
          </cell>
          <cell r="H130">
            <v>2806</v>
          </cell>
          <cell r="I130">
            <v>2807</v>
          </cell>
          <cell r="J130">
            <v>2808</v>
          </cell>
          <cell r="K130">
            <v>2809</v>
          </cell>
          <cell r="L130">
            <v>2810</v>
          </cell>
          <cell r="M130">
            <v>2800</v>
          </cell>
          <cell r="N130" t="str">
            <v>LATERAL DIR PTA TEMP FILO 713X45X20,3 + COR</v>
          </cell>
          <cell r="O130">
            <v>713</v>
          </cell>
          <cell r="P130">
            <v>45</v>
          </cell>
          <cell r="Q130">
            <v>20.3</v>
          </cell>
        </row>
        <row r="131">
          <cell r="A131">
            <v>595603</v>
          </cell>
          <cell r="B131">
            <v>2899</v>
          </cell>
          <cell r="C131">
            <v>2801</v>
          </cell>
          <cell r="D131">
            <v>2802</v>
          </cell>
          <cell r="E131">
            <v>2803</v>
          </cell>
          <cell r="F131">
            <v>2804</v>
          </cell>
          <cell r="G131">
            <v>2805</v>
          </cell>
          <cell r="H131">
            <v>2806</v>
          </cell>
          <cell r="I131">
            <v>2807</v>
          </cell>
          <cell r="J131">
            <v>2808</v>
          </cell>
          <cell r="K131">
            <v>2809</v>
          </cell>
          <cell r="L131">
            <v>2810</v>
          </cell>
          <cell r="M131">
            <v>2800</v>
          </cell>
          <cell r="N131" t="str">
            <v>LATERAL ESQ PTA TEMP FILO 713X45X20,3 + COR</v>
          </cell>
          <cell r="O131">
            <v>713</v>
          </cell>
          <cell r="P131">
            <v>45</v>
          </cell>
          <cell r="Q131">
            <v>20.3</v>
          </cell>
        </row>
        <row r="133">
          <cell r="A133">
            <v>595513</v>
          </cell>
          <cell r="B133">
            <v>2899</v>
          </cell>
          <cell r="C133">
            <v>2801</v>
          </cell>
          <cell r="D133">
            <v>2802</v>
          </cell>
          <cell r="E133">
            <v>2803</v>
          </cell>
          <cell r="F133">
            <v>2804</v>
          </cell>
          <cell r="G133">
            <v>2805</v>
          </cell>
          <cell r="H133">
            <v>2806</v>
          </cell>
          <cell r="I133">
            <v>2807</v>
          </cell>
          <cell r="J133">
            <v>2808</v>
          </cell>
          <cell r="K133">
            <v>2809</v>
          </cell>
          <cell r="L133">
            <v>2810</v>
          </cell>
          <cell r="M133">
            <v>2800</v>
          </cell>
          <cell r="N133" t="str">
            <v>PUXADOR FILO 96MM P/ FTE ALUM + COR</v>
          </cell>
          <cell r="O133">
            <v>130</v>
          </cell>
          <cell r="P133">
            <v>45</v>
          </cell>
          <cell r="Q133">
            <v>17</v>
          </cell>
        </row>
        <row r="134">
          <cell r="A134">
            <v>595514</v>
          </cell>
          <cell r="B134">
            <v>2899</v>
          </cell>
          <cell r="C134">
            <v>2801</v>
          </cell>
          <cell r="D134">
            <v>2802</v>
          </cell>
          <cell r="E134">
            <v>2803</v>
          </cell>
          <cell r="F134">
            <v>2804</v>
          </cell>
          <cell r="G134">
            <v>2805</v>
          </cell>
          <cell r="H134">
            <v>2806</v>
          </cell>
          <cell r="I134">
            <v>2807</v>
          </cell>
          <cell r="J134">
            <v>2808</v>
          </cell>
          <cell r="K134">
            <v>2809</v>
          </cell>
          <cell r="L134">
            <v>2810</v>
          </cell>
          <cell r="M134">
            <v>2800</v>
          </cell>
          <cell r="N134" t="str">
            <v>PUXADOR FILO 32MM P/ FTE MAD + COR</v>
          </cell>
          <cell r="O134">
            <v>65</v>
          </cell>
          <cell r="P134">
            <v>45</v>
          </cell>
          <cell r="Q134">
            <v>17</v>
          </cell>
        </row>
        <row r="136">
          <cell r="A136">
            <v>595071</v>
          </cell>
          <cell r="B136">
            <v>2899</v>
          </cell>
          <cell r="C136">
            <v>2801</v>
          </cell>
          <cell r="D136">
            <v>2802</v>
          </cell>
          <cell r="E136">
            <v>2803</v>
          </cell>
          <cell r="F136">
            <v>2804</v>
          </cell>
          <cell r="G136">
            <v>2805</v>
          </cell>
          <cell r="H136">
            <v>2806</v>
          </cell>
          <cell r="I136">
            <v>2807</v>
          </cell>
          <cell r="J136">
            <v>2808</v>
          </cell>
          <cell r="K136">
            <v>2809</v>
          </cell>
          <cell r="L136">
            <v>2810</v>
          </cell>
          <cell r="M136">
            <v>2800</v>
          </cell>
          <cell r="N136" t="str">
            <v>CABECEIRA SUP/INF FILO 618X45X20,3+COR</v>
          </cell>
          <cell r="O136">
            <v>618</v>
          </cell>
          <cell r="P136">
            <v>45</v>
          </cell>
          <cell r="Q136">
            <v>20.3</v>
          </cell>
        </row>
        <row r="137">
          <cell r="A137">
            <v>595072</v>
          </cell>
          <cell r="B137">
            <v>2899</v>
          </cell>
          <cell r="C137">
            <v>2801</v>
          </cell>
          <cell r="D137">
            <v>2802</v>
          </cell>
          <cell r="E137">
            <v>2803</v>
          </cell>
          <cell r="F137">
            <v>2804</v>
          </cell>
          <cell r="G137">
            <v>2805</v>
          </cell>
          <cell r="H137">
            <v>2806</v>
          </cell>
          <cell r="I137">
            <v>2807</v>
          </cell>
          <cell r="J137">
            <v>2808</v>
          </cell>
          <cell r="K137">
            <v>2809</v>
          </cell>
          <cell r="L137">
            <v>2810</v>
          </cell>
          <cell r="M137">
            <v>2800</v>
          </cell>
          <cell r="N137" t="str">
            <v>CABECEIRA SUP/INF FILO 718X45X20,3+COR</v>
          </cell>
          <cell r="O137">
            <v>718</v>
          </cell>
          <cell r="P137">
            <v>45</v>
          </cell>
          <cell r="Q137">
            <v>20.3</v>
          </cell>
        </row>
        <row r="138">
          <cell r="A138">
            <v>595073</v>
          </cell>
          <cell r="B138">
            <v>2899</v>
          </cell>
          <cell r="C138">
            <v>2801</v>
          </cell>
          <cell r="D138">
            <v>2802</v>
          </cell>
          <cell r="E138">
            <v>2803</v>
          </cell>
          <cell r="F138">
            <v>2804</v>
          </cell>
          <cell r="G138">
            <v>2805</v>
          </cell>
          <cell r="H138">
            <v>2806</v>
          </cell>
          <cell r="I138">
            <v>2807</v>
          </cell>
          <cell r="J138">
            <v>2808</v>
          </cell>
          <cell r="K138">
            <v>2809</v>
          </cell>
          <cell r="L138">
            <v>2810</v>
          </cell>
          <cell r="M138">
            <v>2800</v>
          </cell>
          <cell r="N138" t="str">
            <v>CABECEIRA SUP/INF FILO 818X45X20,3+COR</v>
          </cell>
          <cell r="O138">
            <v>818</v>
          </cell>
          <cell r="P138">
            <v>45</v>
          </cell>
          <cell r="Q138">
            <v>20.3</v>
          </cell>
        </row>
        <row r="139">
          <cell r="A139">
            <v>595074</v>
          </cell>
          <cell r="B139">
            <v>2899</v>
          </cell>
          <cell r="C139">
            <v>2801</v>
          </cell>
          <cell r="D139">
            <v>2802</v>
          </cell>
          <cell r="E139">
            <v>2803</v>
          </cell>
          <cell r="F139">
            <v>2804</v>
          </cell>
          <cell r="G139">
            <v>2805</v>
          </cell>
          <cell r="H139">
            <v>2806</v>
          </cell>
          <cell r="I139">
            <v>2807</v>
          </cell>
          <cell r="J139">
            <v>2808</v>
          </cell>
          <cell r="K139">
            <v>2809</v>
          </cell>
          <cell r="L139">
            <v>2810</v>
          </cell>
          <cell r="M139">
            <v>2800</v>
          </cell>
          <cell r="N139" t="str">
            <v>CABECEIRA SUP/INF FILO 918X45X20,3+COR</v>
          </cell>
          <cell r="O139">
            <v>918</v>
          </cell>
          <cell r="P139">
            <v>45</v>
          </cell>
          <cell r="Q139">
            <v>20.3</v>
          </cell>
        </row>
        <row r="140">
          <cell r="A140">
            <v>595075</v>
          </cell>
          <cell r="B140">
            <v>2899</v>
          </cell>
          <cell r="C140">
            <v>2801</v>
          </cell>
          <cell r="D140">
            <v>2802</v>
          </cell>
          <cell r="E140">
            <v>2803</v>
          </cell>
          <cell r="F140">
            <v>2804</v>
          </cell>
          <cell r="G140">
            <v>2805</v>
          </cell>
          <cell r="H140">
            <v>2806</v>
          </cell>
          <cell r="I140">
            <v>2807</v>
          </cell>
          <cell r="J140">
            <v>2808</v>
          </cell>
          <cell r="K140">
            <v>2809</v>
          </cell>
          <cell r="L140">
            <v>2810</v>
          </cell>
          <cell r="M140">
            <v>2800</v>
          </cell>
          <cell r="N140" t="str">
            <v>CABECEIRA SUP/INF FILO 1018X45X20,3+COR</v>
          </cell>
          <cell r="O140">
            <v>1018</v>
          </cell>
          <cell r="P140">
            <v>45</v>
          </cell>
          <cell r="Q140">
            <v>20.3</v>
          </cell>
        </row>
        <row r="141">
          <cell r="A141">
            <v>595076</v>
          </cell>
          <cell r="B141">
            <v>2899</v>
          </cell>
          <cell r="C141">
            <v>2801</v>
          </cell>
          <cell r="D141">
            <v>2802</v>
          </cell>
          <cell r="E141">
            <v>2803</v>
          </cell>
          <cell r="F141">
            <v>2804</v>
          </cell>
          <cell r="G141">
            <v>2805</v>
          </cell>
          <cell r="H141">
            <v>2806</v>
          </cell>
          <cell r="I141">
            <v>2807</v>
          </cell>
          <cell r="J141">
            <v>2808</v>
          </cell>
          <cell r="K141">
            <v>2809</v>
          </cell>
          <cell r="L141">
            <v>2810</v>
          </cell>
          <cell r="M141">
            <v>2800</v>
          </cell>
          <cell r="N141" t="str">
            <v>CABECEIRA SUP/INF FILO 1118X45X20,3+COR</v>
          </cell>
          <cell r="O141">
            <v>1118</v>
          </cell>
          <cell r="P141">
            <v>45</v>
          </cell>
          <cell r="Q141">
            <v>20.3</v>
          </cell>
        </row>
        <row r="142">
          <cell r="A142">
            <v>595077</v>
          </cell>
          <cell r="B142">
            <v>2899</v>
          </cell>
          <cell r="C142">
            <v>2801</v>
          </cell>
          <cell r="D142">
            <v>2802</v>
          </cell>
          <cell r="E142">
            <v>2803</v>
          </cell>
          <cell r="F142">
            <v>2804</v>
          </cell>
          <cell r="G142">
            <v>2805</v>
          </cell>
          <cell r="H142">
            <v>2806</v>
          </cell>
          <cell r="I142">
            <v>2807</v>
          </cell>
          <cell r="J142">
            <v>2808</v>
          </cell>
          <cell r="K142">
            <v>2809</v>
          </cell>
          <cell r="L142">
            <v>2810</v>
          </cell>
          <cell r="M142">
            <v>2800</v>
          </cell>
          <cell r="N142" t="str">
            <v>CABECEIRA SUP/INF FILO 1218X45X20,3+COR</v>
          </cell>
          <cell r="O142">
            <v>1218</v>
          </cell>
          <cell r="P142">
            <v>45</v>
          </cell>
          <cell r="Q142">
            <v>20.3</v>
          </cell>
        </row>
        <row r="144">
          <cell r="A144">
            <v>595950</v>
          </cell>
          <cell r="B144">
            <v>2899</v>
          </cell>
          <cell r="C144">
            <v>2801</v>
          </cell>
          <cell r="D144">
            <v>2802</v>
          </cell>
          <cell r="E144">
            <v>2803</v>
          </cell>
          <cell r="F144">
            <v>2804</v>
          </cell>
          <cell r="G144">
            <v>2805</v>
          </cell>
          <cell r="H144">
            <v>2806</v>
          </cell>
          <cell r="I144">
            <v>2807</v>
          </cell>
          <cell r="J144">
            <v>2808</v>
          </cell>
          <cell r="K144">
            <v>2809</v>
          </cell>
          <cell r="L144">
            <v>2810</v>
          </cell>
          <cell r="M144">
            <v>2800</v>
          </cell>
          <cell r="N144" t="str">
            <v>LATERAL DIR FTE FALSA FILO 354X45X20,3+COR</v>
          </cell>
          <cell r="O144">
            <v>354</v>
          </cell>
          <cell r="P144">
            <v>45</v>
          </cell>
          <cell r="Q144">
            <v>20.3</v>
          </cell>
        </row>
        <row r="145">
          <cell r="A145">
            <v>595951</v>
          </cell>
          <cell r="B145">
            <v>2899</v>
          </cell>
          <cell r="C145">
            <v>2801</v>
          </cell>
          <cell r="D145">
            <v>2802</v>
          </cell>
          <cell r="E145">
            <v>2803</v>
          </cell>
          <cell r="F145">
            <v>2804</v>
          </cell>
          <cell r="G145">
            <v>2805</v>
          </cell>
          <cell r="H145">
            <v>2806</v>
          </cell>
          <cell r="I145">
            <v>2807</v>
          </cell>
          <cell r="J145">
            <v>2808</v>
          </cell>
          <cell r="K145">
            <v>2809</v>
          </cell>
          <cell r="L145">
            <v>2810</v>
          </cell>
          <cell r="M145">
            <v>2800</v>
          </cell>
          <cell r="N145" t="str">
            <v>LATERAL DIR FTE FALSA FILO 534X45X20,3+COR</v>
          </cell>
          <cell r="O145">
            <v>534</v>
          </cell>
          <cell r="P145">
            <v>45</v>
          </cell>
          <cell r="Q145">
            <v>20.3</v>
          </cell>
        </row>
        <row r="146">
          <cell r="A146">
            <v>595952</v>
          </cell>
          <cell r="B146">
            <v>2899</v>
          </cell>
          <cell r="C146">
            <v>2801</v>
          </cell>
          <cell r="D146">
            <v>2802</v>
          </cell>
          <cell r="E146">
            <v>2803</v>
          </cell>
          <cell r="F146">
            <v>2804</v>
          </cell>
          <cell r="G146">
            <v>2805</v>
          </cell>
          <cell r="H146">
            <v>2806</v>
          </cell>
          <cell r="I146">
            <v>2807</v>
          </cell>
          <cell r="J146">
            <v>2808</v>
          </cell>
          <cell r="K146">
            <v>2809</v>
          </cell>
          <cell r="L146">
            <v>2810</v>
          </cell>
          <cell r="M146">
            <v>2800</v>
          </cell>
          <cell r="N146" t="str">
            <v>LATERAL DIR FTE FALSA FILO 713X45X20,3+COR</v>
          </cell>
          <cell r="O146">
            <v>713</v>
          </cell>
          <cell r="P146">
            <v>45</v>
          </cell>
          <cell r="Q146">
            <v>20.3</v>
          </cell>
        </row>
        <row r="147">
          <cell r="A147"/>
          <cell r="N147"/>
          <cell r="O147"/>
          <cell r="P147"/>
          <cell r="Q147"/>
        </row>
        <row r="148">
          <cell r="A148">
            <v>595953</v>
          </cell>
          <cell r="B148">
            <v>2899</v>
          </cell>
          <cell r="C148">
            <v>2801</v>
          </cell>
          <cell r="D148">
            <v>2802</v>
          </cell>
          <cell r="E148">
            <v>2803</v>
          </cell>
          <cell r="F148">
            <v>2804</v>
          </cell>
          <cell r="G148">
            <v>2805</v>
          </cell>
          <cell r="H148">
            <v>2806</v>
          </cell>
          <cell r="I148">
            <v>2807</v>
          </cell>
          <cell r="J148">
            <v>2808</v>
          </cell>
          <cell r="K148">
            <v>2809</v>
          </cell>
          <cell r="L148">
            <v>2810</v>
          </cell>
          <cell r="M148">
            <v>2800</v>
          </cell>
          <cell r="N148" t="str">
            <v>LATERAL ESQ FTE FALSA FILO 354X45X20,3+COR</v>
          </cell>
          <cell r="O148">
            <v>354</v>
          </cell>
          <cell r="P148">
            <v>45</v>
          </cell>
          <cell r="Q148">
            <v>20.3</v>
          </cell>
        </row>
        <row r="149">
          <cell r="A149">
            <v>595954</v>
          </cell>
          <cell r="B149">
            <v>2899</v>
          </cell>
          <cell r="C149">
            <v>2801</v>
          </cell>
          <cell r="D149">
            <v>2802</v>
          </cell>
          <cell r="E149">
            <v>2803</v>
          </cell>
          <cell r="F149">
            <v>2804</v>
          </cell>
          <cell r="G149">
            <v>2805</v>
          </cell>
          <cell r="H149">
            <v>2806</v>
          </cell>
          <cell r="I149">
            <v>2807</v>
          </cell>
          <cell r="J149">
            <v>2808</v>
          </cell>
          <cell r="K149">
            <v>2809</v>
          </cell>
          <cell r="L149">
            <v>2810</v>
          </cell>
          <cell r="M149">
            <v>2800</v>
          </cell>
          <cell r="N149" t="str">
            <v>LATERAL ESQ FTE FALSA FILO 534X45X20,3+COR</v>
          </cell>
          <cell r="O149">
            <v>534</v>
          </cell>
          <cell r="P149">
            <v>45</v>
          </cell>
          <cell r="Q149">
            <v>20.3</v>
          </cell>
        </row>
        <row r="150">
          <cell r="A150">
            <v>595955</v>
          </cell>
          <cell r="B150">
            <v>2899</v>
          </cell>
          <cell r="C150">
            <v>2801</v>
          </cell>
          <cell r="D150">
            <v>2802</v>
          </cell>
          <cell r="E150">
            <v>2803</v>
          </cell>
          <cell r="F150">
            <v>2804</v>
          </cell>
          <cell r="G150">
            <v>2805</v>
          </cell>
          <cell r="H150">
            <v>2806</v>
          </cell>
          <cell r="I150">
            <v>2807</v>
          </cell>
          <cell r="J150">
            <v>2808</v>
          </cell>
          <cell r="K150">
            <v>2809</v>
          </cell>
          <cell r="L150">
            <v>2810</v>
          </cell>
          <cell r="M150">
            <v>2800</v>
          </cell>
          <cell r="N150" t="str">
            <v>LATERAL ESQ FTE FALSA FILO 713X45X20,3+COR</v>
          </cell>
          <cell r="O150">
            <v>713</v>
          </cell>
          <cell r="P150">
            <v>45</v>
          </cell>
          <cell r="Q150">
            <v>20.3</v>
          </cell>
        </row>
        <row r="152">
          <cell r="A152">
            <v>595956</v>
          </cell>
          <cell r="B152">
            <v>2899</v>
          </cell>
          <cell r="C152">
            <v>2801</v>
          </cell>
          <cell r="D152">
            <v>2802</v>
          </cell>
          <cell r="E152">
            <v>2803</v>
          </cell>
          <cell r="F152">
            <v>2804</v>
          </cell>
          <cell r="G152">
            <v>2805</v>
          </cell>
          <cell r="H152">
            <v>2806</v>
          </cell>
          <cell r="I152">
            <v>2807</v>
          </cell>
          <cell r="J152">
            <v>2808</v>
          </cell>
          <cell r="K152">
            <v>2809</v>
          </cell>
          <cell r="L152">
            <v>2810</v>
          </cell>
          <cell r="M152">
            <v>2800</v>
          </cell>
          <cell r="N152" t="str">
            <v>LATERAL DIR FTE FALSA MAIOR FILO 534X45X20,3+COR</v>
          </cell>
          <cell r="O152">
            <v>534</v>
          </cell>
          <cell r="P152">
            <v>45</v>
          </cell>
          <cell r="Q152">
            <v>20.3</v>
          </cell>
        </row>
        <row r="153">
          <cell r="A153">
            <v>595957</v>
          </cell>
          <cell r="B153">
            <v>2899</v>
          </cell>
          <cell r="C153">
            <v>2801</v>
          </cell>
          <cell r="D153">
            <v>2802</v>
          </cell>
          <cell r="E153">
            <v>2803</v>
          </cell>
          <cell r="F153">
            <v>2804</v>
          </cell>
          <cell r="G153">
            <v>2805</v>
          </cell>
          <cell r="H153">
            <v>2806</v>
          </cell>
          <cell r="I153">
            <v>2807</v>
          </cell>
          <cell r="J153">
            <v>2808</v>
          </cell>
          <cell r="K153">
            <v>2809</v>
          </cell>
          <cell r="L153">
            <v>2810</v>
          </cell>
          <cell r="M153">
            <v>2800</v>
          </cell>
          <cell r="N153" t="str">
            <v>LATERAL DIR FTE FALSA MAIOR FILO 713X45X20,3+COR</v>
          </cell>
          <cell r="O153">
            <v>713</v>
          </cell>
          <cell r="P153">
            <v>45</v>
          </cell>
          <cell r="Q153">
            <v>20.3</v>
          </cell>
        </row>
        <row r="154">
          <cell r="A154">
            <v>595958</v>
          </cell>
          <cell r="B154">
            <v>2899</v>
          </cell>
          <cell r="C154">
            <v>2801</v>
          </cell>
          <cell r="D154">
            <v>2802</v>
          </cell>
          <cell r="E154">
            <v>2803</v>
          </cell>
          <cell r="F154">
            <v>2804</v>
          </cell>
          <cell r="G154">
            <v>2805</v>
          </cell>
          <cell r="H154">
            <v>2806</v>
          </cell>
          <cell r="I154">
            <v>2807</v>
          </cell>
          <cell r="J154">
            <v>2808</v>
          </cell>
          <cell r="K154">
            <v>2809</v>
          </cell>
          <cell r="L154">
            <v>2810</v>
          </cell>
          <cell r="M154">
            <v>2800</v>
          </cell>
          <cell r="N154" t="str">
            <v>LATERAL ESQ FTE FALSA MAIOR FILO 534X45X20,3+COR</v>
          </cell>
          <cell r="O154">
            <v>534</v>
          </cell>
          <cell r="P154">
            <v>45</v>
          </cell>
          <cell r="Q154">
            <v>20.3</v>
          </cell>
        </row>
        <row r="155">
          <cell r="A155">
            <v>595959</v>
          </cell>
          <cell r="B155">
            <v>2899</v>
          </cell>
          <cell r="C155">
            <v>2801</v>
          </cell>
          <cell r="D155">
            <v>2802</v>
          </cell>
          <cell r="E155">
            <v>2803</v>
          </cell>
          <cell r="F155">
            <v>2804</v>
          </cell>
          <cell r="G155">
            <v>2805</v>
          </cell>
          <cell r="H155">
            <v>2806</v>
          </cell>
          <cell r="I155">
            <v>2807</v>
          </cell>
          <cell r="J155">
            <v>2808</v>
          </cell>
          <cell r="K155">
            <v>2809</v>
          </cell>
          <cell r="L155">
            <v>2810</v>
          </cell>
          <cell r="M155">
            <v>2800</v>
          </cell>
          <cell r="N155" t="str">
            <v>LATERAL ESQ FTE FALSA MAIOR FILO 713X45X20,3+COR</v>
          </cell>
          <cell r="O155">
            <v>713</v>
          </cell>
          <cell r="P155">
            <v>45</v>
          </cell>
          <cell r="Q155">
            <v>20.3</v>
          </cell>
        </row>
        <row r="157">
          <cell r="A157">
            <v>595067</v>
          </cell>
          <cell r="B157">
            <v>2899</v>
          </cell>
          <cell r="C157">
            <v>2801</v>
          </cell>
          <cell r="D157">
            <v>2802</v>
          </cell>
          <cell r="E157">
            <v>2803</v>
          </cell>
          <cell r="F157">
            <v>2804</v>
          </cell>
          <cell r="G157">
            <v>2805</v>
          </cell>
          <cell r="H157">
            <v>2806</v>
          </cell>
          <cell r="I157">
            <v>2807</v>
          </cell>
          <cell r="J157">
            <v>2808</v>
          </cell>
          <cell r="K157">
            <v>2809</v>
          </cell>
          <cell r="L157">
            <v>2810</v>
          </cell>
          <cell r="M157">
            <v>2800</v>
          </cell>
          <cell r="N157" t="str">
            <v>LATERAL DIR/ESQ FILO 516X45X20,3+COR</v>
          </cell>
          <cell r="O157">
            <v>516</v>
          </cell>
          <cell r="P157">
            <v>45</v>
          </cell>
          <cell r="Q157">
            <v>20.3</v>
          </cell>
        </row>
        <row r="158">
          <cell r="A158">
            <v>595068</v>
          </cell>
          <cell r="B158">
            <v>2899</v>
          </cell>
          <cell r="C158">
            <v>2801</v>
          </cell>
          <cell r="D158">
            <v>2802</v>
          </cell>
          <cell r="E158">
            <v>2803</v>
          </cell>
          <cell r="F158">
            <v>2804</v>
          </cell>
          <cell r="G158">
            <v>2805</v>
          </cell>
          <cell r="H158">
            <v>2806</v>
          </cell>
          <cell r="I158">
            <v>2807</v>
          </cell>
          <cell r="J158">
            <v>2808</v>
          </cell>
          <cell r="K158">
            <v>2809</v>
          </cell>
          <cell r="L158">
            <v>2810</v>
          </cell>
          <cell r="M158">
            <v>2800</v>
          </cell>
          <cell r="N158" t="str">
            <v>LATERAL DIR/ESQ FILO 696X45X20,3+COR</v>
          </cell>
          <cell r="O158">
            <v>696</v>
          </cell>
          <cell r="P158">
            <v>45</v>
          </cell>
          <cell r="Q158">
            <v>20.3</v>
          </cell>
        </row>
        <row r="159">
          <cell r="A159">
            <v>595069</v>
          </cell>
          <cell r="B159">
            <v>2899</v>
          </cell>
          <cell r="C159">
            <v>2801</v>
          </cell>
          <cell r="D159">
            <v>2802</v>
          </cell>
          <cell r="E159">
            <v>2803</v>
          </cell>
          <cell r="F159">
            <v>2804</v>
          </cell>
          <cell r="G159">
            <v>2805</v>
          </cell>
          <cell r="H159">
            <v>2806</v>
          </cell>
          <cell r="I159">
            <v>2807</v>
          </cell>
          <cell r="J159">
            <v>2808</v>
          </cell>
          <cell r="K159">
            <v>2809</v>
          </cell>
          <cell r="L159">
            <v>2810</v>
          </cell>
          <cell r="M159">
            <v>2800</v>
          </cell>
          <cell r="N159" t="str">
            <v>LATERAL DIR/ESQ FILO 876X45X20,3+COR</v>
          </cell>
          <cell r="O159">
            <v>876</v>
          </cell>
          <cell r="P159">
            <v>45</v>
          </cell>
          <cell r="Q159">
            <v>20.3</v>
          </cell>
        </row>
        <row r="160">
          <cell r="A160">
            <v>595070</v>
          </cell>
          <cell r="B160">
            <v>2899</v>
          </cell>
          <cell r="C160">
            <v>2801</v>
          </cell>
          <cell r="D160">
            <v>2802</v>
          </cell>
          <cell r="E160">
            <v>2803</v>
          </cell>
          <cell r="F160">
            <v>2804</v>
          </cell>
          <cell r="G160">
            <v>2805</v>
          </cell>
          <cell r="H160">
            <v>2806</v>
          </cell>
          <cell r="I160">
            <v>2807</v>
          </cell>
          <cell r="J160">
            <v>2808</v>
          </cell>
          <cell r="K160">
            <v>2809</v>
          </cell>
          <cell r="L160">
            <v>2810</v>
          </cell>
          <cell r="M160">
            <v>2800</v>
          </cell>
          <cell r="N160" t="str">
            <v>LATERAL DIR/ESQ FILO 1056X45X20,3+COR</v>
          </cell>
          <cell r="O160">
            <v>1056</v>
          </cell>
          <cell r="P160">
            <v>45</v>
          </cell>
          <cell r="Q160">
            <v>20.3</v>
          </cell>
        </row>
        <row r="162">
          <cell r="A162">
            <v>595536</v>
          </cell>
          <cell r="B162">
            <v>2899</v>
          </cell>
          <cell r="C162">
            <v>2801</v>
          </cell>
          <cell r="D162">
            <v>2802</v>
          </cell>
          <cell r="E162">
            <v>2803</v>
          </cell>
          <cell r="F162">
            <v>2804</v>
          </cell>
          <cell r="G162">
            <v>2805</v>
          </cell>
          <cell r="H162">
            <v>2806</v>
          </cell>
          <cell r="I162">
            <v>2807</v>
          </cell>
          <cell r="J162">
            <v>2808</v>
          </cell>
          <cell r="K162">
            <v>2809</v>
          </cell>
          <cell r="L162">
            <v>2810</v>
          </cell>
          <cell r="M162">
            <v>2800</v>
          </cell>
          <cell r="N162" t="str">
            <v>LATERAL DIR FILO 516X45X20,3 C/ REC PUX+COR</v>
          </cell>
          <cell r="O162">
            <v>516</v>
          </cell>
          <cell r="P162">
            <v>45</v>
          </cell>
          <cell r="Q162">
            <v>20.3</v>
          </cell>
        </row>
        <row r="163">
          <cell r="A163">
            <v>595537</v>
          </cell>
          <cell r="B163">
            <v>2899</v>
          </cell>
          <cell r="C163">
            <v>2801</v>
          </cell>
          <cell r="D163">
            <v>2802</v>
          </cell>
          <cell r="E163">
            <v>2803</v>
          </cell>
          <cell r="F163">
            <v>2804</v>
          </cell>
          <cell r="G163">
            <v>2805</v>
          </cell>
          <cell r="H163">
            <v>2806</v>
          </cell>
          <cell r="I163">
            <v>2807</v>
          </cell>
          <cell r="J163">
            <v>2808</v>
          </cell>
          <cell r="K163">
            <v>2809</v>
          </cell>
          <cell r="L163">
            <v>2810</v>
          </cell>
          <cell r="M163">
            <v>2800</v>
          </cell>
          <cell r="N163" t="str">
            <v>LATERAL DIR FILO 696X45X20,3 C/ REC PUX+COR</v>
          </cell>
          <cell r="O163">
            <v>696</v>
          </cell>
          <cell r="P163">
            <v>45</v>
          </cell>
          <cell r="Q163">
            <v>20.3</v>
          </cell>
        </row>
        <row r="164">
          <cell r="A164">
            <v>595538</v>
          </cell>
          <cell r="B164">
            <v>2899</v>
          </cell>
          <cell r="C164">
            <v>2801</v>
          </cell>
          <cell r="D164">
            <v>2802</v>
          </cell>
          <cell r="E164">
            <v>2803</v>
          </cell>
          <cell r="F164">
            <v>2804</v>
          </cell>
          <cell r="G164">
            <v>2805</v>
          </cell>
          <cell r="H164">
            <v>2806</v>
          </cell>
          <cell r="I164">
            <v>2807</v>
          </cell>
          <cell r="J164">
            <v>2808</v>
          </cell>
          <cell r="K164">
            <v>2809</v>
          </cell>
          <cell r="L164">
            <v>2810</v>
          </cell>
          <cell r="M164">
            <v>2800</v>
          </cell>
          <cell r="N164" t="str">
            <v>LATERAL DIR FILO 876X45X20,3 C/ REC PUX+COR</v>
          </cell>
          <cell r="O164">
            <v>876</v>
          </cell>
          <cell r="P164">
            <v>45</v>
          </cell>
          <cell r="Q164">
            <v>20.3</v>
          </cell>
        </row>
        <row r="165">
          <cell r="A165">
            <v>595539</v>
          </cell>
          <cell r="B165">
            <v>2899</v>
          </cell>
          <cell r="C165">
            <v>2801</v>
          </cell>
          <cell r="D165">
            <v>2802</v>
          </cell>
          <cell r="E165">
            <v>2803</v>
          </cell>
          <cell r="F165">
            <v>2804</v>
          </cell>
          <cell r="G165">
            <v>2805</v>
          </cell>
          <cell r="H165">
            <v>2806</v>
          </cell>
          <cell r="I165">
            <v>2807</v>
          </cell>
          <cell r="J165">
            <v>2808</v>
          </cell>
          <cell r="K165">
            <v>2809</v>
          </cell>
          <cell r="L165">
            <v>2810</v>
          </cell>
          <cell r="M165">
            <v>2800</v>
          </cell>
          <cell r="N165" t="str">
            <v>LATERAL DIR FILO 1056X45X20,3 C/ REC PUX+COR</v>
          </cell>
          <cell r="O165">
            <v>1056</v>
          </cell>
          <cell r="P165">
            <v>45</v>
          </cell>
          <cell r="Q165">
            <v>20.3</v>
          </cell>
        </row>
        <row r="167">
          <cell r="A167">
            <v>595540</v>
          </cell>
          <cell r="B167">
            <v>2899</v>
          </cell>
          <cell r="C167">
            <v>2801</v>
          </cell>
          <cell r="D167">
            <v>2802</v>
          </cell>
          <cell r="E167">
            <v>2803</v>
          </cell>
          <cell r="F167">
            <v>2804</v>
          </cell>
          <cell r="G167">
            <v>2805</v>
          </cell>
          <cell r="H167">
            <v>2806</v>
          </cell>
          <cell r="I167">
            <v>2807</v>
          </cell>
          <cell r="J167">
            <v>2808</v>
          </cell>
          <cell r="K167">
            <v>2809</v>
          </cell>
          <cell r="L167">
            <v>2810</v>
          </cell>
          <cell r="M167">
            <v>2800</v>
          </cell>
          <cell r="N167" t="str">
            <v>LATERAL ESQ FILO 516X45X20,3 C/ REC PUX+COR</v>
          </cell>
          <cell r="O167">
            <v>516</v>
          </cell>
          <cell r="P167">
            <v>45</v>
          </cell>
          <cell r="Q167">
            <v>20.3</v>
          </cell>
        </row>
        <row r="168">
          <cell r="A168">
            <v>595541</v>
          </cell>
          <cell r="B168">
            <v>2899</v>
          </cell>
          <cell r="C168">
            <v>2801</v>
          </cell>
          <cell r="D168">
            <v>2802</v>
          </cell>
          <cell r="E168">
            <v>2803</v>
          </cell>
          <cell r="F168">
            <v>2804</v>
          </cell>
          <cell r="G168">
            <v>2805</v>
          </cell>
          <cell r="H168">
            <v>2806</v>
          </cell>
          <cell r="I168">
            <v>2807</v>
          </cell>
          <cell r="J168">
            <v>2808</v>
          </cell>
          <cell r="K168">
            <v>2809</v>
          </cell>
          <cell r="L168">
            <v>2810</v>
          </cell>
          <cell r="M168">
            <v>2800</v>
          </cell>
          <cell r="N168" t="str">
            <v>LATERAL ESQ FILO 696X45X20,3 C/ REC PUX+COR</v>
          </cell>
          <cell r="O168">
            <v>696</v>
          </cell>
          <cell r="P168">
            <v>45</v>
          </cell>
          <cell r="Q168">
            <v>20.3</v>
          </cell>
        </row>
        <row r="169">
          <cell r="A169">
            <v>595542</v>
          </cell>
          <cell r="B169">
            <v>2899</v>
          </cell>
          <cell r="C169">
            <v>2801</v>
          </cell>
          <cell r="D169">
            <v>2802</v>
          </cell>
          <cell r="E169">
            <v>2803</v>
          </cell>
          <cell r="F169">
            <v>2804</v>
          </cell>
          <cell r="G169">
            <v>2805</v>
          </cell>
          <cell r="H169">
            <v>2806</v>
          </cell>
          <cell r="I169">
            <v>2807</v>
          </cell>
          <cell r="J169">
            <v>2808</v>
          </cell>
          <cell r="K169">
            <v>2809</v>
          </cell>
          <cell r="L169">
            <v>2810</v>
          </cell>
          <cell r="M169">
            <v>2800</v>
          </cell>
          <cell r="N169" t="str">
            <v>LATERAL ESQ FILO 876X45X20,3 C/ REC PUX+COR</v>
          </cell>
          <cell r="O169">
            <v>876</v>
          </cell>
          <cell r="P169">
            <v>45</v>
          </cell>
          <cell r="Q169">
            <v>20.3</v>
          </cell>
        </row>
        <row r="170">
          <cell r="A170">
            <v>595543</v>
          </cell>
          <cell r="B170">
            <v>2899</v>
          </cell>
          <cell r="C170">
            <v>2801</v>
          </cell>
          <cell r="D170">
            <v>2802</v>
          </cell>
          <cell r="E170">
            <v>2803</v>
          </cell>
          <cell r="F170">
            <v>2804</v>
          </cell>
          <cell r="G170">
            <v>2805</v>
          </cell>
          <cell r="H170">
            <v>2806</v>
          </cell>
          <cell r="I170">
            <v>2807</v>
          </cell>
          <cell r="J170">
            <v>2808</v>
          </cell>
          <cell r="K170">
            <v>2809</v>
          </cell>
          <cell r="L170">
            <v>2810</v>
          </cell>
          <cell r="M170">
            <v>2800</v>
          </cell>
          <cell r="N170" t="str">
            <v>LATERAL ESQ FILO 1056X45X20,3 C/ REC PUX+COR</v>
          </cell>
          <cell r="O170">
            <v>1056</v>
          </cell>
          <cell r="P170">
            <v>45</v>
          </cell>
          <cell r="Q170">
            <v>20.3</v>
          </cell>
        </row>
      </sheetData>
      <sheetData sheetId="1">
        <row r="6">
          <cell r="A6" t="str">
            <v>VIDRO 349X590X4</v>
          </cell>
          <cell r="B6">
            <v>121800</v>
          </cell>
          <cell r="C6">
            <v>181021800</v>
          </cell>
        </row>
        <row r="7">
          <cell r="A7" t="str">
            <v>VIDRO 349X690X4</v>
          </cell>
          <cell r="B7">
            <v>121801</v>
          </cell>
          <cell r="C7">
            <v>181021801</v>
          </cell>
        </row>
        <row r="8">
          <cell r="A8" t="str">
            <v>VIDRO 349X790X4</v>
          </cell>
          <cell r="B8">
            <v>121802</v>
          </cell>
          <cell r="C8">
            <v>181021802</v>
          </cell>
        </row>
        <row r="9">
          <cell r="A9" t="str">
            <v>VIDRO 349X890X4</v>
          </cell>
          <cell r="B9">
            <v>121803</v>
          </cell>
          <cell r="C9">
            <v>181021803</v>
          </cell>
        </row>
        <row r="10">
          <cell r="A10" t="str">
            <v>VIDRO 349X990X4</v>
          </cell>
          <cell r="B10">
            <v>121804</v>
          </cell>
          <cell r="C10">
            <v>181021804</v>
          </cell>
        </row>
        <row r="11">
          <cell r="A11" t="str">
            <v>VIDRO 349X1090X4</v>
          </cell>
          <cell r="B11">
            <v>121805</v>
          </cell>
          <cell r="C11">
            <v>181021805</v>
          </cell>
        </row>
        <row r="12">
          <cell r="A12" t="str">
            <v>VIDRO 349X1190X4</v>
          </cell>
          <cell r="B12">
            <v>121806</v>
          </cell>
          <cell r="C12">
            <v>181021806</v>
          </cell>
        </row>
        <row r="13">
          <cell r="A13" t="str">
            <v>VIDRO 349X1390X4</v>
          </cell>
          <cell r="B13">
            <v>121807</v>
          </cell>
          <cell r="C13">
            <v>181021807</v>
          </cell>
        </row>
        <row r="14">
          <cell r="A14" t="str">
            <v>VIDRO 439X590X4</v>
          </cell>
          <cell r="B14">
            <v>121808</v>
          </cell>
          <cell r="C14">
            <v>181021808</v>
          </cell>
        </row>
        <row r="15">
          <cell r="A15" t="str">
            <v>VIDRO 439X690X4</v>
          </cell>
          <cell r="B15">
            <v>121809</v>
          </cell>
          <cell r="C15">
            <v>181021809</v>
          </cell>
        </row>
        <row r="16">
          <cell r="A16" t="str">
            <v>VIDRO 439X790X4</v>
          </cell>
          <cell r="B16">
            <v>121810</v>
          </cell>
          <cell r="C16">
            <v>181021810</v>
          </cell>
        </row>
        <row r="17">
          <cell r="A17" t="str">
            <v>VIDRO 439X890X4</v>
          </cell>
          <cell r="B17">
            <v>121811</v>
          </cell>
          <cell r="C17">
            <v>181021811</v>
          </cell>
        </row>
        <row r="18">
          <cell r="A18" t="str">
            <v>VIDRO 439X990X4</v>
          </cell>
          <cell r="B18">
            <v>121812</v>
          </cell>
          <cell r="C18">
            <v>181021812</v>
          </cell>
        </row>
        <row r="19">
          <cell r="A19" t="str">
            <v>VIDRO 439X1090X4</v>
          </cell>
          <cell r="B19">
            <v>121813</v>
          </cell>
          <cell r="C19">
            <v>181021813</v>
          </cell>
        </row>
        <row r="20">
          <cell r="A20" t="str">
            <v>VIDRO 439X1190X4</v>
          </cell>
          <cell r="B20">
            <v>121814</v>
          </cell>
          <cell r="C20">
            <v>181021814</v>
          </cell>
        </row>
        <row r="21">
          <cell r="A21" t="str">
            <v>VIDRO 439X1390X4</v>
          </cell>
          <cell r="B21">
            <v>121815</v>
          </cell>
          <cell r="C21">
            <v>181021815</v>
          </cell>
        </row>
        <row r="22">
          <cell r="A22" t="str">
            <v>VIDRO 529X390X4</v>
          </cell>
          <cell r="B22">
            <v>124224</v>
          </cell>
          <cell r="C22">
            <v>181024224</v>
          </cell>
        </row>
        <row r="23">
          <cell r="A23" t="str">
            <v>VIDRO 529X440X4</v>
          </cell>
          <cell r="B23">
            <v>124225</v>
          </cell>
          <cell r="C23">
            <v>181024225</v>
          </cell>
        </row>
        <row r="24">
          <cell r="A24" t="str">
            <v>VIDRO 529X490X4</v>
          </cell>
          <cell r="B24">
            <v>124226</v>
          </cell>
          <cell r="C24">
            <v>181024226</v>
          </cell>
        </row>
        <row r="25">
          <cell r="A25" t="str">
            <v>VIDRO 529X540X4</v>
          </cell>
          <cell r="B25">
            <v>124227</v>
          </cell>
          <cell r="C25">
            <v>181024227</v>
          </cell>
        </row>
        <row r="26">
          <cell r="A26" t="str">
            <v>VIDRO 529X590X4</v>
          </cell>
          <cell r="B26">
            <v>121816</v>
          </cell>
          <cell r="C26">
            <v>181021816</v>
          </cell>
        </row>
        <row r="27">
          <cell r="A27" t="str">
            <v>VIDRO 529X690X4</v>
          </cell>
          <cell r="B27">
            <v>121817</v>
          </cell>
          <cell r="C27">
            <v>181021817</v>
          </cell>
        </row>
        <row r="28">
          <cell r="A28" t="str">
            <v>VIDRO 529X790X4</v>
          </cell>
          <cell r="B28">
            <v>121818</v>
          </cell>
          <cell r="C28">
            <v>181021818</v>
          </cell>
        </row>
        <row r="29">
          <cell r="A29" t="str">
            <v>VIDRO 529X890X4</v>
          </cell>
          <cell r="B29">
            <v>121819</v>
          </cell>
          <cell r="C29">
            <v>181021819</v>
          </cell>
        </row>
        <row r="30">
          <cell r="A30" t="str">
            <v>VIDRO 529X990X4</v>
          </cell>
          <cell r="B30">
            <v>121820</v>
          </cell>
          <cell r="C30">
            <v>181021820</v>
          </cell>
        </row>
        <row r="31">
          <cell r="A31" t="str">
            <v>VIDRO 529X1090X4</v>
          </cell>
          <cell r="B31">
            <v>121821</v>
          </cell>
          <cell r="C31">
            <v>181021821</v>
          </cell>
        </row>
        <row r="32">
          <cell r="A32" t="str">
            <v>VIDRO 529X1190X4</v>
          </cell>
          <cell r="B32">
            <v>121822</v>
          </cell>
          <cell r="C32">
            <v>181021822</v>
          </cell>
        </row>
        <row r="33">
          <cell r="A33" t="str">
            <v>VIDRO 529X1390X4</v>
          </cell>
          <cell r="B33">
            <v>121823</v>
          </cell>
          <cell r="C33">
            <v>181021823</v>
          </cell>
        </row>
        <row r="34">
          <cell r="A34" t="str">
            <v>VIDRO 530X290X4</v>
          </cell>
          <cell r="B34">
            <v>121824</v>
          </cell>
          <cell r="C34">
            <v>181021824</v>
          </cell>
        </row>
        <row r="35">
          <cell r="A35" t="str">
            <v>VIDRO 530X340X4</v>
          </cell>
          <cell r="B35">
            <v>121825</v>
          </cell>
          <cell r="C35">
            <v>181021825</v>
          </cell>
        </row>
        <row r="36">
          <cell r="A36" t="str">
            <v>VIDRO 530X390X4</v>
          </cell>
          <cell r="B36">
            <v>121826</v>
          </cell>
          <cell r="C36">
            <v>181021826</v>
          </cell>
        </row>
        <row r="37">
          <cell r="A37" t="str">
            <v>VIDRO 530X440X4</v>
          </cell>
          <cell r="B37">
            <v>121827</v>
          </cell>
          <cell r="C37">
            <v>181021827</v>
          </cell>
        </row>
        <row r="38">
          <cell r="A38" t="str">
            <v>VIDRO 530X490X4</v>
          </cell>
          <cell r="B38">
            <v>121828</v>
          </cell>
          <cell r="C38">
            <v>181021828</v>
          </cell>
        </row>
        <row r="39">
          <cell r="A39" t="str">
            <v>VIDRO 530X515X4</v>
          </cell>
          <cell r="B39">
            <v>121829</v>
          </cell>
          <cell r="C39">
            <v>181021829</v>
          </cell>
        </row>
        <row r="40">
          <cell r="A40" t="str">
            <v>VIDRO 530X536X4</v>
          </cell>
          <cell r="B40">
            <v>121830</v>
          </cell>
          <cell r="C40">
            <v>181021830</v>
          </cell>
        </row>
        <row r="41">
          <cell r="A41" t="str">
            <v>VIDRO 530X540X4</v>
          </cell>
          <cell r="B41">
            <v>121831</v>
          </cell>
          <cell r="C41">
            <v>181021831</v>
          </cell>
        </row>
        <row r="42">
          <cell r="A42" t="str">
            <v>VIDRO 708X190X4</v>
          </cell>
          <cell r="B42">
            <v>121832</v>
          </cell>
          <cell r="C42">
            <v>181021832</v>
          </cell>
        </row>
        <row r="43">
          <cell r="A43" t="str">
            <v>VIDRO 708X290X4</v>
          </cell>
          <cell r="B43">
            <v>121833</v>
          </cell>
          <cell r="C43">
            <v>181021833</v>
          </cell>
        </row>
        <row r="44">
          <cell r="A44" t="str">
            <v>VIDRO 708X340X4</v>
          </cell>
          <cell r="B44">
            <v>121834</v>
          </cell>
          <cell r="C44">
            <v>181021834</v>
          </cell>
        </row>
        <row r="45">
          <cell r="A45" t="str">
            <v>VIDRO 708X390X4</v>
          </cell>
          <cell r="B45">
            <v>121835</v>
          </cell>
          <cell r="C45">
            <v>181021835</v>
          </cell>
        </row>
        <row r="46">
          <cell r="A46" t="str">
            <v>VIDRO 708X440X4</v>
          </cell>
          <cell r="B46">
            <v>121836</v>
          </cell>
          <cell r="C46">
            <v>181021836</v>
          </cell>
        </row>
        <row r="47">
          <cell r="A47" t="str">
            <v>VIDRO 708X476X4</v>
          </cell>
          <cell r="B47">
            <v>121837</v>
          </cell>
          <cell r="C47">
            <v>181021837</v>
          </cell>
        </row>
        <row r="48">
          <cell r="A48" t="str">
            <v>VIDRO 708X496X4</v>
          </cell>
          <cell r="B48">
            <v>121838</v>
          </cell>
          <cell r="C48">
            <v>181021838</v>
          </cell>
        </row>
        <row r="49">
          <cell r="A49" t="str">
            <v>VIDRO 708X490X4</v>
          </cell>
          <cell r="B49">
            <v>121839</v>
          </cell>
          <cell r="C49">
            <v>181021839</v>
          </cell>
        </row>
        <row r="50">
          <cell r="A50" t="str">
            <v>VIDRO 708X515X4</v>
          </cell>
          <cell r="B50">
            <v>121840</v>
          </cell>
          <cell r="C50">
            <v>181021840</v>
          </cell>
        </row>
        <row r="51">
          <cell r="A51" t="str">
            <v>VIDRO 708X536X4</v>
          </cell>
          <cell r="B51">
            <v>121841</v>
          </cell>
          <cell r="C51">
            <v>181021841</v>
          </cell>
        </row>
        <row r="52">
          <cell r="A52" t="str">
            <v>VIDRO 708X540X4</v>
          </cell>
          <cell r="B52">
            <v>121842</v>
          </cell>
          <cell r="C52">
            <v>181021842</v>
          </cell>
        </row>
        <row r="53">
          <cell r="A53" t="str">
            <v>VIDRO 708X590X4</v>
          </cell>
          <cell r="B53">
            <v>121843</v>
          </cell>
          <cell r="C53">
            <v>181021843</v>
          </cell>
        </row>
        <row r="54">
          <cell r="A54" t="str">
            <v>VIDRO 708X690X4</v>
          </cell>
          <cell r="B54">
            <v>124228</v>
          </cell>
          <cell r="C54">
            <v>181024228</v>
          </cell>
        </row>
        <row r="55">
          <cell r="A55" t="str">
            <v>VIDRO 708X790X4</v>
          </cell>
          <cell r="B55">
            <v>124229</v>
          </cell>
          <cell r="C55">
            <v>181024229</v>
          </cell>
        </row>
        <row r="56">
          <cell r="A56" t="str">
            <v>VIDRO 708X890X4</v>
          </cell>
          <cell r="B56">
            <v>124230</v>
          </cell>
          <cell r="C56">
            <v>181024230</v>
          </cell>
        </row>
        <row r="57">
          <cell r="A57" t="str">
            <v>VIDRO 708X990X4</v>
          </cell>
          <cell r="B57">
            <v>124231</v>
          </cell>
          <cell r="C57">
            <v>181024231</v>
          </cell>
        </row>
        <row r="58">
          <cell r="A58" t="str">
            <v>VIDRO 890X290X4</v>
          </cell>
          <cell r="B58">
            <v>121844</v>
          </cell>
          <cell r="C58">
            <v>181021844</v>
          </cell>
        </row>
        <row r="59">
          <cell r="A59" t="str">
            <v>VIDRO 890X340X4</v>
          </cell>
          <cell r="B59">
            <v>121845</v>
          </cell>
          <cell r="C59">
            <v>181021845</v>
          </cell>
        </row>
        <row r="60">
          <cell r="A60" t="str">
            <v>VIDRO 890X390X4</v>
          </cell>
          <cell r="B60">
            <v>121846</v>
          </cell>
          <cell r="C60">
            <v>181021846</v>
          </cell>
        </row>
        <row r="61">
          <cell r="A61" t="str">
            <v>VIDRO 890X440X4</v>
          </cell>
          <cell r="B61">
            <v>121847</v>
          </cell>
          <cell r="C61">
            <v>181021847</v>
          </cell>
        </row>
        <row r="62">
          <cell r="A62" t="str">
            <v>VIDRO 890X490X4</v>
          </cell>
          <cell r="B62">
            <v>121848</v>
          </cell>
          <cell r="C62">
            <v>181021848</v>
          </cell>
        </row>
        <row r="63">
          <cell r="A63" t="str">
            <v>VIDRO 890X515X4</v>
          </cell>
          <cell r="B63">
            <v>121849</v>
          </cell>
          <cell r="C63">
            <v>181021849</v>
          </cell>
        </row>
        <row r="64">
          <cell r="A64" t="str">
            <v>VIDRO 890X536X4</v>
          </cell>
          <cell r="B64">
            <v>121850</v>
          </cell>
          <cell r="C64">
            <v>181021850</v>
          </cell>
        </row>
        <row r="65">
          <cell r="A65" t="str">
            <v>VIDRO 890X540X4</v>
          </cell>
          <cell r="B65">
            <v>121851</v>
          </cell>
          <cell r="C65">
            <v>181021851</v>
          </cell>
        </row>
        <row r="66">
          <cell r="A66" t="str">
            <v>VIDRO 890X590X4</v>
          </cell>
          <cell r="B66">
            <v>121852</v>
          </cell>
          <cell r="C66">
            <v>181021852</v>
          </cell>
        </row>
        <row r="67">
          <cell r="A67" t="str">
            <v>VIDRO 1070X290X4</v>
          </cell>
          <cell r="B67">
            <v>121853</v>
          </cell>
          <cell r="C67">
            <v>181021853</v>
          </cell>
        </row>
        <row r="68">
          <cell r="A68" t="str">
            <v>VIDRO 1070X340X4</v>
          </cell>
          <cell r="B68">
            <v>121854</v>
          </cell>
          <cell r="C68">
            <v>181021854</v>
          </cell>
        </row>
        <row r="69">
          <cell r="A69" t="str">
            <v>VIDRO 1070X390X4</v>
          </cell>
          <cell r="B69">
            <v>121855</v>
          </cell>
          <cell r="C69">
            <v>181021855</v>
          </cell>
        </row>
        <row r="70">
          <cell r="A70" t="str">
            <v>VIDRO 1070X440X4</v>
          </cell>
          <cell r="B70">
            <v>121856</v>
          </cell>
          <cell r="C70">
            <v>181021856</v>
          </cell>
        </row>
        <row r="71">
          <cell r="A71" t="str">
            <v>VIDRO 1070X490X4</v>
          </cell>
          <cell r="B71">
            <v>121857</v>
          </cell>
          <cell r="C71">
            <v>181021857</v>
          </cell>
        </row>
        <row r="72">
          <cell r="A72" t="str">
            <v>VIDRO 1070X515X4</v>
          </cell>
          <cell r="B72">
            <v>121858</v>
          </cell>
          <cell r="C72">
            <v>181021858</v>
          </cell>
        </row>
        <row r="73">
          <cell r="A73" t="str">
            <v>VIDRO 1070X536X4</v>
          </cell>
          <cell r="B73">
            <v>121859</v>
          </cell>
          <cell r="C73">
            <v>181021859</v>
          </cell>
        </row>
        <row r="74">
          <cell r="A74" t="str">
            <v>VIDRO 1070X540X4</v>
          </cell>
          <cell r="B74">
            <v>121860</v>
          </cell>
          <cell r="C74">
            <v>181021860</v>
          </cell>
        </row>
        <row r="75">
          <cell r="A75" t="str">
            <v>VIDRO 1070X590X4</v>
          </cell>
          <cell r="B75">
            <v>121861</v>
          </cell>
          <cell r="C75">
            <v>181021861</v>
          </cell>
        </row>
        <row r="76">
          <cell r="A76" t="str">
            <v>VIDRO 1250X340X4</v>
          </cell>
          <cell r="B76">
            <v>121951</v>
          </cell>
          <cell r="C76">
            <v>181012497</v>
          </cell>
        </row>
        <row r="77">
          <cell r="A77" t="str">
            <v>VIDRO 1250X390X4</v>
          </cell>
          <cell r="B77">
            <v>121862</v>
          </cell>
          <cell r="C77">
            <v>181021862</v>
          </cell>
        </row>
        <row r="78">
          <cell r="A78" t="str">
            <v>VIDRO 1250X440X4</v>
          </cell>
          <cell r="B78">
            <v>121952</v>
          </cell>
          <cell r="C78">
            <v>181012498</v>
          </cell>
        </row>
        <row r="79">
          <cell r="A79" t="str">
            <v>VIDRO 1250X490X4</v>
          </cell>
          <cell r="B79">
            <v>121863</v>
          </cell>
          <cell r="C79">
            <v>181021863</v>
          </cell>
        </row>
        <row r="80">
          <cell r="A80" t="str">
            <v>VIDRO 1250X590X4</v>
          </cell>
          <cell r="B80">
            <v>121864</v>
          </cell>
          <cell r="C80">
            <v>181021864</v>
          </cell>
        </row>
        <row r="81">
          <cell r="A81" t="str">
            <v>VIDRO 1790X340X4</v>
          </cell>
          <cell r="B81">
            <v>121953</v>
          </cell>
          <cell r="C81">
            <v>181012499</v>
          </cell>
        </row>
        <row r="82">
          <cell r="A82" t="str">
            <v>VIDRO 1790X390X4</v>
          </cell>
          <cell r="B82">
            <v>121865</v>
          </cell>
          <cell r="C82">
            <v>181021865</v>
          </cell>
        </row>
        <row r="83">
          <cell r="A83" t="str">
            <v>VIDRO 1790X440X4</v>
          </cell>
          <cell r="B83">
            <v>121954</v>
          </cell>
          <cell r="C83">
            <v>181012500</v>
          </cell>
        </row>
        <row r="84">
          <cell r="A84" t="str">
            <v>VIDRO 1790X490X4</v>
          </cell>
          <cell r="B84">
            <v>121866</v>
          </cell>
          <cell r="C84">
            <v>181021866</v>
          </cell>
        </row>
        <row r="85">
          <cell r="A85" t="str">
            <v>VIDRO 1790X590X4</v>
          </cell>
          <cell r="B85">
            <v>121867</v>
          </cell>
          <cell r="C85">
            <v>181021867</v>
          </cell>
        </row>
        <row r="86">
          <cell r="A86" t="str">
            <v>VIDRO 1970X340X4</v>
          </cell>
          <cell r="B86">
            <v>121955</v>
          </cell>
          <cell r="C86">
            <v>181012501</v>
          </cell>
        </row>
        <row r="87">
          <cell r="A87" t="str">
            <v>VIDRO 1970X390X4</v>
          </cell>
          <cell r="B87">
            <v>121868</v>
          </cell>
          <cell r="C87">
            <v>181021868</v>
          </cell>
        </row>
        <row r="88">
          <cell r="A88" t="str">
            <v>VIDRO 1970X440X4</v>
          </cell>
          <cell r="B88">
            <v>121956</v>
          </cell>
          <cell r="C88">
            <v>181012502</v>
          </cell>
        </row>
        <row r="89">
          <cell r="A89" t="str">
            <v>VIDRO 1970X490X4</v>
          </cell>
          <cell r="B89">
            <v>121869</v>
          </cell>
          <cell r="C89">
            <v>181021869</v>
          </cell>
        </row>
        <row r="90">
          <cell r="A90" t="str">
            <v>VIDRO 1970X590X4</v>
          </cell>
          <cell r="B90">
            <v>121870</v>
          </cell>
          <cell r="C90">
            <v>181021870</v>
          </cell>
        </row>
        <row r="91">
          <cell r="A91" t="str">
            <v>VIDRO 2150X340X4</v>
          </cell>
          <cell r="B91">
            <v>121957</v>
          </cell>
          <cell r="C91">
            <v>181012503</v>
          </cell>
        </row>
        <row r="92">
          <cell r="A92" t="str">
            <v>VIDRO 2150X390X4</v>
          </cell>
          <cell r="B92">
            <v>121871</v>
          </cell>
          <cell r="C92">
            <v>181021871</v>
          </cell>
        </row>
        <row r="93">
          <cell r="A93" t="str">
            <v>VIDRO 2150X440X4</v>
          </cell>
          <cell r="B93">
            <v>121958</v>
          </cell>
          <cell r="C93">
            <v>181012504</v>
          </cell>
        </row>
        <row r="94">
          <cell r="A94" t="str">
            <v>VIDRO 2150X490X4</v>
          </cell>
          <cell r="B94">
            <v>121872</v>
          </cell>
          <cell r="C94">
            <v>181021872</v>
          </cell>
        </row>
        <row r="95">
          <cell r="A95" t="str">
            <v>VIDRO 2150X590X4</v>
          </cell>
          <cell r="B95">
            <v>121873</v>
          </cell>
          <cell r="C95">
            <v>181021873</v>
          </cell>
        </row>
        <row r="96">
          <cell r="A96" t="str">
            <v>VIDRO 2330X340X4</v>
          </cell>
          <cell r="B96">
            <v>121959</v>
          </cell>
          <cell r="C96">
            <v>181012505</v>
          </cell>
        </row>
        <row r="97">
          <cell r="A97" t="str">
            <v>VIDRO 2330X390X4</v>
          </cell>
          <cell r="B97">
            <v>121960</v>
          </cell>
          <cell r="C97">
            <v>181012506</v>
          </cell>
        </row>
        <row r="98">
          <cell r="A98" t="str">
            <v>VIDRO 2330X440X4</v>
          </cell>
          <cell r="B98">
            <v>121961</v>
          </cell>
          <cell r="C98">
            <v>181012507</v>
          </cell>
        </row>
        <row r="99">
          <cell r="A99" t="str">
            <v>VIDRO 2330X490X4</v>
          </cell>
          <cell r="B99">
            <v>121962</v>
          </cell>
          <cell r="C99">
            <v>181012508</v>
          </cell>
        </row>
        <row r="100">
          <cell r="A100" t="str">
            <v>VIDRO 2330X590X4</v>
          </cell>
          <cell r="B100">
            <v>121963</v>
          </cell>
          <cell r="C100">
            <v>181012509</v>
          </cell>
        </row>
        <row r="101">
          <cell r="A101" t="str">
            <v>VIDRO 170X290X4</v>
          </cell>
          <cell r="B101">
            <v>121874</v>
          </cell>
          <cell r="C101">
            <v>181021874</v>
          </cell>
        </row>
        <row r="102">
          <cell r="A102" t="str">
            <v>VIDRO 170X390X4</v>
          </cell>
          <cell r="B102">
            <v>121875</v>
          </cell>
          <cell r="C102">
            <v>181021875</v>
          </cell>
        </row>
        <row r="103">
          <cell r="A103" t="str">
            <v>VIDRO 170X440X4</v>
          </cell>
          <cell r="B103">
            <v>121876</v>
          </cell>
          <cell r="C103">
            <v>181021876</v>
          </cell>
        </row>
        <row r="104">
          <cell r="A104" t="str">
            <v>VIDRO 170X490X4</v>
          </cell>
          <cell r="B104">
            <v>121877</v>
          </cell>
          <cell r="C104">
            <v>181021877</v>
          </cell>
        </row>
        <row r="105">
          <cell r="A105" t="str">
            <v>VIDRO 170X540X4</v>
          </cell>
          <cell r="B105">
            <v>121878</v>
          </cell>
          <cell r="C105">
            <v>181021878</v>
          </cell>
        </row>
        <row r="106">
          <cell r="A106" t="str">
            <v>VIDRO 170X590X4</v>
          </cell>
          <cell r="B106">
            <v>121879</v>
          </cell>
          <cell r="C106">
            <v>181021879</v>
          </cell>
        </row>
        <row r="107">
          <cell r="A107" t="str">
            <v>VIDRO 170X690X4</v>
          </cell>
          <cell r="B107">
            <v>121880</v>
          </cell>
          <cell r="C107">
            <v>181021880</v>
          </cell>
        </row>
        <row r="108">
          <cell r="A108" t="str">
            <v>VIDRO 170X790X4</v>
          </cell>
          <cell r="B108">
            <v>121881</v>
          </cell>
          <cell r="C108">
            <v>181021881</v>
          </cell>
        </row>
        <row r="109">
          <cell r="A109" t="str">
            <v>VIDRO 170X890X4</v>
          </cell>
          <cell r="B109">
            <v>121882</v>
          </cell>
          <cell r="C109">
            <v>181021882</v>
          </cell>
        </row>
        <row r="110">
          <cell r="A110" t="str">
            <v>VIDRO 170X990X4</v>
          </cell>
          <cell r="B110">
            <v>121883</v>
          </cell>
          <cell r="C110">
            <v>181021883</v>
          </cell>
        </row>
        <row r="111">
          <cell r="A111" t="str">
            <v>VIDRO 170X1090X4</v>
          </cell>
          <cell r="B111">
            <v>121884</v>
          </cell>
          <cell r="C111">
            <v>181021884</v>
          </cell>
        </row>
        <row r="112">
          <cell r="A112" t="str">
            <v>VIDRO 170X1190X4</v>
          </cell>
          <cell r="B112">
            <v>121885</v>
          </cell>
          <cell r="C112">
            <v>181021885</v>
          </cell>
        </row>
        <row r="113">
          <cell r="A113" t="str">
            <v>VIDRO 349X390X4</v>
          </cell>
          <cell r="B113">
            <v>121886</v>
          </cell>
          <cell r="C113">
            <v>181021886</v>
          </cell>
        </row>
        <row r="114">
          <cell r="A114" t="str">
            <v>VIDRO 349X440X4</v>
          </cell>
          <cell r="B114">
            <v>121887</v>
          </cell>
          <cell r="C114">
            <v>181021887</v>
          </cell>
        </row>
        <row r="115">
          <cell r="A115" t="str">
            <v>VIDRO 349X490X4</v>
          </cell>
          <cell r="B115">
            <v>121888</v>
          </cell>
          <cell r="C115">
            <v>181021888</v>
          </cell>
        </row>
        <row r="116">
          <cell r="A116" t="str">
            <v>VIDRO 349X540X4</v>
          </cell>
          <cell r="B116">
            <v>121889</v>
          </cell>
          <cell r="C116">
            <v>181021889</v>
          </cell>
        </row>
        <row r="117">
          <cell r="A117" t="str">
            <v>VIDRO 890X890X4</v>
          </cell>
          <cell r="B117">
            <v>121890</v>
          </cell>
          <cell r="C117">
            <v>181021890</v>
          </cell>
        </row>
        <row r="118">
          <cell r="A118" t="str">
            <v>VIDRO 890X990X4</v>
          </cell>
          <cell r="B118">
            <v>121891</v>
          </cell>
          <cell r="C118">
            <v>181021891</v>
          </cell>
        </row>
        <row r="119">
          <cell r="A119" t="str">
            <v>VIDRO 890X1090X4</v>
          </cell>
          <cell r="B119">
            <v>121892</v>
          </cell>
          <cell r="C119">
            <v>181021892</v>
          </cell>
        </row>
        <row r="120">
          <cell r="A120" t="str">
            <v>VIDRO 890X1190X4</v>
          </cell>
          <cell r="B120">
            <v>121893</v>
          </cell>
          <cell r="C120">
            <v>181021893</v>
          </cell>
        </row>
        <row r="121">
          <cell r="A121" t="str">
            <v>VIDRO 1070X890X4</v>
          </cell>
          <cell r="B121">
            <v>121894</v>
          </cell>
          <cell r="C121">
            <v>181021894</v>
          </cell>
        </row>
        <row r="122">
          <cell r="A122" t="str">
            <v>VIDRO 1070X990X4</v>
          </cell>
          <cell r="B122">
            <v>121895</v>
          </cell>
          <cell r="C122">
            <v>181021895</v>
          </cell>
        </row>
        <row r="123">
          <cell r="A123" t="str">
            <v>VIDRO 1070X1090X4</v>
          </cell>
          <cell r="B123">
            <v>121896</v>
          </cell>
          <cell r="C123">
            <v>181021896</v>
          </cell>
        </row>
        <row r="124">
          <cell r="A124" t="str">
            <v>VIDRO 511X613X4</v>
          </cell>
          <cell r="B124">
            <v>121897</v>
          </cell>
          <cell r="C124">
            <v>181021897</v>
          </cell>
        </row>
        <row r="125">
          <cell r="A125" t="str">
            <v>VIDRO 511X713X4</v>
          </cell>
          <cell r="B125">
            <v>121898</v>
          </cell>
          <cell r="C125">
            <v>181021898</v>
          </cell>
        </row>
        <row r="126">
          <cell r="A126" t="str">
            <v>VIDRO 511X813X4</v>
          </cell>
          <cell r="B126">
            <v>121899</v>
          </cell>
          <cell r="C126">
            <v>181021899</v>
          </cell>
        </row>
        <row r="127">
          <cell r="A127" t="str">
            <v>VIDRO 511X913X4</v>
          </cell>
          <cell r="B127">
            <v>121900</v>
          </cell>
          <cell r="C127">
            <v>181021900</v>
          </cell>
        </row>
        <row r="128">
          <cell r="A128" t="str">
            <v>VIDRO 511X1013X4</v>
          </cell>
          <cell r="B128">
            <v>121901</v>
          </cell>
          <cell r="C128">
            <v>181021901</v>
          </cell>
        </row>
        <row r="129">
          <cell r="A129" t="str">
            <v>VIDRO 511X1113X4</v>
          </cell>
          <cell r="B129">
            <v>121902</v>
          </cell>
          <cell r="C129">
            <v>181021902</v>
          </cell>
        </row>
        <row r="130">
          <cell r="A130" t="str">
            <v>VIDRO 511X1213X4</v>
          </cell>
          <cell r="B130">
            <v>121903</v>
          </cell>
          <cell r="C130">
            <v>181021903</v>
          </cell>
        </row>
        <row r="131">
          <cell r="A131" t="str">
            <v>VIDRO 691X613X4</v>
          </cell>
          <cell r="B131">
            <v>121904</v>
          </cell>
          <cell r="C131">
            <v>181021904</v>
          </cell>
        </row>
        <row r="132">
          <cell r="A132" t="str">
            <v>VIDRO 691X713X4</v>
          </cell>
          <cell r="B132">
            <v>121905</v>
          </cell>
          <cell r="C132">
            <v>181021905</v>
          </cell>
        </row>
        <row r="133">
          <cell r="A133" t="str">
            <v>VIDRO 691X813X4</v>
          </cell>
          <cell r="B133">
            <v>121906</v>
          </cell>
          <cell r="C133">
            <v>181021906</v>
          </cell>
        </row>
        <row r="134">
          <cell r="A134" t="str">
            <v>VIDRO 691X913X4</v>
          </cell>
          <cell r="B134">
            <v>121907</v>
          </cell>
          <cell r="C134">
            <v>181021907</v>
          </cell>
        </row>
        <row r="135">
          <cell r="A135" t="str">
            <v>VIDRO 691X1013X4</v>
          </cell>
          <cell r="B135">
            <v>121908</v>
          </cell>
          <cell r="C135">
            <v>181021908</v>
          </cell>
        </row>
        <row r="136">
          <cell r="A136" t="str">
            <v>VIDRO 691X1113X4</v>
          </cell>
          <cell r="B136">
            <v>121909</v>
          </cell>
          <cell r="C136">
            <v>181021909</v>
          </cell>
        </row>
        <row r="137">
          <cell r="A137" t="str">
            <v>VIDRO 691X1213X4</v>
          </cell>
          <cell r="B137">
            <v>121910</v>
          </cell>
          <cell r="C137">
            <v>181021910</v>
          </cell>
        </row>
        <row r="138">
          <cell r="A138" t="str">
            <v>VIDRO 871X613X4</v>
          </cell>
          <cell r="B138">
            <v>121911</v>
          </cell>
          <cell r="C138">
            <v>181021911</v>
          </cell>
        </row>
        <row r="139">
          <cell r="A139" t="str">
            <v>VIDRO 871X713X4</v>
          </cell>
          <cell r="B139">
            <v>121912</v>
          </cell>
          <cell r="C139">
            <v>181021912</v>
          </cell>
        </row>
        <row r="140">
          <cell r="A140" t="str">
            <v>VIDRO 871X813X4</v>
          </cell>
          <cell r="B140">
            <v>121913</v>
          </cell>
          <cell r="C140">
            <v>181021913</v>
          </cell>
        </row>
        <row r="141">
          <cell r="A141" t="str">
            <v>VIDRO 871X913X4</v>
          </cell>
          <cell r="B141">
            <v>121914</v>
          </cell>
          <cell r="C141">
            <v>181021914</v>
          </cell>
        </row>
        <row r="142">
          <cell r="A142" t="str">
            <v>VIDRO 871X1013X4</v>
          </cell>
          <cell r="B142">
            <v>121915</v>
          </cell>
          <cell r="C142">
            <v>181021915</v>
          </cell>
        </row>
        <row r="143">
          <cell r="A143" t="str">
            <v>VIDRO 871X1113X4</v>
          </cell>
          <cell r="B143">
            <v>121916</v>
          </cell>
          <cell r="C143">
            <v>181021916</v>
          </cell>
        </row>
        <row r="144">
          <cell r="A144" t="str">
            <v>VIDRO 871X1213X4</v>
          </cell>
          <cell r="B144">
            <v>121917</v>
          </cell>
          <cell r="C144">
            <v>181021917</v>
          </cell>
        </row>
        <row r="145">
          <cell r="A145" t="str">
            <v>VIDRO 1051X613X4</v>
          </cell>
          <cell r="B145">
            <v>121918</v>
          </cell>
          <cell r="C145">
            <v>181021918</v>
          </cell>
        </row>
        <row r="146">
          <cell r="A146" t="str">
            <v>VIDRO 1051X713X4</v>
          </cell>
          <cell r="B146">
            <v>121919</v>
          </cell>
          <cell r="C146">
            <v>181021919</v>
          </cell>
        </row>
        <row r="147">
          <cell r="A147" t="str">
            <v>VIDRO 1051X813X4</v>
          </cell>
          <cell r="B147">
            <v>121920</v>
          </cell>
          <cell r="C147">
            <v>181021920</v>
          </cell>
        </row>
        <row r="148">
          <cell r="A148" t="str">
            <v>VIDRO 1051X913X4</v>
          </cell>
          <cell r="B148">
            <v>121921</v>
          </cell>
          <cell r="C148">
            <v>181021921</v>
          </cell>
        </row>
        <row r="149">
          <cell r="A149" t="str">
            <v>VIDRO 1051X1013X4</v>
          </cell>
          <cell r="B149">
            <v>121922</v>
          </cell>
          <cell r="C149">
            <v>181021922</v>
          </cell>
        </row>
        <row r="150">
          <cell r="A150" t="str">
            <v>VIDRO 1051X1113X4</v>
          </cell>
          <cell r="B150">
            <v>121923</v>
          </cell>
          <cell r="C150">
            <v>181021923</v>
          </cell>
        </row>
        <row r="151">
          <cell r="A151" t="str">
            <v>VIDRO 1051X1213X4</v>
          </cell>
          <cell r="B151">
            <v>121924</v>
          </cell>
          <cell r="C151">
            <v>181021924</v>
          </cell>
        </row>
        <row r="152">
          <cell r="A152" t="str">
            <v>FILO - DORMITÓRIO</v>
          </cell>
          <cell r="B152"/>
          <cell r="C152"/>
        </row>
        <row r="153">
          <cell r="A153" t="str">
            <v>VIDRO 2205X331X4</v>
          </cell>
          <cell r="B153">
            <v>121946</v>
          </cell>
          <cell r="C153">
            <v>181021946</v>
          </cell>
        </row>
        <row r="154">
          <cell r="A154" t="str">
            <v>VIDRO 2205X381X4</v>
          </cell>
          <cell r="B154">
            <v>121925</v>
          </cell>
          <cell r="C154">
            <v>181021925</v>
          </cell>
        </row>
        <row r="155">
          <cell r="A155" t="str">
            <v>VIDRO 2205X431X4</v>
          </cell>
          <cell r="B155">
            <v>121926</v>
          </cell>
          <cell r="C155">
            <v>181021926</v>
          </cell>
        </row>
        <row r="156">
          <cell r="A156" t="str">
            <v>VIDRO 2205X467X4</v>
          </cell>
          <cell r="B156">
            <v>121927</v>
          </cell>
          <cell r="C156">
            <v>181021927</v>
          </cell>
        </row>
        <row r="157">
          <cell r="A157" t="str">
            <v>VIDRO 2205X481X4</v>
          </cell>
          <cell r="B157">
            <v>121928</v>
          </cell>
          <cell r="C157">
            <v>181021928</v>
          </cell>
        </row>
        <row r="158">
          <cell r="A158" t="str">
            <v>VIDRO 2205X487X4</v>
          </cell>
          <cell r="B158">
            <v>121929</v>
          </cell>
          <cell r="C158">
            <v>181021929</v>
          </cell>
        </row>
        <row r="159">
          <cell r="A159" t="str">
            <v>VIDRO 2205X531X4</v>
          </cell>
          <cell r="B159">
            <v>121930</v>
          </cell>
          <cell r="C159">
            <v>181021930</v>
          </cell>
        </row>
        <row r="160">
          <cell r="A160" t="str">
            <v>VIDRO 2205X581X4</v>
          </cell>
          <cell r="B160">
            <v>121931</v>
          </cell>
          <cell r="C160">
            <v>181021931</v>
          </cell>
        </row>
        <row r="161">
          <cell r="A161" t="str">
            <v>VIDRO 2385X331X4</v>
          </cell>
          <cell r="B161">
            <v>121947</v>
          </cell>
          <cell r="C161">
            <v>181021947</v>
          </cell>
        </row>
        <row r="162">
          <cell r="A162" t="str">
            <v>VIDRO 2385X381X4</v>
          </cell>
          <cell r="B162">
            <v>121932</v>
          </cell>
          <cell r="C162">
            <v>181021932</v>
          </cell>
        </row>
        <row r="163">
          <cell r="A163" t="str">
            <v>VIDRO 2385X431X4</v>
          </cell>
          <cell r="B163">
            <v>121933</v>
          </cell>
          <cell r="C163">
            <v>181021933</v>
          </cell>
        </row>
        <row r="164">
          <cell r="A164" t="str">
            <v>VIDRO 2385X467X4</v>
          </cell>
          <cell r="B164">
            <v>121934</v>
          </cell>
          <cell r="C164">
            <v>181021934</v>
          </cell>
        </row>
        <row r="165">
          <cell r="A165" t="str">
            <v>VIDRO 2385X481X4</v>
          </cell>
          <cell r="B165">
            <v>121935</v>
          </cell>
          <cell r="C165">
            <v>181021935</v>
          </cell>
        </row>
        <row r="166">
          <cell r="A166" t="str">
            <v>VIDRO 2385X487X4</v>
          </cell>
          <cell r="B166">
            <v>121936</v>
          </cell>
          <cell r="C166">
            <v>181021936</v>
          </cell>
        </row>
        <row r="167">
          <cell r="A167" t="str">
            <v>VIDRO 2385X531X4</v>
          </cell>
          <cell r="B167">
            <v>121937</v>
          </cell>
          <cell r="C167">
            <v>181021937</v>
          </cell>
        </row>
        <row r="168">
          <cell r="A168" t="str">
            <v>VIDRO 2385X581X4</v>
          </cell>
          <cell r="B168">
            <v>121938</v>
          </cell>
          <cell r="C168">
            <v>181021938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B2717-0F54-4C66-B100-1D12147EA9B8}">
  <sheetPr codeName="Planilha1"/>
  <dimension ref="A1:S421"/>
  <sheetViews>
    <sheetView tabSelected="1" topLeftCell="A16" zoomScale="70" zoomScaleNormal="70" workbookViewId="0">
      <selection activeCell="A5" sqref="A5:A34"/>
    </sheetView>
  </sheetViews>
  <sheetFormatPr defaultColWidth="9.140625" defaultRowHeight="12.75" x14ac:dyDescent="0.2"/>
  <cols>
    <col min="1" max="3" width="14.7109375" style="45" customWidth="1"/>
    <col min="4" max="14" width="14.42578125" style="45" customWidth="1"/>
    <col min="15" max="15" width="61.140625" style="45" bestFit="1" customWidth="1"/>
    <col min="16" max="16" width="24.28515625" style="45" customWidth="1"/>
    <col min="17" max="19" width="10.7109375" style="45" customWidth="1"/>
    <col min="20" max="16384" width="9.140625" style="45"/>
  </cols>
  <sheetData>
    <row r="1" spans="1:19" s="48" customFormat="1" ht="33.75" customHeight="1" thickBot="1" x14ac:dyDescent="0.35">
      <c r="A1" s="106" t="s">
        <v>134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</row>
    <row r="2" spans="1:19" s="48" customFormat="1" ht="60.75" customHeight="1" x14ac:dyDescent="0.2">
      <c r="A2" s="108" t="s">
        <v>135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</row>
    <row r="3" spans="1:19" s="48" customFormat="1" ht="27.75" customHeight="1" x14ac:dyDescent="0.2">
      <c r="A3" s="110" t="s">
        <v>0</v>
      </c>
      <c r="B3" s="110" t="s">
        <v>1</v>
      </c>
      <c r="C3" s="110" t="s">
        <v>2</v>
      </c>
      <c r="D3" s="94" t="s">
        <v>2</v>
      </c>
      <c r="E3" s="95"/>
      <c r="F3" s="95"/>
      <c r="G3" s="95"/>
      <c r="H3" s="95"/>
      <c r="I3" s="95"/>
      <c r="J3" s="95"/>
      <c r="K3" s="95"/>
      <c r="L3" s="95"/>
      <c r="M3" s="95"/>
      <c r="N3" s="96"/>
      <c r="O3" s="111" t="s">
        <v>3</v>
      </c>
      <c r="P3" s="112" t="s">
        <v>4</v>
      </c>
      <c r="Q3" s="111" t="s">
        <v>5</v>
      </c>
      <c r="R3" s="111"/>
      <c r="S3" s="111"/>
    </row>
    <row r="4" spans="1:19" ht="38.25" customHeight="1" x14ac:dyDescent="0.2">
      <c r="A4" s="110"/>
      <c r="B4" s="110"/>
      <c r="C4" s="110"/>
      <c r="D4" s="1" t="s">
        <v>6</v>
      </c>
      <c r="E4" s="1" t="s">
        <v>7</v>
      </c>
      <c r="F4" s="1" t="s">
        <v>8</v>
      </c>
      <c r="G4" s="1" t="s">
        <v>9</v>
      </c>
      <c r="H4" s="1" t="s">
        <v>10</v>
      </c>
      <c r="I4" s="1" t="s">
        <v>11</v>
      </c>
      <c r="J4" s="1" t="s">
        <v>12</v>
      </c>
      <c r="K4" s="1" t="s">
        <v>13</v>
      </c>
      <c r="L4" s="19" t="s">
        <v>14</v>
      </c>
      <c r="M4" s="19" t="s">
        <v>15</v>
      </c>
      <c r="N4" s="19" t="s">
        <v>16</v>
      </c>
      <c r="O4" s="111"/>
      <c r="P4" s="113"/>
      <c r="Q4" s="62" t="s">
        <v>17</v>
      </c>
      <c r="R4" s="62" t="s">
        <v>18</v>
      </c>
      <c r="S4" s="62" t="s">
        <v>19</v>
      </c>
    </row>
    <row r="5" spans="1:19" ht="38.25" customHeight="1" x14ac:dyDescent="0.2">
      <c r="A5" s="87">
        <v>227009</v>
      </c>
      <c r="B5" s="100">
        <f>VLOOKUP(A5,'[1]ARCH DORM ALUM'!$B$10:$F$59,2,FALSE)</f>
        <v>590920</v>
      </c>
      <c r="C5" s="101"/>
      <c r="D5" s="66">
        <v>300002</v>
      </c>
      <c r="E5" s="66">
        <v>300102</v>
      </c>
      <c r="F5" s="66">
        <v>300202</v>
      </c>
      <c r="G5" s="66">
        <v>300302</v>
      </c>
      <c r="H5" s="66">
        <v>300402</v>
      </c>
      <c r="I5" s="66">
        <v>300502</v>
      </c>
      <c r="J5" s="66">
        <v>300602</v>
      </c>
      <c r="K5" s="66">
        <v>300702</v>
      </c>
      <c r="L5" s="66">
        <v>300802</v>
      </c>
      <c r="M5" s="66">
        <v>300902</v>
      </c>
      <c r="N5" s="66">
        <v>301002</v>
      </c>
      <c r="O5" s="87" t="str">
        <f>VLOOKUP(A5,'[1]ARCH DORM ALUM'!$B$10:$F$59,3,FALSE)</f>
        <v>FRENTE DIR ARM S/DOB 2210X586X25+COR</v>
      </c>
      <c r="P5" s="66" t="s">
        <v>136</v>
      </c>
      <c r="Q5" s="87">
        <f>VLOOKUP(A5,'[1]ARCH DORM ALUM'!$B$10:$F$59,4,FALSE)</f>
        <v>2210</v>
      </c>
      <c r="R5" s="87">
        <f>VLOOKUP(A5,'[1]ARCH DORM ALUM'!$B$10:$F$59,5,FALSE)</f>
        <v>586</v>
      </c>
      <c r="S5" s="87">
        <v>25</v>
      </c>
    </row>
    <row r="6" spans="1:19" ht="38.25" customHeight="1" x14ac:dyDescent="0.2">
      <c r="A6" s="88"/>
      <c r="B6" s="102"/>
      <c r="C6" s="103"/>
      <c r="D6" s="66">
        <v>300003</v>
      </c>
      <c r="E6" s="66">
        <v>300103</v>
      </c>
      <c r="F6" s="66">
        <v>300203</v>
      </c>
      <c r="G6" s="66">
        <v>300303</v>
      </c>
      <c r="H6" s="66">
        <v>300403</v>
      </c>
      <c r="I6" s="66">
        <v>300503</v>
      </c>
      <c r="J6" s="66">
        <v>300603</v>
      </c>
      <c r="K6" s="66">
        <v>300703</v>
      </c>
      <c r="L6" s="66">
        <v>300803</v>
      </c>
      <c r="M6" s="66">
        <v>300903</v>
      </c>
      <c r="N6" s="66">
        <v>301003</v>
      </c>
      <c r="O6" s="88"/>
      <c r="P6" s="66" t="s">
        <v>137</v>
      </c>
      <c r="Q6" s="88"/>
      <c r="R6" s="88"/>
      <c r="S6" s="88"/>
    </row>
    <row r="7" spans="1:19" ht="38.25" customHeight="1" x14ac:dyDescent="0.2">
      <c r="A7" s="88"/>
      <c r="B7" s="102"/>
      <c r="C7" s="103"/>
      <c r="D7" s="66">
        <v>300094</v>
      </c>
      <c r="E7" s="66">
        <v>300194</v>
      </c>
      <c r="F7" s="66">
        <v>300294</v>
      </c>
      <c r="G7" s="66">
        <v>300394</v>
      </c>
      <c r="H7" s="66">
        <v>300494</v>
      </c>
      <c r="I7" s="66">
        <v>300594</v>
      </c>
      <c r="J7" s="66">
        <v>300694</v>
      </c>
      <c r="K7" s="66">
        <v>300794</v>
      </c>
      <c r="L7" s="66">
        <v>300894</v>
      </c>
      <c r="M7" s="66">
        <v>300994</v>
      </c>
      <c r="N7" s="66">
        <v>301094</v>
      </c>
      <c r="O7" s="88"/>
      <c r="P7" s="66" t="s">
        <v>138</v>
      </c>
      <c r="Q7" s="88"/>
      <c r="R7" s="88"/>
      <c r="S7" s="88"/>
    </row>
    <row r="8" spans="1:19" ht="38.25" customHeight="1" x14ac:dyDescent="0.2">
      <c r="A8" s="88"/>
      <c r="B8" s="102"/>
      <c r="C8" s="103"/>
      <c r="D8" s="66">
        <v>300095</v>
      </c>
      <c r="E8" s="66">
        <v>300195</v>
      </c>
      <c r="F8" s="66">
        <v>300295</v>
      </c>
      <c r="G8" s="66">
        <v>300395</v>
      </c>
      <c r="H8" s="66">
        <v>300495</v>
      </c>
      <c r="I8" s="66">
        <v>300595</v>
      </c>
      <c r="J8" s="66">
        <v>300695</v>
      </c>
      <c r="K8" s="66">
        <v>300795</v>
      </c>
      <c r="L8" s="66">
        <v>300895</v>
      </c>
      <c r="M8" s="66">
        <v>300995</v>
      </c>
      <c r="N8" s="66">
        <v>301095</v>
      </c>
      <c r="O8" s="88"/>
      <c r="P8" s="66" t="s">
        <v>139</v>
      </c>
      <c r="Q8" s="88"/>
      <c r="R8" s="88"/>
      <c r="S8" s="88"/>
    </row>
    <row r="9" spans="1:19" ht="38.25" customHeight="1" x14ac:dyDescent="0.2">
      <c r="A9" s="88"/>
      <c r="B9" s="102"/>
      <c r="C9" s="103"/>
      <c r="D9" s="66">
        <v>300096</v>
      </c>
      <c r="E9" s="66">
        <v>300196</v>
      </c>
      <c r="F9" s="66">
        <v>300296</v>
      </c>
      <c r="G9" s="66">
        <v>300396</v>
      </c>
      <c r="H9" s="66">
        <v>300496</v>
      </c>
      <c r="I9" s="66">
        <v>300596</v>
      </c>
      <c r="J9" s="66">
        <v>300696</v>
      </c>
      <c r="K9" s="66">
        <v>300796</v>
      </c>
      <c r="L9" s="66">
        <v>300896</v>
      </c>
      <c r="M9" s="66">
        <v>300996</v>
      </c>
      <c r="N9" s="66">
        <v>301096</v>
      </c>
      <c r="O9" s="88"/>
      <c r="P9" s="66" t="s">
        <v>140</v>
      </c>
      <c r="Q9" s="88"/>
      <c r="R9" s="88"/>
      <c r="S9" s="88"/>
    </row>
    <row r="10" spans="1:19" ht="30" customHeight="1" x14ac:dyDescent="0.2">
      <c r="A10" s="88"/>
      <c r="B10" s="102"/>
      <c r="C10" s="103"/>
      <c r="D10" s="51">
        <v>300049</v>
      </c>
      <c r="E10" s="51" t="s">
        <v>20</v>
      </c>
      <c r="F10" s="51" t="s">
        <v>20</v>
      </c>
      <c r="G10" s="51" t="s">
        <v>20</v>
      </c>
      <c r="H10" s="51" t="s">
        <v>20</v>
      </c>
      <c r="I10" s="51">
        <v>300549</v>
      </c>
      <c r="J10" s="51" t="s">
        <v>20</v>
      </c>
      <c r="K10" s="51" t="s">
        <v>20</v>
      </c>
      <c r="L10" s="51">
        <v>300849</v>
      </c>
      <c r="M10" s="51" t="s">
        <v>20</v>
      </c>
      <c r="N10" s="51" t="s">
        <v>20</v>
      </c>
      <c r="O10" s="88"/>
      <c r="P10" s="42" t="s">
        <v>82</v>
      </c>
      <c r="Q10" s="88"/>
      <c r="R10" s="88"/>
      <c r="S10" s="88"/>
    </row>
    <row r="11" spans="1:19" ht="30" customHeight="1" x14ac:dyDescent="0.2">
      <c r="A11" s="88"/>
      <c r="B11" s="102"/>
      <c r="C11" s="103"/>
      <c r="D11" s="51">
        <v>300050</v>
      </c>
      <c r="E11" s="51" t="s">
        <v>20</v>
      </c>
      <c r="F11" s="51" t="s">
        <v>20</v>
      </c>
      <c r="G11" s="51" t="s">
        <v>20</v>
      </c>
      <c r="H11" s="51" t="s">
        <v>20</v>
      </c>
      <c r="I11" s="51">
        <v>300550</v>
      </c>
      <c r="J11" s="51" t="s">
        <v>20</v>
      </c>
      <c r="K11" s="51" t="s">
        <v>20</v>
      </c>
      <c r="L11" s="51" t="s">
        <v>20</v>
      </c>
      <c r="M11" s="51">
        <v>300950</v>
      </c>
      <c r="N11" s="51" t="s">
        <v>20</v>
      </c>
      <c r="O11" s="88"/>
      <c r="P11" s="42" t="s">
        <v>83</v>
      </c>
      <c r="Q11" s="88"/>
      <c r="R11" s="88"/>
      <c r="S11" s="88"/>
    </row>
    <row r="12" spans="1:19" ht="30" customHeight="1" x14ac:dyDescent="0.2">
      <c r="A12" s="88"/>
      <c r="B12" s="102"/>
      <c r="C12" s="103"/>
      <c r="D12" s="51">
        <v>300051</v>
      </c>
      <c r="E12" s="51" t="s">
        <v>20</v>
      </c>
      <c r="F12" s="51" t="s">
        <v>20</v>
      </c>
      <c r="G12" s="51" t="s">
        <v>20</v>
      </c>
      <c r="H12" s="51" t="s">
        <v>20</v>
      </c>
      <c r="I12" s="51" t="s">
        <v>20</v>
      </c>
      <c r="J12" s="51" t="s">
        <v>20</v>
      </c>
      <c r="K12" s="51" t="s">
        <v>20</v>
      </c>
      <c r="L12" s="51" t="s">
        <v>20</v>
      </c>
      <c r="M12" s="51" t="s">
        <v>20</v>
      </c>
      <c r="N12" s="51">
        <v>301051</v>
      </c>
      <c r="O12" s="88"/>
      <c r="P12" s="42" t="s">
        <v>84</v>
      </c>
      <c r="Q12" s="88"/>
      <c r="R12" s="88"/>
      <c r="S12" s="88"/>
    </row>
    <row r="13" spans="1:19" ht="30" customHeight="1" x14ac:dyDescent="0.2">
      <c r="A13" s="88"/>
      <c r="B13" s="102"/>
      <c r="C13" s="103"/>
      <c r="D13" s="51">
        <v>300052</v>
      </c>
      <c r="E13" s="51">
        <v>300152</v>
      </c>
      <c r="F13" s="51" t="s">
        <v>20</v>
      </c>
      <c r="G13" s="51">
        <v>300352</v>
      </c>
      <c r="H13" s="51" t="s">
        <v>20</v>
      </c>
      <c r="I13" s="51" t="s">
        <v>20</v>
      </c>
      <c r="J13" s="51" t="s">
        <v>20</v>
      </c>
      <c r="K13" s="51">
        <v>300752</v>
      </c>
      <c r="L13" s="51" t="s">
        <v>20</v>
      </c>
      <c r="M13" s="51" t="s">
        <v>20</v>
      </c>
      <c r="N13" s="51" t="s">
        <v>20</v>
      </c>
      <c r="O13" s="88"/>
      <c r="P13" s="42" t="s">
        <v>85</v>
      </c>
      <c r="Q13" s="88"/>
      <c r="R13" s="88"/>
      <c r="S13" s="88"/>
    </row>
    <row r="14" spans="1:19" ht="30" customHeight="1" x14ac:dyDescent="0.2">
      <c r="A14" s="88"/>
      <c r="B14" s="102"/>
      <c r="C14" s="103"/>
      <c r="D14" s="51">
        <v>300058</v>
      </c>
      <c r="E14" s="51" t="s">
        <v>20</v>
      </c>
      <c r="F14" s="51">
        <v>300258</v>
      </c>
      <c r="G14" s="51" t="s">
        <v>20</v>
      </c>
      <c r="H14" s="51">
        <v>300458</v>
      </c>
      <c r="I14" s="51">
        <v>300558</v>
      </c>
      <c r="J14" s="51" t="s">
        <v>20</v>
      </c>
      <c r="K14" s="51" t="s">
        <v>20</v>
      </c>
      <c r="L14" s="51">
        <v>300858</v>
      </c>
      <c r="M14" s="51">
        <v>300958</v>
      </c>
      <c r="N14" s="51">
        <v>301058</v>
      </c>
      <c r="O14" s="88"/>
      <c r="P14" s="52" t="s">
        <v>86</v>
      </c>
      <c r="Q14" s="88"/>
      <c r="R14" s="88"/>
      <c r="S14" s="88"/>
    </row>
    <row r="15" spans="1:19" ht="30" customHeight="1" x14ac:dyDescent="0.2">
      <c r="A15" s="88"/>
      <c r="B15" s="102"/>
      <c r="C15" s="103"/>
      <c r="D15" s="51">
        <v>300059</v>
      </c>
      <c r="E15" s="51" t="s">
        <v>20</v>
      </c>
      <c r="F15" s="51">
        <v>300259</v>
      </c>
      <c r="G15" s="51">
        <v>300359</v>
      </c>
      <c r="H15" s="51">
        <v>300459</v>
      </c>
      <c r="I15" s="51">
        <v>300559</v>
      </c>
      <c r="J15" s="51" t="s">
        <v>20</v>
      </c>
      <c r="K15" s="51">
        <v>300759</v>
      </c>
      <c r="L15" s="51">
        <v>300859</v>
      </c>
      <c r="M15" s="51" t="s">
        <v>20</v>
      </c>
      <c r="N15" s="51">
        <v>301059</v>
      </c>
      <c r="O15" s="88"/>
      <c r="P15" s="52" t="s">
        <v>87</v>
      </c>
      <c r="Q15" s="88"/>
      <c r="R15" s="88"/>
      <c r="S15" s="88"/>
    </row>
    <row r="16" spans="1:19" ht="30" customHeight="1" x14ac:dyDescent="0.2">
      <c r="A16" s="88"/>
      <c r="B16" s="102"/>
      <c r="C16" s="103"/>
      <c r="D16" s="51">
        <v>300060</v>
      </c>
      <c r="E16" s="51" t="s">
        <v>20</v>
      </c>
      <c r="F16" s="51">
        <v>300260</v>
      </c>
      <c r="G16" s="51" t="s">
        <v>20</v>
      </c>
      <c r="H16" s="51">
        <v>300460</v>
      </c>
      <c r="I16" s="51">
        <v>300560</v>
      </c>
      <c r="J16" s="51">
        <v>300660</v>
      </c>
      <c r="K16" s="51" t="s">
        <v>20</v>
      </c>
      <c r="L16" s="51">
        <v>300860</v>
      </c>
      <c r="M16" s="51" t="s">
        <v>20</v>
      </c>
      <c r="N16" s="51">
        <v>301060</v>
      </c>
      <c r="O16" s="88"/>
      <c r="P16" s="52" t="s">
        <v>88</v>
      </c>
      <c r="Q16" s="88"/>
      <c r="R16" s="88"/>
      <c r="S16" s="88"/>
    </row>
    <row r="17" spans="1:19" ht="30" customHeight="1" x14ac:dyDescent="0.2">
      <c r="A17" s="88"/>
      <c r="B17" s="102"/>
      <c r="C17" s="103"/>
      <c r="D17" s="51">
        <v>300061</v>
      </c>
      <c r="E17" s="51" t="s">
        <v>20</v>
      </c>
      <c r="F17" s="51" t="s">
        <v>20</v>
      </c>
      <c r="G17" s="51" t="s">
        <v>20</v>
      </c>
      <c r="H17" s="51">
        <v>300461</v>
      </c>
      <c r="I17" s="51">
        <v>300561</v>
      </c>
      <c r="J17" s="51" t="s">
        <v>20</v>
      </c>
      <c r="K17" s="51" t="s">
        <v>20</v>
      </c>
      <c r="L17" s="51">
        <v>300861</v>
      </c>
      <c r="M17" s="51">
        <v>300961</v>
      </c>
      <c r="N17" s="51" t="s">
        <v>20</v>
      </c>
      <c r="O17" s="88"/>
      <c r="P17" s="52" t="s">
        <v>89</v>
      </c>
      <c r="Q17" s="88"/>
      <c r="R17" s="88"/>
      <c r="S17" s="88"/>
    </row>
    <row r="18" spans="1:19" ht="30" customHeight="1" x14ac:dyDescent="0.2">
      <c r="A18" s="88"/>
      <c r="B18" s="102"/>
      <c r="C18" s="103"/>
      <c r="D18" s="51">
        <v>300063</v>
      </c>
      <c r="E18" s="51">
        <v>300163</v>
      </c>
      <c r="F18" s="51">
        <v>300263</v>
      </c>
      <c r="G18" s="51">
        <v>300363</v>
      </c>
      <c r="H18" s="51">
        <v>300463</v>
      </c>
      <c r="I18" s="51">
        <v>300563</v>
      </c>
      <c r="J18" s="51">
        <v>300663</v>
      </c>
      <c r="K18" s="51">
        <v>300763</v>
      </c>
      <c r="L18" s="51">
        <v>300863</v>
      </c>
      <c r="M18" s="51">
        <v>300963</v>
      </c>
      <c r="N18" s="51">
        <v>301063</v>
      </c>
      <c r="O18" s="88"/>
      <c r="P18" s="52" t="s">
        <v>90</v>
      </c>
      <c r="Q18" s="88"/>
      <c r="R18" s="88"/>
      <c r="S18" s="88"/>
    </row>
    <row r="19" spans="1:19" ht="30" customHeight="1" x14ac:dyDescent="0.2">
      <c r="A19" s="88"/>
      <c r="B19" s="102"/>
      <c r="C19" s="103"/>
      <c r="D19" s="51">
        <v>300005</v>
      </c>
      <c r="E19" s="51">
        <v>300105</v>
      </c>
      <c r="F19" s="51">
        <v>300205</v>
      </c>
      <c r="G19" s="51">
        <v>300305</v>
      </c>
      <c r="H19" s="51">
        <v>300405</v>
      </c>
      <c r="I19" s="51">
        <v>300505</v>
      </c>
      <c r="J19" s="51">
        <v>300605</v>
      </c>
      <c r="K19" s="51">
        <v>300705</v>
      </c>
      <c r="L19" s="51">
        <v>300805</v>
      </c>
      <c r="M19" s="51">
        <v>300905</v>
      </c>
      <c r="N19" s="51">
        <v>301005</v>
      </c>
      <c r="O19" s="88"/>
      <c r="P19" s="52" t="s">
        <v>91</v>
      </c>
      <c r="Q19" s="88"/>
      <c r="R19" s="88"/>
      <c r="S19" s="88"/>
    </row>
    <row r="20" spans="1:19" ht="30" customHeight="1" x14ac:dyDescent="0.2">
      <c r="A20" s="88"/>
      <c r="B20" s="102"/>
      <c r="C20" s="103"/>
      <c r="D20" s="51">
        <v>300012</v>
      </c>
      <c r="E20" s="51">
        <v>300112</v>
      </c>
      <c r="F20" s="51" t="s">
        <v>20</v>
      </c>
      <c r="G20" s="51">
        <v>300312</v>
      </c>
      <c r="H20" s="51" t="s">
        <v>20</v>
      </c>
      <c r="I20" s="51">
        <v>300512</v>
      </c>
      <c r="J20" s="51" t="s">
        <v>20</v>
      </c>
      <c r="K20" s="51" t="s">
        <v>20</v>
      </c>
      <c r="L20" s="51" t="s">
        <v>20</v>
      </c>
      <c r="M20" s="51">
        <v>300912</v>
      </c>
      <c r="N20" s="51" t="s">
        <v>20</v>
      </c>
      <c r="O20" s="88"/>
      <c r="P20" s="52" t="s">
        <v>92</v>
      </c>
      <c r="Q20" s="88"/>
      <c r="R20" s="88"/>
      <c r="S20" s="88"/>
    </row>
    <row r="21" spans="1:19" ht="30" customHeight="1" x14ac:dyDescent="0.2">
      <c r="A21" s="88"/>
      <c r="B21" s="102"/>
      <c r="C21" s="103"/>
      <c r="D21" s="51">
        <v>300027</v>
      </c>
      <c r="E21" s="51" t="s">
        <v>20</v>
      </c>
      <c r="F21" s="51">
        <v>300227</v>
      </c>
      <c r="G21" s="51">
        <v>300327</v>
      </c>
      <c r="H21" s="51">
        <v>300427</v>
      </c>
      <c r="I21" s="51">
        <v>300527</v>
      </c>
      <c r="J21" s="51">
        <v>300627</v>
      </c>
      <c r="K21" s="51">
        <v>300727</v>
      </c>
      <c r="L21" s="51">
        <v>300827</v>
      </c>
      <c r="M21" s="51" t="s">
        <v>20</v>
      </c>
      <c r="N21" s="51">
        <v>301027</v>
      </c>
      <c r="O21" s="88"/>
      <c r="P21" s="52" t="s">
        <v>93</v>
      </c>
      <c r="Q21" s="88"/>
      <c r="R21" s="88"/>
      <c r="S21" s="88"/>
    </row>
    <row r="22" spans="1:19" ht="30" customHeight="1" x14ac:dyDescent="0.2">
      <c r="A22" s="88"/>
      <c r="B22" s="102"/>
      <c r="C22" s="103"/>
      <c r="D22" s="51">
        <v>300026</v>
      </c>
      <c r="E22" s="51" t="s">
        <v>20</v>
      </c>
      <c r="F22" s="51" t="s">
        <v>20</v>
      </c>
      <c r="G22" s="51">
        <v>300326</v>
      </c>
      <c r="H22" s="51">
        <v>300426</v>
      </c>
      <c r="I22" s="51">
        <v>300526</v>
      </c>
      <c r="J22" s="51" t="s">
        <v>20</v>
      </c>
      <c r="K22" s="51" t="s">
        <v>20</v>
      </c>
      <c r="L22" s="51">
        <v>300826</v>
      </c>
      <c r="M22" s="51">
        <v>300926</v>
      </c>
      <c r="N22" s="51" t="s">
        <v>20</v>
      </c>
      <c r="O22" s="88"/>
      <c r="P22" s="52" t="s">
        <v>94</v>
      </c>
      <c r="Q22" s="88"/>
      <c r="R22" s="88"/>
      <c r="S22" s="88"/>
    </row>
    <row r="23" spans="1:19" ht="30" customHeight="1" x14ac:dyDescent="0.2">
      <c r="A23" s="88"/>
      <c r="B23" s="102"/>
      <c r="C23" s="103"/>
      <c r="D23" s="51">
        <v>300025</v>
      </c>
      <c r="E23" s="51" t="s">
        <v>20</v>
      </c>
      <c r="F23" s="51">
        <v>300225</v>
      </c>
      <c r="G23" s="51">
        <v>300325</v>
      </c>
      <c r="H23" s="51">
        <v>300425</v>
      </c>
      <c r="I23" s="51">
        <v>300525</v>
      </c>
      <c r="J23" s="51">
        <v>300625</v>
      </c>
      <c r="K23" s="51">
        <v>300725</v>
      </c>
      <c r="L23" s="51">
        <v>300825</v>
      </c>
      <c r="M23" s="51" t="s">
        <v>20</v>
      </c>
      <c r="N23" s="51">
        <v>301025</v>
      </c>
      <c r="O23" s="88"/>
      <c r="P23" s="52" t="s">
        <v>95</v>
      </c>
      <c r="Q23" s="88"/>
      <c r="R23" s="88"/>
      <c r="S23" s="88"/>
    </row>
    <row r="24" spans="1:19" ht="30" customHeight="1" x14ac:dyDescent="0.2">
      <c r="A24" s="88"/>
      <c r="B24" s="102"/>
      <c r="C24" s="103"/>
      <c r="D24" s="51">
        <v>300028</v>
      </c>
      <c r="E24" s="51" t="s">
        <v>20</v>
      </c>
      <c r="F24" s="51" t="s">
        <v>20</v>
      </c>
      <c r="G24" s="51">
        <v>300328</v>
      </c>
      <c r="H24" s="51">
        <v>300428</v>
      </c>
      <c r="I24" s="51">
        <v>300528</v>
      </c>
      <c r="J24" s="51" t="s">
        <v>20</v>
      </c>
      <c r="K24" s="51" t="s">
        <v>20</v>
      </c>
      <c r="L24" s="51">
        <v>300828</v>
      </c>
      <c r="M24" s="51">
        <v>300928</v>
      </c>
      <c r="N24" s="51" t="s">
        <v>20</v>
      </c>
      <c r="O24" s="88"/>
      <c r="P24" s="52" t="s">
        <v>96</v>
      </c>
      <c r="Q24" s="88"/>
      <c r="R24" s="88"/>
      <c r="S24" s="88"/>
    </row>
    <row r="25" spans="1:19" ht="30" customHeight="1" x14ac:dyDescent="0.2">
      <c r="A25" s="88"/>
      <c r="B25" s="102"/>
      <c r="C25" s="103"/>
      <c r="D25" s="51">
        <v>300019</v>
      </c>
      <c r="E25" s="51">
        <v>300119</v>
      </c>
      <c r="F25" s="51">
        <v>300219</v>
      </c>
      <c r="G25" s="51">
        <v>300319</v>
      </c>
      <c r="H25" s="51">
        <v>300419</v>
      </c>
      <c r="I25" s="51">
        <v>300519</v>
      </c>
      <c r="J25" s="51">
        <v>300619</v>
      </c>
      <c r="K25" s="51">
        <v>300719</v>
      </c>
      <c r="L25" s="51">
        <v>300819</v>
      </c>
      <c r="M25" s="51">
        <v>300919</v>
      </c>
      <c r="N25" s="51">
        <v>301019</v>
      </c>
      <c r="O25" s="88"/>
      <c r="P25" s="52" t="s">
        <v>97</v>
      </c>
      <c r="Q25" s="88"/>
      <c r="R25" s="88"/>
      <c r="S25" s="88"/>
    </row>
    <row r="26" spans="1:19" ht="30" customHeight="1" x14ac:dyDescent="0.2">
      <c r="A26" s="88"/>
      <c r="B26" s="102"/>
      <c r="C26" s="103"/>
      <c r="D26" s="51">
        <v>300013</v>
      </c>
      <c r="E26" s="51" t="s">
        <v>20</v>
      </c>
      <c r="F26" s="51" t="s">
        <v>20</v>
      </c>
      <c r="G26" s="51">
        <v>300313</v>
      </c>
      <c r="H26" s="51">
        <v>300413</v>
      </c>
      <c r="I26" s="51">
        <v>300513</v>
      </c>
      <c r="J26" s="51" t="s">
        <v>20</v>
      </c>
      <c r="K26" s="51" t="s">
        <v>20</v>
      </c>
      <c r="L26" s="51">
        <v>300813</v>
      </c>
      <c r="M26" s="51">
        <v>300913</v>
      </c>
      <c r="N26" s="51" t="s">
        <v>20</v>
      </c>
      <c r="O26" s="88"/>
      <c r="P26" s="52" t="s">
        <v>98</v>
      </c>
      <c r="Q26" s="88"/>
      <c r="R26" s="88"/>
      <c r="S26" s="88"/>
    </row>
    <row r="27" spans="1:19" ht="30" customHeight="1" x14ac:dyDescent="0.2">
      <c r="A27" s="88"/>
      <c r="B27" s="102"/>
      <c r="C27" s="103"/>
      <c r="D27" s="51">
        <v>300015</v>
      </c>
      <c r="E27" s="51" t="s">
        <v>20</v>
      </c>
      <c r="F27" s="51" t="s">
        <v>20</v>
      </c>
      <c r="G27" s="51">
        <v>300315</v>
      </c>
      <c r="H27" s="51" t="s">
        <v>20</v>
      </c>
      <c r="I27" s="51">
        <v>300515</v>
      </c>
      <c r="J27" s="51" t="s">
        <v>20</v>
      </c>
      <c r="K27" s="51" t="s">
        <v>20</v>
      </c>
      <c r="L27" s="51" t="s">
        <v>20</v>
      </c>
      <c r="M27" s="51">
        <v>300915</v>
      </c>
      <c r="N27" s="51" t="s">
        <v>20</v>
      </c>
      <c r="O27" s="88"/>
      <c r="P27" s="52" t="s">
        <v>99</v>
      </c>
      <c r="Q27" s="88"/>
      <c r="R27" s="88"/>
      <c r="S27" s="88"/>
    </row>
    <row r="28" spans="1:19" ht="30" customHeight="1" x14ac:dyDescent="0.2">
      <c r="A28" s="88"/>
      <c r="B28" s="102"/>
      <c r="C28" s="103"/>
      <c r="D28" s="51">
        <v>300038</v>
      </c>
      <c r="E28" s="51" t="s">
        <v>20</v>
      </c>
      <c r="F28" s="51" t="s">
        <v>20</v>
      </c>
      <c r="G28" s="51">
        <v>300338</v>
      </c>
      <c r="H28" s="51" t="s">
        <v>20</v>
      </c>
      <c r="I28" s="51">
        <v>300538</v>
      </c>
      <c r="J28" s="51" t="s">
        <v>20</v>
      </c>
      <c r="K28" s="51" t="s">
        <v>20</v>
      </c>
      <c r="L28" s="51" t="s">
        <v>20</v>
      </c>
      <c r="M28" s="51">
        <v>300938</v>
      </c>
      <c r="N28" s="51" t="s">
        <v>20</v>
      </c>
      <c r="O28" s="88"/>
      <c r="P28" s="52" t="s">
        <v>100</v>
      </c>
      <c r="Q28" s="88"/>
      <c r="R28" s="88"/>
      <c r="S28" s="88"/>
    </row>
    <row r="29" spans="1:19" ht="30" customHeight="1" x14ac:dyDescent="0.2">
      <c r="A29" s="88"/>
      <c r="B29" s="102"/>
      <c r="C29" s="103"/>
      <c r="D29" s="51">
        <v>300044</v>
      </c>
      <c r="E29" s="51" t="s">
        <v>20</v>
      </c>
      <c r="F29" s="51" t="s">
        <v>20</v>
      </c>
      <c r="G29" s="51">
        <v>300344</v>
      </c>
      <c r="H29" s="51" t="s">
        <v>20</v>
      </c>
      <c r="I29" s="51">
        <v>300544</v>
      </c>
      <c r="J29" s="51" t="s">
        <v>20</v>
      </c>
      <c r="K29" s="51" t="s">
        <v>20</v>
      </c>
      <c r="L29" s="51">
        <v>300844</v>
      </c>
      <c r="M29" s="51">
        <v>300944</v>
      </c>
      <c r="N29" s="51" t="s">
        <v>20</v>
      </c>
      <c r="O29" s="88"/>
      <c r="P29" s="52" t="s">
        <v>101</v>
      </c>
      <c r="Q29" s="88"/>
      <c r="R29" s="88"/>
      <c r="S29" s="88"/>
    </row>
    <row r="30" spans="1:19" ht="30" customHeight="1" x14ac:dyDescent="0.2">
      <c r="A30" s="88"/>
      <c r="B30" s="102"/>
      <c r="C30" s="103"/>
      <c r="D30" s="51">
        <v>300010</v>
      </c>
      <c r="E30" s="51" t="s">
        <v>20</v>
      </c>
      <c r="F30" s="51">
        <v>300210</v>
      </c>
      <c r="G30" s="51">
        <v>300310</v>
      </c>
      <c r="H30" s="51" t="s">
        <v>20</v>
      </c>
      <c r="I30" s="51">
        <v>300510</v>
      </c>
      <c r="J30" s="51">
        <v>300610</v>
      </c>
      <c r="K30" s="51">
        <v>300710</v>
      </c>
      <c r="L30" s="51">
        <v>300810</v>
      </c>
      <c r="M30" s="51">
        <v>300910</v>
      </c>
      <c r="N30" s="51" t="s">
        <v>20</v>
      </c>
      <c r="O30" s="88"/>
      <c r="P30" s="52" t="s">
        <v>102</v>
      </c>
      <c r="Q30" s="88"/>
      <c r="R30" s="88"/>
      <c r="S30" s="88"/>
    </row>
    <row r="31" spans="1:19" ht="30" customHeight="1" x14ac:dyDescent="0.2">
      <c r="A31" s="88"/>
      <c r="B31" s="102"/>
      <c r="C31" s="103"/>
      <c r="D31" s="51">
        <v>300008</v>
      </c>
      <c r="E31" s="51" t="s">
        <v>20</v>
      </c>
      <c r="F31" s="51" t="s">
        <v>20</v>
      </c>
      <c r="G31" s="51">
        <v>300308</v>
      </c>
      <c r="H31" s="51" t="s">
        <v>20</v>
      </c>
      <c r="I31" s="51">
        <v>300508</v>
      </c>
      <c r="J31" s="51" t="s">
        <v>20</v>
      </c>
      <c r="K31" s="51" t="s">
        <v>20</v>
      </c>
      <c r="L31" s="51" t="s">
        <v>20</v>
      </c>
      <c r="M31" s="51">
        <v>300908</v>
      </c>
      <c r="N31" s="51" t="s">
        <v>20</v>
      </c>
      <c r="O31" s="88"/>
      <c r="P31" s="52" t="s">
        <v>103</v>
      </c>
      <c r="Q31" s="88"/>
      <c r="R31" s="88"/>
      <c r="S31" s="88"/>
    </row>
    <row r="32" spans="1:19" ht="30" customHeight="1" x14ac:dyDescent="0.2">
      <c r="A32" s="88"/>
      <c r="B32" s="102"/>
      <c r="C32" s="103"/>
      <c r="D32" s="51">
        <v>300021</v>
      </c>
      <c r="E32" s="51" t="s">
        <v>20</v>
      </c>
      <c r="F32" s="51" t="s">
        <v>20</v>
      </c>
      <c r="G32" s="51">
        <v>300321</v>
      </c>
      <c r="H32" s="51" t="s">
        <v>20</v>
      </c>
      <c r="I32" s="51">
        <v>300521</v>
      </c>
      <c r="J32" s="51" t="s">
        <v>20</v>
      </c>
      <c r="K32" s="51" t="s">
        <v>20</v>
      </c>
      <c r="L32" s="51">
        <v>300821</v>
      </c>
      <c r="M32" s="51" t="s">
        <v>20</v>
      </c>
      <c r="N32" s="51" t="s">
        <v>20</v>
      </c>
      <c r="O32" s="88"/>
      <c r="P32" s="52" t="s">
        <v>104</v>
      </c>
      <c r="Q32" s="88"/>
      <c r="R32" s="88"/>
      <c r="S32" s="88"/>
    </row>
    <row r="33" spans="1:19" ht="30" customHeight="1" x14ac:dyDescent="0.2">
      <c r="A33" s="88"/>
      <c r="B33" s="102"/>
      <c r="C33" s="103"/>
      <c r="D33" s="51">
        <v>300006</v>
      </c>
      <c r="E33" s="51" t="s">
        <v>20</v>
      </c>
      <c r="F33" s="51">
        <v>300206</v>
      </c>
      <c r="G33" s="51">
        <v>300306</v>
      </c>
      <c r="H33" s="51">
        <v>300406</v>
      </c>
      <c r="I33" s="51">
        <v>300506</v>
      </c>
      <c r="J33" s="51">
        <v>300606</v>
      </c>
      <c r="K33" s="51" t="s">
        <v>20</v>
      </c>
      <c r="L33" s="51">
        <v>300806</v>
      </c>
      <c r="M33" s="51">
        <v>300906</v>
      </c>
      <c r="N33" s="51" t="s">
        <v>20</v>
      </c>
      <c r="O33" s="88"/>
      <c r="P33" s="52" t="s">
        <v>105</v>
      </c>
      <c r="Q33" s="88"/>
      <c r="R33" s="88"/>
      <c r="S33" s="88"/>
    </row>
    <row r="34" spans="1:19" ht="30" customHeight="1" x14ac:dyDescent="0.2">
      <c r="A34" s="89"/>
      <c r="B34" s="104"/>
      <c r="C34" s="105"/>
      <c r="D34" s="51">
        <v>300009</v>
      </c>
      <c r="E34" s="51" t="s">
        <v>20</v>
      </c>
      <c r="F34" s="51" t="s">
        <v>20</v>
      </c>
      <c r="G34" s="51">
        <v>300309</v>
      </c>
      <c r="H34" s="51" t="s">
        <v>20</v>
      </c>
      <c r="I34" s="51">
        <v>300509</v>
      </c>
      <c r="J34" s="51" t="s">
        <v>20</v>
      </c>
      <c r="K34" s="51" t="s">
        <v>20</v>
      </c>
      <c r="L34" s="51">
        <v>300809</v>
      </c>
      <c r="M34" s="51">
        <v>300909</v>
      </c>
      <c r="N34" s="51" t="s">
        <v>20</v>
      </c>
      <c r="O34" s="89"/>
      <c r="P34" s="52" t="s">
        <v>106</v>
      </c>
      <c r="Q34" s="89"/>
      <c r="R34" s="89"/>
      <c r="S34" s="89"/>
    </row>
    <row r="35" spans="1:19" ht="33" customHeight="1" x14ac:dyDescent="0.2">
      <c r="A35" s="90" t="s">
        <v>107</v>
      </c>
      <c r="B35" s="91"/>
      <c r="C35" s="91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2"/>
    </row>
    <row r="36" spans="1:19" ht="28.5" customHeight="1" x14ac:dyDescent="0.2">
      <c r="A36" s="93" t="s">
        <v>21</v>
      </c>
      <c r="B36" s="93" t="s">
        <v>1</v>
      </c>
      <c r="C36" s="93" t="s">
        <v>22</v>
      </c>
      <c r="D36" s="94" t="s">
        <v>2</v>
      </c>
      <c r="E36" s="95"/>
      <c r="F36" s="95"/>
      <c r="G36" s="95"/>
      <c r="H36" s="95"/>
      <c r="I36" s="95"/>
      <c r="J36" s="95"/>
      <c r="K36" s="95"/>
      <c r="L36" s="95"/>
      <c r="M36" s="95"/>
      <c r="N36" s="96"/>
      <c r="O36" s="97"/>
      <c r="P36" s="99" t="s">
        <v>23</v>
      </c>
      <c r="Q36" s="99" t="s">
        <v>24</v>
      </c>
      <c r="R36" s="99"/>
      <c r="S36" s="99"/>
    </row>
    <row r="37" spans="1:19" ht="39" customHeight="1" x14ac:dyDescent="0.2">
      <c r="A37" s="93"/>
      <c r="B37" s="93"/>
      <c r="C37" s="93"/>
      <c r="D37" s="1" t="s">
        <v>6</v>
      </c>
      <c r="E37" s="1" t="s">
        <v>7</v>
      </c>
      <c r="F37" s="1" t="s">
        <v>8</v>
      </c>
      <c r="G37" s="1" t="s">
        <v>9</v>
      </c>
      <c r="H37" s="1" t="s">
        <v>10</v>
      </c>
      <c r="I37" s="1" t="s">
        <v>11</v>
      </c>
      <c r="J37" s="1" t="s">
        <v>12</v>
      </c>
      <c r="K37" s="1" t="s">
        <v>13</v>
      </c>
      <c r="L37" s="53" t="s">
        <v>14</v>
      </c>
      <c r="M37" s="53" t="s">
        <v>15</v>
      </c>
      <c r="N37" s="53" t="s">
        <v>16</v>
      </c>
      <c r="O37" s="98"/>
      <c r="P37" s="99"/>
      <c r="Q37" s="64" t="s">
        <v>25</v>
      </c>
      <c r="R37" s="64" t="s">
        <v>18</v>
      </c>
      <c r="S37" s="64" t="s">
        <v>19</v>
      </c>
    </row>
    <row r="38" spans="1:19" ht="24" customHeight="1" x14ac:dyDescent="0.2">
      <c r="A38" s="65">
        <v>595716</v>
      </c>
      <c r="B38" s="65"/>
      <c r="C38" s="65"/>
      <c r="D38" s="65" t="s">
        <v>20</v>
      </c>
      <c r="E38" s="65">
        <v>3001</v>
      </c>
      <c r="F38" s="65">
        <v>3002</v>
      </c>
      <c r="G38" s="65">
        <v>3003</v>
      </c>
      <c r="H38" s="65">
        <v>3004</v>
      </c>
      <c r="I38" s="65">
        <v>3005</v>
      </c>
      <c r="J38" s="65">
        <v>3006</v>
      </c>
      <c r="K38" s="65">
        <v>3007</v>
      </c>
      <c r="L38" s="54">
        <v>3008</v>
      </c>
      <c r="M38" s="54">
        <v>3009</v>
      </c>
      <c r="N38" s="54">
        <v>3010</v>
      </c>
      <c r="O38" s="8" t="s">
        <v>159</v>
      </c>
      <c r="P38" s="78">
        <v>2</v>
      </c>
      <c r="Q38" s="78">
        <v>586</v>
      </c>
      <c r="R38" s="78">
        <v>45</v>
      </c>
      <c r="S38" s="78">
        <v>25</v>
      </c>
    </row>
    <row r="39" spans="1:19" ht="24" customHeight="1" x14ac:dyDescent="0.2">
      <c r="A39" s="8"/>
      <c r="B39" s="65">
        <f>A38</f>
        <v>595716</v>
      </c>
      <c r="C39" s="8"/>
      <c r="D39" s="65">
        <v>3099</v>
      </c>
      <c r="E39" s="65">
        <v>3000</v>
      </c>
      <c r="F39" s="65">
        <v>3000</v>
      </c>
      <c r="G39" s="65">
        <v>3000</v>
      </c>
      <c r="H39" s="65">
        <v>3000</v>
      </c>
      <c r="I39" s="65">
        <v>3000</v>
      </c>
      <c r="J39" s="65">
        <v>3000</v>
      </c>
      <c r="K39" s="65">
        <v>3000</v>
      </c>
      <c r="L39" s="65">
        <v>3000</v>
      </c>
      <c r="M39" s="65">
        <v>3000</v>
      </c>
      <c r="N39" s="65">
        <v>3000</v>
      </c>
      <c r="O39" s="8" t="str">
        <f>SUBSTITUTE(O38,"+ COR", "- NATURAL")</f>
        <v>CABECEIRA SUP/INF ARCH 586X45X25+COR</v>
      </c>
      <c r="P39" s="79"/>
      <c r="Q39" s="79"/>
      <c r="R39" s="79"/>
      <c r="S39" s="79"/>
    </row>
    <row r="40" spans="1:19" ht="24" customHeight="1" x14ac:dyDescent="0.2">
      <c r="A40" s="30"/>
      <c r="B40" s="4"/>
      <c r="C40" s="4">
        <v>1022131</v>
      </c>
      <c r="D40" s="4" t="s">
        <v>20</v>
      </c>
      <c r="E40" s="4" t="s">
        <v>20</v>
      </c>
      <c r="F40" s="4" t="s">
        <v>20</v>
      </c>
      <c r="G40" s="4" t="s">
        <v>20</v>
      </c>
      <c r="H40" s="4" t="s">
        <v>20</v>
      </c>
      <c r="I40" s="4" t="s">
        <v>20</v>
      </c>
      <c r="J40" s="4" t="s">
        <v>20</v>
      </c>
      <c r="K40" s="4" t="s">
        <v>20</v>
      </c>
      <c r="L40" s="65" t="s">
        <v>20</v>
      </c>
      <c r="M40" s="65" t="s">
        <v>20</v>
      </c>
      <c r="N40" s="65" t="s">
        <v>20</v>
      </c>
      <c r="O40" s="5" t="s">
        <v>141</v>
      </c>
      <c r="P40" s="6"/>
      <c r="Q40" s="6"/>
      <c r="R40" s="6"/>
      <c r="S40" s="26"/>
    </row>
    <row r="41" spans="1:19" ht="24" customHeight="1" x14ac:dyDescent="0.2">
      <c r="A41" s="30"/>
      <c r="B41" s="4">
        <v>595700</v>
      </c>
      <c r="C41" s="4"/>
      <c r="D41" s="7" t="s">
        <v>26</v>
      </c>
      <c r="E41" s="7" t="s">
        <v>26</v>
      </c>
      <c r="F41" s="7" t="s">
        <v>27</v>
      </c>
      <c r="G41" s="7" t="s">
        <v>28</v>
      </c>
      <c r="H41" s="7" t="s">
        <v>29</v>
      </c>
      <c r="I41" s="7" t="s">
        <v>30</v>
      </c>
      <c r="J41" s="7" t="s">
        <v>31</v>
      </c>
      <c r="K41" s="7" t="s">
        <v>32</v>
      </c>
      <c r="L41" s="7" t="s">
        <v>33</v>
      </c>
      <c r="M41" s="7" t="s">
        <v>34</v>
      </c>
      <c r="N41" s="7" t="s">
        <v>35</v>
      </c>
      <c r="O41" s="5" t="s">
        <v>142</v>
      </c>
      <c r="P41" s="4"/>
      <c r="Q41" s="4" t="s">
        <v>36</v>
      </c>
      <c r="R41" s="8"/>
      <c r="S41" s="8"/>
    </row>
    <row r="42" spans="1:19" ht="15" customHeight="1" x14ac:dyDescent="0.2">
      <c r="A42" s="5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26"/>
    </row>
    <row r="43" spans="1:19" ht="24" customHeight="1" x14ac:dyDescent="0.2">
      <c r="A43" s="65">
        <v>595733</v>
      </c>
      <c r="B43" s="65"/>
      <c r="C43" s="65"/>
      <c r="D43" s="65" t="s">
        <v>20</v>
      </c>
      <c r="E43" s="65">
        <v>3001</v>
      </c>
      <c r="F43" s="65">
        <v>3002</v>
      </c>
      <c r="G43" s="65">
        <v>3003</v>
      </c>
      <c r="H43" s="65">
        <v>3004</v>
      </c>
      <c r="I43" s="65">
        <v>3005</v>
      </c>
      <c r="J43" s="65">
        <v>3006</v>
      </c>
      <c r="K43" s="65">
        <v>3007</v>
      </c>
      <c r="L43" s="54">
        <v>3008</v>
      </c>
      <c r="M43" s="54">
        <v>3009</v>
      </c>
      <c r="N43" s="54">
        <v>3010</v>
      </c>
      <c r="O43" s="8" t="s">
        <v>157</v>
      </c>
      <c r="P43" s="78">
        <v>1</v>
      </c>
      <c r="Q43" s="78">
        <v>2210</v>
      </c>
      <c r="R43" s="78">
        <v>45</v>
      </c>
      <c r="S43" s="78">
        <v>25</v>
      </c>
    </row>
    <row r="44" spans="1:19" ht="24" customHeight="1" x14ac:dyDescent="0.2">
      <c r="A44" s="8"/>
      <c r="B44" s="65">
        <f>A43</f>
        <v>595733</v>
      </c>
      <c r="C44" s="8"/>
      <c r="D44" s="65">
        <v>3099</v>
      </c>
      <c r="E44" s="65">
        <v>3000</v>
      </c>
      <c r="F44" s="65">
        <v>3000</v>
      </c>
      <c r="G44" s="65">
        <v>3000</v>
      </c>
      <c r="H44" s="65">
        <v>3000</v>
      </c>
      <c r="I44" s="65">
        <v>3000</v>
      </c>
      <c r="J44" s="65">
        <v>3000</v>
      </c>
      <c r="K44" s="65">
        <v>3000</v>
      </c>
      <c r="L44" s="65">
        <v>3000</v>
      </c>
      <c r="M44" s="65">
        <v>3000</v>
      </c>
      <c r="N44" s="65">
        <v>3000</v>
      </c>
      <c r="O44" s="8" t="str">
        <f>SUBSTITUTE(O43,"+ COR", "- NATURAL")</f>
        <v>LATERAL DIR ARCH 2210X45X25 +COR</v>
      </c>
      <c r="P44" s="79"/>
      <c r="Q44" s="79"/>
      <c r="R44" s="79"/>
      <c r="S44" s="79"/>
    </row>
    <row r="45" spans="1:19" ht="24" customHeight="1" x14ac:dyDescent="0.2">
      <c r="A45" s="30"/>
      <c r="B45" s="4"/>
      <c r="C45" s="4">
        <v>1022131</v>
      </c>
      <c r="D45" s="4" t="s">
        <v>20</v>
      </c>
      <c r="E45" s="4" t="s">
        <v>20</v>
      </c>
      <c r="F45" s="4" t="s">
        <v>20</v>
      </c>
      <c r="G45" s="4" t="s">
        <v>20</v>
      </c>
      <c r="H45" s="4" t="s">
        <v>20</v>
      </c>
      <c r="I45" s="4" t="s">
        <v>20</v>
      </c>
      <c r="J45" s="4" t="s">
        <v>20</v>
      </c>
      <c r="K45" s="4" t="s">
        <v>20</v>
      </c>
      <c r="L45" s="65" t="s">
        <v>20</v>
      </c>
      <c r="M45" s="65" t="s">
        <v>20</v>
      </c>
      <c r="N45" s="65" t="s">
        <v>20</v>
      </c>
      <c r="O45" s="5" t="s">
        <v>141</v>
      </c>
      <c r="P45" s="6"/>
      <c r="Q45" s="6"/>
      <c r="R45" s="6"/>
      <c r="S45" s="26"/>
    </row>
    <row r="46" spans="1:19" ht="24" customHeight="1" x14ac:dyDescent="0.2">
      <c r="A46" s="30"/>
      <c r="B46" s="4">
        <v>595700</v>
      </c>
      <c r="C46" s="4"/>
      <c r="D46" s="7" t="s">
        <v>26</v>
      </c>
      <c r="E46" s="7" t="s">
        <v>26</v>
      </c>
      <c r="F46" s="7" t="s">
        <v>27</v>
      </c>
      <c r="G46" s="7" t="s">
        <v>28</v>
      </c>
      <c r="H46" s="7" t="s">
        <v>29</v>
      </c>
      <c r="I46" s="7" t="s">
        <v>30</v>
      </c>
      <c r="J46" s="7" t="s">
        <v>31</v>
      </c>
      <c r="K46" s="7" t="s">
        <v>32</v>
      </c>
      <c r="L46" s="7" t="s">
        <v>33</v>
      </c>
      <c r="M46" s="7" t="s">
        <v>34</v>
      </c>
      <c r="N46" s="7" t="s">
        <v>35</v>
      </c>
      <c r="O46" s="5" t="s">
        <v>142</v>
      </c>
      <c r="P46" s="4"/>
      <c r="Q46" s="4" t="s">
        <v>36</v>
      </c>
      <c r="R46" s="8"/>
      <c r="S46" s="8"/>
    </row>
    <row r="47" spans="1:19" ht="15" customHeight="1" x14ac:dyDescent="0.2">
      <c r="A47" s="5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26"/>
    </row>
    <row r="48" spans="1:19" ht="24" customHeight="1" x14ac:dyDescent="0.2">
      <c r="A48" s="65">
        <v>595730</v>
      </c>
      <c r="B48" s="65"/>
      <c r="C48" s="65"/>
      <c r="D48" s="65" t="s">
        <v>20</v>
      </c>
      <c r="E48" s="65">
        <v>3001</v>
      </c>
      <c r="F48" s="65">
        <v>3002</v>
      </c>
      <c r="G48" s="65">
        <v>3003</v>
      </c>
      <c r="H48" s="65">
        <v>3004</v>
      </c>
      <c r="I48" s="65">
        <v>3005</v>
      </c>
      <c r="J48" s="65">
        <v>3006</v>
      </c>
      <c r="K48" s="65">
        <v>3007</v>
      </c>
      <c r="L48" s="54">
        <v>3008</v>
      </c>
      <c r="M48" s="54">
        <v>3009</v>
      </c>
      <c r="N48" s="54">
        <v>3010</v>
      </c>
      <c r="O48" s="8" t="s">
        <v>158</v>
      </c>
      <c r="P48" s="78">
        <v>1</v>
      </c>
      <c r="Q48" s="78">
        <v>2210</v>
      </c>
      <c r="R48" s="78">
        <v>45</v>
      </c>
      <c r="S48" s="78">
        <v>25</v>
      </c>
    </row>
    <row r="49" spans="1:19" ht="24" customHeight="1" x14ac:dyDescent="0.2">
      <c r="A49" s="8"/>
      <c r="B49" s="65">
        <f>A48</f>
        <v>595730</v>
      </c>
      <c r="C49" s="8"/>
      <c r="D49" s="65">
        <v>3099</v>
      </c>
      <c r="E49" s="65">
        <v>3000</v>
      </c>
      <c r="F49" s="65">
        <v>3000</v>
      </c>
      <c r="G49" s="65">
        <v>3000</v>
      </c>
      <c r="H49" s="65">
        <v>3000</v>
      </c>
      <c r="I49" s="65">
        <v>3000</v>
      </c>
      <c r="J49" s="65">
        <v>3000</v>
      </c>
      <c r="K49" s="65">
        <v>3000</v>
      </c>
      <c r="L49" s="65">
        <v>3000</v>
      </c>
      <c r="M49" s="65">
        <v>3000</v>
      </c>
      <c r="N49" s="65">
        <v>3000</v>
      </c>
      <c r="O49" s="8" t="str">
        <f>SUBSTITUTE(O48,"+ COR", "- NATURAL")</f>
        <v>LATERAL ESQ ARCH 2210X45X25 C/ REC PUX+COR</v>
      </c>
      <c r="P49" s="79"/>
      <c r="Q49" s="79"/>
      <c r="R49" s="79"/>
      <c r="S49" s="79"/>
    </row>
    <row r="50" spans="1:19" ht="24" customHeight="1" x14ac:dyDescent="0.2">
      <c r="A50" s="30"/>
      <c r="B50" s="4"/>
      <c r="C50" s="4">
        <v>1022131</v>
      </c>
      <c r="D50" s="4" t="s">
        <v>20</v>
      </c>
      <c r="E50" s="4" t="s">
        <v>20</v>
      </c>
      <c r="F50" s="4" t="s">
        <v>20</v>
      </c>
      <c r="G50" s="4" t="s">
        <v>20</v>
      </c>
      <c r="H50" s="4" t="s">
        <v>20</v>
      </c>
      <c r="I50" s="4" t="s">
        <v>20</v>
      </c>
      <c r="J50" s="4" t="s">
        <v>20</v>
      </c>
      <c r="K50" s="4" t="s">
        <v>20</v>
      </c>
      <c r="L50" s="65" t="s">
        <v>20</v>
      </c>
      <c r="M50" s="65" t="s">
        <v>20</v>
      </c>
      <c r="N50" s="65" t="s">
        <v>20</v>
      </c>
      <c r="O50" s="5" t="s">
        <v>141</v>
      </c>
      <c r="P50" s="6"/>
      <c r="Q50" s="6"/>
      <c r="R50" s="6"/>
      <c r="S50" s="26"/>
    </row>
    <row r="51" spans="1:19" ht="24" customHeight="1" x14ac:dyDescent="0.2">
      <c r="A51" s="30"/>
      <c r="B51" s="4">
        <v>595700</v>
      </c>
      <c r="C51" s="4"/>
      <c r="D51" s="7" t="s">
        <v>26</v>
      </c>
      <c r="E51" s="7" t="s">
        <v>26</v>
      </c>
      <c r="F51" s="7" t="s">
        <v>27</v>
      </c>
      <c r="G51" s="7" t="s">
        <v>28</v>
      </c>
      <c r="H51" s="7" t="s">
        <v>29</v>
      </c>
      <c r="I51" s="7" t="s">
        <v>30</v>
      </c>
      <c r="J51" s="7" t="s">
        <v>31</v>
      </c>
      <c r="K51" s="7" t="s">
        <v>32</v>
      </c>
      <c r="L51" s="7" t="s">
        <v>33</v>
      </c>
      <c r="M51" s="7" t="s">
        <v>34</v>
      </c>
      <c r="N51" s="7" t="s">
        <v>35</v>
      </c>
      <c r="O51" s="5" t="s">
        <v>142</v>
      </c>
      <c r="P51" s="4"/>
      <c r="Q51" s="4" t="s">
        <v>36</v>
      </c>
      <c r="R51" s="8"/>
      <c r="S51" s="8"/>
    </row>
    <row r="52" spans="1:19" ht="15" customHeight="1" x14ac:dyDescent="0.2">
      <c r="A52" s="5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26"/>
    </row>
    <row r="53" spans="1:19" ht="38.25" x14ac:dyDescent="0.2">
      <c r="A53" s="65">
        <v>595709</v>
      </c>
      <c r="B53" s="65"/>
      <c r="C53" s="65"/>
      <c r="D53" s="29" t="s">
        <v>143</v>
      </c>
      <c r="E53" s="65">
        <v>3001</v>
      </c>
      <c r="F53" s="65">
        <v>3002</v>
      </c>
      <c r="G53" s="65">
        <v>3003</v>
      </c>
      <c r="H53" s="65">
        <v>3004</v>
      </c>
      <c r="I53" s="65">
        <v>3005</v>
      </c>
      <c r="J53" s="65">
        <v>3006</v>
      </c>
      <c r="K53" s="65">
        <v>3007</v>
      </c>
      <c r="L53" s="54">
        <v>3008</v>
      </c>
      <c r="M53" s="54">
        <v>3009</v>
      </c>
      <c r="N53" s="54">
        <v>3010</v>
      </c>
      <c r="O53" s="8" t="s">
        <v>144</v>
      </c>
      <c r="P53" s="55">
        <v>1</v>
      </c>
      <c r="Q53" s="78">
        <v>192</v>
      </c>
      <c r="R53" s="78">
        <v>37</v>
      </c>
      <c r="S53" s="78">
        <v>12</v>
      </c>
    </row>
    <row r="54" spans="1:19" ht="25.5" customHeight="1" x14ac:dyDescent="0.2">
      <c r="A54" s="8"/>
      <c r="B54" s="65"/>
      <c r="C54" s="8">
        <v>1022218</v>
      </c>
      <c r="D54" s="65" t="s">
        <v>20</v>
      </c>
      <c r="E54" s="65" t="s">
        <v>20</v>
      </c>
      <c r="F54" s="65" t="s">
        <v>20</v>
      </c>
      <c r="G54" s="65" t="s">
        <v>20</v>
      </c>
      <c r="H54" s="65" t="s">
        <v>20</v>
      </c>
      <c r="I54" s="65" t="s">
        <v>20</v>
      </c>
      <c r="J54" s="65" t="s">
        <v>20</v>
      </c>
      <c r="K54" s="65" t="s">
        <v>20</v>
      </c>
      <c r="L54" s="65" t="s">
        <v>20</v>
      </c>
      <c r="M54" s="65" t="s">
        <v>20</v>
      </c>
      <c r="N54" s="65" t="s">
        <v>20</v>
      </c>
      <c r="O54" s="5" t="s">
        <v>145</v>
      </c>
      <c r="P54" s="4">
        <v>1</v>
      </c>
      <c r="Q54" s="79"/>
      <c r="R54" s="79"/>
      <c r="S54" s="79"/>
    </row>
    <row r="55" spans="1:19" ht="25.5" customHeight="1" x14ac:dyDescent="0.2">
      <c r="A55" s="30"/>
      <c r="B55" s="4">
        <v>595701</v>
      </c>
      <c r="C55" s="4"/>
      <c r="D55" s="4" t="s">
        <v>20</v>
      </c>
      <c r="E55" s="4" t="s">
        <v>26</v>
      </c>
      <c r="F55" s="4" t="s">
        <v>27</v>
      </c>
      <c r="G55" s="4" t="s">
        <v>28</v>
      </c>
      <c r="H55" s="4" t="s">
        <v>29</v>
      </c>
      <c r="I55" s="4" t="s">
        <v>30</v>
      </c>
      <c r="J55" s="4" t="s">
        <v>31</v>
      </c>
      <c r="K55" s="4" t="s">
        <v>32</v>
      </c>
      <c r="L55" s="7" t="s">
        <v>33</v>
      </c>
      <c r="M55" s="7" t="s">
        <v>34</v>
      </c>
      <c r="N55" s="7" t="s">
        <v>35</v>
      </c>
      <c r="O55" s="5" t="s">
        <v>146</v>
      </c>
      <c r="P55" s="4"/>
      <c r="Q55" s="4" t="s">
        <v>36</v>
      </c>
      <c r="R55" s="8"/>
      <c r="S55" s="8"/>
    </row>
    <row r="56" spans="1:19" ht="15" customHeight="1" x14ac:dyDescent="0.2">
      <c r="A56" s="5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26"/>
    </row>
    <row r="57" spans="1:19" ht="18" customHeight="1" x14ac:dyDescent="0.2">
      <c r="A57" s="65"/>
      <c r="B57" s="65"/>
      <c r="C57" s="8"/>
      <c r="D57" s="65">
        <v>1018034</v>
      </c>
      <c r="E57" s="65">
        <v>1018034</v>
      </c>
      <c r="F57" s="65">
        <v>1018034</v>
      </c>
      <c r="G57" s="65">
        <v>1018034</v>
      </c>
      <c r="H57" s="65">
        <v>1018034</v>
      </c>
      <c r="I57" s="65">
        <v>1018034</v>
      </c>
      <c r="J57" s="65">
        <v>1018034</v>
      </c>
      <c r="K57" s="65">
        <v>1018034</v>
      </c>
      <c r="L57" s="65">
        <v>1018034</v>
      </c>
      <c r="M57" s="65">
        <v>1018034</v>
      </c>
      <c r="N57" s="65">
        <v>1018034</v>
      </c>
      <c r="O57" s="8" t="s">
        <v>113</v>
      </c>
      <c r="P57" s="65">
        <v>4</v>
      </c>
      <c r="Q57" s="11" t="s">
        <v>37</v>
      </c>
      <c r="R57" s="8"/>
      <c r="S57" s="8"/>
    </row>
    <row r="58" spans="1:19" ht="18" customHeight="1" x14ac:dyDescent="0.2">
      <c r="A58" s="65"/>
      <c r="B58" s="65"/>
      <c r="C58" s="8"/>
      <c r="D58" s="65">
        <v>1018359</v>
      </c>
      <c r="E58" s="65">
        <v>1018359</v>
      </c>
      <c r="F58" s="31">
        <v>1022356</v>
      </c>
      <c r="G58" s="65">
        <v>1018359</v>
      </c>
      <c r="H58" s="31">
        <v>1022356</v>
      </c>
      <c r="I58" s="31">
        <v>1022356</v>
      </c>
      <c r="J58" s="65">
        <v>1018359</v>
      </c>
      <c r="K58" s="65">
        <v>1018359</v>
      </c>
      <c r="L58" s="31">
        <v>1022356</v>
      </c>
      <c r="M58" s="65">
        <v>1018359</v>
      </c>
      <c r="N58" s="65">
        <v>1018359</v>
      </c>
      <c r="O58" s="8" t="s">
        <v>114</v>
      </c>
      <c r="P58" s="65">
        <v>10</v>
      </c>
      <c r="Q58" s="65" t="s">
        <v>37</v>
      </c>
      <c r="R58" s="8"/>
      <c r="S58" s="8"/>
    </row>
    <row r="59" spans="1:19" ht="18" customHeight="1" x14ac:dyDescent="0.2">
      <c r="A59" s="65"/>
      <c r="B59" s="65"/>
      <c r="C59" s="8"/>
      <c r="D59" s="65">
        <v>1022213</v>
      </c>
      <c r="E59" s="65">
        <v>1022213</v>
      </c>
      <c r="F59" s="65">
        <v>1022213</v>
      </c>
      <c r="G59" s="65">
        <v>1022213</v>
      </c>
      <c r="H59" s="65">
        <v>1022213</v>
      </c>
      <c r="I59" s="65">
        <v>1022213</v>
      </c>
      <c r="J59" s="65">
        <v>1022213</v>
      </c>
      <c r="K59" s="65">
        <v>1022213</v>
      </c>
      <c r="L59" s="65">
        <v>1022213</v>
      </c>
      <c r="M59" s="65">
        <v>1022213</v>
      </c>
      <c r="N59" s="65">
        <v>1022213</v>
      </c>
      <c r="O59" s="8" t="s">
        <v>147</v>
      </c>
      <c r="P59" s="65">
        <v>5.5919999999999996</v>
      </c>
      <c r="Q59" s="65" t="s">
        <v>36</v>
      </c>
      <c r="R59" s="8"/>
      <c r="S59" s="8"/>
    </row>
    <row r="60" spans="1:19" ht="18" customHeight="1" x14ac:dyDescent="0.2">
      <c r="A60" s="65"/>
      <c r="B60" s="65"/>
      <c r="C60" s="8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8"/>
      <c r="P60" s="65"/>
      <c r="Q60" s="65"/>
      <c r="R60" s="8"/>
      <c r="S60" s="8"/>
    </row>
    <row r="61" spans="1:19" ht="18" customHeight="1" x14ac:dyDescent="0.2">
      <c r="A61" s="65"/>
      <c r="B61" s="65"/>
      <c r="C61" s="8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8"/>
      <c r="P61" s="65"/>
      <c r="Q61" s="11"/>
      <c r="R61" s="8"/>
      <c r="S61" s="8"/>
    </row>
    <row r="62" spans="1:19" ht="18" customHeight="1" x14ac:dyDescent="0.2">
      <c r="A62" s="67" t="s">
        <v>124</v>
      </c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9"/>
    </row>
    <row r="63" spans="1:19" ht="25.5" x14ac:dyDescent="0.2">
      <c r="A63" s="64" t="s">
        <v>38</v>
      </c>
      <c r="B63" s="63" t="s">
        <v>39</v>
      </c>
      <c r="C63" s="63" t="s">
        <v>40</v>
      </c>
      <c r="D63" s="70" t="s">
        <v>120</v>
      </c>
      <c r="E63" s="70"/>
      <c r="F63" s="70"/>
      <c r="G63" s="70"/>
      <c r="H63" s="70"/>
      <c r="I63" s="70"/>
      <c r="J63" s="70"/>
      <c r="K63" s="71"/>
      <c r="L63" s="61"/>
      <c r="M63" s="61"/>
      <c r="N63" s="61"/>
      <c r="O63" s="64" t="s">
        <v>3</v>
      </c>
      <c r="P63" s="64" t="s">
        <v>41</v>
      </c>
      <c r="Q63" s="72" t="s">
        <v>42</v>
      </c>
      <c r="R63" s="70"/>
      <c r="S63" s="71"/>
    </row>
    <row r="64" spans="1:19" s="49" customFormat="1" ht="15" customHeight="1" x14ac:dyDescent="0.2">
      <c r="A64" s="80" t="s">
        <v>148</v>
      </c>
      <c r="B64" s="80">
        <v>181021656</v>
      </c>
      <c r="C64" s="40" t="s">
        <v>30</v>
      </c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41" t="str">
        <f>CONCATENATE("VIDRO PELIC ESP PRATA ",Q$64,"X",R$64,"X",S$64)</f>
        <v>VIDRO PELIC ESP PRATA 2205X581X4</v>
      </c>
      <c r="P64" s="83">
        <v>1</v>
      </c>
      <c r="Q64" s="83">
        <f>Q5-5</f>
        <v>2205</v>
      </c>
      <c r="R64" s="83">
        <f>R5-5</f>
        <v>581</v>
      </c>
      <c r="S64" s="83">
        <v>4</v>
      </c>
    </row>
    <row r="65" spans="1:19" s="49" customFormat="1" ht="15" customHeight="1" x14ac:dyDescent="0.2">
      <c r="A65" s="81"/>
      <c r="B65" s="81"/>
      <c r="C65" s="40">
        <v>13</v>
      </c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41" t="str">
        <f>CONCATENATE("VIDRO PELIC ONIX ",Q$64,"X",R$64,"X",S$64)</f>
        <v>VIDRO PELIC ONIX 2205X581X4</v>
      </c>
      <c r="P65" s="83"/>
      <c r="Q65" s="83"/>
      <c r="R65" s="83"/>
      <c r="S65" s="83"/>
    </row>
    <row r="66" spans="1:19" s="49" customFormat="1" ht="15" customHeight="1" x14ac:dyDescent="0.2">
      <c r="A66" s="81"/>
      <c r="B66" s="81"/>
      <c r="C66" s="40">
        <v>15</v>
      </c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41" t="str">
        <f>CONCATENATE("VIDRO PELIC GELO ",Q$64,"X",R$64,"X",S$64)</f>
        <v>VIDRO PELIC GELO 2205X581X4</v>
      </c>
      <c r="P66" s="83"/>
      <c r="Q66" s="83"/>
      <c r="R66" s="83"/>
      <c r="S66" s="83"/>
    </row>
    <row r="67" spans="1:19" ht="15" customHeight="1" x14ac:dyDescent="0.2">
      <c r="A67" s="81"/>
      <c r="B67" s="81"/>
      <c r="C67" s="40">
        <v>26</v>
      </c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41" t="str">
        <f>CONCATENATE("VIDRO PELIC ESP FUME ",Q$64,"X",R$64,"X",S$64)</f>
        <v>VIDRO PELIC ESP FUME 2205X581X4</v>
      </c>
      <c r="P67" s="83"/>
      <c r="Q67" s="83"/>
      <c r="R67" s="83"/>
      <c r="S67" s="83"/>
    </row>
    <row r="68" spans="1:19" s="49" customFormat="1" ht="15" customHeight="1" x14ac:dyDescent="0.2">
      <c r="A68" s="81"/>
      <c r="B68" s="81"/>
      <c r="C68" s="40">
        <v>27</v>
      </c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41" t="str">
        <f>CONCATENATE("VIDRO PELIC ESP CHAMP ",Q$64,"X",R$64,"X",S$64)</f>
        <v>VIDRO PELIC ESP CHAMP 2205X581X4</v>
      </c>
      <c r="P68" s="83"/>
      <c r="Q68" s="83"/>
      <c r="R68" s="83"/>
      <c r="S68" s="83"/>
    </row>
    <row r="69" spans="1:19" s="49" customFormat="1" ht="15" customHeight="1" x14ac:dyDescent="0.2">
      <c r="A69" s="81"/>
      <c r="B69" s="81"/>
      <c r="C69" s="40">
        <v>58</v>
      </c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41" t="str">
        <f>CONCATENATE("VIDRO TEMP LINEE ARGENTO ",Q$64,"X",R$64,"X",S$64)</f>
        <v>VIDRO TEMP LINEE ARGENTO 2205X581X4</v>
      </c>
      <c r="P69" s="83"/>
      <c r="Q69" s="83"/>
      <c r="R69" s="83"/>
      <c r="S69" s="83"/>
    </row>
    <row r="70" spans="1:19" s="49" customFormat="1" ht="15" customHeight="1" x14ac:dyDescent="0.2">
      <c r="A70" s="82"/>
      <c r="B70" s="82"/>
      <c r="C70" s="40">
        <v>59</v>
      </c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41" t="str">
        <f>CONCATENATE("VIDRO TEMP LINEE ORO ",Q$64,"X",R$64,"X",S$64)</f>
        <v>VIDRO TEMP LINEE ORO 2205X581X4</v>
      </c>
      <c r="P70" s="83"/>
      <c r="Q70" s="83"/>
      <c r="R70" s="83"/>
      <c r="S70" s="83"/>
    </row>
    <row r="71" spans="1:19" ht="15" customHeight="1" x14ac:dyDescent="0.2">
      <c r="A71" s="84" t="s">
        <v>126</v>
      </c>
      <c r="B71" s="84">
        <v>121656</v>
      </c>
      <c r="C71" s="56">
        <v>49</v>
      </c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57" t="str">
        <f>CONCATENATE("VIDRO PELIC MET GRAFITE ",Q$64,"X",R$64,"X",S$64)</f>
        <v>VIDRO PELIC MET GRAFITE 2205X581X4</v>
      </c>
      <c r="P71" s="83"/>
      <c r="Q71" s="83"/>
      <c r="R71" s="83"/>
      <c r="S71" s="83"/>
    </row>
    <row r="72" spans="1:19" ht="15" customHeight="1" x14ac:dyDescent="0.2">
      <c r="A72" s="85"/>
      <c r="B72" s="85"/>
      <c r="C72" s="56">
        <v>50</v>
      </c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57" t="str">
        <f>CONCATENATE("VIDRO PELIC MET PRATA ",Q$64,"X",R$64,"X",S$64)</f>
        <v>VIDRO PELIC MET PRATA 2205X581X4</v>
      </c>
      <c r="P72" s="83"/>
      <c r="Q72" s="83"/>
      <c r="R72" s="83"/>
      <c r="S72" s="83"/>
    </row>
    <row r="73" spans="1:19" ht="15" customHeight="1" x14ac:dyDescent="0.2">
      <c r="A73" s="85"/>
      <c r="B73" s="85"/>
      <c r="C73" s="56">
        <v>51</v>
      </c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57" t="str">
        <f>CONCATENATE("VIDRO PELIC MET DOURADO ",Q$64,"X",R$64,"X",S$64)</f>
        <v>VIDRO PELIC MET DOURADO 2205X581X4</v>
      </c>
      <c r="P73" s="83"/>
      <c r="Q73" s="83"/>
      <c r="R73" s="83"/>
      <c r="S73" s="83"/>
    </row>
    <row r="74" spans="1:19" ht="15" customHeight="1" x14ac:dyDescent="0.2">
      <c r="A74" s="85"/>
      <c r="B74" s="85"/>
      <c r="C74" s="56">
        <v>52</v>
      </c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57" t="str">
        <f>CONCATENATE("VIDRO PELIC MET PÉROLA ",Q$64,"X",R$64,"X",S$64)</f>
        <v>VIDRO PELIC MET PÉROLA 2205X581X4</v>
      </c>
      <c r="P74" s="83"/>
      <c r="Q74" s="83"/>
      <c r="R74" s="83"/>
      <c r="S74" s="83"/>
    </row>
    <row r="75" spans="1:19" ht="15" customHeight="1" x14ac:dyDescent="0.2">
      <c r="A75" s="85"/>
      <c r="B75" s="85"/>
      <c r="C75" s="33">
        <v>60</v>
      </c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35" t="str">
        <f>CONCATENATE("VIDRO TEMP FUMÊ CHAMP ",Q$64,"X",R$64,"X",S$64)</f>
        <v>VIDRO TEMP FUMÊ CHAMP 2205X581X4</v>
      </c>
      <c r="P75" s="83"/>
      <c r="Q75" s="83"/>
      <c r="R75" s="83"/>
      <c r="S75" s="83"/>
    </row>
    <row r="76" spans="1:19" ht="15" customHeight="1" x14ac:dyDescent="0.2">
      <c r="A76" s="85"/>
      <c r="B76" s="85"/>
      <c r="C76" s="33">
        <v>61</v>
      </c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35" t="str">
        <f>CONCATENATE("VIDRO TEMP FUMÊ CZ ",Q$64,"X",R$64,"X",S$64)</f>
        <v>VIDRO TEMP FUMÊ CZ 2205X581X4</v>
      </c>
      <c r="P76" s="83"/>
      <c r="Q76" s="83"/>
      <c r="R76" s="83"/>
      <c r="S76" s="83"/>
    </row>
    <row r="77" spans="1:19" ht="15" customHeight="1" x14ac:dyDescent="0.2">
      <c r="A77" s="85"/>
      <c r="B77" s="85"/>
      <c r="C77" s="33">
        <v>63</v>
      </c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35" t="str">
        <f>CONCATENATE("VIDRO TEMP REFL CRISTAL ",Q$64,"X",R$64,"X",S$64)</f>
        <v>VIDRO TEMP REFL CRISTAL 2205X581X4</v>
      </c>
      <c r="P77" s="83"/>
      <c r="Q77" s="83"/>
      <c r="R77" s="83"/>
      <c r="S77" s="83"/>
    </row>
    <row r="78" spans="1:19" s="49" customFormat="1" ht="15" customHeight="1" x14ac:dyDescent="0.2">
      <c r="A78" s="85"/>
      <c r="B78" s="85"/>
      <c r="C78" s="33">
        <v>12</v>
      </c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35" t="str">
        <f>CONCATENATE("VIDRO PELIC BIANCO ",Q$64,"X",R$64,"X",S$64)</f>
        <v>VIDRO PELIC BIANCO 2205X581X4</v>
      </c>
      <c r="P78" s="83"/>
      <c r="Q78" s="83"/>
      <c r="R78" s="83"/>
      <c r="S78" s="83"/>
    </row>
    <row r="79" spans="1:19" ht="15" customHeight="1" x14ac:dyDescent="0.2">
      <c r="A79" s="85"/>
      <c r="B79" s="85"/>
      <c r="C79" s="33" t="s">
        <v>127</v>
      </c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35" t="str">
        <f>CONCATENATE("VIDRO TEMP REFLETO ",Q$64,"X",R$64,"X",S$64)</f>
        <v>VIDRO TEMP REFLETO 2205X581X4</v>
      </c>
      <c r="P79" s="83"/>
      <c r="Q79" s="83"/>
      <c r="R79" s="83"/>
      <c r="S79" s="83"/>
    </row>
    <row r="80" spans="1:19" ht="15" customHeight="1" x14ac:dyDescent="0.2">
      <c r="A80" s="85"/>
      <c r="B80" s="85"/>
      <c r="C80" s="33" t="s">
        <v>128</v>
      </c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35" t="str">
        <f>CONCATENATE("VIDRO TEMP REFLETO CINZA ",Q$64,"X",R$64,"X",S$64)</f>
        <v>VIDRO TEMP REFLETO CINZA 2205X581X4</v>
      </c>
      <c r="P80" s="83"/>
      <c r="Q80" s="83"/>
      <c r="R80" s="83"/>
      <c r="S80" s="83"/>
    </row>
    <row r="81" spans="1:19" ht="15" customHeight="1" x14ac:dyDescent="0.2">
      <c r="A81" s="85"/>
      <c r="B81" s="85"/>
      <c r="C81" s="33" t="s">
        <v>129</v>
      </c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35" t="str">
        <f>CONCATENATE("VIDRO TEMP TRANSPARENTE ",Q$64,"X",R$64,"X",S$64)</f>
        <v>VIDRO TEMP TRANSPARENTE 2205X581X4</v>
      </c>
      <c r="P81" s="83"/>
      <c r="Q81" s="83"/>
      <c r="R81" s="83"/>
      <c r="S81" s="83"/>
    </row>
    <row r="82" spans="1:19" ht="15" customHeight="1" x14ac:dyDescent="0.2">
      <c r="A82" s="85"/>
      <c r="B82" s="85"/>
      <c r="C82" s="33">
        <v>38</v>
      </c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35" t="str">
        <f>CONCATENATE("VIDRO PELIC NATA ",Q$64,"X",R$64,"X",S$64)</f>
        <v>VIDRO PELIC NATA 2205X581X4</v>
      </c>
      <c r="P82" s="83"/>
      <c r="Q82" s="83"/>
      <c r="R82" s="83"/>
      <c r="S82" s="83"/>
    </row>
    <row r="83" spans="1:19" ht="15" customHeight="1" x14ac:dyDescent="0.2">
      <c r="A83" s="85"/>
      <c r="B83" s="85"/>
      <c r="C83" s="33">
        <v>44</v>
      </c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35" t="str">
        <f>CONCATENATE("VIDRO PELIC BASALTO ",Q$64,"X",R$64,"X",S$64)</f>
        <v>VIDRO PELIC BASALTO 2205X581X4</v>
      </c>
      <c r="P83" s="83"/>
      <c r="Q83" s="83"/>
      <c r="R83" s="83"/>
      <c r="S83" s="83"/>
    </row>
    <row r="84" spans="1:19" ht="15" customHeight="1" x14ac:dyDescent="0.2">
      <c r="A84" s="85"/>
      <c r="B84" s="85"/>
      <c r="C84" s="33">
        <v>10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35" t="str">
        <f>CONCATENATE("VIDRO PELIC SAND ",Q$64,"X",R$64,"X",S$64)</f>
        <v>VIDRO PELIC SAND 2205X581X4</v>
      </c>
      <c r="P84" s="83"/>
      <c r="Q84" s="83"/>
      <c r="R84" s="83"/>
      <c r="S84" s="83"/>
    </row>
    <row r="85" spans="1:19" ht="15" customHeight="1" x14ac:dyDescent="0.2">
      <c r="A85" s="85"/>
      <c r="B85" s="85"/>
      <c r="C85" s="44" t="s">
        <v>33</v>
      </c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35" t="str">
        <f>CONCATENATE("VIDRO PELIC PETRÓLEO ",Q$64,"X",R$64,"X",S$64)</f>
        <v>VIDRO PELIC PETRÓLEO 2205X581X4</v>
      </c>
      <c r="P85" s="83"/>
      <c r="Q85" s="83"/>
      <c r="R85" s="83"/>
      <c r="S85" s="83"/>
    </row>
    <row r="86" spans="1:19" ht="15" customHeight="1" x14ac:dyDescent="0.2">
      <c r="A86" s="85"/>
      <c r="B86" s="85"/>
      <c r="C86" s="33">
        <v>21</v>
      </c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35" t="str">
        <f>CONCATENATE("VIDRO PELIC FENDI ",Q$64,"X",R$64,"X",S$64)</f>
        <v>VIDRO PELIC FENDI 2205X581X4</v>
      </c>
      <c r="P86" s="83"/>
      <c r="Q86" s="83"/>
      <c r="R86" s="83"/>
      <c r="S86" s="83"/>
    </row>
    <row r="87" spans="1:19" ht="15" customHeight="1" x14ac:dyDescent="0.2">
      <c r="A87" s="85"/>
      <c r="B87" s="85"/>
      <c r="C87" s="33" t="s">
        <v>31</v>
      </c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35" t="str">
        <f>CONCATENATE("VIDRO PELIC SISAL ",Q$64,"X",R$64,"X",S$64)</f>
        <v>VIDRO PELIC SISAL 2205X581X4</v>
      </c>
      <c r="P87" s="83"/>
      <c r="Q87" s="83"/>
      <c r="R87" s="83"/>
      <c r="S87" s="83"/>
    </row>
    <row r="88" spans="1:19" ht="15" customHeight="1" x14ac:dyDescent="0.2">
      <c r="A88" s="86"/>
      <c r="B88" s="85"/>
      <c r="C88" s="33" t="s">
        <v>34</v>
      </c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35" t="str">
        <f>CONCATENATE("VIDRO PELIC ARDOSIA ",Q$64,"X",R$64,"X",S$64)</f>
        <v>VIDRO PELIC ARDOSIA 2205X581X4</v>
      </c>
      <c r="P88" s="83"/>
      <c r="Q88" s="83"/>
      <c r="R88" s="83"/>
      <c r="S88" s="83"/>
    </row>
    <row r="89" spans="1:19" ht="18" customHeight="1" x14ac:dyDescent="0.2">
      <c r="A89" s="67" t="s">
        <v>149</v>
      </c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9"/>
    </row>
    <row r="90" spans="1:19" ht="46.5" customHeight="1" x14ac:dyDescent="0.2">
      <c r="A90" s="64" t="s">
        <v>38</v>
      </c>
      <c r="B90" s="63" t="s">
        <v>150</v>
      </c>
      <c r="C90" s="58" t="s">
        <v>151</v>
      </c>
      <c r="D90" s="70" t="s">
        <v>20</v>
      </c>
      <c r="E90" s="70"/>
      <c r="F90" s="70"/>
      <c r="G90" s="70"/>
      <c r="H90" s="70"/>
      <c r="I90" s="70"/>
      <c r="J90" s="70"/>
      <c r="K90" s="71"/>
      <c r="L90" s="61"/>
      <c r="M90" s="61"/>
      <c r="N90" s="61"/>
      <c r="O90" s="64" t="s">
        <v>3</v>
      </c>
      <c r="P90" s="64" t="s">
        <v>41</v>
      </c>
      <c r="Q90" s="72" t="s">
        <v>42</v>
      </c>
      <c r="R90" s="70"/>
      <c r="S90" s="71"/>
    </row>
    <row r="91" spans="1:19" ht="15" customHeight="1" x14ac:dyDescent="0.2">
      <c r="A91" s="73" t="s">
        <v>152</v>
      </c>
      <c r="B91" s="75">
        <f>VLOOKUP((CONCATENATE("PAINEL EST FTE ALUM ARCH ",Q91,"X",R91,"X",S91," + COR")),[2]PAINEL!$B$23:$C$66,2,FALSE)</f>
        <v>10317</v>
      </c>
      <c r="C91" s="59" t="s">
        <v>153</v>
      </c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60" t="str">
        <f>CONCATENATE("PAINEL EST FTE ALUM ARCH ",Q$91,"X",R$91,"X",S$91," - NUDE")</f>
        <v>PAINEL EST FTE ALUM ARCH 2203X579X18 - NUDE</v>
      </c>
      <c r="P91" s="76">
        <v>1</v>
      </c>
      <c r="Q91" s="76">
        <f>Q64-2</f>
        <v>2203</v>
      </c>
      <c r="R91" s="76">
        <f>R64-2</f>
        <v>579</v>
      </c>
      <c r="S91" s="76">
        <v>18</v>
      </c>
    </row>
    <row r="92" spans="1:19" ht="15" customHeight="1" x14ac:dyDescent="0.2">
      <c r="A92" s="74"/>
      <c r="B92" s="75"/>
      <c r="C92" s="59" t="s">
        <v>133</v>
      </c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60" t="str">
        <f>CONCATENATE("PAINEL EST FTE ALUM ARCH ",Q$91,"X",R$91,"X",S$91," - MARROM")</f>
        <v>PAINEL EST FTE ALUM ARCH 2203X579X18 - MARROM</v>
      </c>
      <c r="P92" s="77"/>
      <c r="Q92" s="77"/>
      <c r="R92" s="77"/>
      <c r="S92" s="77"/>
    </row>
    <row r="93" spans="1:19" ht="15" customHeight="1" x14ac:dyDescent="0.2">
      <c r="A93" s="74"/>
      <c r="B93" s="75"/>
      <c r="C93" s="59" t="s">
        <v>154</v>
      </c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60" t="str">
        <f>CONCATENATE("PAINEL EST FTE ALUM ARCH ",Q$91,"X",R$91,"X",S$91," - NERO")</f>
        <v>PAINEL EST FTE ALUM ARCH 2203X579X18 - NERO</v>
      </c>
      <c r="P93" s="77"/>
      <c r="Q93" s="77"/>
      <c r="R93" s="77"/>
      <c r="S93" s="77"/>
    </row>
    <row r="94" spans="1:19" ht="15" customHeight="1" x14ac:dyDescent="0.2">
      <c r="A94" s="74"/>
      <c r="B94" s="75"/>
      <c r="C94" s="59" t="s">
        <v>155</v>
      </c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60" t="str">
        <f>CONCATENATE("PAINEL EST FTE ALUM ARCH ",Q$91,"X",R$91,"X",S$91," - CORDA")</f>
        <v>PAINEL EST FTE ALUM ARCH 2203X579X18 - CORDA</v>
      </c>
      <c r="P94" s="77"/>
      <c r="Q94" s="77"/>
      <c r="R94" s="77"/>
      <c r="S94" s="77"/>
    </row>
    <row r="95" spans="1:19" ht="15" customHeight="1" x14ac:dyDescent="0.2">
      <c r="A95" s="74"/>
      <c r="B95" s="75"/>
      <c r="C95" s="59" t="s">
        <v>156</v>
      </c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60" t="str">
        <f>CONCATENATE("PAINEL EST FTE ALUM ARCH ",Q$91,"X",R$91,"X",S$91," - NOCCIOLA")</f>
        <v>PAINEL EST FTE ALUM ARCH 2203X579X18 - NOCCIOLA</v>
      </c>
      <c r="P95" s="77"/>
      <c r="Q95" s="77"/>
      <c r="R95" s="77"/>
      <c r="S95" s="77"/>
    </row>
    <row r="96" spans="1:19" x14ac:dyDescent="0.2">
      <c r="P96" s="45">
        <v>5.5919999999999996</v>
      </c>
    </row>
    <row r="97" s="45" customFormat="1" x14ac:dyDescent="0.2"/>
    <row r="98" s="45" customFormat="1" x14ac:dyDescent="0.2"/>
    <row r="99" s="45" customFormat="1" x14ac:dyDescent="0.2"/>
    <row r="100" s="45" customFormat="1" x14ac:dyDescent="0.2"/>
    <row r="101" s="45" customFormat="1" x14ac:dyDescent="0.2"/>
    <row r="102" s="45" customFormat="1" x14ac:dyDescent="0.2"/>
    <row r="103" s="45" customFormat="1" x14ac:dyDescent="0.2"/>
    <row r="104" s="45" customFormat="1" x14ac:dyDescent="0.2"/>
    <row r="105" s="45" customFormat="1" x14ac:dyDescent="0.2"/>
    <row r="106" s="45" customFormat="1" x14ac:dyDescent="0.2"/>
    <row r="107" s="45" customFormat="1" x14ac:dyDescent="0.2"/>
    <row r="108" s="45" customFormat="1" x14ac:dyDescent="0.2"/>
    <row r="109" s="45" customFormat="1" x14ac:dyDescent="0.2"/>
    <row r="110" s="45" customFormat="1" x14ac:dyDescent="0.2"/>
    <row r="111" s="45" customFormat="1" x14ac:dyDescent="0.2"/>
    <row r="112" s="45" customFormat="1" x14ac:dyDescent="0.2"/>
    <row r="113" s="45" customFormat="1" x14ac:dyDescent="0.2"/>
    <row r="114" s="45" customFormat="1" x14ac:dyDescent="0.2"/>
    <row r="115" s="45" customFormat="1" x14ac:dyDescent="0.2"/>
    <row r="116" s="45" customFormat="1" x14ac:dyDescent="0.2"/>
    <row r="117" s="45" customFormat="1" x14ac:dyDescent="0.2"/>
    <row r="118" s="45" customFormat="1" x14ac:dyDescent="0.2"/>
    <row r="119" s="45" customFormat="1" x14ac:dyDescent="0.2"/>
    <row r="120" s="45" customFormat="1" x14ac:dyDescent="0.2"/>
    <row r="121" s="45" customFormat="1" x14ac:dyDescent="0.2"/>
    <row r="122" s="45" customFormat="1" x14ac:dyDescent="0.2"/>
    <row r="123" s="45" customFormat="1" x14ac:dyDescent="0.2"/>
    <row r="124" s="45" customFormat="1" x14ac:dyDescent="0.2"/>
    <row r="125" s="45" customFormat="1" x14ac:dyDescent="0.2"/>
    <row r="126" s="45" customFormat="1" x14ac:dyDescent="0.2"/>
    <row r="127" s="45" customFormat="1" x14ac:dyDescent="0.2"/>
    <row r="128" s="45" customFormat="1" x14ac:dyDescent="0.2"/>
    <row r="129" s="45" customFormat="1" x14ac:dyDescent="0.2"/>
    <row r="130" s="45" customFormat="1" x14ac:dyDescent="0.2"/>
    <row r="131" s="45" customFormat="1" x14ac:dyDescent="0.2"/>
    <row r="132" s="45" customFormat="1" x14ac:dyDescent="0.2"/>
    <row r="133" s="45" customFormat="1" x14ac:dyDescent="0.2"/>
    <row r="134" s="45" customFormat="1" x14ac:dyDescent="0.2"/>
    <row r="135" s="45" customFormat="1" x14ac:dyDescent="0.2"/>
    <row r="136" s="45" customFormat="1" x14ac:dyDescent="0.2"/>
    <row r="137" s="45" customFormat="1" x14ac:dyDescent="0.2"/>
    <row r="138" s="45" customFormat="1" x14ac:dyDescent="0.2"/>
    <row r="139" s="45" customFormat="1" x14ac:dyDescent="0.2"/>
    <row r="140" s="45" customFormat="1" x14ac:dyDescent="0.2"/>
    <row r="141" s="45" customFormat="1" x14ac:dyDescent="0.2"/>
    <row r="142" s="45" customFormat="1" x14ac:dyDescent="0.2"/>
    <row r="143" s="45" customFormat="1" x14ac:dyDescent="0.2"/>
    <row r="144" s="45" customFormat="1" x14ac:dyDescent="0.2"/>
    <row r="145" s="45" customFormat="1" x14ac:dyDescent="0.2"/>
    <row r="146" s="45" customFormat="1" x14ac:dyDescent="0.2"/>
    <row r="147" s="45" customFormat="1" x14ac:dyDescent="0.2"/>
    <row r="148" s="45" customFormat="1" x14ac:dyDescent="0.2"/>
    <row r="149" s="45" customFormat="1" x14ac:dyDescent="0.2"/>
    <row r="150" s="45" customFormat="1" x14ac:dyDescent="0.2"/>
    <row r="151" s="45" customFormat="1" x14ac:dyDescent="0.2"/>
    <row r="152" s="45" customFormat="1" x14ac:dyDescent="0.2"/>
    <row r="153" s="45" customFormat="1" x14ac:dyDescent="0.2"/>
    <row r="154" s="45" customFormat="1" x14ac:dyDescent="0.2"/>
    <row r="155" s="45" customFormat="1" x14ac:dyDescent="0.2"/>
    <row r="156" s="45" customFormat="1" x14ac:dyDescent="0.2"/>
    <row r="157" s="45" customFormat="1" x14ac:dyDescent="0.2"/>
    <row r="158" s="45" customFormat="1" x14ac:dyDescent="0.2"/>
    <row r="159" s="45" customFormat="1" x14ac:dyDescent="0.2"/>
    <row r="160" s="45" customFormat="1" x14ac:dyDescent="0.2"/>
    <row r="161" s="45" customFormat="1" x14ac:dyDescent="0.2"/>
    <row r="162" s="45" customFormat="1" x14ac:dyDescent="0.2"/>
    <row r="163" s="45" customFormat="1" x14ac:dyDescent="0.2"/>
    <row r="164" s="45" customFormat="1" x14ac:dyDescent="0.2"/>
    <row r="165" s="45" customFormat="1" x14ac:dyDescent="0.2"/>
    <row r="166" s="45" customFormat="1" x14ac:dyDescent="0.2"/>
    <row r="167" s="45" customFormat="1" x14ac:dyDescent="0.2"/>
    <row r="168" s="45" customFormat="1" x14ac:dyDescent="0.2"/>
    <row r="169" s="45" customFormat="1" x14ac:dyDescent="0.2"/>
    <row r="170" s="45" customFormat="1" x14ac:dyDescent="0.2"/>
    <row r="171" s="45" customFormat="1" x14ac:dyDescent="0.2"/>
    <row r="172" s="45" customFormat="1" x14ac:dyDescent="0.2"/>
    <row r="173" s="45" customFormat="1" x14ac:dyDescent="0.2"/>
    <row r="174" s="45" customFormat="1" x14ac:dyDescent="0.2"/>
    <row r="175" s="45" customFormat="1" x14ac:dyDescent="0.2"/>
    <row r="176" s="45" customFormat="1" x14ac:dyDescent="0.2"/>
    <row r="177" s="45" customFormat="1" x14ac:dyDescent="0.2"/>
    <row r="178" s="45" customFormat="1" x14ac:dyDescent="0.2"/>
    <row r="179" s="45" customFormat="1" x14ac:dyDescent="0.2"/>
    <row r="180" s="45" customFormat="1" x14ac:dyDescent="0.2"/>
    <row r="181" s="45" customFormat="1" x14ac:dyDescent="0.2"/>
    <row r="182" s="45" customFormat="1" x14ac:dyDescent="0.2"/>
    <row r="183" s="45" customFormat="1" x14ac:dyDescent="0.2"/>
    <row r="184" s="45" customFormat="1" x14ac:dyDescent="0.2"/>
    <row r="185" s="45" customFormat="1" x14ac:dyDescent="0.2"/>
    <row r="186" s="45" customFormat="1" x14ac:dyDescent="0.2"/>
    <row r="187" s="45" customFormat="1" x14ac:dyDescent="0.2"/>
    <row r="188" s="45" customFormat="1" x14ac:dyDescent="0.2"/>
    <row r="189" s="45" customFormat="1" x14ac:dyDescent="0.2"/>
    <row r="190" s="45" customFormat="1" x14ac:dyDescent="0.2"/>
    <row r="191" s="45" customFormat="1" x14ac:dyDescent="0.2"/>
    <row r="192" s="45" customFormat="1" x14ac:dyDescent="0.2"/>
    <row r="193" s="45" customFormat="1" x14ac:dyDescent="0.2"/>
    <row r="194" s="45" customFormat="1" x14ac:dyDescent="0.2"/>
    <row r="195" s="45" customFormat="1" x14ac:dyDescent="0.2"/>
    <row r="196" s="45" customFormat="1" x14ac:dyDescent="0.2"/>
    <row r="197" s="45" customFormat="1" x14ac:dyDescent="0.2"/>
    <row r="198" s="45" customFormat="1" x14ac:dyDescent="0.2"/>
    <row r="199" s="45" customFormat="1" x14ac:dyDescent="0.2"/>
    <row r="200" s="45" customFormat="1" x14ac:dyDescent="0.2"/>
    <row r="201" s="45" customFormat="1" x14ac:dyDescent="0.2"/>
    <row r="202" s="45" customFormat="1" x14ac:dyDescent="0.2"/>
    <row r="203" s="45" customFormat="1" x14ac:dyDescent="0.2"/>
    <row r="204" s="45" customFormat="1" x14ac:dyDescent="0.2"/>
    <row r="205" s="45" customFormat="1" x14ac:dyDescent="0.2"/>
    <row r="206" s="45" customFormat="1" x14ac:dyDescent="0.2"/>
    <row r="207" s="45" customFormat="1" x14ac:dyDescent="0.2"/>
    <row r="208" s="45" customFormat="1" x14ac:dyDescent="0.2"/>
    <row r="209" s="45" customFormat="1" x14ac:dyDescent="0.2"/>
    <row r="210" s="45" customFormat="1" x14ac:dyDescent="0.2"/>
    <row r="211" s="45" customFormat="1" x14ac:dyDescent="0.2"/>
    <row r="212" s="45" customFormat="1" x14ac:dyDescent="0.2"/>
    <row r="213" s="45" customFormat="1" x14ac:dyDescent="0.2"/>
    <row r="214" s="45" customFormat="1" x14ac:dyDescent="0.2"/>
    <row r="215" s="45" customFormat="1" x14ac:dyDescent="0.2"/>
    <row r="216" s="45" customFormat="1" x14ac:dyDescent="0.2"/>
    <row r="217" s="45" customFormat="1" x14ac:dyDescent="0.2"/>
    <row r="218" s="45" customFormat="1" x14ac:dyDescent="0.2"/>
    <row r="219" s="45" customFormat="1" x14ac:dyDescent="0.2"/>
    <row r="220" s="45" customFormat="1" x14ac:dyDescent="0.2"/>
    <row r="221" s="45" customFormat="1" x14ac:dyDescent="0.2"/>
    <row r="222" s="45" customFormat="1" x14ac:dyDescent="0.2"/>
    <row r="223" s="45" customFormat="1" x14ac:dyDescent="0.2"/>
    <row r="224" s="45" customFormat="1" x14ac:dyDescent="0.2"/>
    <row r="225" s="45" customFormat="1" x14ac:dyDescent="0.2"/>
    <row r="226" s="45" customFormat="1" x14ac:dyDescent="0.2"/>
    <row r="227" s="45" customFormat="1" x14ac:dyDescent="0.2"/>
    <row r="228" s="45" customFormat="1" x14ac:dyDescent="0.2"/>
    <row r="229" s="45" customFormat="1" x14ac:dyDescent="0.2"/>
    <row r="230" s="45" customFormat="1" x14ac:dyDescent="0.2"/>
    <row r="231" s="45" customFormat="1" x14ac:dyDescent="0.2"/>
    <row r="232" s="45" customFormat="1" x14ac:dyDescent="0.2"/>
    <row r="233" s="45" customFormat="1" x14ac:dyDescent="0.2"/>
    <row r="234" s="45" customFormat="1" x14ac:dyDescent="0.2"/>
    <row r="235" s="45" customFormat="1" x14ac:dyDescent="0.2"/>
    <row r="236" s="45" customFormat="1" x14ac:dyDescent="0.2"/>
    <row r="237" s="45" customFormat="1" x14ac:dyDescent="0.2"/>
    <row r="238" s="45" customFormat="1" x14ac:dyDescent="0.2"/>
    <row r="239" s="45" customFormat="1" x14ac:dyDescent="0.2"/>
    <row r="240" s="45" customFormat="1" x14ac:dyDescent="0.2"/>
    <row r="241" s="45" customFormat="1" x14ac:dyDescent="0.2"/>
    <row r="242" s="45" customFormat="1" x14ac:dyDescent="0.2"/>
    <row r="243" s="45" customFormat="1" x14ac:dyDescent="0.2"/>
    <row r="244" s="45" customFormat="1" x14ac:dyDescent="0.2"/>
    <row r="245" s="45" customFormat="1" x14ac:dyDescent="0.2"/>
    <row r="246" s="45" customFormat="1" x14ac:dyDescent="0.2"/>
    <row r="247" s="45" customFormat="1" x14ac:dyDescent="0.2"/>
    <row r="248" s="45" customFormat="1" x14ac:dyDescent="0.2"/>
    <row r="249" s="45" customFormat="1" x14ac:dyDescent="0.2"/>
    <row r="250" s="45" customFormat="1" x14ac:dyDescent="0.2"/>
    <row r="251" s="45" customFormat="1" x14ac:dyDescent="0.2"/>
    <row r="252" s="45" customFormat="1" x14ac:dyDescent="0.2"/>
    <row r="253" s="45" customFormat="1" x14ac:dyDescent="0.2"/>
    <row r="254" s="45" customFormat="1" x14ac:dyDescent="0.2"/>
    <row r="255" s="45" customFormat="1" x14ac:dyDescent="0.2"/>
    <row r="256" s="45" customFormat="1" x14ac:dyDescent="0.2"/>
    <row r="257" s="45" customFormat="1" x14ac:dyDescent="0.2"/>
    <row r="258" s="45" customFormat="1" x14ac:dyDescent="0.2"/>
    <row r="259" s="45" customFormat="1" x14ac:dyDescent="0.2"/>
    <row r="260" s="45" customFormat="1" x14ac:dyDescent="0.2"/>
    <row r="261" s="45" customFormat="1" x14ac:dyDescent="0.2"/>
    <row r="262" s="45" customFormat="1" x14ac:dyDescent="0.2"/>
    <row r="263" s="45" customFormat="1" x14ac:dyDescent="0.2"/>
    <row r="264" s="45" customFormat="1" x14ac:dyDescent="0.2"/>
    <row r="265" s="45" customFormat="1" x14ac:dyDescent="0.2"/>
    <row r="266" s="45" customFormat="1" x14ac:dyDescent="0.2"/>
    <row r="267" s="45" customFormat="1" x14ac:dyDescent="0.2"/>
    <row r="268" s="45" customFormat="1" x14ac:dyDescent="0.2"/>
    <row r="269" s="45" customFormat="1" x14ac:dyDescent="0.2"/>
    <row r="270" s="45" customFormat="1" x14ac:dyDescent="0.2"/>
    <row r="271" s="45" customFormat="1" x14ac:dyDescent="0.2"/>
    <row r="272" s="45" customFormat="1" x14ac:dyDescent="0.2"/>
    <row r="273" s="45" customFormat="1" x14ac:dyDescent="0.2"/>
    <row r="274" s="45" customFormat="1" x14ac:dyDescent="0.2"/>
    <row r="275" s="45" customFormat="1" x14ac:dyDescent="0.2"/>
    <row r="276" s="45" customFormat="1" x14ac:dyDescent="0.2"/>
    <row r="277" s="45" customFormat="1" x14ac:dyDescent="0.2"/>
    <row r="278" s="45" customFormat="1" x14ac:dyDescent="0.2"/>
    <row r="279" s="45" customFormat="1" x14ac:dyDescent="0.2"/>
    <row r="280" s="45" customFormat="1" x14ac:dyDescent="0.2"/>
    <row r="281" s="45" customFormat="1" x14ac:dyDescent="0.2"/>
    <row r="282" s="45" customFormat="1" x14ac:dyDescent="0.2"/>
    <row r="283" s="45" customFormat="1" x14ac:dyDescent="0.2"/>
    <row r="284" s="45" customFormat="1" x14ac:dyDescent="0.2"/>
    <row r="285" s="45" customFormat="1" x14ac:dyDescent="0.2"/>
    <row r="286" s="45" customFormat="1" x14ac:dyDescent="0.2"/>
    <row r="287" s="45" customFormat="1" x14ac:dyDescent="0.2"/>
    <row r="288" s="45" customFormat="1" x14ac:dyDescent="0.2"/>
    <row r="289" s="45" customFormat="1" x14ac:dyDescent="0.2"/>
    <row r="290" s="45" customFormat="1" x14ac:dyDescent="0.2"/>
    <row r="291" s="45" customFormat="1" x14ac:dyDescent="0.2"/>
    <row r="292" s="45" customFormat="1" x14ac:dyDescent="0.2"/>
    <row r="293" s="45" customFormat="1" x14ac:dyDescent="0.2"/>
    <row r="294" s="45" customFormat="1" x14ac:dyDescent="0.2"/>
    <row r="295" s="45" customFormat="1" x14ac:dyDescent="0.2"/>
    <row r="296" s="45" customFormat="1" x14ac:dyDescent="0.2"/>
    <row r="297" s="45" customFormat="1" x14ac:dyDescent="0.2"/>
    <row r="298" s="45" customFormat="1" x14ac:dyDescent="0.2"/>
    <row r="299" s="45" customFormat="1" x14ac:dyDescent="0.2"/>
    <row r="300" s="45" customFormat="1" x14ac:dyDescent="0.2"/>
    <row r="301" s="45" customFormat="1" x14ac:dyDescent="0.2"/>
    <row r="302" s="45" customFormat="1" x14ac:dyDescent="0.2"/>
    <row r="303" s="45" customFormat="1" x14ac:dyDescent="0.2"/>
    <row r="304" s="45" customFormat="1" x14ac:dyDescent="0.2"/>
    <row r="305" s="45" customFormat="1" x14ac:dyDescent="0.2"/>
    <row r="306" s="45" customFormat="1" x14ac:dyDescent="0.2"/>
    <row r="307" s="45" customFormat="1" x14ac:dyDescent="0.2"/>
    <row r="308" s="45" customFormat="1" x14ac:dyDescent="0.2"/>
    <row r="309" s="45" customFormat="1" x14ac:dyDescent="0.2"/>
    <row r="310" s="45" customFormat="1" x14ac:dyDescent="0.2"/>
    <row r="311" s="45" customFormat="1" x14ac:dyDescent="0.2"/>
    <row r="312" s="45" customFormat="1" x14ac:dyDescent="0.2"/>
    <row r="313" s="45" customFormat="1" x14ac:dyDescent="0.2"/>
    <row r="314" s="45" customFormat="1" x14ac:dyDescent="0.2"/>
    <row r="315" s="45" customFormat="1" x14ac:dyDescent="0.2"/>
    <row r="316" s="45" customFormat="1" x14ac:dyDescent="0.2"/>
    <row r="317" s="45" customFormat="1" x14ac:dyDescent="0.2"/>
    <row r="318" s="45" customFormat="1" x14ac:dyDescent="0.2"/>
    <row r="319" s="45" customFormat="1" x14ac:dyDescent="0.2"/>
    <row r="320" s="45" customFormat="1" x14ac:dyDescent="0.2"/>
    <row r="321" s="45" customFormat="1" x14ac:dyDescent="0.2"/>
    <row r="322" s="45" customFormat="1" x14ac:dyDescent="0.2"/>
    <row r="323" s="45" customFormat="1" x14ac:dyDescent="0.2"/>
    <row r="324" s="45" customFormat="1" x14ac:dyDescent="0.2"/>
    <row r="325" s="45" customFormat="1" x14ac:dyDescent="0.2"/>
    <row r="326" s="45" customFormat="1" x14ac:dyDescent="0.2"/>
    <row r="327" s="45" customFormat="1" x14ac:dyDescent="0.2"/>
    <row r="328" s="45" customFormat="1" x14ac:dyDescent="0.2"/>
    <row r="329" s="45" customFormat="1" x14ac:dyDescent="0.2"/>
    <row r="330" s="45" customFormat="1" x14ac:dyDescent="0.2"/>
    <row r="331" s="45" customFormat="1" x14ac:dyDescent="0.2"/>
    <row r="332" s="45" customFormat="1" x14ac:dyDescent="0.2"/>
    <row r="333" s="45" customFormat="1" x14ac:dyDescent="0.2"/>
    <row r="334" s="45" customFormat="1" x14ac:dyDescent="0.2"/>
    <row r="335" s="45" customFormat="1" x14ac:dyDescent="0.2"/>
    <row r="336" s="45" customFormat="1" x14ac:dyDescent="0.2"/>
    <row r="337" s="45" customFormat="1" x14ac:dyDescent="0.2"/>
    <row r="338" s="45" customFormat="1" x14ac:dyDescent="0.2"/>
    <row r="339" s="45" customFormat="1" x14ac:dyDescent="0.2"/>
    <row r="340" s="45" customFormat="1" x14ac:dyDescent="0.2"/>
    <row r="341" s="45" customFormat="1" x14ac:dyDescent="0.2"/>
    <row r="342" s="45" customFormat="1" x14ac:dyDescent="0.2"/>
    <row r="343" s="45" customFormat="1" x14ac:dyDescent="0.2"/>
    <row r="344" s="45" customFormat="1" x14ac:dyDescent="0.2"/>
    <row r="345" s="45" customFormat="1" x14ac:dyDescent="0.2"/>
    <row r="346" s="45" customFormat="1" x14ac:dyDescent="0.2"/>
    <row r="347" s="45" customFormat="1" x14ac:dyDescent="0.2"/>
    <row r="348" s="45" customFormat="1" x14ac:dyDescent="0.2"/>
    <row r="349" s="45" customFormat="1" x14ac:dyDescent="0.2"/>
    <row r="350" s="45" customFormat="1" x14ac:dyDescent="0.2"/>
    <row r="351" s="45" customFormat="1" x14ac:dyDescent="0.2"/>
    <row r="352" s="45" customFormat="1" x14ac:dyDescent="0.2"/>
    <row r="353" s="45" customFormat="1" x14ac:dyDescent="0.2"/>
    <row r="354" s="45" customFormat="1" x14ac:dyDescent="0.2"/>
    <row r="355" s="45" customFormat="1" x14ac:dyDescent="0.2"/>
    <row r="356" s="45" customFormat="1" x14ac:dyDescent="0.2"/>
    <row r="357" s="45" customFormat="1" x14ac:dyDescent="0.2"/>
    <row r="358" s="45" customFormat="1" x14ac:dyDescent="0.2"/>
    <row r="359" s="45" customFormat="1" x14ac:dyDescent="0.2"/>
    <row r="360" s="45" customFormat="1" x14ac:dyDescent="0.2"/>
    <row r="361" s="45" customFormat="1" x14ac:dyDescent="0.2"/>
    <row r="362" s="45" customFormat="1" x14ac:dyDescent="0.2"/>
    <row r="363" s="45" customFormat="1" x14ac:dyDescent="0.2"/>
    <row r="364" s="45" customFormat="1" x14ac:dyDescent="0.2"/>
    <row r="365" s="45" customFormat="1" x14ac:dyDescent="0.2"/>
    <row r="366" s="45" customFormat="1" x14ac:dyDescent="0.2"/>
    <row r="367" s="45" customFormat="1" x14ac:dyDescent="0.2"/>
    <row r="368" s="45" customFormat="1" x14ac:dyDescent="0.2"/>
    <row r="369" s="45" customFormat="1" x14ac:dyDescent="0.2"/>
    <row r="370" s="45" customFormat="1" x14ac:dyDescent="0.2"/>
    <row r="371" s="45" customFormat="1" x14ac:dyDescent="0.2"/>
    <row r="372" s="45" customFormat="1" x14ac:dyDescent="0.2"/>
    <row r="373" s="45" customFormat="1" x14ac:dyDescent="0.2"/>
    <row r="374" s="45" customFormat="1" x14ac:dyDescent="0.2"/>
    <row r="375" s="45" customFormat="1" x14ac:dyDescent="0.2"/>
    <row r="376" s="45" customFormat="1" x14ac:dyDescent="0.2"/>
    <row r="377" s="45" customFormat="1" x14ac:dyDescent="0.2"/>
    <row r="378" s="45" customFormat="1" x14ac:dyDescent="0.2"/>
    <row r="379" s="45" customFormat="1" x14ac:dyDescent="0.2"/>
    <row r="380" s="45" customFormat="1" x14ac:dyDescent="0.2"/>
    <row r="381" s="45" customFormat="1" x14ac:dyDescent="0.2"/>
    <row r="382" s="45" customFormat="1" x14ac:dyDescent="0.2"/>
    <row r="383" s="45" customFormat="1" x14ac:dyDescent="0.2"/>
    <row r="384" s="45" customFormat="1" x14ac:dyDescent="0.2"/>
    <row r="385" s="45" customFormat="1" x14ac:dyDescent="0.2"/>
    <row r="386" s="45" customFormat="1" x14ac:dyDescent="0.2"/>
    <row r="387" s="45" customFormat="1" x14ac:dyDescent="0.2"/>
    <row r="388" s="45" customFormat="1" x14ac:dyDescent="0.2"/>
    <row r="389" s="45" customFormat="1" x14ac:dyDescent="0.2"/>
    <row r="390" s="45" customFormat="1" x14ac:dyDescent="0.2"/>
    <row r="391" s="45" customFormat="1" x14ac:dyDescent="0.2"/>
    <row r="392" s="45" customFormat="1" x14ac:dyDescent="0.2"/>
    <row r="393" s="45" customFormat="1" x14ac:dyDescent="0.2"/>
    <row r="394" s="45" customFormat="1" x14ac:dyDescent="0.2"/>
    <row r="395" s="45" customFormat="1" x14ac:dyDescent="0.2"/>
    <row r="396" s="45" customFormat="1" x14ac:dyDescent="0.2"/>
    <row r="397" s="45" customFormat="1" x14ac:dyDescent="0.2"/>
    <row r="398" s="45" customFormat="1" x14ac:dyDescent="0.2"/>
    <row r="399" s="45" customFormat="1" x14ac:dyDescent="0.2"/>
    <row r="400" s="45" customFormat="1" x14ac:dyDescent="0.2"/>
    <row r="401" s="45" customFormat="1" x14ac:dyDescent="0.2"/>
    <row r="402" s="45" customFormat="1" x14ac:dyDescent="0.2"/>
    <row r="403" s="45" customFormat="1" x14ac:dyDescent="0.2"/>
    <row r="404" s="45" customFormat="1" x14ac:dyDescent="0.2"/>
    <row r="405" s="45" customFormat="1" x14ac:dyDescent="0.2"/>
    <row r="406" s="45" customFormat="1" x14ac:dyDescent="0.2"/>
    <row r="407" s="45" customFormat="1" x14ac:dyDescent="0.2"/>
    <row r="408" s="45" customFormat="1" x14ac:dyDescent="0.2"/>
    <row r="409" s="45" customFormat="1" x14ac:dyDescent="0.2"/>
    <row r="410" s="45" customFormat="1" x14ac:dyDescent="0.2"/>
    <row r="411" s="45" customFormat="1" x14ac:dyDescent="0.2"/>
    <row r="412" s="45" customFormat="1" x14ac:dyDescent="0.2"/>
    <row r="413" s="45" customFormat="1" x14ac:dyDescent="0.2"/>
    <row r="414" s="45" customFormat="1" x14ac:dyDescent="0.2"/>
    <row r="415" s="45" customFormat="1" x14ac:dyDescent="0.2"/>
    <row r="416" s="45" customFormat="1" x14ac:dyDescent="0.2"/>
    <row r="417" s="45" customFormat="1" x14ac:dyDescent="0.2"/>
    <row r="418" s="45" customFormat="1" x14ac:dyDescent="0.2"/>
    <row r="419" s="45" customFormat="1" x14ac:dyDescent="0.2"/>
    <row r="420" s="45" customFormat="1" x14ac:dyDescent="0.2"/>
    <row r="421" s="45" customFormat="1" x14ac:dyDescent="0.2"/>
  </sheetData>
  <mergeCells count="57">
    <mergeCell ref="D63:K63"/>
    <mergeCell ref="Q63:S63"/>
    <mergeCell ref="P38:P39"/>
    <mergeCell ref="Q38:Q39"/>
    <mergeCell ref="R38:R39"/>
    <mergeCell ref="S38:S39"/>
    <mergeCell ref="P43:P44"/>
    <mergeCell ref="Q43:Q44"/>
    <mergeCell ref="R43:R44"/>
    <mergeCell ref="S43:S44"/>
    <mergeCell ref="A1:S1"/>
    <mergeCell ref="A2:S2"/>
    <mergeCell ref="A3:A4"/>
    <mergeCell ref="B3:C4"/>
    <mergeCell ref="D3:N3"/>
    <mergeCell ref="O3:O4"/>
    <mergeCell ref="P3:P4"/>
    <mergeCell ref="Q3:S3"/>
    <mergeCell ref="S5:S34"/>
    <mergeCell ref="A35:S35"/>
    <mergeCell ref="A36:A37"/>
    <mergeCell ref="B36:B37"/>
    <mergeCell ref="C36:C37"/>
    <mergeCell ref="D36:N36"/>
    <mergeCell ref="O36:O37"/>
    <mergeCell ref="P36:P37"/>
    <mergeCell ref="Q36:S36"/>
    <mergeCell ref="A5:A34"/>
    <mergeCell ref="B5:C34"/>
    <mergeCell ref="O5:O34"/>
    <mergeCell ref="Q5:Q34"/>
    <mergeCell ref="R5:R34"/>
    <mergeCell ref="P48:P49"/>
    <mergeCell ref="Q48:Q49"/>
    <mergeCell ref="R48:R49"/>
    <mergeCell ref="S48:S49"/>
    <mergeCell ref="A64:A70"/>
    <mergeCell ref="B64:B70"/>
    <mergeCell ref="P64:P88"/>
    <mergeCell ref="Q64:Q88"/>
    <mergeCell ref="R64:R88"/>
    <mergeCell ref="S64:S88"/>
    <mergeCell ref="A71:A88"/>
    <mergeCell ref="B71:B88"/>
    <mergeCell ref="Q53:Q54"/>
    <mergeCell ref="R53:R54"/>
    <mergeCell ref="S53:S54"/>
    <mergeCell ref="A62:S62"/>
    <mergeCell ref="A89:S89"/>
    <mergeCell ref="D90:K90"/>
    <mergeCell ref="Q90:S90"/>
    <mergeCell ref="A91:A95"/>
    <mergeCell ref="B91:B95"/>
    <mergeCell ref="P91:P95"/>
    <mergeCell ref="Q91:Q95"/>
    <mergeCell ref="R91:R95"/>
    <mergeCell ref="S91:S9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43A6F-4501-4607-BFDB-4213C26D616D}">
  <sheetPr codeName="Planilha4"/>
  <dimension ref="A1:X1"/>
  <sheetViews>
    <sheetView topLeftCell="J1" workbookViewId="0">
      <selection activeCell="A112" sqref="A112:XFD421"/>
    </sheetView>
  </sheetViews>
  <sheetFormatPr defaultRowHeight="15" x14ac:dyDescent="0.25"/>
  <cols>
    <col min="2" max="2" width="16.7109375" style="13" bestFit="1" customWidth="1"/>
    <col min="4" max="4" width="16.7109375" style="13" bestFit="1" customWidth="1"/>
    <col min="13" max="13" width="10.7109375" bestFit="1" customWidth="1"/>
    <col min="14" max="14" width="11.140625" bestFit="1" customWidth="1"/>
  </cols>
  <sheetData>
    <row r="1" spans="1:24" x14ac:dyDescent="0.25">
      <c r="A1" s="14" t="s">
        <v>52</v>
      </c>
      <c r="B1" s="15" t="s">
        <v>53</v>
      </c>
      <c r="C1" s="15" t="s">
        <v>54</v>
      </c>
      <c r="D1" s="15" t="s">
        <v>55</v>
      </c>
      <c r="E1" s="15" t="s">
        <v>56</v>
      </c>
      <c r="F1" s="14" t="s">
        <v>57</v>
      </c>
      <c r="G1" s="14" t="s">
        <v>58</v>
      </c>
      <c r="H1" s="14" t="s">
        <v>59</v>
      </c>
      <c r="I1" s="14" t="s">
        <v>60</v>
      </c>
      <c r="J1" s="14" t="s">
        <v>61</v>
      </c>
      <c r="K1" s="14" t="s">
        <v>62</v>
      </c>
      <c r="L1" s="14" t="s">
        <v>63</v>
      </c>
      <c r="M1" s="14" t="s">
        <v>64</v>
      </c>
      <c r="N1" s="14" t="s">
        <v>65</v>
      </c>
      <c r="O1" s="14" t="s">
        <v>66</v>
      </c>
      <c r="P1" s="14" t="s">
        <v>67</v>
      </c>
      <c r="Q1" s="14" t="s">
        <v>68</v>
      </c>
      <c r="R1" s="14" t="s">
        <v>69</v>
      </c>
      <c r="S1" s="14" t="s">
        <v>70</v>
      </c>
      <c r="T1" s="14" t="s">
        <v>71</v>
      </c>
      <c r="U1" s="14" t="s">
        <v>72</v>
      </c>
      <c r="V1" s="14" t="s">
        <v>73</v>
      </c>
      <c r="W1" s="14" t="s">
        <v>74</v>
      </c>
      <c r="X1" s="14" t="s">
        <v>75</v>
      </c>
    </row>
  </sheetData>
  <autoFilter ref="A1:X1" xr:uid="{FC143A6F-4501-4607-BFDB-4213C26D616D}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DEF97-BBC2-4238-843B-2BBEDB52A50C}">
  <sheetPr codeName="Planilha2"/>
  <dimension ref="A1:X1681"/>
  <sheetViews>
    <sheetView workbookViewId="0">
      <selection activeCell="M18" sqref="M18"/>
    </sheetView>
  </sheetViews>
  <sheetFormatPr defaultRowHeight="15" x14ac:dyDescent="0.25"/>
  <cols>
    <col min="2" max="2" width="16.7109375" style="13" bestFit="1" customWidth="1"/>
    <col min="3" max="3" width="6.5703125" customWidth="1"/>
    <col min="4" max="4" width="13.7109375" style="13" bestFit="1" customWidth="1"/>
    <col min="13" max="14" width="10.7109375" bestFit="1" customWidth="1"/>
  </cols>
  <sheetData>
    <row r="1" spans="1:24" x14ac:dyDescent="0.25">
      <c r="A1" s="14" t="s">
        <v>52</v>
      </c>
      <c r="B1" s="15" t="s">
        <v>53</v>
      </c>
      <c r="C1" s="15" t="s">
        <v>54</v>
      </c>
      <c r="D1" s="15" t="s">
        <v>55</v>
      </c>
      <c r="E1" s="15" t="s">
        <v>56</v>
      </c>
      <c r="F1" s="14" t="s">
        <v>57</v>
      </c>
      <c r="G1" s="14" t="s">
        <v>58</v>
      </c>
      <c r="H1" s="14" t="s">
        <v>59</v>
      </c>
      <c r="I1" s="14" t="s">
        <v>60</v>
      </c>
      <c r="J1" s="14" t="s">
        <v>61</v>
      </c>
      <c r="K1" s="14" t="s">
        <v>62</v>
      </c>
      <c r="L1" s="14" t="s">
        <v>63</v>
      </c>
      <c r="M1" s="14" t="s">
        <v>64</v>
      </c>
      <c r="N1" s="14" t="s">
        <v>65</v>
      </c>
      <c r="O1" s="14" t="s">
        <v>66</v>
      </c>
      <c r="P1" s="14" t="s">
        <v>67</v>
      </c>
      <c r="Q1" s="14" t="s">
        <v>68</v>
      </c>
      <c r="R1" s="14" t="s">
        <v>69</v>
      </c>
      <c r="S1" s="14" t="s">
        <v>70</v>
      </c>
      <c r="T1" s="14" t="s">
        <v>71</v>
      </c>
      <c r="U1" s="14" t="s">
        <v>72</v>
      </c>
      <c r="V1" s="14" t="s">
        <v>73</v>
      </c>
      <c r="W1" s="14" t="s">
        <v>74</v>
      </c>
      <c r="X1" s="14" t="s">
        <v>75</v>
      </c>
    </row>
    <row r="2" spans="1:24" x14ac:dyDescent="0.25">
      <c r="A2">
        <v>1</v>
      </c>
      <c r="B2" s="13">
        <v>590920300002</v>
      </c>
      <c r="C2">
        <v>10</v>
      </c>
      <c r="D2" s="13">
        <v>5957163099</v>
      </c>
      <c r="F2" t="s">
        <v>130</v>
      </c>
      <c r="G2">
        <v>0</v>
      </c>
      <c r="H2">
        <v>100</v>
      </c>
      <c r="K2">
        <v>2</v>
      </c>
      <c r="L2" t="s">
        <v>131</v>
      </c>
      <c r="M2" s="50">
        <v>44875</v>
      </c>
      <c r="N2" s="50">
        <v>2958465</v>
      </c>
      <c r="P2">
        <v>0</v>
      </c>
      <c r="U2">
        <v>4</v>
      </c>
      <c r="V2">
        <v>1</v>
      </c>
      <c r="W2" t="s">
        <v>132</v>
      </c>
      <c r="X2">
        <v>0</v>
      </c>
    </row>
    <row r="3" spans="1:24" x14ac:dyDescent="0.25">
      <c r="A3">
        <v>1</v>
      </c>
      <c r="B3" s="13">
        <v>590920300002</v>
      </c>
      <c r="C3">
        <v>20</v>
      </c>
      <c r="D3" s="13">
        <v>5957333099</v>
      </c>
      <c r="F3" t="s">
        <v>130</v>
      </c>
      <c r="G3">
        <v>0</v>
      </c>
      <c r="H3">
        <v>100</v>
      </c>
      <c r="K3">
        <v>1</v>
      </c>
      <c r="L3" t="s">
        <v>131</v>
      </c>
      <c r="M3" s="50">
        <v>44875</v>
      </c>
      <c r="N3" s="50">
        <v>2958465</v>
      </c>
      <c r="P3">
        <v>0</v>
      </c>
      <c r="U3">
        <v>4</v>
      </c>
      <c r="V3">
        <v>1</v>
      </c>
      <c r="W3" t="s">
        <v>132</v>
      </c>
      <c r="X3">
        <v>0</v>
      </c>
    </row>
    <row r="4" spans="1:24" x14ac:dyDescent="0.25">
      <c r="A4">
        <v>1</v>
      </c>
      <c r="B4" s="13">
        <v>590920300002</v>
      </c>
      <c r="C4">
        <v>30</v>
      </c>
      <c r="D4" s="13">
        <v>5957303099</v>
      </c>
      <c r="F4" t="s">
        <v>130</v>
      </c>
      <c r="G4">
        <v>0</v>
      </c>
      <c r="H4">
        <v>100</v>
      </c>
      <c r="K4">
        <v>1</v>
      </c>
      <c r="L4" t="s">
        <v>131</v>
      </c>
      <c r="M4" s="50">
        <v>44875</v>
      </c>
      <c r="N4" s="50">
        <v>2958465</v>
      </c>
      <c r="P4">
        <v>0</v>
      </c>
      <c r="U4">
        <v>4</v>
      </c>
      <c r="V4">
        <v>1</v>
      </c>
      <c r="W4" t="s">
        <v>132</v>
      </c>
      <c r="X4">
        <v>0</v>
      </c>
    </row>
    <row r="5" spans="1:24" x14ac:dyDescent="0.25">
      <c r="A5">
        <v>1</v>
      </c>
      <c r="B5" s="13">
        <v>590920300002</v>
      </c>
      <c r="C5">
        <v>40</v>
      </c>
      <c r="D5" s="13">
        <v>1022219</v>
      </c>
      <c r="F5" t="s">
        <v>130</v>
      </c>
      <c r="G5">
        <v>0</v>
      </c>
      <c r="H5">
        <v>100</v>
      </c>
      <c r="K5">
        <v>1</v>
      </c>
      <c r="L5" t="s">
        <v>131</v>
      </c>
      <c r="M5" s="50">
        <v>44875</v>
      </c>
      <c r="N5" s="50">
        <v>2958465</v>
      </c>
      <c r="P5">
        <v>0</v>
      </c>
      <c r="U5">
        <v>4</v>
      </c>
      <c r="V5">
        <v>1</v>
      </c>
      <c r="W5" t="s">
        <v>132</v>
      </c>
      <c r="X5">
        <v>0</v>
      </c>
    </row>
    <row r="6" spans="1:24" x14ac:dyDescent="0.25">
      <c r="A6">
        <v>1</v>
      </c>
      <c r="B6" s="13">
        <v>590920300002</v>
      </c>
      <c r="C6">
        <v>50</v>
      </c>
      <c r="D6" s="13">
        <v>1018034</v>
      </c>
      <c r="F6" t="s">
        <v>130</v>
      </c>
      <c r="G6">
        <v>0</v>
      </c>
      <c r="H6">
        <v>100</v>
      </c>
      <c r="K6">
        <v>4</v>
      </c>
      <c r="L6" t="s">
        <v>131</v>
      </c>
      <c r="M6" s="50">
        <v>44875</v>
      </c>
      <c r="N6" s="50">
        <v>2958465</v>
      </c>
      <c r="P6">
        <v>0</v>
      </c>
      <c r="U6">
        <v>4</v>
      </c>
      <c r="V6">
        <v>1</v>
      </c>
      <c r="W6" t="s">
        <v>132</v>
      </c>
      <c r="X6">
        <v>0</v>
      </c>
    </row>
    <row r="7" spans="1:24" x14ac:dyDescent="0.25">
      <c r="A7">
        <v>1</v>
      </c>
      <c r="B7" s="13">
        <v>590920300002</v>
      </c>
      <c r="C7">
        <v>60</v>
      </c>
      <c r="D7" s="13">
        <v>1018359</v>
      </c>
      <c r="F7" t="s">
        <v>130</v>
      </c>
      <c r="G7">
        <v>0</v>
      </c>
      <c r="H7">
        <v>100</v>
      </c>
      <c r="K7">
        <v>10</v>
      </c>
      <c r="L7" t="s">
        <v>131</v>
      </c>
      <c r="M7" s="50">
        <v>44875</v>
      </c>
      <c r="N7" s="50">
        <v>2958465</v>
      </c>
      <c r="P7">
        <v>0</v>
      </c>
      <c r="U7">
        <v>4</v>
      </c>
      <c r="V7">
        <v>1</v>
      </c>
      <c r="W7" t="s">
        <v>132</v>
      </c>
      <c r="X7">
        <v>0</v>
      </c>
    </row>
    <row r="8" spans="1:24" x14ac:dyDescent="0.25">
      <c r="A8">
        <v>1</v>
      </c>
      <c r="B8" s="13">
        <v>590920300002</v>
      </c>
      <c r="C8">
        <v>70</v>
      </c>
      <c r="D8" s="13">
        <v>1022213</v>
      </c>
      <c r="F8" t="s">
        <v>130</v>
      </c>
      <c r="G8">
        <v>0</v>
      </c>
      <c r="H8">
        <v>100</v>
      </c>
      <c r="K8">
        <v>5.5919999999999996</v>
      </c>
      <c r="L8" t="s">
        <v>131</v>
      </c>
      <c r="M8" s="50">
        <v>44875</v>
      </c>
      <c r="N8" s="50">
        <v>2958465</v>
      </c>
      <c r="P8">
        <v>0</v>
      </c>
      <c r="U8">
        <v>4</v>
      </c>
      <c r="V8">
        <v>1</v>
      </c>
      <c r="W8" t="s">
        <v>132</v>
      </c>
      <c r="X8">
        <v>0</v>
      </c>
    </row>
    <row r="9" spans="1:24" x14ac:dyDescent="0.25">
      <c r="A9">
        <v>1</v>
      </c>
      <c r="B9" s="13">
        <v>590920300002</v>
      </c>
      <c r="C9">
        <v>80</v>
      </c>
      <c r="D9" s="13">
        <v>2</v>
      </c>
      <c r="F9" t="s">
        <v>130</v>
      </c>
      <c r="G9">
        <v>0</v>
      </c>
      <c r="H9">
        <v>100</v>
      </c>
      <c r="K9">
        <v>1</v>
      </c>
      <c r="L9" t="s">
        <v>131</v>
      </c>
      <c r="M9" s="50">
        <v>44875</v>
      </c>
      <c r="N9" s="50">
        <v>2958465</v>
      </c>
      <c r="P9">
        <v>0</v>
      </c>
      <c r="U9">
        <v>4</v>
      </c>
      <c r="V9">
        <v>1</v>
      </c>
      <c r="W9" t="s">
        <v>132</v>
      </c>
      <c r="X9">
        <v>0</v>
      </c>
    </row>
    <row r="10" spans="1:24" x14ac:dyDescent="0.25">
      <c r="A10">
        <v>1</v>
      </c>
      <c r="B10" s="13">
        <v>590920300102</v>
      </c>
      <c r="C10">
        <v>10</v>
      </c>
      <c r="D10" s="13">
        <v>5957163001</v>
      </c>
      <c r="F10" t="s">
        <v>130</v>
      </c>
      <c r="G10">
        <v>0</v>
      </c>
      <c r="H10">
        <v>100</v>
      </c>
      <c r="K10">
        <v>2</v>
      </c>
      <c r="L10" t="s">
        <v>131</v>
      </c>
      <c r="M10" s="50">
        <v>44875</v>
      </c>
      <c r="N10" s="50">
        <v>2958465</v>
      </c>
      <c r="P10">
        <v>0</v>
      </c>
      <c r="U10">
        <v>4</v>
      </c>
      <c r="V10">
        <v>1</v>
      </c>
      <c r="W10" t="s">
        <v>132</v>
      </c>
      <c r="X10">
        <v>0</v>
      </c>
    </row>
    <row r="11" spans="1:24" x14ac:dyDescent="0.25">
      <c r="A11">
        <v>1</v>
      </c>
      <c r="B11" s="13">
        <v>590920300102</v>
      </c>
      <c r="C11">
        <v>20</v>
      </c>
      <c r="D11" s="13">
        <v>5957333001</v>
      </c>
      <c r="F11" t="s">
        <v>130</v>
      </c>
      <c r="G11">
        <v>0</v>
      </c>
      <c r="H11">
        <v>100</v>
      </c>
      <c r="K11">
        <v>1</v>
      </c>
      <c r="L11" t="s">
        <v>131</v>
      </c>
      <c r="M11" s="50">
        <v>44875</v>
      </c>
      <c r="N11" s="50">
        <v>2958465</v>
      </c>
      <c r="P11">
        <v>0</v>
      </c>
      <c r="U11">
        <v>4</v>
      </c>
      <c r="V11">
        <v>1</v>
      </c>
      <c r="W11" t="s">
        <v>132</v>
      </c>
      <c r="X11">
        <v>0</v>
      </c>
    </row>
    <row r="12" spans="1:24" x14ac:dyDescent="0.25">
      <c r="A12">
        <v>1</v>
      </c>
      <c r="B12" s="13">
        <v>590920300102</v>
      </c>
      <c r="C12">
        <v>30</v>
      </c>
      <c r="D12" s="13">
        <v>5957303001</v>
      </c>
      <c r="F12" t="s">
        <v>130</v>
      </c>
      <c r="G12">
        <v>0</v>
      </c>
      <c r="H12">
        <v>100</v>
      </c>
      <c r="K12">
        <v>1</v>
      </c>
      <c r="L12" t="s">
        <v>131</v>
      </c>
      <c r="M12" s="50">
        <v>44875</v>
      </c>
      <c r="N12" s="50">
        <v>2958465</v>
      </c>
      <c r="P12">
        <v>0</v>
      </c>
      <c r="U12">
        <v>4</v>
      </c>
      <c r="V12">
        <v>1</v>
      </c>
      <c r="W12" t="s">
        <v>132</v>
      </c>
      <c r="X12">
        <v>0</v>
      </c>
    </row>
    <row r="13" spans="1:24" x14ac:dyDescent="0.25">
      <c r="A13">
        <v>1</v>
      </c>
      <c r="B13" s="13">
        <v>590920300102</v>
      </c>
      <c r="C13">
        <v>40</v>
      </c>
      <c r="D13" s="13">
        <v>5957093001</v>
      </c>
      <c r="F13" t="s">
        <v>130</v>
      </c>
      <c r="G13">
        <v>0</v>
      </c>
      <c r="H13">
        <v>100</v>
      </c>
      <c r="K13">
        <v>1</v>
      </c>
      <c r="L13" t="s">
        <v>131</v>
      </c>
      <c r="M13" s="50">
        <v>44875</v>
      </c>
      <c r="N13" s="50">
        <v>2958465</v>
      </c>
      <c r="P13">
        <v>0</v>
      </c>
      <c r="U13">
        <v>4</v>
      </c>
      <c r="V13">
        <v>1</v>
      </c>
      <c r="W13" t="s">
        <v>132</v>
      </c>
      <c r="X13">
        <v>0</v>
      </c>
    </row>
    <row r="14" spans="1:24" x14ac:dyDescent="0.25">
      <c r="A14">
        <v>1</v>
      </c>
      <c r="B14" s="13">
        <v>590920300102</v>
      </c>
      <c r="C14">
        <v>50</v>
      </c>
      <c r="D14" s="13">
        <v>1018034</v>
      </c>
      <c r="F14" t="s">
        <v>130</v>
      </c>
      <c r="G14">
        <v>0</v>
      </c>
      <c r="H14">
        <v>100</v>
      </c>
      <c r="K14">
        <v>4</v>
      </c>
      <c r="L14" t="s">
        <v>131</v>
      </c>
      <c r="M14" s="50">
        <v>44875</v>
      </c>
      <c r="N14" s="50">
        <v>2958465</v>
      </c>
      <c r="P14">
        <v>0</v>
      </c>
      <c r="U14">
        <v>4</v>
      </c>
      <c r="V14">
        <v>1</v>
      </c>
      <c r="W14" t="s">
        <v>132</v>
      </c>
      <c r="X14">
        <v>0</v>
      </c>
    </row>
    <row r="15" spans="1:24" x14ac:dyDescent="0.25">
      <c r="A15">
        <v>1</v>
      </c>
      <c r="B15" s="13">
        <v>590920300102</v>
      </c>
      <c r="C15">
        <v>60</v>
      </c>
      <c r="D15" s="13">
        <v>1018359</v>
      </c>
      <c r="F15" t="s">
        <v>130</v>
      </c>
      <c r="G15">
        <v>0</v>
      </c>
      <c r="H15">
        <v>100</v>
      </c>
      <c r="K15">
        <v>10</v>
      </c>
      <c r="L15" t="s">
        <v>131</v>
      </c>
      <c r="M15" s="50">
        <v>44875</v>
      </c>
      <c r="N15" s="50">
        <v>2958465</v>
      </c>
      <c r="P15">
        <v>0</v>
      </c>
      <c r="U15">
        <v>4</v>
      </c>
      <c r="V15">
        <v>1</v>
      </c>
      <c r="W15" t="s">
        <v>132</v>
      </c>
      <c r="X15">
        <v>0</v>
      </c>
    </row>
    <row r="16" spans="1:24" x14ac:dyDescent="0.25">
      <c r="A16">
        <v>1</v>
      </c>
      <c r="B16" s="13">
        <v>590920300102</v>
      </c>
      <c r="C16">
        <v>70</v>
      </c>
      <c r="D16" s="13">
        <v>1022213</v>
      </c>
      <c r="F16" t="s">
        <v>130</v>
      </c>
      <c r="G16">
        <v>0</v>
      </c>
      <c r="H16">
        <v>100</v>
      </c>
      <c r="K16">
        <v>5.5919999999999996</v>
      </c>
      <c r="L16" t="s">
        <v>131</v>
      </c>
      <c r="M16" s="50">
        <v>44875</v>
      </c>
      <c r="N16" s="50">
        <v>2958465</v>
      </c>
      <c r="P16">
        <v>0</v>
      </c>
      <c r="U16">
        <v>4</v>
      </c>
      <c r="V16">
        <v>1</v>
      </c>
      <c r="W16" t="s">
        <v>132</v>
      </c>
      <c r="X16">
        <v>0</v>
      </c>
    </row>
    <row r="17" spans="1:24" x14ac:dyDescent="0.25">
      <c r="A17">
        <v>1</v>
      </c>
      <c r="B17" s="13">
        <v>590920300102</v>
      </c>
      <c r="C17">
        <v>80</v>
      </c>
      <c r="D17" s="13">
        <v>202</v>
      </c>
      <c r="F17" t="s">
        <v>130</v>
      </c>
      <c r="G17">
        <v>0</v>
      </c>
      <c r="H17">
        <v>100</v>
      </c>
      <c r="K17">
        <v>1</v>
      </c>
      <c r="L17" t="s">
        <v>131</v>
      </c>
      <c r="M17" s="50">
        <v>44875</v>
      </c>
      <c r="N17" s="50">
        <v>2958465</v>
      </c>
      <c r="P17">
        <v>0</v>
      </c>
      <c r="U17">
        <v>4</v>
      </c>
      <c r="V17">
        <v>1</v>
      </c>
      <c r="W17" t="s">
        <v>132</v>
      </c>
      <c r="X17">
        <v>0</v>
      </c>
    </row>
    <row r="18" spans="1:24" x14ac:dyDescent="0.25">
      <c r="A18">
        <v>1</v>
      </c>
      <c r="B18" s="13">
        <v>590920300202</v>
      </c>
      <c r="C18">
        <v>10</v>
      </c>
      <c r="D18" s="13">
        <v>5957163002</v>
      </c>
      <c r="F18" t="s">
        <v>130</v>
      </c>
      <c r="G18">
        <v>0</v>
      </c>
      <c r="H18">
        <v>100</v>
      </c>
      <c r="K18">
        <v>2</v>
      </c>
      <c r="L18" t="s">
        <v>131</v>
      </c>
      <c r="M18" s="50">
        <v>44875</v>
      </c>
      <c r="N18" s="50">
        <v>2958465</v>
      </c>
      <c r="P18">
        <v>0</v>
      </c>
      <c r="U18">
        <v>4</v>
      </c>
      <c r="V18">
        <v>1</v>
      </c>
      <c r="W18" t="s">
        <v>132</v>
      </c>
      <c r="X18">
        <v>0</v>
      </c>
    </row>
    <row r="19" spans="1:24" x14ac:dyDescent="0.25">
      <c r="A19">
        <v>1</v>
      </c>
      <c r="B19" s="13">
        <v>590920300202</v>
      </c>
      <c r="C19">
        <v>20</v>
      </c>
      <c r="D19" s="13">
        <v>5957333002</v>
      </c>
      <c r="F19" t="s">
        <v>130</v>
      </c>
      <c r="G19">
        <v>0</v>
      </c>
      <c r="H19">
        <v>100</v>
      </c>
      <c r="K19">
        <v>1</v>
      </c>
      <c r="L19" t="s">
        <v>131</v>
      </c>
      <c r="M19" s="50">
        <v>44875</v>
      </c>
      <c r="N19" s="50">
        <v>2958465</v>
      </c>
      <c r="P19">
        <v>0</v>
      </c>
      <c r="U19">
        <v>4</v>
      </c>
      <c r="V19">
        <v>1</v>
      </c>
      <c r="W19" t="s">
        <v>132</v>
      </c>
      <c r="X19">
        <v>0</v>
      </c>
    </row>
    <row r="20" spans="1:24" x14ac:dyDescent="0.25">
      <c r="A20">
        <v>1</v>
      </c>
      <c r="B20" s="13">
        <v>590920300202</v>
      </c>
      <c r="C20">
        <v>30</v>
      </c>
      <c r="D20" s="13">
        <v>5957303002</v>
      </c>
      <c r="F20" t="s">
        <v>130</v>
      </c>
      <c r="G20">
        <v>0</v>
      </c>
      <c r="H20">
        <v>100</v>
      </c>
      <c r="K20">
        <v>1</v>
      </c>
      <c r="L20" t="s">
        <v>131</v>
      </c>
      <c r="M20" s="50">
        <v>44875</v>
      </c>
      <c r="N20" s="50">
        <v>2958465</v>
      </c>
      <c r="P20">
        <v>0</v>
      </c>
      <c r="U20">
        <v>4</v>
      </c>
      <c r="V20">
        <v>1</v>
      </c>
      <c r="W20" t="s">
        <v>132</v>
      </c>
      <c r="X20">
        <v>0</v>
      </c>
    </row>
    <row r="21" spans="1:24" x14ac:dyDescent="0.25">
      <c r="A21">
        <v>1</v>
      </c>
      <c r="B21" s="13">
        <v>590920300202</v>
      </c>
      <c r="C21">
        <v>40</v>
      </c>
      <c r="D21" s="13">
        <v>5957093002</v>
      </c>
      <c r="F21" t="s">
        <v>130</v>
      </c>
      <c r="G21">
        <v>0</v>
      </c>
      <c r="H21">
        <v>100</v>
      </c>
      <c r="K21">
        <v>1</v>
      </c>
      <c r="L21" t="s">
        <v>131</v>
      </c>
      <c r="M21" s="50">
        <v>44875</v>
      </c>
      <c r="N21" s="50">
        <v>2958465</v>
      </c>
      <c r="P21">
        <v>0</v>
      </c>
      <c r="U21">
        <v>4</v>
      </c>
      <c r="V21">
        <v>1</v>
      </c>
      <c r="W21" t="s">
        <v>132</v>
      </c>
      <c r="X21">
        <v>0</v>
      </c>
    </row>
    <row r="22" spans="1:24" x14ac:dyDescent="0.25">
      <c r="A22">
        <v>1</v>
      </c>
      <c r="B22" s="13">
        <v>590920300202</v>
      </c>
      <c r="C22">
        <v>50</v>
      </c>
      <c r="D22" s="13">
        <v>1018034</v>
      </c>
      <c r="F22" t="s">
        <v>130</v>
      </c>
      <c r="G22">
        <v>0</v>
      </c>
      <c r="H22">
        <v>100</v>
      </c>
      <c r="K22">
        <v>4</v>
      </c>
      <c r="L22" t="s">
        <v>131</v>
      </c>
      <c r="M22" s="50">
        <v>44875</v>
      </c>
      <c r="N22" s="50">
        <v>2958465</v>
      </c>
      <c r="P22">
        <v>0</v>
      </c>
      <c r="U22">
        <v>4</v>
      </c>
      <c r="V22">
        <v>1</v>
      </c>
      <c r="W22" t="s">
        <v>132</v>
      </c>
      <c r="X22">
        <v>0</v>
      </c>
    </row>
    <row r="23" spans="1:24" x14ac:dyDescent="0.25">
      <c r="A23">
        <v>1</v>
      </c>
      <c r="B23" s="13">
        <v>590920300202</v>
      </c>
      <c r="C23">
        <v>60</v>
      </c>
      <c r="D23" s="13">
        <v>1022356</v>
      </c>
      <c r="F23" t="s">
        <v>130</v>
      </c>
      <c r="G23">
        <v>0</v>
      </c>
      <c r="H23">
        <v>100</v>
      </c>
      <c r="K23">
        <v>10</v>
      </c>
      <c r="L23" t="s">
        <v>131</v>
      </c>
      <c r="M23" s="50">
        <v>44875</v>
      </c>
      <c r="N23" s="50">
        <v>2958465</v>
      </c>
      <c r="P23">
        <v>0</v>
      </c>
      <c r="U23">
        <v>4</v>
      </c>
      <c r="V23">
        <v>1</v>
      </c>
      <c r="W23" t="s">
        <v>132</v>
      </c>
      <c r="X23">
        <v>0</v>
      </c>
    </row>
    <row r="24" spans="1:24" x14ac:dyDescent="0.25">
      <c r="A24">
        <v>1</v>
      </c>
      <c r="B24" s="13">
        <v>590920300202</v>
      </c>
      <c r="C24">
        <v>70</v>
      </c>
      <c r="D24" s="13">
        <v>1022213</v>
      </c>
      <c r="F24" t="s">
        <v>130</v>
      </c>
      <c r="G24">
        <v>0</v>
      </c>
      <c r="H24">
        <v>100</v>
      </c>
      <c r="K24">
        <v>5.5919999999999996</v>
      </c>
      <c r="L24" t="s">
        <v>131</v>
      </c>
      <c r="M24" s="50">
        <v>44875</v>
      </c>
      <c r="N24" s="50">
        <v>2958465</v>
      </c>
      <c r="P24">
        <v>0</v>
      </c>
      <c r="U24">
        <v>4</v>
      </c>
      <c r="V24">
        <v>1</v>
      </c>
      <c r="W24" t="s">
        <v>132</v>
      </c>
      <c r="X24">
        <v>0</v>
      </c>
    </row>
    <row r="25" spans="1:24" x14ac:dyDescent="0.25">
      <c r="A25">
        <v>1</v>
      </c>
      <c r="B25" s="13">
        <v>590920300202</v>
      </c>
      <c r="C25">
        <v>80</v>
      </c>
      <c r="D25" s="13">
        <v>20202</v>
      </c>
      <c r="F25" t="s">
        <v>130</v>
      </c>
      <c r="G25">
        <v>0</v>
      </c>
      <c r="H25">
        <v>100</v>
      </c>
      <c r="K25">
        <v>1</v>
      </c>
      <c r="L25" t="s">
        <v>131</v>
      </c>
      <c r="M25" s="50">
        <v>44875</v>
      </c>
      <c r="N25" s="50">
        <v>2958465</v>
      </c>
      <c r="P25">
        <v>0</v>
      </c>
      <c r="U25">
        <v>4</v>
      </c>
      <c r="V25">
        <v>1</v>
      </c>
      <c r="W25" t="s">
        <v>132</v>
      </c>
      <c r="X25">
        <v>0</v>
      </c>
    </row>
    <row r="26" spans="1:24" x14ac:dyDescent="0.25">
      <c r="A26">
        <v>1</v>
      </c>
      <c r="B26" s="13">
        <v>590920300302</v>
      </c>
      <c r="C26">
        <v>10</v>
      </c>
      <c r="D26" s="13">
        <v>5957163003</v>
      </c>
      <c r="F26" t="s">
        <v>130</v>
      </c>
      <c r="G26">
        <v>0</v>
      </c>
      <c r="H26">
        <v>100</v>
      </c>
      <c r="K26">
        <v>2</v>
      </c>
      <c r="L26" t="s">
        <v>131</v>
      </c>
      <c r="M26" s="50">
        <v>44875</v>
      </c>
      <c r="N26" s="50">
        <v>2958465</v>
      </c>
      <c r="P26">
        <v>0</v>
      </c>
      <c r="U26">
        <v>4</v>
      </c>
      <c r="V26">
        <v>1</v>
      </c>
      <c r="W26" t="s">
        <v>132</v>
      </c>
      <c r="X26">
        <v>0</v>
      </c>
    </row>
    <row r="27" spans="1:24" x14ac:dyDescent="0.25">
      <c r="A27">
        <v>1</v>
      </c>
      <c r="B27" s="13">
        <v>590920300302</v>
      </c>
      <c r="C27">
        <v>20</v>
      </c>
      <c r="D27" s="13">
        <v>5957333003</v>
      </c>
      <c r="F27" t="s">
        <v>130</v>
      </c>
      <c r="G27">
        <v>0</v>
      </c>
      <c r="H27">
        <v>100</v>
      </c>
      <c r="K27">
        <v>1</v>
      </c>
      <c r="L27" t="s">
        <v>131</v>
      </c>
      <c r="M27" s="50">
        <v>44875</v>
      </c>
      <c r="N27" s="50">
        <v>2958465</v>
      </c>
      <c r="P27">
        <v>0</v>
      </c>
      <c r="U27">
        <v>4</v>
      </c>
      <c r="V27">
        <v>1</v>
      </c>
      <c r="W27" t="s">
        <v>132</v>
      </c>
      <c r="X27">
        <v>0</v>
      </c>
    </row>
    <row r="28" spans="1:24" x14ac:dyDescent="0.25">
      <c r="A28">
        <v>1</v>
      </c>
      <c r="B28" s="13">
        <v>590920300302</v>
      </c>
      <c r="C28">
        <v>30</v>
      </c>
      <c r="D28" s="13">
        <v>5957303003</v>
      </c>
      <c r="F28" t="s">
        <v>130</v>
      </c>
      <c r="G28">
        <v>0</v>
      </c>
      <c r="H28">
        <v>100</v>
      </c>
      <c r="K28">
        <v>1</v>
      </c>
      <c r="L28" t="s">
        <v>131</v>
      </c>
      <c r="M28" s="50">
        <v>44875</v>
      </c>
      <c r="N28" s="50">
        <v>2958465</v>
      </c>
      <c r="P28">
        <v>0</v>
      </c>
      <c r="U28">
        <v>4</v>
      </c>
      <c r="V28">
        <v>1</v>
      </c>
      <c r="W28" t="s">
        <v>132</v>
      </c>
      <c r="X28">
        <v>0</v>
      </c>
    </row>
    <row r="29" spans="1:24" x14ac:dyDescent="0.25">
      <c r="A29">
        <v>1</v>
      </c>
      <c r="B29" s="13">
        <v>590920300302</v>
      </c>
      <c r="C29">
        <v>40</v>
      </c>
      <c r="D29" s="13">
        <v>5957093003</v>
      </c>
      <c r="F29" t="s">
        <v>130</v>
      </c>
      <c r="G29">
        <v>0</v>
      </c>
      <c r="H29">
        <v>100</v>
      </c>
      <c r="K29">
        <v>1</v>
      </c>
      <c r="L29" t="s">
        <v>131</v>
      </c>
      <c r="M29" s="50">
        <v>44875</v>
      </c>
      <c r="N29" s="50">
        <v>2958465</v>
      </c>
      <c r="P29">
        <v>0</v>
      </c>
      <c r="U29">
        <v>4</v>
      </c>
      <c r="V29">
        <v>1</v>
      </c>
      <c r="W29" t="s">
        <v>132</v>
      </c>
      <c r="X29">
        <v>0</v>
      </c>
    </row>
    <row r="30" spans="1:24" x14ac:dyDescent="0.25">
      <c r="A30">
        <v>1</v>
      </c>
      <c r="B30" s="13">
        <v>590920300302</v>
      </c>
      <c r="C30">
        <v>50</v>
      </c>
      <c r="D30" s="13">
        <v>1018034</v>
      </c>
      <c r="F30" t="s">
        <v>130</v>
      </c>
      <c r="G30">
        <v>0</v>
      </c>
      <c r="H30">
        <v>100</v>
      </c>
      <c r="K30">
        <v>4</v>
      </c>
      <c r="L30" t="s">
        <v>131</v>
      </c>
      <c r="M30" s="50">
        <v>44875</v>
      </c>
      <c r="N30" s="50">
        <v>2958465</v>
      </c>
      <c r="P30">
        <v>0</v>
      </c>
      <c r="U30">
        <v>4</v>
      </c>
      <c r="V30">
        <v>1</v>
      </c>
      <c r="W30" t="s">
        <v>132</v>
      </c>
      <c r="X30">
        <v>0</v>
      </c>
    </row>
    <row r="31" spans="1:24" x14ac:dyDescent="0.25">
      <c r="A31">
        <v>1</v>
      </c>
      <c r="B31" s="13">
        <v>590920300302</v>
      </c>
      <c r="C31">
        <v>60</v>
      </c>
      <c r="D31" s="13">
        <v>1018359</v>
      </c>
      <c r="F31" t="s">
        <v>130</v>
      </c>
      <c r="G31">
        <v>0</v>
      </c>
      <c r="H31">
        <v>100</v>
      </c>
      <c r="K31">
        <v>10</v>
      </c>
      <c r="L31" t="s">
        <v>131</v>
      </c>
      <c r="M31" s="50">
        <v>44875</v>
      </c>
      <c r="N31" s="50">
        <v>2958465</v>
      </c>
      <c r="P31">
        <v>0</v>
      </c>
      <c r="U31">
        <v>4</v>
      </c>
      <c r="V31">
        <v>1</v>
      </c>
      <c r="W31" t="s">
        <v>132</v>
      </c>
      <c r="X31">
        <v>0</v>
      </c>
    </row>
    <row r="32" spans="1:24" x14ac:dyDescent="0.25">
      <c r="A32">
        <v>1</v>
      </c>
      <c r="B32" s="13">
        <v>590920300302</v>
      </c>
      <c r="C32">
        <v>70</v>
      </c>
      <c r="D32" s="13">
        <v>1022213</v>
      </c>
      <c r="F32" t="s">
        <v>130</v>
      </c>
      <c r="G32">
        <v>0</v>
      </c>
      <c r="H32">
        <v>100</v>
      </c>
      <c r="K32">
        <v>5.5919999999999996</v>
      </c>
      <c r="L32" t="s">
        <v>131</v>
      </c>
      <c r="M32" s="50">
        <v>44875</v>
      </c>
      <c r="N32" s="50">
        <v>2958465</v>
      </c>
      <c r="P32">
        <v>0</v>
      </c>
      <c r="U32">
        <v>4</v>
      </c>
      <c r="V32">
        <v>1</v>
      </c>
      <c r="W32" t="s">
        <v>132</v>
      </c>
      <c r="X32">
        <v>0</v>
      </c>
    </row>
    <row r="33" spans="1:24" x14ac:dyDescent="0.25">
      <c r="A33">
        <v>1</v>
      </c>
      <c r="B33" s="13">
        <v>590920300302</v>
      </c>
      <c r="C33">
        <v>80</v>
      </c>
      <c r="D33" s="13">
        <v>2020202</v>
      </c>
      <c r="F33" t="s">
        <v>130</v>
      </c>
      <c r="G33">
        <v>0</v>
      </c>
      <c r="H33">
        <v>100</v>
      </c>
      <c r="K33">
        <v>1</v>
      </c>
      <c r="L33" t="s">
        <v>131</v>
      </c>
      <c r="M33" s="50">
        <v>44875</v>
      </c>
      <c r="N33" s="50">
        <v>2958465</v>
      </c>
      <c r="P33">
        <v>0</v>
      </c>
      <c r="U33">
        <v>4</v>
      </c>
      <c r="V33">
        <v>1</v>
      </c>
      <c r="W33" t="s">
        <v>132</v>
      </c>
      <c r="X33">
        <v>0</v>
      </c>
    </row>
    <row r="34" spans="1:24" x14ac:dyDescent="0.25">
      <c r="A34">
        <v>1</v>
      </c>
      <c r="B34" s="13">
        <v>590920300402</v>
      </c>
      <c r="C34">
        <v>10</v>
      </c>
      <c r="D34" s="13">
        <v>5957163004</v>
      </c>
      <c r="F34" t="s">
        <v>130</v>
      </c>
      <c r="G34">
        <v>0</v>
      </c>
      <c r="H34">
        <v>100</v>
      </c>
      <c r="K34">
        <v>2</v>
      </c>
      <c r="L34" t="s">
        <v>131</v>
      </c>
      <c r="M34" s="50">
        <v>44875</v>
      </c>
      <c r="N34" s="50">
        <v>2958465</v>
      </c>
      <c r="P34">
        <v>0</v>
      </c>
      <c r="U34">
        <v>4</v>
      </c>
      <c r="V34">
        <v>1</v>
      </c>
      <c r="W34" t="s">
        <v>132</v>
      </c>
      <c r="X34">
        <v>0</v>
      </c>
    </row>
    <row r="35" spans="1:24" x14ac:dyDescent="0.25">
      <c r="A35">
        <v>1</v>
      </c>
      <c r="B35" s="13">
        <v>590920300402</v>
      </c>
      <c r="C35">
        <v>20</v>
      </c>
      <c r="D35" s="13">
        <v>5957333004</v>
      </c>
      <c r="F35" t="s">
        <v>130</v>
      </c>
      <c r="G35">
        <v>0</v>
      </c>
      <c r="H35">
        <v>100</v>
      </c>
      <c r="K35">
        <v>1</v>
      </c>
      <c r="L35" t="s">
        <v>131</v>
      </c>
      <c r="M35" s="50">
        <v>44875</v>
      </c>
      <c r="N35" s="50">
        <v>2958465</v>
      </c>
      <c r="P35">
        <v>0</v>
      </c>
      <c r="U35">
        <v>4</v>
      </c>
      <c r="V35">
        <v>1</v>
      </c>
      <c r="W35" t="s">
        <v>132</v>
      </c>
      <c r="X35">
        <v>0</v>
      </c>
    </row>
    <row r="36" spans="1:24" x14ac:dyDescent="0.25">
      <c r="A36">
        <v>1</v>
      </c>
      <c r="B36" s="13">
        <v>590920300402</v>
      </c>
      <c r="C36">
        <v>30</v>
      </c>
      <c r="D36" s="13">
        <v>5957303004</v>
      </c>
      <c r="F36" t="s">
        <v>130</v>
      </c>
      <c r="G36">
        <v>0</v>
      </c>
      <c r="H36">
        <v>100</v>
      </c>
      <c r="K36">
        <v>1</v>
      </c>
      <c r="L36" t="s">
        <v>131</v>
      </c>
      <c r="M36" s="50">
        <v>44875</v>
      </c>
      <c r="N36" s="50">
        <v>2958465</v>
      </c>
      <c r="P36">
        <v>0</v>
      </c>
      <c r="U36">
        <v>4</v>
      </c>
      <c r="V36">
        <v>1</v>
      </c>
      <c r="W36" t="s">
        <v>132</v>
      </c>
      <c r="X36">
        <v>0</v>
      </c>
    </row>
    <row r="37" spans="1:24" x14ac:dyDescent="0.25">
      <c r="A37">
        <v>1</v>
      </c>
      <c r="B37" s="13">
        <v>590920300402</v>
      </c>
      <c r="C37">
        <v>40</v>
      </c>
      <c r="D37" s="13">
        <v>5957093004</v>
      </c>
      <c r="F37" t="s">
        <v>130</v>
      </c>
      <c r="G37">
        <v>0</v>
      </c>
      <c r="H37">
        <v>100</v>
      </c>
      <c r="K37">
        <v>1</v>
      </c>
      <c r="L37" t="s">
        <v>131</v>
      </c>
      <c r="M37" s="50">
        <v>44875</v>
      </c>
      <c r="N37" s="50">
        <v>2958465</v>
      </c>
      <c r="P37">
        <v>0</v>
      </c>
      <c r="U37">
        <v>4</v>
      </c>
      <c r="V37">
        <v>1</v>
      </c>
      <c r="W37" t="s">
        <v>132</v>
      </c>
      <c r="X37">
        <v>0</v>
      </c>
    </row>
    <row r="38" spans="1:24" x14ac:dyDescent="0.25">
      <c r="A38">
        <v>1</v>
      </c>
      <c r="B38" s="13">
        <v>590920300402</v>
      </c>
      <c r="C38">
        <v>50</v>
      </c>
      <c r="D38" s="13">
        <v>1018034</v>
      </c>
      <c r="F38" t="s">
        <v>130</v>
      </c>
      <c r="G38">
        <v>0</v>
      </c>
      <c r="H38">
        <v>100</v>
      </c>
      <c r="K38">
        <v>4</v>
      </c>
      <c r="L38" t="s">
        <v>131</v>
      </c>
      <c r="M38" s="50">
        <v>44875</v>
      </c>
      <c r="N38" s="50">
        <v>2958465</v>
      </c>
      <c r="P38">
        <v>0</v>
      </c>
      <c r="U38">
        <v>4</v>
      </c>
      <c r="V38">
        <v>1</v>
      </c>
      <c r="W38" t="s">
        <v>132</v>
      </c>
      <c r="X38">
        <v>0</v>
      </c>
    </row>
    <row r="39" spans="1:24" x14ac:dyDescent="0.25">
      <c r="A39">
        <v>1</v>
      </c>
      <c r="B39" s="13">
        <v>590920300402</v>
      </c>
      <c r="C39">
        <v>60</v>
      </c>
      <c r="D39" s="13">
        <v>1022356</v>
      </c>
      <c r="F39" t="s">
        <v>130</v>
      </c>
      <c r="G39">
        <v>0</v>
      </c>
      <c r="H39">
        <v>100</v>
      </c>
      <c r="K39">
        <v>10</v>
      </c>
      <c r="L39" t="s">
        <v>131</v>
      </c>
      <c r="M39" s="50">
        <v>44875</v>
      </c>
      <c r="N39" s="50">
        <v>2958465</v>
      </c>
      <c r="P39">
        <v>0</v>
      </c>
      <c r="U39">
        <v>4</v>
      </c>
      <c r="V39">
        <v>1</v>
      </c>
      <c r="W39" t="s">
        <v>132</v>
      </c>
      <c r="X39">
        <v>0</v>
      </c>
    </row>
    <row r="40" spans="1:24" x14ac:dyDescent="0.25">
      <c r="A40">
        <v>1</v>
      </c>
      <c r="B40" s="13">
        <v>590920300402</v>
      </c>
      <c r="C40">
        <v>70</v>
      </c>
      <c r="D40" s="13">
        <v>1022213</v>
      </c>
      <c r="F40" t="s">
        <v>130</v>
      </c>
      <c r="G40">
        <v>0</v>
      </c>
      <c r="H40">
        <v>100</v>
      </c>
      <c r="K40">
        <v>5.5919999999999996</v>
      </c>
      <c r="L40" t="s">
        <v>131</v>
      </c>
      <c r="M40" s="50">
        <v>44875</v>
      </c>
      <c r="N40" s="50">
        <v>2958465</v>
      </c>
      <c r="P40">
        <v>0</v>
      </c>
      <c r="U40">
        <v>4</v>
      </c>
      <c r="V40">
        <v>1</v>
      </c>
      <c r="W40" t="s">
        <v>132</v>
      </c>
      <c r="X40">
        <v>0</v>
      </c>
    </row>
    <row r="41" spans="1:24" x14ac:dyDescent="0.25">
      <c r="A41">
        <v>1</v>
      </c>
      <c r="B41" s="13">
        <v>590920300402</v>
      </c>
      <c r="C41">
        <v>80</v>
      </c>
      <c r="D41" s="13">
        <v>202020202</v>
      </c>
      <c r="F41" t="s">
        <v>130</v>
      </c>
      <c r="G41">
        <v>0</v>
      </c>
      <c r="H41">
        <v>100</v>
      </c>
      <c r="K41">
        <v>1</v>
      </c>
      <c r="L41" t="s">
        <v>131</v>
      </c>
      <c r="M41" s="50">
        <v>44875</v>
      </c>
      <c r="N41" s="50">
        <v>2958465</v>
      </c>
      <c r="P41">
        <v>0</v>
      </c>
      <c r="U41">
        <v>4</v>
      </c>
      <c r="V41">
        <v>1</v>
      </c>
      <c r="W41" t="s">
        <v>132</v>
      </c>
      <c r="X41">
        <v>0</v>
      </c>
    </row>
    <row r="42" spans="1:24" x14ac:dyDescent="0.25">
      <c r="A42">
        <v>1</v>
      </c>
      <c r="B42" s="13">
        <v>590920300502</v>
      </c>
      <c r="C42">
        <v>10</v>
      </c>
      <c r="D42" s="13">
        <v>5957163005</v>
      </c>
      <c r="F42" t="s">
        <v>130</v>
      </c>
      <c r="G42">
        <v>0</v>
      </c>
      <c r="H42">
        <v>100</v>
      </c>
      <c r="K42">
        <v>2</v>
      </c>
      <c r="L42" t="s">
        <v>131</v>
      </c>
      <c r="M42" s="50">
        <v>44875</v>
      </c>
      <c r="N42" s="50">
        <v>2958465</v>
      </c>
      <c r="P42">
        <v>0</v>
      </c>
      <c r="U42">
        <v>4</v>
      </c>
      <c r="V42">
        <v>1</v>
      </c>
      <c r="W42" t="s">
        <v>132</v>
      </c>
      <c r="X42">
        <v>0</v>
      </c>
    </row>
    <row r="43" spans="1:24" x14ac:dyDescent="0.25">
      <c r="A43">
        <v>1</v>
      </c>
      <c r="B43" s="13">
        <v>590920300502</v>
      </c>
      <c r="C43">
        <v>20</v>
      </c>
      <c r="D43" s="13">
        <v>5957333005</v>
      </c>
      <c r="F43" t="s">
        <v>130</v>
      </c>
      <c r="G43">
        <v>0</v>
      </c>
      <c r="H43">
        <v>100</v>
      </c>
      <c r="K43">
        <v>1</v>
      </c>
      <c r="L43" t="s">
        <v>131</v>
      </c>
      <c r="M43" s="50">
        <v>44875</v>
      </c>
      <c r="N43" s="50">
        <v>2958465</v>
      </c>
      <c r="P43">
        <v>0</v>
      </c>
      <c r="U43">
        <v>4</v>
      </c>
      <c r="V43">
        <v>1</v>
      </c>
      <c r="W43" t="s">
        <v>132</v>
      </c>
      <c r="X43">
        <v>0</v>
      </c>
    </row>
    <row r="44" spans="1:24" x14ac:dyDescent="0.25">
      <c r="A44">
        <v>1</v>
      </c>
      <c r="B44" s="13">
        <v>590920300502</v>
      </c>
      <c r="C44">
        <v>30</v>
      </c>
      <c r="D44" s="13">
        <v>5957303005</v>
      </c>
      <c r="F44" t="s">
        <v>130</v>
      </c>
      <c r="G44">
        <v>0</v>
      </c>
      <c r="H44">
        <v>100</v>
      </c>
      <c r="K44">
        <v>1</v>
      </c>
      <c r="L44" t="s">
        <v>131</v>
      </c>
      <c r="M44" s="50">
        <v>44875</v>
      </c>
      <c r="N44" s="50">
        <v>2958465</v>
      </c>
      <c r="P44">
        <v>0</v>
      </c>
      <c r="U44">
        <v>4</v>
      </c>
      <c r="V44">
        <v>1</v>
      </c>
      <c r="W44" t="s">
        <v>132</v>
      </c>
      <c r="X44">
        <v>0</v>
      </c>
    </row>
    <row r="45" spans="1:24" x14ac:dyDescent="0.25">
      <c r="A45">
        <v>1</v>
      </c>
      <c r="B45" s="13">
        <v>590920300502</v>
      </c>
      <c r="C45">
        <v>40</v>
      </c>
      <c r="D45" s="13">
        <v>5957093005</v>
      </c>
      <c r="F45" t="s">
        <v>130</v>
      </c>
      <c r="G45">
        <v>0</v>
      </c>
      <c r="H45">
        <v>100</v>
      </c>
      <c r="K45">
        <v>1</v>
      </c>
      <c r="L45" t="s">
        <v>131</v>
      </c>
      <c r="M45" s="50">
        <v>44875</v>
      </c>
      <c r="N45" s="50">
        <v>2958465</v>
      </c>
      <c r="P45">
        <v>0</v>
      </c>
      <c r="U45">
        <v>4</v>
      </c>
      <c r="V45">
        <v>1</v>
      </c>
      <c r="W45" t="s">
        <v>132</v>
      </c>
      <c r="X45">
        <v>0</v>
      </c>
    </row>
    <row r="46" spans="1:24" x14ac:dyDescent="0.25">
      <c r="A46">
        <v>1</v>
      </c>
      <c r="B46" s="13">
        <v>590920300502</v>
      </c>
      <c r="C46">
        <v>50</v>
      </c>
      <c r="D46" s="13">
        <v>1018034</v>
      </c>
      <c r="F46" t="s">
        <v>130</v>
      </c>
      <c r="G46">
        <v>0</v>
      </c>
      <c r="H46">
        <v>100</v>
      </c>
      <c r="K46">
        <v>4</v>
      </c>
      <c r="L46" t="s">
        <v>131</v>
      </c>
      <c r="M46" s="50">
        <v>44875</v>
      </c>
      <c r="N46" s="50">
        <v>2958465</v>
      </c>
      <c r="P46">
        <v>0</v>
      </c>
      <c r="U46">
        <v>4</v>
      </c>
      <c r="V46">
        <v>1</v>
      </c>
      <c r="W46" t="s">
        <v>132</v>
      </c>
      <c r="X46">
        <v>0</v>
      </c>
    </row>
    <row r="47" spans="1:24" x14ac:dyDescent="0.25">
      <c r="A47">
        <v>1</v>
      </c>
      <c r="B47" s="13">
        <v>590920300502</v>
      </c>
      <c r="C47">
        <v>60</v>
      </c>
      <c r="D47" s="13">
        <v>1022356</v>
      </c>
      <c r="F47" t="s">
        <v>130</v>
      </c>
      <c r="G47">
        <v>0</v>
      </c>
      <c r="H47">
        <v>100</v>
      </c>
      <c r="K47">
        <v>10</v>
      </c>
      <c r="L47" t="s">
        <v>131</v>
      </c>
      <c r="M47" s="50">
        <v>44875</v>
      </c>
      <c r="N47" s="50">
        <v>2958465</v>
      </c>
      <c r="P47">
        <v>0</v>
      </c>
      <c r="U47">
        <v>4</v>
      </c>
      <c r="V47">
        <v>1</v>
      </c>
      <c r="W47" t="s">
        <v>132</v>
      </c>
      <c r="X47">
        <v>0</v>
      </c>
    </row>
    <row r="48" spans="1:24" x14ac:dyDescent="0.25">
      <c r="A48">
        <v>1</v>
      </c>
      <c r="B48" s="13">
        <v>590920300502</v>
      </c>
      <c r="C48">
        <v>70</v>
      </c>
      <c r="D48" s="13">
        <v>1022213</v>
      </c>
      <c r="F48" t="s">
        <v>130</v>
      </c>
      <c r="G48">
        <v>0</v>
      </c>
      <c r="H48">
        <v>100</v>
      </c>
      <c r="K48">
        <v>5.5919999999999996</v>
      </c>
      <c r="L48" t="s">
        <v>131</v>
      </c>
      <c r="M48" s="50">
        <v>44875</v>
      </c>
      <c r="N48" s="50">
        <v>2958465</v>
      </c>
      <c r="P48">
        <v>0</v>
      </c>
      <c r="U48">
        <v>4</v>
      </c>
      <c r="V48">
        <v>1</v>
      </c>
      <c r="W48" t="s">
        <v>132</v>
      </c>
      <c r="X48">
        <v>0</v>
      </c>
    </row>
    <row r="49" spans="1:24" x14ac:dyDescent="0.25">
      <c r="A49">
        <v>1</v>
      </c>
      <c r="B49" s="13">
        <v>590920300502</v>
      </c>
      <c r="C49">
        <v>80</v>
      </c>
      <c r="D49" s="13">
        <v>20202020202</v>
      </c>
      <c r="F49" t="s">
        <v>130</v>
      </c>
      <c r="G49">
        <v>0</v>
      </c>
      <c r="H49">
        <v>100</v>
      </c>
      <c r="K49">
        <v>1</v>
      </c>
      <c r="L49" t="s">
        <v>131</v>
      </c>
      <c r="M49" s="50">
        <v>44875</v>
      </c>
      <c r="N49" s="50">
        <v>2958465</v>
      </c>
      <c r="P49">
        <v>0</v>
      </c>
      <c r="U49">
        <v>4</v>
      </c>
      <c r="V49">
        <v>1</v>
      </c>
      <c r="W49" t="s">
        <v>132</v>
      </c>
      <c r="X49">
        <v>0</v>
      </c>
    </row>
    <row r="50" spans="1:24" x14ac:dyDescent="0.25">
      <c r="A50">
        <v>1</v>
      </c>
      <c r="B50" s="13">
        <v>590920300602</v>
      </c>
      <c r="C50">
        <v>10</v>
      </c>
      <c r="D50" s="13">
        <v>5957163006</v>
      </c>
      <c r="F50" t="s">
        <v>130</v>
      </c>
      <c r="G50">
        <v>0</v>
      </c>
      <c r="H50">
        <v>100</v>
      </c>
      <c r="K50">
        <v>2</v>
      </c>
      <c r="L50" t="s">
        <v>131</v>
      </c>
      <c r="M50" s="50">
        <v>44875</v>
      </c>
      <c r="N50" s="50">
        <v>2958465</v>
      </c>
      <c r="P50">
        <v>0</v>
      </c>
      <c r="U50">
        <v>4</v>
      </c>
      <c r="V50">
        <v>1</v>
      </c>
      <c r="W50" t="s">
        <v>132</v>
      </c>
      <c r="X50">
        <v>0</v>
      </c>
    </row>
    <row r="51" spans="1:24" x14ac:dyDescent="0.25">
      <c r="A51">
        <v>1</v>
      </c>
      <c r="B51" s="13">
        <v>590920300602</v>
      </c>
      <c r="C51">
        <v>20</v>
      </c>
      <c r="D51" s="13">
        <v>5957333006</v>
      </c>
      <c r="F51" t="s">
        <v>130</v>
      </c>
      <c r="G51">
        <v>0</v>
      </c>
      <c r="H51">
        <v>100</v>
      </c>
      <c r="K51">
        <v>1</v>
      </c>
      <c r="L51" t="s">
        <v>131</v>
      </c>
      <c r="M51" s="50">
        <v>44875</v>
      </c>
      <c r="N51" s="50">
        <v>2958465</v>
      </c>
      <c r="P51">
        <v>0</v>
      </c>
      <c r="U51">
        <v>4</v>
      </c>
      <c r="V51">
        <v>1</v>
      </c>
      <c r="W51" t="s">
        <v>132</v>
      </c>
      <c r="X51">
        <v>0</v>
      </c>
    </row>
    <row r="52" spans="1:24" x14ac:dyDescent="0.25">
      <c r="A52">
        <v>1</v>
      </c>
      <c r="B52" s="13">
        <v>590920300602</v>
      </c>
      <c r="C52">
        <v>30</v>
      </c>
      <c r="D52" s="13">
        <v>5957303006</v>
      </c>
      <c r="F52" t="s">
        <v>130</v>
      </c>
      <c r="G52">
        <v>0</v>
      </c>
      <c r="H52">
        <v>100</v>
      </c>
      <c r="K52">
        <v>1</v>
      </c>
      <c r="L52" t="s">
        <v>131</v>
      </c>
      <c r="M52" s="50">
        <v>44875</v>
      </c>
      <c r="N52" s="50">
        <v>2958465</v>
      </c>
      <c r="P52">
        <v>0</v>
      </c>
      <c r="U52">
        <v>4</v>
      </c>
      <c r="V52">
        <v>1</v>
      </c>
      <c r="W52" t="s">
        <v>132</v>
      </c>
      <c r="X52">
        <v>0</v>
      </c>
    </row>
    <row r="53" spans="1:24" x14ac:dyDescent="0.25">
      <c r="A53">
        <v>1</v>
      </c>
      <c r="B53" s="13">
        <v>590920300602</v>
      </c>
      <c r="C53">
        <v>40</v>
      </c>
      <c r="D53" s="13">
        <v>5957093006</v>
      </c>
      <c r="F53" t="s">
        <v>130</v>
      </c>
      <c r="G53">
        <v>0</v>
      </c>
      <c r="H53">
        <v>100</v>
      </c>
      <c r="K53">
        <v>1</v>
      </c>
      <c r="L53" t="s">
        <v>131</v>
      </c>
      <c r="M53" s="50">
        <v>44875</v>
      </c>
      <c r="N53" s="50">
        <v>2958465</v>
      </c>
      <c r="P53">
        <v>0</v>
      </c>
      <c r="U53">
        <v>4</v>
      </c>
      <c r="V53">
        <v>1</v>
      </c>
      <c r="W53" t="s">
        <v>132</v>
      </c>
      <c r="X53">
        <v>0</v>
      </c>
    </row>
    <row r="54" spans="1:24" x14ac:dyDescent="0.25">
      <c r="A54">
        <v>1</v>
      </c>
      <c r="B54" s="13">
        <v>590920300602</v>
      </c>
      <c r="C54">
        <v>50</v>
      </c>
      <c r="D54" s="13">
        <v>1018034</v>
      </c>
      <c r="F54" t="s">
        <v>130</v>
      </c>
      <c r="G54">
        <v>0</v>
      </c>
      <c r="H54">
        <v>100</v>
      </c>
      <c r="K54">
        <v>4</v>
      </c>
      <c r="L54" t="s">
        <v>131</v>
      </c>
      <c r="M54" s="50">
        <v>44875</v>
      </c>
      <c r="N54" s="50">
        <v>2958465</v>
      </c>
      <c r="P54">
        <v>0</v>
      </c>
      <c r="U54">
        <v>4</v>
      </c>
      <c r="V54">
        <v>1</v>
      </c>
      <c r="W54" t="s">
        <v>132</v>
      </c>
      <c r="X54">
        <v>0</v>
      </c>
    </row>
    <row r="55" spans="1:24" x14ac:dyDescent="0.25">
      <c r="A55">
        <v>1</v>
      </c>
      <c r="B55" s="13">
        <v>590920300602</v>
      </c>
      <c r="C55">
        <v>60</v>
      </c>
      <c r="D55" s="13">
        <v>1018359</v>
      </c>
      <c r="F55" t="s">
        <v>130</v>
      </c>
      <c r="G55">
        <v>0</v>
      </c>
      <c r="H55">
        <v>100</v>
      </c>
      <c r="K55">
        <v>10</v>
      </c>
      <c r="L55" t="s">
        <v>131</v>
      </c>
      <c r="M55" s="50">
        <v>44875</v>
      </c>
      <c r="N55" s="50">
        <v>2958465</v>
      </c>
      <c r="P55">
        <v>0</v>
      </c>
      <c r="U55">
        <v>4</v>
      </c>
      <c r="V55">
        <v>1</v>
      </c>
      <c r="W55" t="s">
        <v>132</v>
      </c>
      <c r="X55">
        <v>0</v>
      </c>
    </row>
    <row r="56" spans="1:24" x14ac:dyDescent="0.25">
      <c r="A56">
        <v>1</v>
      </c>
      <c r="B56" s="13">
        <v>590920300602</v>
      </c>
      <c r="C56">
        <v>70</v>
      </c>
      <c r="D56" s="13">
        <v>1022213</v>
      </c>
      <c r="F56" t="s">
        <v>130</v>
      </c>
      <c r="G56">
        <v>0</v>
      </c>
      <c r="H56">
        <v>100</v>
      </c>
      <c r="K56">
        <v>5.5919999999999996</v>
      </c>
      <c r="L56" t="s">
        <v>131</v>
      </c>
      <c r="M56" s="50">
        <v>44875</v>
      </c>
      <c r="N56" s="50">
        <v>2958465</v>
      </c>
      <c r="P56">
        <v>0</v>
      </c>
      <c r="U56">
        <v>4</v>
      </c>
      <c r="V56">
        <v>1</v>
      </c>
      <c r="W56" t="s">
        <v>132</v>
      </c>
      <c r="X56">
        <v>0</v>
      </c>
    </row>
    <row r="57" spans="1:24" x14ac:dyDescent="0.25">
      <c r="A57">
        <v>1</v>
      </c>
      <c r="B57" s="13">
        <v>590920300602</v>
      </c>
      <c r="C57">
        <v>80</v>
      </c>
      <c r="D57" s="13">
        <v>2020202020202</v>
      </c>
      <c r="F57" t="s">
        <v>130</v>
      </c>
      <c r="G57">
        <v>0</v>
      </c>
      <c r="H57">
        <v>100</v>
      </c>
      <c r="K57">
        <v>1</v>
      </c>
      <c r="L57" t="s">
        <v>131</v>
      </c>
      <c r="M57" s="50">
        <v>44875</v>
      </c>
      <c r="N57" s="50">
        <v>2958465</v>
      </c>
      <c r="P57">
        <v>0</v>
      </c>
      <c r="U57">
        <v>4</v>
      </c>
      <c r="V57">
        <v>1</v>
      </c>
      <c r="W57" t="s">
        <v>132</v>
      </c>
      <c r="X57">
        <v>0</v>
      </c>
    </row>
    <row r="58" spans="1:24" x14ac:dyDescent="0.25">
      <c r="A58">
        <v>1</v>
      </c>
      <c r="B58" s="13">
        <v>590920300702</v>
      </c>
      <c r="C58">
        <v>10</v>
      </c>
      <c r="D58" s="13">
        <v>5957163007</v>
      </c>
      <c r="F58" t="s">
        <v>130</v>
      </c>
      <c r="G58">
        <v>0</v>
      </c>
      <c r="H58">
        <v>100</v>
      </c>
      <c r="K58">
        <v>2</v>
      </c>
      <c r="L58" t="s">
        <v>131</v>
      </c>
      <c r="M58" s="50">
        <v>44875</v>
      </c>
      <c r="N58" s="50">
        <v>2958465</v>
      </c>
      <c r="P58">
        <v>0</v>
      </c>
      <c r="U58">
        <v>4</v>
      </c>
      <c r="V58">
        <v>1</v>
      </c>
      <c r="W58" t="s">
        <v>132</v>
      </c>
      <c r="X58">
        <v>0</v>
      </c>
    </row>
    <row r="59" spans="1:24" x14ac:dyDescent="0.25">
      <c r="A59">
        <v>1</v>
      </c>
      <c r="B59" s="13">
        <v>590920300702</v>
      </c>
      <c r="C59">
        <v>20</v>
      </c>
      <c r="D59" s="13">
        <v>5957333007</v>
      </c>
      <c r="F59" t="s">
        <v>130</v>
      </c>
      <c r="G59">
        <v>0</v>
      </c>
      <c r="H59">
        <v>100</v>
      </c>
      <c r="K59">
        <v>1</v>
      </c>
      <c r="L59" t="s">
        <v>131</v>
      </c>
      <c r="M59" s="50">
        <v>44875</v>
      </c>
      <c r="N59" s="50">
        <v>2958465</v>
      </c>
      <c r="P59">
        <v>0</v>
      </c>
      <c r="U59">
        <v>4</v>
      </c>
      <c r="V59">
        <v>1</v>
      </c>
      <c r="W59" t="s">
        <v>132</v>
      </c>
      <c r="X59">
        <v>0</v>
      </c>
    </row>
    <row r="60" spans="1:24" x14ac:dyDescent="0.25">
      <c r="A60">
        <v>1</v>
      </c>
      <c r="B60" s="13">
        <v>590920300702</v>
      </c>
      <c r="C60">
        <v>30</v>
      </c>
      <c r="D60" s="13">
        <v>5957303007</v>
      </c>
      <c r="F60" t="s">
        <v>130</v>
      </c>
      <c r="G60">
        <v>0</v>
      </c>
      <c r="H60">
        <v>100</v>
      </c>
      <c r="K60">
        <v>1</v>
      </c>
      <c r="L60" t="s">
        <v>131</v>
      </c>
      <c r="M60" s="50">
        <v>44875</v>
      </c>
      <c r="N60" s="50">
        <v>2958465</v>
      </c>
      <c r="P60">
        <v>0</v>
      </c>
      <c r="U60">
        <v>4</v>
      </c>
      <c r="V60">
        <v>1</v>
      </c>
      <c r="W60" t="s">
        <v>132</v>
      </c>
      <c r="X60">
        <v>0</v>
      </c>
    </row>
    <row r="61" spans="1:24" x14ac:dyDescent="0.25">
      <c r="A61">
        <v>1</v>
      </c>
      <c r="B61" s="13">
        <v>590920300702</v>
      </c>
      <c r="C61">
        <v>40</v>
      </c>
      <c r="D61" s="13">
        <v>5957093007</v>
      </c>
      <c r="F61" t="s">
        <v>130</v>
      </c>
      <c r="G61">
        <v>0</v>
      </c>
      <c r="H61">
        <v>100</v>
      </c>
      <c r="K61">
        <v>1</v>
      </c>
      <c r="L61" t="s">
        <v>131</v>
      </c>
      <c r="M61" s="50">
        <v>44875</v>
      </c>
      <c r="N61" s="50">
        <v>2958465</v>
      </c>
      <c r="P61">
        <v>0</v>
      </c>
      <c r="U61">
        <v>4</v>
      </c>
      <c r="V61">
        <v>1</v>
      </c>
      <c r="W61" t="s">
        <v>132</v>
      </c>
      <c r="X61">
        <v>0</v>
      </c>
    </row>
    <row r="62" spans="1:24" x14ac:dyDescent="0.25">
      <c r="A62">
        <v>1</v>
      </c>
      <c r="B62" s="13">
        <v>590920300702</v>
      </c>
      <c r="C62">
        <v>50</v>
      </c>
      <c r="D62" s="13">
        <v>1018034</v>
      </c>
      <c r="F62" t="s">
        <v>130</v>
      </c>
      <c r="G62">
        <v>0</v>
      </c>
      <c r="H62">
        <v>100</v>
      </c>
      <c r="K62">
        <v>4</v>
      </c>
      <c r="L62" t="s">
        <v>131</v>
      </c>
      <c r="M62" s="50">
        <v>44875</v>
      </c>
      <c r="N62" s="50">
        <v>2958465</v>
      </c>
      <c r="P62">
        <v>0</v>
      </c>
      <c r="U62">
        <v>4</v>
      </c>
      <c r="V62">
        <v>1</v>
      </c>
      <c r="W62" t="s">
        <v>132</v>
      </c>
      <c r="X62">
        <v>0</v>
      </c>
    </row>
    <row r="63" spans="1:24" x14ac:dyDescent="0.25">
      <c r="A63">
        <v>1</v>
      </c>
      <c r="B63" s="13">
        <v>590920300702</v>
      </c>
      <c r="C63">
        <v>60</v>
      </c>
      <c r="D63" s="13">
        <v>1018359</v>
      </c>
      <c r="F63" t="s">
        <v>130</v>
      </c>
      <c r="G63">
        <v>0</v>
      </c>
      <c r="H63">
        <v>100</v>
      </c>
      <c r="K63">
        <v>10</v>
      </c>
      <c r="L63" t="s">
        <v>131</v>
      </c>
      <c r="M63" s="50">
        <v>44875</v>
      </c>
      <c r="N63" s="50">
        <v>2958465</v>
      </c>
      <c r="P63">
        <v>0</v>
      </c>
      <c r="U63">
        <v>4</v>
      </c>
      <c r="V63">
        <v>1</v>
      </c>
      <c r="W63" t="s">
        <v>132</v>
      </c>
      <c r="X63">
        <v>0</v>
      </c>
    </row>
    <row r="64" spans="1:24" x14ac:dyDescent="0.25">
      <c r="A64">
        <v>1</v>
      </c>
      <c r="B64" s="13">
        <v>590920300702</v>
      </c>
      <c r="C64">
        <v>70</v>
      </c>
      <c r="D64" s="13">
        <v>1022213</v>
      </c>
      <c r="F64" t="s">
        <v>130</v>
      </c>
      <c r="G64">
        <v>0</v>
      </c>
      <c r="H64">
        <v>100</v>
      </c>
      <c r="K64">
        <v>5.5919999999999996</v>
      </c>
      <c r="L64" t="s">
        <v>131</v>
      </c>
      <c r="M64" s="50">
        <v>44875</v>
      </c>
      <c r="N64" s="50">
        <v>2958465</v>
      </c>
      <c r="P64">
        <v>0</v>
      </c>
      <c r="U64">
        <v>4</v>
      </c>
      <c r="V64">
        <v>1</v>
      </c>
      <c r="W64" t="s">
        <v>132</v>
      </c>
      <c r="X64">
        <v>0</v>
      </c>
    </row>
    <row r="65" spans="1:24" x14ac:dyDescent="0.25">
      <c r="A65">
        <v>1</v>
      </c>
      <c r="B65" s="13">
        <v>590920300702</v>
      </c>
      <c r="C65">
        <v>80</v>
      </c>
      <c r="D65" s="13">
        <v>202020202020202</v>
      </c>
      <c r="F65" t="s">
        <v>130</v>
      </c>
      <c r="G65">
        <v>0</v>
      </c>
      <c r="H65">
        <v>100</v>
      </c>
      <c r="K65">
        <v>1</v>
      </c>
      <c r="L65" t="s">
        <v>131</v>
      </c>
      <c r="M65" s="50">
        <v>44875</v>
      </c>
      <c r="N65" s="50">
        <v>2958465</v>
      </c>
      <c r="P65">
        <v>0</v>
      </c>
      <c r="U65">
        <v>4</v>
      </c>
      <c r="V65">
        <v>1</v>
      </c>
      <c r="W65" t="s">
        <v>132</v>
      </c>
      <c r="X65">
        <v>0</v>
      </c>
    </row>
    <row r="66" spans="1:24" x14ac:dyDescent="0.25">
      <c r="A66">
        <v>1</v>
      </c>
      <c r="B66" s="13">
        <v>590920300802</v>
      </c>
      <c r="C66">
        <v>10</v>
      </c>
      <c r="D66" s="13">
        <v>5957163008</v>
      </c>
      <c r="F66" t="s">
        <v>130</v>
      </c>
      <c r="G66">
        <v>0</v>
      </c>
      <c r="H66">
        <v>100</v>
      </c>
      <c r="K66">
        <v>2</v>
      </c>
      <c r="L66" t="s">
        <v>131</v>
      </c>
      <c r="M66" s="50">
        <v>44875</v>
      </c>
      <c r="N66" s="50">
        <v>2958465</v>
      </c>
      <c r="P66">
        <v>0</v>
      </c>
      <c r="U66">
        <v>4</v>
      </c>
      <c r="V66">
        <v>1</v>
      </c>
      <c r="W66" t="s">
        <v>132</v>
      </c>
      <c r="X66">
        <v>0</v>
      </c>
    </row>
    <row r="67" spans="1:24" x14ac:dyDescent="0.25">
      <c r="A67">
        <v>1</v>
      </c>
      <c r="B67" s="13">
        <v>590920300802</v>
      </c>
      <c r="C67">
        <v>20</v>
      </c>
      <c r="D67" s="13">
        <v>5957333008</v>
      </c>
      <c r="F67" t="s">
        <v>130</v>
      </c>
      <c r="G67">
        <v>0</v>
      </c>
      <c r="H67">
        <v>100</v>
      </c>
      <c r="K67">
        <v>1</v>
      </c>
      <c r="L67" t="s">
        <v>131</v>
      </c>
      <c r="M67" s="50">
        <v>44875</v>
      </c>
      <c r="N67" s="50">
        <v>2958465</v>
      </c>
      <c r="P67">
        <v>0</v>
      </c>
      <c r="U67">
        <v>4</v>
      </c>
      <c r="V67">
        <v>1</v>
      </c>
      <c r="W67" t="s">
        <v>132</v>
      </c>
      <c r="X67">
        <v>0</v>
      </c>
    </row>
    <row r="68" spans="1:24" x14ac:dyDescent="0.25">
      <c r="A68">
        <v>1</v>
      </c>
      <c r="B68" s="13">
        <v>590920300802</v>
      </c>
      <c r="C68">
        <v>30</v>
      </c>
      <c r="D68" s="13">
        <v>5957303008</v>
      </c>
      <c r="F68" t="s">
        <v>130</v>
      </c>
      <c r="G68">
        <v>0</v>
      </c>
      <c r="H68">
        <v>100</v>
      </c>
      <c r="K68">
        <v>1</v>
      </c>
      <c r="L68" t="s">
        <v>131</v>
      </c>
      <c r="M68" s="50">
        <v>44875</v>
      </c>
      <c r="N68" s="50">
        <v>2958465</v>
      </c>
      <c r="P68">
        <v>0</v>
      </c>
      <c r="U68">
        <v>4</v>
      </c>
      <c r="V68">
        <v>1</v>
      </c>
      <c r="W68" t="s">
        <v>132</v>
      </c>
      <c r="X68">
        <v>0</v>
      </c>
    </row>
    <row r="69" spans="1:24" x14ac:dyDescent="0.25">
      <c r="A69">
        <v>1</v>
      </c>
      <c r="B69" s="13">
        <v>590920300802</v>
      </c>
      <c r="C69">
        <v>40</v>
      </c>
      <c r="D69" s="13">
        <v>5957093008</v>
      </c>
      <c r="F69" t="s">
        <v>130</v>
      </c>
      <c r="G69">
        <v>0</v>
      </c>
      <c r="H69">
        <v>100</v>
      </c>
      <c r="K69">
        <v>1</v>
      </c>
      <c r="L69" t="s">
        <v>131</v>
      </c>
      <c r="M69" s="50">
        <v>44875</v>
      </c>
      <c r="N69" s="50">
        <v>2958465</v>
      </c>
      <c r="P69">
        <v>0</v>
      </c>
      <c r="U69">
        <v>4</v>
      </c>
      <c r="V69">
        <v>1</v>
      </c>
      <c r="W69" t="s">
        <v>132</v>
      </c>
      <c r="X69">
        <v>0</v>
      </c>
    </row>
    <row r="70" spans="1:24" x14ac:dyDescent="0.25">
      <c r="A70">
        <v>1</v>
      </c>
      <c r="B70" s="13">
        <v>590920300802</v>
      </c>
      <c r="C70">
        <v>50</v>
      </c>
      <c r="D70" s="13">
        <v>1018034</v>
      </c>
      <c r="F70" t="s">
        <v>130</v>
      </c>
      <c r="G70">
        <v>0</v>
      </c>
      <c r="H70">
        <v>100</v>
      </c>
      <c r="K70">
        <v>4</v>
      </c>
      <c r="L70" t="s">
        <v>131</v>
      </c>
      <c r="M70" s="50">
        <v>44875</v>
      </c>
      <c r="N70" s="50">
        <v>2958465</v>
      </c>
      <c r="P70">
        <v>0</v>
      </c>
      <c r="U70">
        <v>4</v>
      </c>
      <c r="V70">
        <v>1</v>
      </c>
      <c r="W70" t="s">
        <v>132</v>
      </c>
      <c r="X70">
        <v>0</v>
      </c>
    </row>
    <row r="71" spans="1:24" x14ac:dyDescent="0.25">
      <c r="A71">
        <v>1</v>
      </c>
      <c r="B71" s="13">
        <v>590920300802</v>
      </c>
      <c r="C71">
        <v>60</v>
      </c>
      <c r="D71" s="13">
        <v>1022356</v>
      </c>
      <c r="F71" t="s">
        <v>130</v>
      </c>
      <c r="G71">
        <v>0</v>
      </c>
      <c r="H71">
        <v>100</v>
      </c>
      <c r="K71">
        <v>10</v>
      </c>
      <c r="L71" t="s">
        <v>131</v>
      </c>
      <c r="M71" s="50">
        <v>44875</v>
      </c>
      <c r="N71" s="50">
        <v>2958465</v>
      </c>
      <c r="P71">
        <v>0</v>
      </c>
      <c r="U71">
        <v>4</v>
      </c>
      <c r="V71">
        <v>1</v>
      </c>
      <c r="W71" t="s">
        <v>132</v>
      </c>
      <c r="X71">
        <v>0</v>
      </c>
    </row>
    <row r="72" spans="1:24" x14ac:dyDescent="0.25">
      <c r="A72">
        <v>1</v>
      </c>
      <c r="B72" s="13">
        <v>590920300802</v>
      </c>
      <c r="C72">
        <v>70</v>
      </c>
      <c r="D72" s="13">
        <v>1022213</v>
      </c>
      <c r="F72" t="s">
        <v>130</v>
      </c>
      <c r="G72">
        <v>0</v>
      </c>
      <c r="H72">
        <v>100</v>
      </c>
      <c r="K72">
        <v>5.5919999999999996</v>
      </c>
      <c r="L72" t="s">
        <v>131</v>
      </c>
      <c r="M72" s="50">
        <v>44875</v>
      </c>
      <c r="N72" s="50">
        <v>2958465</v>
      </c>
      <c r="P72">
        <v>0</v>
      </c>
      <c r="U72">
        <v>4</v>
      </c>
      <c r="V72">
        <v>1</v>
      </c>
      <c r="W72" t="s">
        <v>132</v>
      </c>
      <c r="X72">
        <v>0</v>
      </c>
    </row>
    <row r="73" spans="1:24" x14ac:dyDescent="0.25">
      <c r="A73">
        <v>1</v>
      </c>
      <c r="B73" s="13">
        <v>590920300802</v>
      </c>
      <c r="C73">
        <v>80</v>
      </c>
      <c r="D73" s="13">
        <v>2.02020202020202E+16</v>
      </c>
      <c r="F73" t="s">
        <v>130</v>
      </c>
      <c r="G73">
        <v>0</v>
      </c>
      <c r="H73">
        <v>100</v>
      </c>
      <c r="K73">
        <v>1</v>
      </c>
      <c r="L73" t="s">
        <v>131</v>
      </c>
      <c r="M73" s="50">
        <v>44875</v>
      </c>
      <c r="N73" s="50">
        <v>2958465</v>
      </c>
      <c r="P73">
        <v>0</v>
      </c>
      <c r="U73">
        <v>4</v>
      </c>
      <c r="V73">
        <v>1</v>
      </c>
      <c r="W73" t="s">
        <v>132</v>
      </c>
      <c r="X73">
        <v>0</v>
      </c>
    </row>
    <row r="74" spans="1:24" x14ac:dyDescent="0.25">
      <c r="A74">
        <v>1</v>
      </c>
      <c r="B74" s="13">
        <v>590920300902</v>
      </c>
      <c r="C74">
        <v>10</v>
      </c>
      <c r="D74" s="13">
        <v>5957163009</v>
      </c>
      <c r="F74" t="s">
        <v>130</v>
      </c>
      <c r="G74">
        <v>0</v>
      </c>
      <c r="H74">
        <v>100</v>
      </c>
      <c r="K74">
        <v>2</v>
      </c>
      <c r="L74" t="s">
        <v>131</v>
      </c>
      <c r="M74" s="50">
        <v>44875</v>
      </c>
      <c r="N74" s="50">
        <v>2958465</v>
      </c>
      <c r="P74">
        <v>0</v>
      </c>
      <c r="U74">
        <v>4</v>
      </c>
      <c r="V74">
        <v>1</v>
      </c>
      <c r="W74" t="s">
        <v>132</v>
      </c>
      <c r="X74">
        <v>0</v>
      </c>
    </row>
    <row r="75" spans="1:24" x14ac:dyDescent="0.25">
      <c r="A75">
        <v>1</v>
      </c>
      <c r="B75" s="13">
        <v>590920300902</v>
      </c>
      <c r="C75">
        <v>20</v>
      </c>
      <c r="D75" s="13">
        <v>5957333009</v>
      </c>
      <c r="F75" t="s">
        <v>130</v>
      </c>
      <c r="G75">
        <v>0</v>
      </c>
      <c r="H75">
        <v>100</v>
      </c>
      <c r="K75">
        <v>1</v>
      </c>
      <c r="L75" t="s">
        <v>131</v>
      </c>
      <c r="M75" s="50">
        <v>44875</v>
      </c>
      <c r="N75" s="50">
        <v>2958465</v>
      </c>
      <c r="P75">
        <v>0</v>
      </c>
      <c r="U75">
        <v>4</v>
      </c>
      <c r="V75">
        <v>1</v>
      </c>
      <c r="W75" t="s">
        <v>132</v>
      </c>
      <c r="X75">
        <v>0</v>
      </c>
    </row>
    <row r="76" spans="1:24" x14ac:dyDescent="0.25">
      <c r="A76">
        <v>1</v>
      </c>
      <c r="B76" s="13">
        <v>590920300902</v>
      </c>
      <c r="C76">
        <v>30</v>
      </c>
      <c r="D76" s="13">
        <v>5957303009</v>
      </c>
      <c r="F76" t="s">
        <v>130</v>
      </c>
      <c r="G76">
        <v>0</v>
      </c>
      <c r="H76">
        <v>100</v>
      </c>
      <c r="K76">
        <v>1</v>
      </c>
      <c r="L76" t="s">
        <v>131</v>
      </c>
      <c r="M76" s="50">
        <v>44875</v>
      </c>
      <c r="N76" s="50">
        <v>2958465</v>
      </c>
      <c r="P76">
        <v>0</v>
      </c>
      <c r="U76">
        <v>4</v>
      </c>
      <c r="V76">
        <v>1</v>
      </c>
      <c r="W76" t="s">
        <v>132</v>
      </c>
      <c r="X76">
        <v>0</v>
      </c>
    </row>
    <row r="77" spans="1:24" x14ac:dyDescent="0.25">
      <c r="A77">
        <v>1</v>
      </c>
      <c r="B77" s="13">
        <v>590920300902</v>
      </c>
      <c r="C77">
        <v>40</v>
      </c>
      <c r="D77" s="13">
        <v>5957093009</v>
      </c>
      <c r="F77" t="s">
        <v>130</v>
      </c>
      <c r="G77">
        <v>0</v>
      </c>
      <c r="H77">
        <v>100</v>
      </c>
      <c r="K77">
        <v>1</v>
      </c>
      <c r="L77" t="s">
        <v>131</v>
      </c>
      <c r="M77" s="50">
        <v>44875</v>
      </c>
      <c r="N77" s="50">
        <v>2958465</v>
      </c>
      <c r="P77">
        <v>0</v>
      </c>
      <c r="U77">
        <v>4</v>
      </c>
      <c r="V77">
        <v>1</v>
      </c>
      <c r="W77" t="s">
        <v>132</v>
      </c>
      <c r="X77">
        <v>0</v>
      </c>
    </row>
    <row r="78" spans="1:24" x14ac:dyDescent="0.25">
      <c r="A78">
        <v>1</v>
      </c>
      <c r="B78" s="13">
        <v>590920300902</v>
      </c>
      <c r="C78">
        <v>50</v>
      </c>
      <c r="D78" s="13">
        <v>1018034</v>
      </c>
      <c r="F78" t="s">
        <v>130</v>
      </c>
      <c r="G78">
        <v>0</v>
      </c>
      <c r="H78">
        <v>100</v>
      </c>
      <c r="K78">
        <v>4</v>
      </c>
      <c r="L78" t="s">
        <v>131</v>
      </c>
      <c r="M78" s="50">
        <v>44875</v>
      </c>
      <c r="N78" s="50">
        <v>2958465</v>
      </c>
      <c r="P78">
        <v>0</v>
      </c>
      <c r="U78">
        <v>4</v>
      </c>
      <c r="V78">
        <v>1</v>
      </c>
      <c r="W78" t="s">
        <v>132</v>
      </c>
      <c r="X78">
        <v>0</v>
      </c>
    </row>
    <row r="79" spans="1:24" x14ac:dyDescent="0.25">
      <c r="A79">
        <v>1</v>
      </c>
      <c r="B79" s="13">
        <v>590920300902</v>
      </c>
      <c r="C79">
        <v>60</v>
      </c>
      <c r="D79" s="13">
        <v>1018359</v>
      </c>
      <c r="F79" t="s">
        <v>130</v>
      </c>
      <c r="G79">
        <v>0</v>
      </c>
      <c r="H79">
        <v>100</v>
      </c>
      <c r="K79">
        <v>10</v>
      </c>
      <c r="L79" t="s">
        <v>131</v>
      </c>
      <c r="M79" s="50">
        <v>44875</v>
      </c>
      <c r="N79" s="50">
        <v>2958465</v>
      </c>
      <c r="P79">
        <v>0</v>
      </c>
      <c r="U79">
        <v>4</v>
      </c>
      <c r="V79">
        <v>1</v>
      </c>
      <c r="W79" t="s">
        <v>132</v>
      </c>
      <c r="X79">
        <v>0</v>
      </c>
    </row>
    <row r="80" spans="1:24" x14ac:dyDescent="0.25">
      <c r="A80">
        <v>1</v>
      </c>
      <c r="B80" s="13">
        <v>590920300902</v>
      </c>
      <c r="C80">
        <v>70</v>
      </c>
      <c r="D80" s="13">
        <v>1022213</v>
      </c>
      <c r="F80" t="s">
        <v>130</v>
      </c>
      <c r="G80">
        <v>0</v>
      </c>
      <c r="H80">
        <v>100</v>
      </c>
      <c r="K80">
        <v>5.5919999999999996</v>
      </c>
      <c r="L80" t="s">
        <v>131</v>
      </c>
      <c r="M80" s="50">
        <v>44875</v>
      </c>
      <c r="N80" s="50">
        <v>2958465</v>
      </c>
      <c r="P80">
        <v>0</v>
      </c>
      <c r="U80">
        <v>4</v>
      </c>
      <c r="V80">
        <v>1</v>
      </c>
      <c r="W80" t="s">
        <v>132</v>
      </c>
      <c r="X80">
        <v>0</v>
      </c>
    </row>
    <row r="81" spans="1:24" x14ac:dyDescent="0.25">
      <c r="A81">
        <v>1</v>
      </c>
      <c r="B81" s="13">
        <v>590920300902</v>
      </c>
      <c r="C81">
        <v>80</v>
      </c>
      <c r="D81" s="13">
        <v>2.0202020202020201E+18</v>
      </c>
      <c r="F81" t="s">
        <v>130</v>
      </c>
      <c r="G81">
        <v>0</v>
      </c>
      <c r="H81">
        <v>100</v>
      </c>
      <c r="K81">
        <v>1</v>
      </c>
      <c r="L81" t="s">
        <v>131</v>
      </c>
      <c r="M81" s="50">
        <v>44875</v>
      </c>
      <c r="N81" s="50">
        <v>2958465</v>
      </c>
      <c r="P81">
        <v>0</v>
      </c>
      <c r="U81">
        <v>4</v>
      </c>
      <c r="V81">
        <v>1</v>
      </c>
      <c r="W81" t="s">
        <v>132</v>
      </c>
      <c r="X81">
        <v>0</v>
      </c>
    </row>
    <row r="82" spans="1:24" x14ac:dyDescent="0.25">
      <c r="A82">
        <v>1</v>
      </c>
      <c r="B82" s="13">
        <v>590920301002</v>
      </c>
      <c r="C82">
        <v>10</v>
      </c>
      <c r="D82" s="13">
        <v>5957163010</v>
      </c>
      <c r="F82" t="s">
        <v>130</v>
      </c>
      <c r="G82">
        <v>0</v>
      </c>
      <c r="H82">
        <v>100</v>
      </c>
      <c r="K82">
        <v>2</v>
      </c>
      <c r="L82" t="s">
        <v>131</v>
      </c>
      <c r="M82" s="50">
        <v>44875</v>
      </c>
      <c r="N82" s="50">
        <v>2958465</v>
      </c>
      <c r="P82">
        <v>0</v>
      </c>
      <c r="U82">
        <v>4</v>
      </c>
      <c r="V82">
        <v>1</v>
      </c>
      <c r="W82" t="s">
        <v>132</v>
      </c>
      <c r="X82">
        <v>0</v>
      </c>
    </row>
    <row r="83" spans="1:24" x14ac:dyDescent="0.25">
      <c r="A83">
        <v>1</v>
      </c>
      <c r="B83" s="13">
        <v>590920301002</v>
      </c>
      <c r="C83">
        <v>20</v>
      </c>
      <c r="D83" s="13">
        <v>5957333010</v>
      </c>
      <c r="F83" t="s">
        <v>130</v>
      </c>
      <c r="G83">
        <v>0</v>
      </c>
      <c r="H83">
        <v>100</v>
      </c>
      <c r="K83">
        <v>1</v>
      </c>
      <c r="L83" t="s">
        <v>131</v>
      </c>
      <c r="M83" s="50">
        <v>44875</v>
      </c>
      <c r="N83" s="50">
        <v>2958465</v>
      </c>
      <c r="P83">
        <v>0</v>
      </c>
      <c r="U83">
        <v>4</v>
      </c>
      <c r="V83">
        <v>1</v>
      </c>
      <c r="W83" t="s">
        <v>132</v>
      </c>
      <c r="X83">
        <v>0</v>
      </c>
    </row>
    <row r="84" spans="1:24" x14ac:dyDescent="0.25">
      <c r="A84">
        <v>1</v>
      </c>
      <c r="B84" s="13">
        <v>590920301002</v>
      </c>
      <c r="C84">
        <v>30</v>
      </c>
      <c r="D84" s="13">
        <v>5957303010</v>
      </c>
      <c r="F84" t="s">
        <v>130</v>
      </c>
      <c r="G84">
        <v>0</v>
      </c>
      <c r="H84">
        <v>100</v>
      </c>
      <c r="K84">
        <v>1</v>
      </c>
      <c r="L84" t="s">
        <v>131</v>
      </c>
      <c r="M84" s="50">
        <v>44875</v>
      </c>
      <c r="N84" s="50">
        <v>2958465</v>
      </c>
      <c r="P84">
        <v>0</v>
      </c>
      <c r="U84">
        <v>4</v>
      </c>
      <c r="V84">
        <v>1</v>
      </c>
      <c r="W84" t="s">
        <v>132</v>
      </c>
      <c r="X84">
        <v>0</v>
      </c>
    </row>
    <row r="85" spans="1:24" x14ac:dyDescent="0.25">
      <c r="A85">
        <v>1</v>
      </c>
      <c r="B85" s="13">
        <v>590920301002</v>
      </c>
      <c r="C85">
        <v>40</v>
      </c>
      <c r="D85" s="13">
        <v>5957093010</v>
      </c>
      <c r="F85" t="s">
        <v>130</v>
      </c>
      <c r="G85">
        <v>0</v>
      </c>
      <c r="H85">
        <v>100</v>
      </c>
      <c r="K85">
        <v>1</v>
      </c>
      <c r="L85" t="s">
        <v>131</v>
      </c>
      <c r="M85" s="50">
        <v>44875</v>
      </c>
      <c r="N85" s="50">
        <v>2958465</v>
      </c>
      <c r="P85">
        <v>0</v>
      </c>
      <c r="U85">
        <v>4</v>
      </c>
      <c r="V85">
        <v>1</v>
      </c>
      <c r="W85" t="s">
        <v>132</v>
      </c>
      <c r="X85">
        <v>0</v>
      </c>
    </row>
    <row r="86" spans="1:24" x14ac:dyDescent="0.25">
      <c r="A86">
        <v>1</v>
      </c>
      <c r="B86" s="13">
        <v>590920301002</v>
      </c>
      <c r="C86">
        <v>50</v>
      </c>
      <c r="D86" s="13">
        <v>1018034</v>
      </c>
      <c r="F86" t="s">
        <v>130</v>
      </c>
      <c r="G86">
        <v>0</v>
      </c>
      <c r="H86">
        <v>100</v>
      </c>
      <c r="K86">
        <v>4</v>
      </c>
      <c r="L86" t="s">
        <v>131</v>
      </c>
      <c r="M86" s="50">
        <v>44875</v>
      </c>
      <c r="N86" s="50">
        <v>2958465</v>
      </c>
      <c r="P86">
        <v>0</v>
      </c>
      <c r="U86">
        <v>4</v>
      </c>
      <c r="V86">
        <v>1</v>
      </c>
      <c r="W86" t="s">
        <v>132</v>
      </c>
      <c r="X86">
        <v>0</v>
      </c>
    </row>
    <row r="87" spans="1:24" x14ac:dyDescent="0.25">
      <c r="A87">
        <v>1</v>
      </c>
      <c r="B87" s="13">
        <v>590920301002</v>
      </c>
      <c r="C87">
        <v>60</v>
      </c>
      <c r="D87" s="13">
        <v>1018359</v>
      </c>
      <c r="F87" t="s">
        <v>130</v>
      </c>
      <c r="G87">
        <v>0</v>
      </c>
      <c r="H87">
        <v>100</v>
      </c>
      <c r="K87">
        <v>10</v>
      </c>
      <c r="L87" t="s">
        <v>131</v>
      </c>
      <c r="M87" s="50">
        <v>44875</v>
      </c>
      <c r="N87" s="50">
        <v>2958465</v>
      </c>
      <c r="P87">
        <v>0</v>
      </c>
      <c r="U87">
        <v>4</v>
      </c>
      <c r="V87">
        <v>1</v>
      </c>
      <c r="W87" t="s">
        <v>132</v>
      </c>
      <c r="X87">
        <v>0</v>
      </c>
    </row>
    <row r="88" spans="1:24" x14ac:dyDescent="0.25">
      <c r="A88">
        <v>1</v>
      </c>
      <c r="B88" s="13">
        <v>590920301002</v>
      </c>
      <c r="C88">
        <v>70</v>
      </c>
      <c r="D88" s="13">
        <v>1022213</v>
      </c>
      <c r="F88" t="s">
        <v>130</v>
      </c>
      <c r="G88">
        <v>0</v>
      </c>
      <c r="H88">
        <v>100</v>
      </c>
      <c r="K88">
        <v>5.5919999999999996</v>
      </c>
      <c r="L88" t="s">
        <v>131</v>
      </c>
      <c r="M88" s="50">
        <v>44875</v>
      </c>
      <c r="N88" s="50">
        <v>2958465</v>
      </c>
      <c r="P88">
        <v>0</v>
      </c>
      <c r="U88">
        <v>4</v>
      </c>
      <c r="V88">
        <v>1</v>
      </c>
      <c r="W88" t="s">
        <v>132</v>
      </c>
      <c r="X88">
        <v>0</v>
      </c>
    </row>
    <row r="89" spans="1:24" x14ac:dyDescent="0.25">
      <c r="A89">
        <v>1</v>
      </c>
      <c r="B89" s="13">
        <v>590920301002</v>
      </c>
      <c r="C89">
        <v>80</v>
      </c>
      <c r="D89" s="13">
        <v>2.0202020202020199E+20</v>
      </c>
      <c r="F89" t="s">
        <v>130</v>
      </c>
      <c r="G89">
        <v>0</v>
      </c>
      <c r="H89">
        <v>100</v>
      </c>
      <c r="K89">
        <v>1</v>
      </c>
      <c r="L89" t="s">
        <v>131</v>
      </c>
      <c r="M89" s="50">
        <v>44875</v>
      </c>
      <c r="N89" s="50">
        <v>2958465</v>
      </c>
      <c r="P89">
        <v>0</v>
      </c>
      <c r="U89">
        <v>4</v>
      </c>
      <c r="V89">
        <v>1</v>
      </c>
      <c r="W89" t="s">
        <v>132</v>
      </c>
      <c r="X89">
        <v>0</v>
      </c>
    </row>
    <row r="90" spans="1:24" x14ac:dyDescent="0.25">
      <c r="A90">
        <v>1</v>
      </c>
      <c r="B90" s="13">
        <v>590920300003</v>
      </c>
      <c r="C90">
        <v>10</v>
      </c>
      <c r="D90" s="13">
        <v>5957163099</v>
      </c>
      <c r="F90" t="s">
        <v>130</v>
      </c>
      <c r="G90">
        <v>0</v>
      </c>
      <c r="H90">
        <v>100</v>
      </c>
      <c r="K90">
        <v>2</v>
      </c>
      <c r="L90" t="s">
        <v>131</v>
      </c>
      <c r="M90" s="50">
        <v>44875</v>
      </c>
      <c r="N90" s="50">
        <v>2958465</v>
      </c>
      <c r="P90">
        <v>0</v>
      </c>
      <c r="U90">
        <v>4</v>
      </c>
      <c r="V90">
        <v>1</v>
      </c>
      <c r="W90" t="s">
        <v>132</v>
      </c>
      <c r="X90">
        <v>0</v>
      </c>
    </row>
    <row r="91" spans="1:24" x14ac:dyDescent="0.25">
      <c r="A91">
        <v>1</v>
      </c>
      <c r="B91" s="13">
        <v>590920300003</v>
      </c>
      <c r="C91">
        <v>20</v>
      </c>
      <c r="D91" s="13">
        <v>5957333099</v>
      </c>
      <c r="F91" t="s">
        <v>130</v>
      </c>
      <c r="G91">
        <v>0</v>
      </c>
      <c r="H91">
        <v>100</v>
      </c>
      <c r="K91">
        <v>1</v>
      </c>
      <c r="L91" t="s">
        <v>131</v>
      </c>
      <c r="M91" s="50">
        <v>44875</v>
      </c>
      <c r="N91" s="50">
        <v>2958465</v>
      </c>
      <c r="P91">
        <v>0</v>
      </c>
      <c r="U91">
        <v>4</v>
      </c>
      <c r="V91">
        <v>1</v>
      </c>
      <c r="W91" t="s">
        <v>132</v>
      </c>
      <c r="X91">
        <v>0</v>
      </c>
    </row>
    <row r="92" spans="1:24" x14ac:dyDescent="0.25">
      <c r="A92">
        <v>1</v>
      </c>
      <c r="B92" s="13">
        <v>590920300003</v>
      </c>
      <c r="C92">
        <v>30</v>
      </c>
      <c r="D92" s="13">
        <v>5957303099</v>
      </c>
      <c r="F92" t="s">
        <v>130</v>
      </c>
      <c r="G92">
        <v>0</v>
      </c>
      <c r="H92">
        <v>100</v>
      </c>
      <c r="K92">
        <v>1</v>
      </c>
      <c r="L92" t="s">
        <v>131</v>
      </c>
      <c r="M92" s="50">
        <v>44875</v>
      </c>
      <c r="N92" s="50">
        <v>2958465</v>
      </c>
      <c r="P92">
        <v>0</v>
      </c>
      <c r="U92">
        <v>4</v>
      </c>
      <c r="V92">
        <v>1</v>
      </c>
      <c r="W92" t="s">
        <v>132</v>
      </c>
      <c r="X92">
        <v>0</v>
      </c>
    </row>
    <row r="93" spans="1:24" x14ac:dyDescent="0.25">
      <c r="A93">
        <v>1</v>
      </c>
      <c r="B93" s="13">
        <v>590920300003</v>
      </c>
      <c r="C93">
        <v>40</v>
      </c>
      <c r="D93" s="13">
        <v>1022219</v>
      </c>
      <c r="F93" t="s">
        <v>130</v>
      </c>
      <c r="G93">
        <v>0</v>
      </c>
      <c r="H93">
        <v>100</v>
      </c>
      <c r="K93">
        <v>1</v>
      </c>
      <c r="L93" t="s">
        <v>131</v>
      </c>
      <c r="M93" s="50">
        <v>44875</v>
      </c>
      <c r="N93" s="50">
        <v>2958465</v>
      </c>
      <c r="P93">
        <v>0</v>
      </c>
      <c r="U93">
        <v>4</v>
      </c>
      <c r="V93">
        <v>1</v>
      </c>
      <c r="W93" t="s">
        <v>132</v>
      </c>
      <c r="X93">
        <v>0</v>
      </c>
    </row>
    <row r="94" spans="1:24" x14ac:dyDescent="0.25">
      <c r="A94">
        <v>1</v>
      </c>
      <c r="B94" s="13">
        <v>590920300003</v>
      </c>
      <c r="C94">
        <v>50</v>
      </c>
      <c r="D94" s="13">
        <v>1018034</v>
      </c>
      <c r="F94" t="s">
        <v>130</v>
      </c>
      <c r="G94">
        <v>0</v>
      </c>
      <c r="H94">
        <v>100</v>
      </c>
      <c r="K94">
        <v>4</v>
      </c>
      <c r="L94" t="s">
        <v>131</v>
      </c>
      <c r="M94" s="50">
        <v>44875</v>
      </c>
      <c r="N94" s="50">
        <v>2958465</v>
      </c>
      <c r="P94">
        <v>0</v>
      </c>
      <c r="U94">
        <v>4</v>
      </c>
      <c r="V94">
        <v>1</v>
      </c>
      <c r="W94" t="s">
        <v>132</v>
      </c>
      <c r="X94">
        <v>0</v>
      </c>
    </row>
    <row r="95" spans="1:24" x14ac:dyDescent="0.25">
      <c r="A95">
        <v>1</v>
      </c>
      <c r="B95" s="13">
        <v>590920300003</v>
      </c>
      <c r="C95">
        <v>60</v>
      </c>
      <c r="D95" s="13">
        <v>1018359</v>
      </c>
      <c r="F95" t="s">
        <v>130</v>
      </c>
      <c r="G95">
        <v>0</v>
      </c>
      <c r="H95">
        <v>100</v>
      </c>
      <c r="K95">
        <v>10</v>
      </c>
      <c r="L95" t="s">
        <v>131</v>
      </c>
      <c r="M95" s="50">
        <v>44875</v>
      </c>
      <c r="N95" s="50">
        <v>2958465</v>
      </c>
      <c r="P95">
        <v>0</v>
      </c>
      <c r="U95">
        <v>4</v>
      </c>
      <c r="V95">
        <v>1</v>
      </c>
      <c r="W95" t="s">
        <v>132</v>
      </c>
      <c r="X95">
        <v>0</v>
      </c>
    </row>
    <row r="96" spans="1:24" x14ac:dyDescent="0.25">
      <c r="A96">
        <v>1</v>
      </c>
      <c r="B96" s="13">
        <v>590920300003</v>
      </c>
      <c r="C96">
        <v>70</v>
      </c>
      <c r="D96" s="13">
        <v>1022213</v>
      </c>
      <c r="F96" t="s">
        <v>130</v>
      </c>
      <c r="G96">
        <v>0</v>
      </c>
      <c r="H96">
        <v>100</v>
      </c>
      <c r="K96">
        <v>5.5919999999999996</v>
      </c>
      <c r="L96" t="s">
        <v>131</v>
      </c>
      <c r="M96" s="50">
        <v>44875</v>
      </c>
      <c r="N96" s="50">
        <v>2958465</v>
      </c>
      <c r="P96">
        <v>0</v>
      </c>
      <c r="U96">
        <v>4</v>
      </c>
      <c r="V96">
        <v>1</v>
      </c>
      <c r="W96" t="s">
        <v>132</v>
      </c>
      <c r="X96">
        <v>0</v>
      </c>
    </row>
    <row r="97" spans="1:24" x14ac:dyDescent="0.25">
      <c r="A97">
        <v>1</v>
      </c>
      <c r="B97" s="13">
        <v>590920300003</v>
      </c>
      <c r="C97">
        <v>80</v>
      </c>
      <c r="D97" s="13">
        <v>2.0202020202020201E+22</v>
      </c>
      <c r="F97" t="s">
        <v>130</v>
      </c>
      <c r="G97">
        <v>0</v>
      </c>
      <c r="H97">
        <v>100</v>
      </c>
      <c r="K97">
        <v>1</v>
      </c>
      <c r="L97" t="s">
        <v>131</v>
      </c>
      <c r="M97" s="50">
        <v>44875</v>
      </c>
      <c r="N97" s="50">
        <v>2958465</v>
      </c>
      <c r="P97">
        <v>0</v>
      </c>
      <c r="U97">
        <v>4</v>
      </c>
      <c r="V97">
        <v>1</v>
      </c>
      <c r="W97" t="s">
        <v>132</v>
      </c>
      <c r="X97">
        <v>0</v>
      </c>
    </row>
    <row r="98" spans="1:24" x14ac:dyDescent="0.25">
      <c r="A98">
        <v>1</v>
      </c>
      <c r="B98" s="13">
        <v>590920300103</v>
      </c>
      <c r="C98">
        <v>10</v>
      </c>
      <c r="D98" s="13">
        <v>5957163001</v>
      </c>
      <c r="F98" t="s">
        <v>130</v>
      </c>
      <c r="G98">
        <v>0</v>
      </c>
      <c r="H98">
        <v>100</v>
      </c>
      <c r="K98">
        <v>2</v>
      </c>
      <c r="L98" t="s">
        <v>131</v>
      </c>
      <c r="M98" s="50">
        <v>44875</v>
      </c>
      <c r="N98" s="50">
        <v>2958465</v>
      </c>
      <c r="P98">
        <v>0</v>
      </c>
      <c r="U98">
        <v>4</v>
      </c>
      <c r="V98">
        <v>1</v>
      </c>
      <c r="W98" t="s">
        <v>132</v>
      </c>
      <c r="X98">
        <v>0</v>
      </c>
    </row>
    <row r="99" spans="1:24" x14ac:dyDescent="0.25">
      <c r="A99">
        <v>1</v>
      </c>
      <c r="B99" s="13">
        <v>590920300103</v>
      </c>
      <c r="C99">
        <v>20</v>
      </c>
      <c r="D99" s="13">
        <v>5957333001</v>
      </c>
      <c r="F99" t="s">
        <v>130</v>
      </c>
      <c r="G99">
        <v>0</v>
      </c>
      <c r="H99">
        <v>100</v>
      </c>
      <c r="K99">
        <v>1</v>
      </c>
      <c r="L99" t="s">
        <v>131</v>
      </c>
      <c r="M99" s="50">
        <v>44875</v>
      </c>
      <c r="N99" s="50">
        <v>2958465</v>
      </c>
      <c r="P99">
        <v>0</v>
      </c>
      <c r="U99">
        <v>4</v>
      </c>
      <c r="V99">
        <v>1</v>
      </c>
      <c r="W99" t="s">
        <v>132</v>
      </c>
      <c r="X99">
        <v>0</v>
      </c>
    </row>
    <row r="100" spans="1:24" x14ac:dyDescent="0.25">
      <c r="A100">
        <v>1</v>
      </c>
      <c r="B100" s="13">
        <v>590920300103</v>
      </c>
      <c r="C100">
        <v>30</v>
      </c>
      <c r="D100" s="13">
        <v>5957303001</v>
      </c>
      <c r="F100" t="s">
        <v>130</v>
      </c>
      <c r="G100">
        <v>0</v>
      </c>
      <c r="H100">
        <v>100</v>
      </c>
      <c r="K100">
        <v>1</v>
      </c>
      <c r="L100" t="s">
        <v>131</v>
      </c>
      <c r="M100" s="50">
        <v>44875</v>
      </c>
      <c r="N100" s="50">
        <v>2958465</v>
      </c>
      <c r="P100">
        <v>0</v>
      </c>
      <c r="U100">
        <v>4</v>
      </c>
      <c r="V100">
        <v>1</v>
      </c>
      <c r="W100" t="s">
        <v>132</v>
      </c>
      <c r="X100">
        <v>0</v>
      </c>
    </row>
    <row r="101" spans="1:24" x14ac:dyDescent="0.25">
      <c r="A101">
        <v>1</v>
      </c>
      <c r="B101" s="13">
        <v>590920300103</v>
      </c>
      <c r="C101">
        <v>40</v>
      </c>
      <c r="D101" s="13">
        <v>5957093001</v>
      </c>
      <c r="F101" t="s">
        <v>130</v>
      </c>
      <c r="G101">
        <v>0</v>
      </c>
      <c r="H101">
        <v>100</v>
      </c>
      <c r="K101">
        <v>1</v>
      </c>
      <c r="L101" t="s">
        <v>131</v>
      </c>
      <c r="M101" s="50">
        <v>44875</v>
      </c>
      <c r="N101" s="50">
        <v>2958465</v>
      </c>
      <c r="P101">
        <v>0</v>
      </c>
      <c r="U101">
        <v>4</v>
      </c>
      <c r="V101">
        <v>1</v>
      </c>
      <c r="W101" t="s">
        <v>132</v>
      </c>
      <c r="X101">
        <v>0</v>
      </c>
    </row>
    <row r="102" spans="1:24" x14ac:dyDescent="0.25">
      <c r="A102">
        <v>1</v>
      </c>
      <c r="B102" s="13">
        <v>590920300103</v>
      </c>
      <c r="C102">
        <v>50</v>
      </c>
      <c r="D102" s="13">
        <v>1018034</v>
      </c>
      <c r="F102" t="s">
        <v>130</v>
      </c>
      <c r="G102">
        <v>0</v>
      </c>
      <c r="H102">
        <v>100</v>
      </c>
      <c r="K102">
        <v>4</v>
      </c>
      <c r="L102" t="s">
        <v>131</v>
      </c>
      <c r="M102" s="50">
        <v>44875</v>
      </c>
      <c r="N102" s="50">
        <v>2958465</v>
      </c>
      <c r="P102">
        <v>0</v>
      </c>
      <c r="U102">
        <v>4</v>
      </c>
      <c r="V102">
        <v>1</v>
      </c>
      <c r="W102" t="s">
        <v>132</v>
      </c>
      <c r="X102">
        <v>0</v>
      </c>
    </row>
    <row r="103" spans="1:24" x14ac:dyDescent="0.25">
      <c r="A103">
        <v>1</v>
      </c>
      <c r="B103" s="13">
        <v>590920300103</v>
      </c>
      <c r="C103">
        <v>60</v>
      </c>
      <c r="D103" s="13">
        <v>1018359</v>
      </c>
      <c r="F103" t="s">
        <v>130</v>
      </c>
      <c r="G103">
        <v>0</v>
      </c>
      <c r="H103">
        <v>100</v>
      </c>
      <c r="K103">
        <v>10</v>
      </c>
      <c r="L103" t="s">
        <v>131</v>
      </c>
      <c r="M103" s="50">
        <v>44875</v>
      </c>
      <c r="N103" s="50">
        <v>2958465</v>
      </c>
      <c r="P103">
        <v>0</v>
      </c>
      <c r="U103">
        <v>4</v>
      </c>
      <c r="V103">
        <v>1</v>
      </c>
      <c r="W103" t="s">
        <v>132</v>
      </c>
      <c r="X103">
        <v>0</v>
      </c>
    </row>
    <row r="104" spans="1:24" x14ac:dyDescent="0.25">
      <c r="A104">
        <v>1</v>
      </c>
      <c r="B104" s="13">
        <v>590920300103</v>
      </c>
      <c r="C104">
        <v>70</v>
      </c>
      <c r="D104" s="13">
        <v>1022213</v>
      </c>
      <c r="F104" t="s">
        <v>130</v>
      </c>
      <c r="G104">
        <v>0</v>
      </c>
      <c r="H104">
        <v>100</v>
      </c>
      <c r="K104">
        <v>5.5919999999999996</v>
      </c>
      <c r="L104" t="s">
        <v>131</v>
      </c>
      <c r="M104" s="50">
        <v>44875</v>
      </c>
      <c r="N104" s="50">
        <v>2958465</v>
      </c>
      <c r="P104">
        <v>0</v>
      </c>
      <c r="U104">
        <v>4</v>
      </c>
      <c r="V104">
        <v>1</v>
      </c>
      <c r="W104" t="s">
        <v>132</v>
      </c>
      <c r="X104">
        <v>0</v>
      </c>
    </row>
    <row r="105" spans="1:24" x14ac:dyDescent="0.25">
      <c r="A105">
        <v>1</v>
      </c>
      <c r="B105" s="13">
        <v>590920300103</v>
      </c>
      <c r="C105">
        <v>80</v>
      </c>
      <c r="D105" s="13">
        <v>2.02020202020202E+24</v>
      </c>
      <c r="F105" t="s">
        <v>130</v>
      </c>
      <c r="G105">
        <v>0</v>
      </c>
      <c r="H105">
        <v>100</v>
      </c>
      <c r="K105">
        <v>1</v>
      </c>
      <c r="L105" t="s">
        <v>131</v>
      </c>
      <c r="M105" s="50">
        <v>44875</v>
      </c>
      <c r="N105" s="50">
        <v>2958465</v>
      </c>
      <c r="P105">
        <v>0</v>
      </c>
      <c r="U105">
        <v>4</v>
      </c>
      <c r="V105">
        <v>1</v>
      </c>
      <c r="W105" t="s">
        <v>132</v>
      </c>
      <c r="X105">
        <v>0</v>
      </c>
    </row>
    <row r="106" spans="1:24" x14ac:dyDescent="0.25">
      <c r="A106">
        <v>1</v>
      </c>
      <c r="B106" s="13">
        <v>590920300203</v>
      </c>
      <c r="C106">
        <v>10</v>
      </c>
      <c r="D106" s="13">
        <v>5957163002</v>
      </c>
      <c r="F106" t="s">
        <v>130</v>
      </c>
      <c r="G106">
        <v>0</v>
      </c>
      <c r="H106">
        <v>100</v>
      </c>
      <c r="K106">
        <v>2</v>
      </c>
      <c r="L106" t="s">
        <v>131</v>
      </c>
      <c r="M106" s="50">
        <v>44875</v>
      </c>
      <c r="N106" s="50">
        <v>2958465</v>
      </c>
      <c r="P106">
        <v>0</v>
      </c>
      <c r="U106">
        <v>4</v>
      </c>
      <c r="V106">
        <v>1</v>
      </c>
      <c r="W106" t="s">
        <v>132</v>
      </c>
      <c r="X106">
        <v>0</v>
      </c>
    </row>
    <row r="107" spans="1:24" x14ac:dyDescent="0.25">
      <c r="A107">
        <v>1</v>
      </c>
      <c r="B107" s="13">
        <v>590920300203</v>
      </c>
      <c r="C107">
        <v>20</v>
      </c>
      <c r="D107" s="13">
        <v>5957333002</v>
      </c>
      <c r="F107" t="s">
        <v>130</v>
      </c>
      <c r="G107">
        <v>0</v>
      </c>
      <c r="H107">
        <v>100</v>
      </c>
      <c r="K107">
        <v>1</v>
      </c>
      <c r="L107" t="s">
        <v>131</v>
      </c>
      <c r="M107" s="50">
        <v>44875</v>
      </c>
      <c r="N107" s="50">
        <v>2958465</v>
      </c>
      <c r="P107">
        <v>0</v>
      </c>
      <c r="U107">
        <v>4</v>
      </c>
      <c r="V107">
        <v>1</v>
      </c>
      <c r="W107" t="s">
        <v>132</v>
      </c>
      <c r="X107">
        <v>0</v>
      </c>
    </row>
    <row r="108" spans="1:24" x14ac:dyDescent="0.25">
      <c r="A108">
        <v>1</v>
      </c>
      <c r="B108" s="13">
        <v>590920300203</v>
      </c>
      <c r="C108">
        <v>30</v>
      </c>
      <c r="D108" s="13">
        <v>5957303002</v>
      </c>
      <c r="F108" t="s">
        <v>130</v>
      </c>
      <c r="G108">
        <v>0</v>
      </c>
      <c r="H108">
        <v>100</v>
      </c>
      <c r="K108">
        <v>1</v>
      </c>
      <c r="L108" t="s">
        <v>131</v>
      </c>
      <c r="M108" s="50">
        <v>44875</v>
      </c>
      <c r="N108" s="50">
        <v>2958465</v>
      </c>
      <c r="P108">
        <v>0</v>
      </c>
      <c r="U108">
        <v>4</v>
      </c>
      <c r="V108">
        <v>1</v>
      </c>
      <c r="W108" t="s">
        <v>132</v>
      </c>
      <c r="X108">
        <v>0</v>
      </c>
    </row>
    <row r="109" spans="1:24" x14ac:dyDescent="0.25">
      <c r="A109">
        <v>1</v>
      </c>
      <c r="B109" s="13">
        <v>590920300203</v>
      </c>
      <c r="C109">
        <v>40</v>
      </c>
      <c r="D109" s="13">
        <v>5957093002</v>
      </c>
      <c r="F109" t="s">
        <v>130</v>
      </c>
      <c r="G109">
        <v>0</v>
      </c>
      <c r="H109">
        <v>100</v>
      </c>
      <c r="K109">
        <v>1</v>
      </c>
      <c r="L109" t="s">
        <v>131</v>
      </c>
      <c r="M109" s="50">
        <v>44875</v>
      </c>
      <c r="N109" s="50">
        <v>2958465</v>
      </c>
      <c r="P109">
        <v>0</v>
      </c>
      <c r="U109">
        <v>4</v>
      </c>
      <c r="V109">
        <v>1</v>
      </c>
      <c r="W109" t="s">
        <v>132</v>
      </c>
      <c r="X109">
        <v>0</v>
      </c>
    </row>
    <row r="110" spans="1:24" x14ac:dyDescent="0.25">
      <c r="A110">
        <v>1</v>
      </c>
      <c r="B110" s="13">
        <v>590920300203</v>
      </c>
      <c r="C110">
        <v>50</v>
      </c>
      <c r="D110" s="13">
        <v>1018034</v>
      </c>
      <c r="F110" t="s">
        <v>130</v>
      </c>
      <c r="G110">
        <v>0</v>
      </c>
      <c r="H110">
        <v>100</v>
      </c>
      <c r="K110">
        <v>4</v>
      </c>
      <c r="L110" t="s">
        <v>131</v>
      </c>
      <c r="M110" s="50">
        <v>44875</v>
      </c>
      <c r="N110" s="50">
        <v>2958465</v>
      </c>
      <c r="P110">
        <v>0</v>
      </c>
      <c r="U110">
        <v>4</v>
      </c>
      <c r="V110">
        <v>1</v>
      </c>
      <c r="W110" t="s">
        <v>132</v>
      </c>
      <c r="X110">
        <v>0</v>
      </c>
    </row>
    <row r="111" spans="1:24" x14ac:dyDescent="0.25">
      <c r="A111">
        <v>1</v>
      </c>
      <c r="B111" s="13">
        <v>590920300203</v>
      </c>
      <c r="C111">
        <v>60</v>
      </c>
      <c r="D111" s="13">
        <v>1022356</v>
      </c>
      <c r="F111" t="s">
        <v>130</v>
      </c>
      <c r="G111">
        <v>0</v>
      </c>
      <c r="H111">
        <v>100</v>
      </c>
      <c r="K111">
        <v>10</v>
      </c>
      <c r="L111" t="s">
        <v>131</v>
      </c>
      <c r="M111" s="50">
        <v>44875</v>
      </c>
      <c r="N111" s="50">
        <v>2958465</v>
      </c>
      <c r="P111">
        <v>0</v>
      </c>
      <c r="U111">
        <v>4</v>
      </c>
      <c r="V111">
        <v>1</v>
      </c>
      <c r="W111" t="s">
        <v>132</v>
      </c>
      <c r="X111">
        <v>0</v>
      </c>
    </row>
    <row r="112" spans="1:24" x14ac:dyDescent="0.25">
      <c r="A112">
        <v>1</v>
      </c>
      <c r="B112" s="13">
        <v>590920300203</v>
      </c>
      <c r="C112">
        <v>70</v>
      </c>
      <c r="D112" s="13">
        <v>1022213</v>
      </c>
      <c r="F112" t="s">
        <v>130</v>
      </c>
      <c r="G112">
        <v>0</v>
      </c>
      <c r="H112">
        <v>100</v>
      </c>
      <c r="K112">
        <v>5.5919999999999996</v>
      </c>
      <c r="L112" t="s">
        <v>131</v>
      </c>
      <c r="M112" s="50">
        <v>44875</v>
      </c>
      <c r="N112" s="50">
        <v>2958465</v>
      </c>
      <c r="P112">
        <v>0</v>
      </c>
      <c r="U112">
        <v>4</v>
      </c>
      <c r="V112">
        <v>1</v>
      </c>
      <c r="W112" t="s">
        <v>132</v>
      </c>
      <c r="X112">
        <v>0</v>
      </c>
    </row>
    <row r="113" spans="1:24" x14ac:dyDescent="0.25">
      <c r="A113">
        <v>1</v>
      </c>
      <c r="B113" s="13">
        <v>590920300203</v>
      </c>
      <c r="C113">
        <v>80</v>
      </c>
      <c r="D113" s="13">
        <v>2.0202020202020201E+26</v>
      </c>
      <c r="F113" t="s">
        <v>130</v>
      </c>
      <c r="G113">
        <v>0</v>
      </c>
      <c r="H113">
        <v>100</v>
      </c>
      <c r="K113">
        <v>1</v>
      </c>
      <c r="L113" t="s">
        <v>131</v>
      </c>
      <c r="M113" s="50">
        <v>44875</v>
      </c>
      <c r="N113" s="50">
        <v>2958465</v>
      </c>
      <c r="P113">
        <v>0</v>
      </c>
      <c r="U113">
        <v>4</v>
      </c>
      <c r="V113">
        <v>1</v>
      </c>
      <c r="W113" t="s">
        <v>132</v>
      </c>
      <c r="X113">
        <v>0</v>
      </c>
    </row>
    <row r="114" spans="1:24" x14ac:dyDescent="0.25">
      <c r="A114">
        <v>1</v>
      </c>
      <c r="B114" s="13">
        <v>590920300303</v>
      </c>
      <c r="C114">
        <v>10</v>
      </c>
      <c r="D114" s="13">
        <v>5957163003</v>
      </c>
      <c r="F114" t="s">
        <v>130</v>
      </c>
      <c r="G114">
        <v>0</v>
      </c>
      <c r="H114">
        <v>100</v>
      </c>
      <c r="K114">
        <v>2</v>
      </c>
      <c r="L114" t="s">
        <v>131</v>
      </c>
      <c r="M114" s="50">
        <v>44875</v>
      </c>
      <c r="N114" s="50">
        <v>2958465</v>
      </c>
      <c r="P114">
        <v>0</v>
      </c>
      <c r="U114">
        <v>4</v>
      </c>
      <c r="V114">
        <v>1</v>
      </c>
      <c r="W114" t="s">
        <v>132</v>
      </c>
      <c r="X114">
        <v>0</v>
      </c>
    </row>
    <row r="115" spans="1:24" x14ac:dyDescent="0.25">
      <c r="A115">
        <v>1</v>
      </c>
      <c r="B115" s="13">
        <v>590920300303</v>
      </c>
      <c r="C115">
        <v>20</v>
      </c>
      <c r="D115" s="13">
        <v>5957333003</v>
      </c>
      <c r="F115" t="s">
        <v>130</v>
      </c>
      <c r="G115">
        <v>0</v>
      </c>
      <c r="H115">
        <v>100</v>
      </c>
      <c r="K115">
        <v>1</v>
      </c>
      <c r="L115" t="s">
        <v>131</v>
      </c>
      <c r="M115" s="50">
        <v>44875</v>
      </c>
      <c r="N115" s="50">
        <v>2958465</v>
      </c>
      <c r="P115">
        <v>0</v>
      </c>
      <c r="U115">
        <v>4</v>
      </c>
      <c r="V115">
        <v>1</v>
      </c>
      <c r="W115" t="s">
        <v>132</v>
      </c>
      <c r="X115">
        <v>0</v>
      </c>
    </row>
    <row r="116" spans="1:24" x14ac:dyDescent="0.25">
      <c r="A116">
        <v>1</v>
      </c>
      <c r="B116" s="13">
        <v>590920300303</v>
      </c>
      <c r="C116">
        <v>30</v>
      </c>
      <c r="D116" s="13">
        <v>5957303003</v>
      </c>
      <c r="F116" t="s">
        <v>130</v>
      </c>
      <c r="G116">
        <v>0</v>
      </c>
      <c r="H116">
        <v>100</v>
      </c>
      <c r="K116">
        <v>1</v>
      </c>
      <c r="L116" t="s">
        <v>131</v>
      </c>
      <c r="M116" s="50">
        <v>44875</v>
      </c>
      <c r="N116" s="50">
        <v>2958465</v>
      </c>
      <c r="P116">
        <v>0</v>
      </c>
      <c r="U116">
        <v>4</v>
      </c>
      <c r="V116">
        <v>1</v>
      </c>
      <c r="W116" t="s">
        <v>132</v>
      </c>
      <c r="X116">
        <v>0</v>
      </c>
    </row>
    <row r="117" spans="1:24" x14ac:dyDescent="0.25">
      <c r="A117">
        <v>1</v>
      </c>
      <c r="B117" s="13">
        <v>590920300303</v>
      </c>
      <c r="C117">
        <v>40</v>
      </c>
      <c r="D117" s="13">
        <v>5957093003</v>
      </c>
      <c r="F117" t="s">
        <v>130</v>
      </c>
      <c r="G117">
        <v>0</v>
      </c>
      <c r="H117">
        <v>100</v>
      </c>
      <c r="K117">
        <v>1</v>
      </c>
      <c r="L117" t="s">
        <v>131</v>
      </c>
      <c r="M117" s="50">
        <v>44875</v>
      </c>
      <c r="N117" s="50">
        <v>2958465</v>
      </c>
      <c r="P117">
        <v>0</v>
      </c>
      <c r="U117">
        <v>4</v>
      </c>
      <c r="V117">
        <v>1</v>
      </c>
      <c r="W117" t="s">
        <v>132</v>
      </c>
      <c r="X117">
        <v>0</v>
      </c>
    </row>
    <row r="118" spans="1:24" x14ac:dyDescent="0.25">
      <c r="A118">
        <v>1</v>
      </c>
      <c r="B118" s="13">
        <v>590920300303</v>
      </c>
      <c r="C118">
        <v>50</v>
      </c>
      <c r="D118" s="13">
        <v>1018034</v>
      </c>
      <c r="F118" t="s">
        <v>130</v>
      </c>
      <c r="G118">
        <v>0</v>
      </c>
      <c r="H118">
        <v>100</v>
      </c>
      <c r="K118">
        <v>4</v>
      </c>
      <c r="L118" t="s">
        <v>131</v>
      </c>
      <c r="M118" s="50">
        <v>44875</v>
      </c>
      <c r="N118" s="50">
        <v>2958465</v>
      </c>
      <c r="P118">
        <v>0</v>
      </c>
      <c r="U118">
        <v>4</v>
      </c>
      <c r="V118">
        <v>1</v>
      </c>
      <c r="W118" t="s">
        <v>132</v>
      </c>
      <c r="X118">
        <v>0</v>
      </c>
    </row>
    <row r="119" spans="1:24" x14ac:dyDescent="0.25">
      <c r="A119">
        <v>1</v>
      </c>
      <c r="B119" s="13">
        <v>590920300303</v>
      </c>
      <c r="C119">
        <v>60</v>
      </c>
      <c r="D119" s="13">
        <v>1018359</v>
      </c>
      <c r="F119" t="s">
        <v>130</v>
      </c>
      <c r="G119">
        <v>0</v>
      </c>
      <c r="H119">
        <v>100</v>
      </c>
      <c r="K119">
        <v>10</v>
      </c>
      <c r="L119" t="s">
        <v>131</v>
      </c>
      <c r="M119" s="50">
        <v>44875</v>
      </c>
      <c r="N119" s="50">
        <v>2958465</v>
      </c>
      <c r="P119">
        <v>0</v>
      </c>
      <c r="U119">
        <v>4</v>
      </c>
      <c r="V119">
        <v>1</v>
      </c>
      <c r="W119" t="s">
        <v>132</v>
      </c>
      <c r="X119">
        <v>0</v>
      </c>
    </row>
    <row r="120" spans="1:24" x14ac:dyDescent="0.25">
      <c r="A120">
        <v>1</v>
      </c>
      <c r="B120" s="13">
        <v>590920300303</v>
      </c>
      <c r="C120">
        <v>70</v>
      </c>
      <c r="D120" s="13">
        <v>1022213</v>
      </c>
      <c r="F120" t="s">
        <v>130</v>
      </c>
      <c r="G120">
        <v>0</v>
      </c>
      <c r="H120">
        <v>100</v>
      </c>
      <c r="K120">
        <v>5.5919999999999996</v>
      </c>
      <c r="L120" t="s">
        <v>131</v>
      </c>
      <c r="M120" s="50">
        <v>44875</v>
      </c>
      <c r="N120" s="50">
        <v>2958465</v>
      </c>
      <c r="P120">
        <v>0</v>
      </c>
      <c r="U120">
        <v>4</v>
      </c>
      <c r="V120">
        <v>1</v>
      </c>
      <c r="W120" t="s">
        <v>132</v>
      </c>
      <c r="X120">
        <v>0</v>
      </c>
    </row>
    <row r="121" spans="1:24" x14ac:dyDescent="0.25">
      <c r="A121">
        <v>1</v>
      </c>
      <c r="B121" s="13">
        <v>590920300303</v>
      </c>
      <c r="C121">
        <v>80</v>
      </c>
      <c r="D121" s="13">
        <v>2.0202020202020199E+28</v>
      </c>
      <c r="F121" t="s">
        <v>130</v>
      </c>
      <c r="G121">
        <v>0</v>
      </c>
      <c r="H121">
        <v>100</v>
      </c>
      <c r="K121">
        <v>1</v>
      </c>
      <c r="L121" t="s">
        <v>131</v>
      </c>
      <c r="M121" s="50">
        <v>44875</v>
      </c>
      <c r="N121" s="50">
        <v>2958465</v>
      </c>
      <c r="P121">
        <v>0</v>
      </c>
      <c r="U121">
        <v>4</v>
      </c>
      <c r="V121">
        <v>1</v>
      </c>
      <c r="W121" t="s">
        <v>132</v>
      </c>
      <c r="X121">
        <v>0</v>
      </c>
    </row>
    <row r="122" spans="1:24" x14ac:dyDescent="0.25">
      <c r="A122">
        <v>1</v>
      </c>
      <c r="B122" s="13">
        <v>590920300403</v>
      </c>
      <c r="C122">
        <v>10</v>
      </c>
      <c r="D122" s="13">
        <v>5957163004</v>
      </c>
      <c r="F122" t="s">
        <v>130</v>
      </c>
      <c r="G122">
        <v>0</v>
      </c>
      <c r="H122">
        <v>100</v>
      </c>
      <c r="K122">
        <v>2</v>
      </c>
      <c r="L122" t="s">
        <v>131</v>
      </c>
      <c r="M122" s="50">
        <v>44875</v>
      </c>
      <c r="N122" s="50">
        <v>2958465</v>
      </c>
      <c r="P122">
        <v>0</v>
      </c>
      <c r="U122">
        <v>4</v>
      </c>
      <c r="V122">
        <v>1</v>
      </c>
      <c r="W122" t="s">
        <v>132</v>
      </c>
      <c r="X122">
        <v>0</v>
      </c>
    </row>
    <row r="123" spans="1:24" x14ac:dyDescent="0.25">
      <c r="A123">
        <v>1</v>
      </c>
      <c r="B123" s="13">
        <v>590920300403</v>
      </c>
      <c r="C123">
        <v>20</v>
      </c>
      <c r="D123" s="13">
        <v>5957333004</v>
      </c>
      <c r="F123" t="s">
        <v>130</v>
      </c>
      <c r="G123">
        <v>0</v>
      </c>
      <c r="H123">
        <v>100</v>
      </c>
      <c r="K123">
        <v>1</v>
      </c>
      <c r="L123" t="s">
        <v>131</v>
      </c>
      <c r="M123" s="50">
        <v>44875</v>
      </c>
      <c r="N123" s="50">
        <v>2958465</v>
      </c>
      <c r="P123">
        <v>0</v>
      </c>
      <c r="U123">
        <v>4</v>
      </c>
      <c r="V123">
        <v>1</v>
      </c>
      <c r="W123" t="s">
        <v>132</v>
      </c>
      <c r="X123">
        <v>0</v>
      </c>
    </row>
    <row r="124" spans="1:24" x14ac:dyDescent="0.25">
      <c r="A124">
        <v>1</v>
      </c>
      <c r="B124" s="13">
        <v>590920300403</v>
      </c>
      <c r="C124">
        <v>30</v>
      </c>
      <c r="D124" s="13">
        <v>5957303004</v>
      </c>
      <c r="F124" t="s">
        <v>130</v>
      </c>
      <c r="G124">
        <v>0</v>
      </c>
      <c r="H124">
        <v>100</v>
      </c>
      <c r="K124">
        <v>1</v>
      </c>
      <c r="L124" t="s">
        <v>131</v>
      </c>
      <c r="M124" s="50">
        <v>44875</v>
      </c>
      <c r="N124" s="50">
        <v>2958465</v>
      </c>
      <c r="P124">
        <v>0</v>
      </c>
      <c r="U124">
        <v>4</v>
      </c>
      <c r="V124">
        <v>1</v>
      </c>
      <c r="W124" t="s">
        <v>132</v>
      </c>
      <c r="X124">
        <v>0</v>
      </c>
    </row>
    <row r="125" spans="1:24" x14ac:dyDescent="0.25">
      <c r="A125">
        <v>1</v>
      </c>
      <c r="B125" s="13">
        <v>590920300403</v>
      </c>
      <c r="C125">
        <v>40</v>
      </c>
      <c r="D125" s="13">
        <v>5957093004</v>
      </c>
      <c r="F125" t="s">
        <v>130</v>
      </c>
      <c r="G125">
        <v>0</v>
      </c>
      <c r="H125">
        <v>100</v>
      </c>
      <c r="K125">
        <v>1</v>
      </c>
      <c r="L125" t="s">
        <v>131</v>
      </c>
      <c r="M125" s="50">
        <v>44875</v>
      </c>
      <c r="N125" s="50">
        <v>2958465</v>
      </c>
      <c r="P125">
        <v>0</v>
      </c>
      <c r="U125">
        <v>4</v>
      </c>
      <c r="V125">
        <v>1</v>
      </c>
      <c r="W125" t="s">
        <v>132</v>
      </c>
      <c r="X125">
        <v>0</v>
      </c>
    </row>
    <row r="126" spans="1:24" x14ac:dyDescent="0.25">
      <c r="A126">
        <v>1</v>
      </c>
      <c r="B126" s="13">
        <v>590920300403</v>
      </c>
      <c r="C126">
        <v>50</v>
      </c>
      <c r="D126" s="13">
        <v>1018034</v>
      </c>
      <c r="F126" t="s">
        <v>130</v>
      </c>
      <c r="G126">
        <v>0</v>
      </c>
      <c r="H126">
        <v>100</v>
      </c>
      <c r="K126">
        <v>4</v>
      </c>
      <c r="L126" t="s">
        <v>131</v>
      </c>
      <c r="M126" s="50">
        <v>44875</v>
      </c>
      <c r="N126" s="50">
        <v>2958465</v>
      </c>
      <c r="P126">
        <v>0</v>
      </c>
      <c r="U126">
        <v>4</v>
      </c>
      <c r="V126">
        <v>1</v>
      </c>
      <c r="W126" t="s">
        <v>132</v>
      </c>
      <c r="X126">
        <v>0</v>
      </c>
    </row>
    <row r="127" spans="1:24" x14ac:dyDescent="0.25">
      <c r="A127">
        <v>1</v>
      </c>
      <c r="B127" s="13">
        <v>590920300403</v>
      </c>
      <c r="C127">
        <v>60</v>
      </c>
      <c r="D127" s="13">
        <v>1022356</v>
      </c>
      <c r="F127" t="s">
        <v>130</v>
      </c>
      <c r="G127">
        <v>0</v>
      </c>
      <c r="H127">
        <v>100</v>
      </c>
      <c r="K127">
        <v>10</v>
      </c>
      <c r="L127" t="s">
        <v>131</v>
      </c>
      <c r="M127" s="50">
        <v>44875</v>
      </c>
      <c r="N127" s="50">
        <v>2958465</v>
      </c>
      <c r="P127">
        <v>0</v>
      </c>
      <c r="U127">
        <v>4</v>
      </c>
      <c r="V127">
        <v>1</v>
      </c>
      <c r="W127" t="s">
        <v>132</v>
      </c>
      <c r="X127">
        <v>0</v>
      </c>
    </row>
    <row r="128" spans="1:24" x14ac:dyDescent="0.25">
      <c r="A128">
        <v>1</v>
      </c>
      <c r="B128" s="13">
        <v>590920300403</v>
      </c>
      <c r="C128">
        <v>70</v>
      </c>
      <c r="D128" s="13">
        <v>1022213</v>
      </c>
      <c r="F128" t="s">
        <v>130</v>
      </c>
      <c r="G128">
        <v>0</v>
      </c>
      <c r="H128">
        <v>100</v>
      </c>
      <c r="K128">
        <v>5.5919999999999996</v>
      </c>
      <c r="L128" t="s">
        <v>131</v>
      </c>
      <c r="M128" s="50">
        <v>44875</v>
      </c>
      <c r="N128" s="50">
        <v>2958465</v>
      </c>
      <c r="P128">
        <v>0</v>
      </c>
      <c r="U128">
        <v>4</v>
      </c>
      <c r="V128">
        <v>1</v>
      </c>
      <c r="W128" t="s">
        <v>132</v>
      </c>
      <c r="X128">
        <v>0</v>
      </c>
    </row>
    <row r="129" spans="1:24" x14ac:dyDescent="0.25">
      <c r="A129">
        <v>1</v>
      </c>
      <c r="B129" s="13">
        <v>590920300403</v>
      </c>
      <c r="C129">
        <v>80</v>
      </c>
      <c r="D129" s="13">
        <v>2.0202020202020199E+30</v>
      </c>
      <c r="F129" t="s">
        <v>130</v>
      </c>
      <c r="G129">
        <v>0</v>
      </c>
      <c r="H129">
        <v>100</v>
      </c>
      <c r="K129">
        <v>1</v>
      </c>
      <c r="L129" t="s">
        <v>131</v>
      </c>
      <c r="M129" s="50">
        <v>44875</v>
      </c>
      <c r="N129" s="50">
        <v>2958465</v>
      </c>
      <c r="P129">
        <v>0</v>
      </c>
      <c r="U129">
        <v>4</v>
      </c>
      <c r="V129">
        <v>1</v>
      </c>
      <c r="W129" t="s">
        <v>132</v>
      </c>
      <c r="X129">
        <v>0</v>
      </c>
    </row>
    <row r="130" spans="1:24" x14ac:dyDescent="0.25">
      <c r="A130">
        <v>1</v>
      </c>
      <c r="B130" s="13">
        <v>590920300503</v>
      </c>
      <c r="C130">
        <v>10</v>
      </c>
      <c r="D130" s="13">
        <v>5957163005</v>
      </c>
      <c r="F130" t="s">
        <v>130</v>
      </c>
      <c r="G130">
        <v>0</v>
      </c>
      <c r="H130">
        <v>100</v>
      </c>
      <c r="K130">
        <v>2</v>
      </c>
      <c r="L130" t="s">
        <v>131</v>
      </c>
      <c r="M130" s="50">
        <v>44875</v>
      </c>
      <c r="N130" s="50">
        <v>2958465</v>
      </c>
      <c r="P130">
        <v>0</v>
      </c>
      <c r="U130">
        <v>4</v>
      </c>
      <c r="V130">
        <v>1</v>
      </c>
      <c r="W130" t="s">
        <v>132</v>
      </c>
      <c r="X130">
        <v>0</v>
      </c>
    </row>
    <row r="131" spans="1:24" x14ac:dyDescent="0.25">
      <c r="A131">
        <v>1</v>
      </c>
      <c r="B131" s="13">
        <v>590920300503</v>
      </c>
      <c r="C131">
        <v>20</v>
      </c>
      <c r="D131" s="13">
        <v>5957333005</v>
      </c>
      <c r="F131" t="s">
        <v>130</v>
      </c>
      <c r="G131">
        <v>0</v>
      </c>
      <c r="H131">
        <v>100</v>
      </c>
      <c r="K131">
        <v>1</v>
      </c>
      <c r="L131" t="s">
        <v>131</v>
      </c>
      <c r="M131" s="50">
        <v>44875</v>
      </c>
      <c r="N131" s="50">
        <v>2958465</v>
      </c>
      <c r="P131">
        <v>0</v>
      </c>
      <c r="U131">
        <v>4</v>
      </c>
      <c r="V131">
        <v>1</v>
      </c>
      <c r="W131" t="s">
        <v>132</v>
      </c>
      <c r="X131">
        <v>0</v>
      </c>
    </row>
    <row r="132" spans="1:24" x14ac:dyDescent="0.25">
      <c r="A132">
        <v>1</v>
      </c>
      <c r="B132" s="13">
        <v>590920300503</v>
      </c>
      <c r="C132">
        <v>30</v>
      </c>
      <c r="D132" s="13">
        <v>5957303005</v>
      </c>
      <c r="F132" t="s">
        <v>130</v>
      </c>
      <c r="G132">
        <v>0</v>
      </c>
      <c r="H132">
        <v>100</v>
      </c>
      <c r="K132">
        <v>1</v>
      </c>
      <c r="L132" t="s">
        <v>131</v>
      </c>
      <c r="M132" s="50">
        <v>44875</v>
      </c>
      <c r="N132" s="50">
        <v>2958465</v>
      </c>
      <c r="P132">
        <v>0</v>
      </c>
      <c r="U132">
        <v>4</v>
      </c>
      <c r="V132">
        <v>1</v>
      </c>
      <c r="W132" t="s">
        <v>132</v>
      </c>
      <c r="X132">
        <v>0</v>
      </c>
    </row>
    <row r="133" spans="1:24" x14ac:dyDescent="0.25">
      <c r="A133">
        <v>1</v>
      </c>
      <c r="B133" s="13">
        <v>590920300503</v>
      </c>
      <c r="C133">
        <v>40</v>
      </c>
      <c r="D133" s="13">
        <v>5957093005</v>
      </c>
      <c r="F133" t="s">
        <v>130</v>
      </c>
      <c r="G133">
        <v>0</v>
      </c>
      <c r="H133">
        <v>100</v>
      </c>
      <c r="K133">
        <v>1</v>
      </c>
      <c r="L133" t="s">
        <v>131</v>
      </c>
      <c r="M133" s="50">
        <v>44875</v>
      </c>
      <c r="N133" s="50">
        <v>2958465</v>
      </c>
      <c r="P133">
        <v>0</v>
      </c>
      <c r="U133">
        <v>4</v>
      </c>
      <c r="V133">
        <v>1</v>
      </c>
      <c r="W133" t="s">
        <v>132</v>
      </c>
      <c r="X133">
        <v>0</v>
      </c>
    </row>
    <row r="134" spans="1:24" x14ac:dyDescent="0.25">
      <c r="A134">
        <v>1</v>
      </c>
      <c r="B134" s="13">
        <v>590920300503</v>
      </c>
      <c r="C134">
        <v>50</v>
      </c>
      <c r="D134" s="13">
        <v>1018034</v>
      </c>
      <c r="F134" t="s">
        <v>130</v>
      </c>
      <c r="G134">
        <v>0</v>
      </c>
      <c r="H134">
        <v>100</v>
      </c>
      <c r="K134">
        <v>4</v>
      </c>
      <c r="L134" t="s">
        <v>131</v>
      </c>
      <c r="M134" s="50">
        <v>44875</v>
      </c>
      <c r="N134" s="50">
        <v>2958465</v>
      </c>
      <c r="P134">
        <v>0</v>
      </c>
      <c r="U134">
        <v>4</v>
      </c>
      <c r="V134">
        <v>1</v>
      </c>
      <c r="W134" t="s">
        <v>132</v>
      </c>
      <c r="X134">
        <v>0</v>
      </c>
    </row>
    <row r="135" spans="1:24" x14ac:dyDescent="0.25">
      <c r="A135">
        <v>1</v>
      </c>
      <c r="B135" s="13">
        <v>590920300503</v>
      </c>
      <c r="C135">
        <v>60</v>
      </c>
      <c r="D135" s="13">
        <v>1022356</v>
      </c>
      <c r="F135" t="s">
        <v>130</v>
      </c>
      <c r="G135">
        <v>0</v>
      </c>
      <c r="H135">
        <v>100</v>
      </c>
      <c r="K135">
        <v>10</v>
      </c>
      <c r="L135" t="s">
        <v>131</v>
      </c>
      <c r="M135" s="50">
        <v>44875</v>
      </c>
      <c r="N135" s="50">
        <v>2958465</v>
      </c>
      <c r="P135">
        <v>0</v>
      </c>
      <c r="U135">
        <v>4</v>
      </c>
      <c r="V135">
        <v>1</v>
      </c>
      <c r="W135" t="s">
        <v>132</v>
      </c>
      <c r="X135">
        <v>0</v>
      </c>
    </row>
    <row r="136" spans="1:24" x14ac:dyDescent="0.25">
      <c r="A136">
        <v>1</v>
      </c>
      <c r="B136" s="13">
        <v>590920300503</v>
      </c>
      <c r="C136">
        <v>70</v>
      </c>
      <c r="D136" s="13">
        <v>1022213</v>
      </c>
      <c r="F136" t="s">
        <v>130</v>
      </c>
      <c r="G136">
        <v>0</v>
      </c>
      <c r="H136">
        <v>100</v>
      </c>
      <c r="K136">
        <v>5.5919999999999996</v>
      </c>
      <c r="L136" t="s">
        <v>131</v>
      </c>
      <c r="M136" s="50">
        <v>44875</v>
      </c>
      <c r="N136" s="50">
        <v>2958465</v>
      </c>
      <c r="P136">
        <v>0</v>
      </c>
      <c r="U136">
        <v>4</v>
      </c>
      <c r="V136">
        <v>1</v>
      </c>
      <c r="W136" t="s">
        <v>132</v>
      </c>
      <c r="X136">
        <v>0</v>
      </c>
    </row>
    <row r="137" spans="1:24" x14ac:dyDescent="0.25">
      <c r="A137">
        <v>1</v>
      </c>
      <c r="B137" s="13">
        <v>590920300503</v>
      </c>
      <c r="C137">
        <v>80</v>
      </c>
      <c r="D137" s="13">
        <v>2.0202020202020201E+32</v>
      </c>
      <c r="F137" t="s">
        <v>130</v>
      </c>
      <c r="G137">
        <v>0</v>
      </c>
      <c r="H137">
        <v>100</v>
      </c>
      <c r="K137">
        <v>1</v>
      </c>
      <c r="L137" t="s">
        <v>131</v>
      </c>
      <c r="M137" s="50">
        <v>44875</v>
      </c>
      <c r="N137" s="50">
        <v>2958465</v>
      </c>
      <c r="P137">
        <v>0</v>
      </c>
      <c r="U137">
        <v>4</v>
      </c>
      <c r="V137">
        <v>1</v>
      </c>
      <c r="W137" t="s">
        <v>132</v>
      </c>
      <c r="X137">
        <v>0</v>
      </c>
    </row>
    <row r="138" spans="1:24" x14ac:dyDescent="0.25">
      <c r="A138">
        <v>1</v>
      </c>
      <c r="B138" s="13">
        <v>590920300603</v>
      </c>
      <c r="C138">
        <v>10</v>
      </c>
      <c r="D138" s="13">
        <v>5957163006</v>
      </c>
      <c r="F138" t="s">
        <v>130</v>
      </c>
      <c r="G138">
        <v>0</v>
      </c>
      <c r="H138">
        <v>100</v>
      </c>
      <c r="K138">
        <v>2</v>
      </c>
      <c r="L138" t="s">
        <v>131</v>
      </c>
      <c r="M138" s="50">
        <v>44875</v>
      </c>
      <c r="N138" s="50">
        <v>2958465</v>
      </c>
      <c r="P138">
        <v>0</v>
      </c>
      <c r="U138">
        <v>4</v>
      </c>
      <c r="V138">
        <v>1</v>
      </c>
      <c r="W138" t="s">
        <v>132</v>
      </c>
      <c r="X138">
        <v>0</v>
      </c>
    </row>
    <row r="139" spans="1:24" x14ac:dyDescent="0.25">
      <c r="A139">
        <v>1</v>
      </c>
      <c r="B139" s="13">
        <v>590920300603</v>
      </c>
      <c r="C139">
        <v>20</v>
      </c>
      <c r="D139" s="13">
        <v>5957333006</v>
      </c>
      <c r="F139" t="s">
        <v>130</v>
      </c>
      <c r="G139">
        <v>0</v>
      </c>
      <c r="H139">
        <v>100</v>
      </c>
      <c r="K139">
        <v>1</v>
      </c>
      <c r="L139" t="s">
        <v>131</v>
      </c>
      <c r="M139" s="50">
        <v>44875</v>
      </c>
      <c r="N139" s="50">
        <v>2958465</v>
      </c>
      <c r="P139">
        <v>0</v>
      </c>
      <c r="U139">
        <v>4</v>
      </c>
      <c r="V139">
        <v>1</v>
      </c>
      <c r="W139" t="s">
        <v>132</v>
      </c>
      <c r="X139">
        <v>0</v>
      </c>
    </row>
    <row r="140" spans="1:24" x14ac:dyDescent="0.25">
      <c r="A140">
        <v>1</v>
      </c>
      <c r="B140" s="13">
        <v>590920300603</v>
      </c>
      <c r="C140">
        <v>30</v>
      </c>
      <c r="D140" s="13">
        <v>5957303006</v>
      </c>
      <c r="F140" t="s">
        <v>130</v>
      </c>
      <c r="G140">
        <v>0</v>
      </c>
      <c r="H140">
        <v>100</v>
      </c>
      <c r="K140">
        <v>1</v>
      </c>
      <c r="L140" t="s">
        <v>131</v>
      </c>
      <c r="M140" s="50">
        <v>44875</v>
      </c>
      <c r="N140" s="50">
        <v>2958465</v>
      </c>
      <c r="P140">
        <v>0</v>
      </c>
      <c r="U140">
        <v>4</v>
      </c>
      <c r="V140">
        <v>1</v>
      </c>
      <c r="W140" t="s">
        <v>132</v>
      </c>
      <c r="X140">
        <v>0</v>
      </c>
    </row>
    <row r="141" spans="1:24" x14ac:dyDescent="0.25">
      <c r="A141">
        <v>1</v>
      </c>
      <c r="B141" s="13">
        <v>590920300603</v>
      </c>
      <c r="C141">
        <v>40</v>
      </c>
      <c r="D141" s="13">
        <v>5957093006</v>
      </c>
      <c r="F141" t="s">
        <v>130</v>
      </c>
      <c r="G141">
        <v>0</v>
      </c>
      <c r="H141">
        <v>100</v>
      </c>
      <c r="K141">
        <v>1</v>
      </c>
      <c r="L141" t="s">
        <v>131</v>
      </c>
      <c r="M141" s="50">
        <v>44875</v>
      </c>
      <c r="N141" s="50">
        <v>2958465</v>
      </c>
      <c r="P141">
        <v>0</v>
      </c>
      <c r="U141">
        <v>4</v>
      </c>
      <c r="V141">
        <v>1</v>
      </c>
      <c r="W141" t="s">
        <v>132</v>
      </c>
      <c r="X141">
        <v>0</v>
      </c>
    </row>
    <row r="142" spans="1:24" x14ac:dyDescent="0.25">
      <c r="A142">
        <v>1</v>
      </c>
      <c r="B142" s="13">
        <v>590920300603</v>
      </c>
      <c r="C142">
        <v>50</v>
      </c>
      <c r="D142" s="13">
        <v>1018034</v>
      </c>
      <c r="F142" t="s">
        <v>130</v>
      </c>
      <c r="G142">
        <v>0</v>
      </c>
      <c r="H142">
        <v>100</v>
      </c>
      <c r="K142">
        <v>4</v>
      </c>
      <c r="L142" t="s">
        <v>131</v>
      </c>
      <c r="M142" s="50">
        <v>44875</v>
      </c>
      <c r="N142" s="50">
        <v>2958465</v>
      </c>
      <c r="P142">
        <v>0</v>
      </c>
      <c r="U142">
        <v>4</v>
      </c>
      <c r="V142">
        <v>1</v>
      </c>
      <c r="W142" t="s">
        <v>132</v>
      </c>
      <c r="X142">
        <v>0</v>
      </c>
    </row>
    <row r="143" spans="1:24" x14ac:dyDescent="0.25">
      <c r="A143">
        <v>1</v>
      </c>
      <c r="B143" s="13">
        <v>590920300603</v>
      </c>
      <c r="C143">
        <v>60</v>
      </c>
      <c r="D143" s="13">
        <v>1018359</v>
      </c>
      <c r="F143" t="s">
        <v>130</v>
      </c>
      <c r="G143">
        <v>0</v>
      </c>
      <c r="H143">
        <v>100</v>
      </c>
      <c r="K143">
        <v>10</v>
      </c>
      <c r="L143" t="s">
        <v>131</v>
      </c>
      <c r="M143" s="50">
        <v>44875</v>
      </c>
      <c r="N143" s="50">
        <v>2958465</v>
      </c>
      <c r="P143">
        <v>0</v>
      </c>
      <c r="U143">
        <v>4</v>
      </c>
      <c r="V143">
        <v>1</v>
      </c>
      <c r="W143" t="s">
        <v>132</v>
      </c>
      <c r="X143">
        <v>0</v>
      </c>
    </row>
    <row r="144" spans="1:24" x14ac:dyDescent="0.25">
      <c r="A144">
        <v>1</v>
      </c>
      <c r="B144" s="13">
        <v>590920300603</v>
      </c>
      <c r="C144">
        <v>70</v>
      </c>
      <c r="D144" s="13">
        <v>1022213</v>
      </c>
      <c r="F144" t="s">
        <v>130</v>
      </c>
      <c r="G144">
        <v>0</v>
      </c>
      <c r="H144">
        <v>100</v>
      </c>
      <c r="K144">
        <v>5.5919999999999996</v>
      </c>
      <c r="L144" t="s">
        <v>131</v>
      </c>
      <c r="M144" s="50">
        <v>44875</v>
      </c>
      <c r="N144" s="50">
        <v>2958465</v>
      </c>
      <c r="P144">
        <v>0</v>
      </c>
      <c r="U144">
        <v>4</v>
      </c>
      <c r="V144">
        <v>1</v>
      </c>
      <c r="W144" t="s">
        <v>132</v>
      </c>
      <c r="X144">
        <v>0</v>
      </c>
    </row>
    <row r="145" spans="1:24" x14ac:dyDescent="0.25">
      <c r="A145">
        <v>1</v>
      </c>
      <c r="B145" s="13">
        <v>590920300603</v>
      </c>
      <c r="C145">
        <v>80</v>
      </c>
      <c r="D145" s="13">
        <v>2.02020202020202E+34</v>
      </c>
      <c r="F145" t="s">
        <v>130</v>
      </c>
      <c r="G145">
        <v>0</v>
      </c>
      <c r="H145">
        <v>100</v>
      </c>
      <c r="K145">
        <v>1</v>
      </c>
      <c r="L145" t="s">
        <v>131</v>
      </c>
      <c r="M145" s="50">
        <v>44875</v>
      </c>
      <c r="N145" s="50">
        <v>2958465</v>
      </c>
      <c r="P145">
        <v>0</v>
      </c>
      <c r="U145">
        <v>4</v>
      </c>
      <c r="V145">
        <v>1</v>
      </c>
      <c r="W145" t="s">
        <v>132</v>
      </c>
      <c r="X145">
        <v>0</v>
      </c>
    </row>
    <row r="146" spans="1:24" x14ac:dyDescent="0.25">
      <c r="A146">
        <v>1</v>
      </c>
      <c r="B146" s="13">
        <v>590920300703</v>
      </c>
      <c r="C146">
        <v>10</v>
      </c>
      <c r="D146" s="13">
        <v>5957163007</v>
      </c>
      <c r="F146" t="s">
        <v>130</v>
      </c>
      <c r="G146">
        <v>0</v>
      </c>
      <c r="H146">
        <v>100</v>
      </c>
      <c r="K146">
        <v>2</v>
      </c>
      <c r="L146" t="s">
        <v>131</v>
      </c>
      <c r="M146" s="50">
        <v>44875</v>
      </c>
      <c r="N146" s="50">
        <v>2958465</v>
      </c>
      <c r="P146">
        <v>0</v>
      </c>
      <c r="U146">
        <v>4</v>
      </c>
      <c r="V146">
        <v>1</v>
      </c>
      <c r="W146" t="s">
        <v>132</v>
      </c>
      <c r="X146">
        <v>0</v>
      </c>
    </row>
    <row r="147" spans="1:24" x14ac:dyDescent="0.25">
      <c r="A147">
        <v>1</v>
      </c>
      <c r="B147" s="13">
        <v>590920300703</v>
      </c>
      <c r="C147">
        <v>20</v>
      </c>
      <c r="D147" s="13">
        <v>5957333007</v>
      </c>
      <c r="F147" t="s">
        <v>130</v>
      </c>
      <c r="G147">
        <v>0</v>
      </c>
      <c r="H147">
        <v>100</v>
      </c>
      <c r="K147">
        <v>1</v>
      </c>
      <c r="L147" t="s">
        <v>131</v>
      </c>
      <c r="M147" s="50">
        <v>44875</v>
      </c>
      <c r="N147" s="50">
        <v>2958465</v>
      </c>
      <c r="P147">
        <v>0</v>
      </c>
      <c r="U147">
        <v>4</v>
      </c>
      <c r="V147">
        <v>1</v>
      </c>
      <c r="W147" t="s">
        <v>132</v>
      </c>
      <c r="X147">
        <v>0</v>
      </c>
    </row>
    <row r="148" spans="1:24" x14ac:dyDescent="0.25">
      <c r="A148">
        <v>1</v>
      </c>
      <c r="B148" s="13">
        <v>590920300703</v>
      </c>
      <c r="C148">
        <v>30</v>
      </c>
      <c r="D148" s="13">
        <v>5957303007</v>
      </c>
      <c r="F148" t="s">
        <v>130</v>
      </c>
      <c r="G148">
        <v>0</v>
      </c>
      <c r="H148">
        <v>100</v>
      </c>
      <c r="K148">
        <v>1</v>
      </c>
      <c r="L148" t="s">
        <v>131</v>
      </c>
      <c r="M148" s="50">
        <v>44875</v>
      </c>
      <c r="N148" s="50">
        <v>2958465</v>
      </c>
      <c r="P148">
        <v>0</v>
      </c>
      <c r="U148">
        <v>4</v>
      </c>
      <c r="V148">
        <v>1</v>
      </c>
      <c r="W148" t="s">
        <v>132</v>
      </c>
      <c r="X148">
        <v>0</v>
      </c>
    </row>
    <row r="149" spans="1:24" x14ac:dyDescent="0.25">
      <c r="A149">
        <v>1</v>
      </c>
      <c r="B149" s="13">
        <v>590920300703</v>
      </c>
      <c r="C149">
        <v>40</v>
      </c>
      <c r="D149" s="13">
        <v>5957093007</v>
      </c>
      <c r="F149" t="s">
        <v>130</v>
      </c>
      <c r="G149">
        <v>0</v>
      </c>
      <c r="H149">
        <v>100</v>
      </c>
      <c r="K149">
        <v>1</v>
      </c>
      <c r="L149" t="s">
        <v>131</v>
      </c>
      <c r="M149" s="50">
        <v>44875</v>
      </c>
      <c r="N149" s="50">
        <v>2958465</v>
      </c>
      <c r="P149">
        <v>0</v>
      </c>
      <c r="U149">
        <v>4</v>
      </c>
      <c r="V149">
        <v>1</v>
      </c>
      <c r="W149" t="s">
        <v>132</v>
      </c>
      <c r="X149">
        <v>0</v>
      </c>
    </row>
    <row r="150" spans="1:24" x14ac:dyDescent="0.25">
      <c r="A150">
        <v>1</v>
      </c>
      <c r="B150" s="13">
        <v>590920300703</v>
      </c>
      <c r="C150">
        <v>50</v>
      </c>
      <c r="D150" s="13">
        <v>1018034</v>
      </c>
      <c r="F150" t="s">
        <v>130</v>
      </c>
      <c r="G150">
        <v>0</v>
      </c>
      <c r="H150">
        <v>100</v>
      </c>
      <c r="K150">
        <v>4</v>
      </c>
      <c r="L150" t="s">
        <v>131</v>
      </c>
      <c r="M150" s="50">
        <v>44875</v>
      </c>
      <c r="N150" s="50">
        <v>2958465</v>
      </c>
      <c r="P150">
        <v>0</v>
      </c>
      <c r="U150">
        <v>4</v>
      </c>
      <c r="V150">
        <v>1</v>
      </c>
      <c r="W150" t="s">
        <v>132</v>
      </c>
      <c r="X150">
        <v>0</v>
      </c>
    </row>
    <row r="151" spans="1:24" x14ac:dyDescent="0.25">
      <c r="A151">
        <v>1</v>
      </c>
      <c r="B151" s="13">
        <v>590920300703</v>
      </c>
      <c r="C151">
        <v>60</v>
      </c>
      <c r="D151" s="13">
        <v>1018359</v>
      </c>
      <c r="F151" t="s">
        <v>130</v>
      </c>
      <c r="G151">
        <v>0</v>
      </c>
      <c r="H151">
        <v>100</v>
      </c>
      <c r="K151">
        <v>10</v>
      </c>
      <c r="L151" t="s">
        <v>131</v>
      </c>
      <c r="M151" s="50">
        <v>44875</v>
      </c>
      <c r="N151" s="50">
        <v>2958465</v>
      </c>
      <c r="P151">
        <v>0</v>
      </c>
      <c r="U151">
        <v>4</v>
      </c>
      <c r="V151">
        <v>1</v>
      </c>
      <c r="W151" t="s">
        <v>132</v>
      </c>
      <c r="X151">
        <v>0</v>
      </c>
    </row>
    <row r="152" spans="1:24" x14ac:dyDescent="0.25">
      <c r="A152">
        <v>1</v>
      </c>
      <c r="B152" s="13">
        <v>590920300703</v>
      </c>
      <c r="C152">
        <v>70</v>
      </c>
      <c r="D152" s="13">
        <v>1022213</v>
      </c>
      <c r="F152" t="s">
        <v>130</v>
      </c>
      <c r="G152">
        <v>0</v>
      </c>
      <c r="H152">
        <v>100</v>
      </c>
      <c r="K152">
        <v>5.5919999999999996</v>
      </c>
      <c r="L152" t="s">
        <v>131</v>
      </c>
      <c r="M152" s="50">
        <v>44875</v>
      </c>
      <c r="N152" s="50">
        <v>2958465</v>
      </c>
      <c r="P152">
        <v>0</v>
      </c>
      <c r="U152">
        <v>4</v>
      </c>
      <c r="V152">
        <v>1</v>
      </c>
      <c r="W152" t="s">
        <v>132</v>
      </c>
      <c r="X152">
        <v>0</v>
      </c>
    </row>
    <row r="153" spans="1:24" x14ac:dyDescent="0.25">
      <c r="A153">
        <v>1</v>
      </c>
      <c r="B153" s="13">
        <v>590920300703</v>
      </c>
      <c r="C153">
        <v>80</v>
      </c>
      <c r="D153" s="13">
        <v>2.0202020202020199E+36</v>
      </c>
      <c r="F153" t="s">
        <v>130</v>
      </c>
      <c r="G153">
        <v>0</v>
      </c>
      <c r="H153">
        <v>100</v>
      </c>
      <c r="K153">
        <v>1</v>
      </c>
      <c r="L153" t="s">
        <v>131</v>
      </c>
      <c r="M153" s="50">
        <v>44875</v>
      </c>
      <c r="N153" s="50">
        <v>2958465</v>
      </c>
      <c r="P153">
        <v>0</v>
      </c>
      <c r="U153">
        <v>4</v>
      </c>
      <c r="V153">
        <v>1</v>
      </c>
      <c r="W153" t="s">
        <v>132</v>
      </c>
      <c r="X153">
        <v>0</v>
      </c>
    </row>
    <row r="154" spans="1:24" x14ac:dyDescent="0.25">
      <c r="A154">
        <v>1</v>
      </c>
      <c r="B154" s="13">
        <v>590920300803</v>
      </c>
      <c r="C154">
        <v>10</v>
      </c>
      <c r="D154" s="13">
        <v>5957163008</v>
      </c>
      <c r="F154" t="s">
        <v>130</v>
      </c>
      <c r="G154">
        <v>0</v>
      </c>
      <c r="H154">
        <v>100</v>
      </c>
      <c r="K154">
        <v>2</v>
      </c>
      <c r="L154" t="s">
        <v>131</v>
      </c>
      <c r="M154" s="50">
        <v>44875</v>
      </c>
      <c r="N154" s="50">
        <v>2958465</v>
      </c>
      <c r="P154">
        <v>0</v>
      </c>
      <c r="U154">
        <v>4</v>
      </c>
      <c r="V154">
        <v>1</v>
      </c>
      <c r="W154" t="s">
        <v>132</v>
      </c>
      <c r="X154">
        <v>0</v>
      </c>
    </row>
    <row r="155" spans="1:24" x14ac:dyDescent="0.25">
      <c r="A155">
        <v>1</v>
      </c>
      <c r="B155" s="13">
        <v>590920300803</v>
      </c>
      <c r="C155">
        <v>20</v>
      </c>
      <c r="D155" s="13">
        <v>5957333008</v>
      </c>
      <c r="F155" t="s">
        <v>130</v>
      </c>
      <c r="G155">
        <v>0</v>
      </c>
      <c r="H155">
        <v>100</v>
      </c>
      <c r="K155">
        <v>1</v>
      </c>
      <c r="L155" t="s">
        <v>131</v>
      </c>
      <c r="M155" s="50">
        <v>44875</v>
      </c>
      <c r="N155" s="50">
        <v>2958465</v>
      </c>
      <c r="P155">
        <v>0</v>
      </c>
      <c r="U155">
        <v>4</v>
      </c>
      <c r="V155">
        <v>1</v>
      </c>
      <c r="W155" t="s">
        <v>132</v>
      </c>
      <c r="X155">
        <v>0</v>
      </c>
    </row>
    <row r="156" spans="1:24" x14ac:dyDescent="0.25">
      <c r="A156">
        <v>1</v>
      </c>
      <c r="B156" s="13">
        <v>590920300803</v>
      </c>
      <c r="C156">
        <v>30</v>
      </c>
      <c r="D156" s="13">
        <v>5957303008</v>
      </c>
      <c r="F156" t="s">
        <v>130</v>
      </c>
      <c r="G156">
        <v>0</v>
      </c>
      <c r="H156">
        <v>100</v>
      </c>
      <c r="K156">
        <v>1</v>
      </c>
      <c r="L156" t="s">
        <v>131</v>
      </c>
      <c r="M156" s="50">
        <v>44875</v>
      </c>
      <c r="N156" s="50">
        <v>2958465</v>
      </c>
      <c r="P156">
        <v>0</v>
      </c>
      <c r="U156">
        <v>4</v>
      </c>
      <c r="V156">
        <v>1</v>
      </c>
      <c r="W156" t="s">
        <v>132</v>
      </c>
      <c r="X156">
        <v>0</v>
      </c>
    </row>
    <row r="157" spans="1:24" x14ac:dyDescent="0.25">
      <c r="A157">
        <v>1</v>
      </c>
      <c r="B157" s="13">
        <v>590920300803</v>
      </c>
      <c r="C157">
        <v>40</v>
      </c>
      <c r="D157" s="13">
        <v>5957093008</v>
      </c>
      <c r="F157" t="s">
        <v>130</v>
      </c>
      <c r="G157">
        <v>0</v>
      </c>
      <c r="H157">
        <v>100</v>
      </c>
      <c r="K157">
        <v>1</v>
      </c>
      <c r="L157" t="s">
        <v>131</v>
      </c>
      <c r="M157" s="50">
        <v>44875</v>
      </c>
      <c r="N157" s="50">
        <v>2958465</v>
      </c>
      <c r="P157">
        <v>0</v>
      </c>
      <c r="U157">
        <v>4</v>
      </c>
      <c r="V157">
        <v>1</v>
      </c>
      <c r="W157" t="s">
        <v>132</v>
      </c>
      <c r="X157">
        <v>0</v>
      </c>
    </row>
    <row r="158" spans="1:24" x14ac:dyDescent="0.25">
      <c r="A158">
        <v>1</v>
      </c>
      <c r="B158" s="13">
        <v>590920300803</v>
      </c>
      <c r="C158">
        <v>50</v>
      </c>
      <c r="D158" s="13">
        <v>1018034</v>
      </c>
      <c r="F158" t="s">
        <v>130</v>
      </c>
      <c r="G158">
        <v>0</v>
      </c>
      <c r="H158">
        <v>100</v>
      </c>
      <c r="K158">
        <v>4</v>
      </c>
      <c r="L158" t="s">
        <v>131</v>
      </c>
      <c r="M158" s="50">
        <v>44875</v>
      </c>
      <c r="N158" s="50">
        <v>2958465</v>
      </c>
      <c r="P158">
        <v>0</v>
      </c>
      <c r="U158">
        <v>4</v>
      </c>
      <c r="V158">
        <v>1</v>
      </c>
      <c r="W158" t="s">
        <v>132</v>
      </c>
      <c r="X158">
        <v>0</v>
      </c>
    </row>
    <row r="159" spans="1:24" x14ac:dyDescent="0.25">
      <c r="A159">
        <v>1</v>
      </c>
      <c r="B159" s="13">
        <v>590920300803</v>
      </c>
      <c r="C159">
        <v>60</v>
      </c>
      <c r="D159" s="13">
        <v>1022356</v>
      </c>
      <c r="F159" t="s">
        <v>130</v>
      </c>
      <c r="G159">
        <v>0</v>
      </c>
      <c r="H159">
        <v>100</v>
      </c>
      <c r="K159">
        <v>10</v>
      </c>
      <c r="L159" t="s">
        <v>131</v>
      </c>
      <c r="M159" s="50">
        <v>44875</v>
      </c>
      <c r="N159" s="50">
        <v>2958465</v>
      </c>
      <c r="P159">
        <v>0</v>
      </c>
      <c r="U159">
        <v>4</v>
      </c>
      <c r="V159">
        <v>1</v>
      </c>
      <c r="W159" t="s">
        <v>132</v>
      </c>
      <c r="X159">
        <v>0</v>
      </c>
    </row>
    <row r="160" spans="1:24" x14ac:dyDescent="0.25">
      <c r="A160">
        <v>1</v>
      </c>
      <c r="B160" s="13">
        <v>590920300803</v>
      </c>
      <c r="C160">
        <v>70</v>
      </c>
      <c r="D160" s="13">
        <v>1022213</v>
      </c>
      <c r="F160" t="s">
        <v>130</v>
      </c>
      <c r="G160">
        <v>0</v>
      </c>
      <c r="H160">
        <v>100</v>
      </c>
      <c r="K160">
        <v>5.5919999999999996</v>
      </c>
      <c r="L160" t="s">
        <v>131</v>
      </c>
      <c r="M160" s="50">
        <v>44875</v>
      </c>
      <c r="N160" s="50">
        <v>2958465</v>
      </c>
      <c r="P160">
        <v>0</v>
      </c>
      <c r="U160">
        <v>4</v>
      </c>
      <c r="V160">
        <v>1</v>
      </c>
      <c r="W160" t="s">
        <v>132</v>
      </c>
      <c r="X160">
        <v>0</v>
      </c>
    </row>
    <row r="161" spans="1:24" x14ac:dyDescent="0.25">
      <c r="A161">
        <v>1</v>
      </c>
      <c r="B161" s="13">
        <v>590920300803</v>
      </c>
      <c r="C161">
        <v>80</v>
      </c>
      <c r="D161" s="13">
        <v>2.0202020202020201E+38</v>
      </c>
      <c r="F161" t="s">
        <v>130</v>
      </c>
      <c r="G161">
        <v>0</v>
      </c>
      <c r="H161">
        <v>100</v>
      </c>
      <c r="K161">
        <v>1</v>
      </c>
      <c r="L161" t="s">
        <v>131</v>
      </c>
      <c r="M161" s="50">
        <v>44875</v>
      </c>
      <c r="N161" s="50">
        <v>2958465</v>
      </c>
      <c r="P161">
        <v>0</v>
      </c>
      <c r="U161">
        <v>4</v>
      </c>
      <c r="V161">
        <v>1</v>
      </c>
      <c r="W161" t="s">
        <v>132</v>
      </c>
      <c r="X161">
        <v>0</v>
      </c>
    </row>
    <row r="162" spans="1:24" x14ac:dyDescent="0.25">
      <c r="A162">
        <v>1</v>
      </c>
      <c r="B162" s="13">
        <v>590920300903</v>
      </c>
      <c r="C162">
        <v>10</v>
      </c>
      <c r="D162" s="13">
        <v>5957163009</v>
      </c>
      <c r="F162" t="s">
        <v>130</v>
      </c>
      <c r="G162">
        <v>0</v>
      </c>
      <c r="H162">
        <v>100</v>
      </c>
      <c r="K162">
        <v>2</v>
      </c>
      <c r="L162" t="s">
        <v>131</v>
      </c>
      <c r="M162" s="50">
        <v>44875</v>
      </c>
      <c r="N162" s="50">
        <v>2958465</v>
      </c>
      <c r="P162">
        <v>0</v>
      </c>
      <c r="U162">
        <v>4</v>
      </c>
      <c r="V162">
        <v>1</v>
      </c>
      <c r="W162" t="s">
        <v>132</v>
      </c>
      <c r="X162">
        <v>0</v>
      </c>
    </row>
    <row r="163" spans="1:24" x14ac:dyDescent="0.25">
      <c r="A163">
        <v>1</v>
      </c>
      <c r="B163" s="13">
        <v>590920300903</v>
      </c>
      <c r="C163">
        <v>20</v>
      </c>
      <c r="D163" s="13">
        <v>5957333009</v>
      </c>
      <c r="F163" t="s">
        <v>130</v>
      </c>
      <c r="G163">
        <v>0</v>
      </c>
      <c r="H163">
        <v>100</v>
      </c>
      <c r="K163">
        <v>1</v>
      </c>
      <c r="L163" t="s">
        <v>131</v>
      </c>
      <c r="M163" s="50">
        <v>44875</v>
      </c>
      <c r="N163" s="50">
        <v>2958465</v>
      </c>
      <c r="P163">
        <v>0</v>
      </c>
      <c r="U163">
        <v>4</v>
      </c>
      <c r="V163">
        <v>1</v>
      </c>
      <c r="W163" t="s">
        <v>132</v>
      </c>
      <c r="X163">
        <v>0</v>
      </c>
    </row>
    <row r="164" spans="1:24" x14ac:dyDescent="0.25">
      <c r="A164">
        <v>1</v>
      </c>
      <c r="B164" s="13">
        <v>590920300903</v>
      </c>
      <c r="C164">
        <v>30</v>
      </c>
      <c r="D164" s="13">
        <v>5957303009</v>
      </c>
      <c r="F164" t="s">
        <v>130</v>
      </c>
      <c r="G164">
        <v>0</v>
      </c>
      <c r="H164">
        <v>100</v>
      </c>
      <c r="K164">
        <v>1</v>
      </c>
      <c r="L164" t="s">
        <v>131</v>
      </c>
      <c r="M164" s="50">
        <v>44875</v>
      </c>
      <c r="N164" s="50">
        <v>2958465</v>
      </c>
      <c r="P164">
        <v>0</v>
      </c>
      <c r="U164">
        <v>4</v>
      </c>
      <c r="V164">
        <v>1</v>
      </c>
      <c r="W164" t="s">
        <v>132</v>
      </c>
      <c r="X164">
        <v>0</v>
      </c>
    </row>
    <row r="165" spans="1:24" x14ac:dyDescent="0.25">
      <c r="A165">
        <v>1</v>
      </c>
      <c r="B165" s="13">
        <v>590920300903</v>
      </c>
      <c r="C165">
        <v>40</v>
      </c>
      <c r="D165" s="13">
        <v>5957093009</v>
      </c>
      <c r="F165" t="s">
        <v>130</v>
      </c>
      <c r="G165">
        <v>0</v>
      </c>
      <c r="H165">
        <v>100</v>
      </c>
      <c r="K165">
        <v>1</v>
      </c>
      <c r="L165" t="s">
        <v>131</v>
      </c>
      <c r="M165" s="50">
        <v>44875</v>
      </c>
      <c r="N165" s="50">
        <v>2958465</v>
      </c>
      <c r="P165">
        <v>0</v>
      </c>
      <c r="U165">
        <v>4</v>
      </c>
      <c r="V165">
        <v>1</v>
      </c>
      <c r="W165" t="s">
        <v>132</v>
      </c>
      <c r="X165">
        <v>0</v>
      </c>
    </row>
    <row r="166" spans="1:24" x14ac:dyDescent="0.25">
      <c r="A166">
        <v>1</v>
      </c>
      <c r="B166" s="13">
        <v>590920300903</v>
      </c>
      <c r="C166">
        <v>50</v>
      </c>
      <c r="D166" s="13">
        <v>1018034</v>
      </c>
      <c r="F166" t="s">
        <v>130</v>
      </c>
      <c r="G166">
        <v>0</v>
      </c>
      <c r="H166">
        <v>100</v>
      </c>
      <c r="K166">
        <v>4</v>
      </c>
      <c r="L166" t="s">
        <v>131</v>
      </c>
      <c r="M166" s="50">
        <v>44875</v>
      </c>
      <c r="N166" s="50">
        <v>2958465</v>
      </c>
      <c r="P166">
        <v>0</v>
      </c>
      <c r="U166">
        <v>4</v>
      </c>
      <c r="V166">
        <v>1</v>
      </c>
      <c r="W166" t="s">
        <v>132</v>
      </c>
      <c r="X166">
        <v>0</v>
      </c>
    </row>
    <row r="167" spans="1:24" x14ac:dyDescent="0.25">
      <c r="A167">
        <v>1</v>
      </c>
      <c r="B167" s="13">
        <v>590920300903</v>
      </c>
      <c r="C167">
        <v>60</v>
      </c>
      <c r="D167" s="13">
        <v>1018359</v>
      </c>
      <c r="F167" t="s">
        <v>130</v>
      </c>
      <c r="G167">
        <v>0</v>
      </c>
      <c r="H167">
        <v>100</v>
      </c>
      <c r="K167">
        <v>10</v>
      </c>
      <c r="L167" t="s">
        <v>131</v>
      </c>
      <c r="M167" s="50">
        <v>44875</v>
      </c>
      <c r="N167" s="50">
        <v>2958465</v>
      </c>
      <c r="P167">
        <v>0</v>
      </c>
      <c r="U167">
        <v>4</v>
      </c>
      <c r="V167">
        <v>1</v>
      </c>
      <c r="W167" t="s">
        <v>132</v>
      </c>
      <c r="X167">
        <v>0</v>
      </c>
    </row>
    <row r="168" spans="1:24" x14ac:dyDescent="0.25">
      <c r="A168">
        <v>1</v>
      </c>
      <c r="B168" s="13">
        <v>590920300903</v>
      </c>
      <c r="C168">
        <v>70</v>
      </c>
      <c r="D168" s="13">
        <v>1022213</v>
      </c>
      <c r="F168" t="s">
        <v>130</v>
      </c>
      <c r="G168">
        <v>0</v>
      </c>
      <c r="H168">
        <v>100</v>
      </c>
      <c r="K168">
        <v>5.5919999999999996</v>
      </c>
      <c r="L168" t="s">
        <v>131</v>
      </c>
      <c r="M168" s="50">
        <v>44875</v>
      </c>
      <c r="N168" s="50">
        <v>2958465</v>
      </c>
      <c r="P168">
        <v>0</v>
      </c>
      <c r="U168">
        <v>4</v>
      </c>
      <c r="V168">
        <v>1</v>
      </c>
      <c r="W168" t="s">
        <v>132</v>
      </c>
      <c r="X168">
        <v>0</v>
      </c>
    </row>
    <row r="169" spans="1:24" x14ac:dyDescent="0.25">
      <c r="A169">
        <v>1</v>
      </c>
      <c r="B169" s="13">
        <v>590920300903</v>
      </c>
      <c r="C169">
        <v>80</v>
      </c>
      <c r="D169" s="13">
        <v>2.0202020202020199E+40</v>
      </c>
      <c r="F169" t="s">
        <v>130</v>
      </c>
      <c r="G169">
        <v>0</v>
      </c>
      <c r="H169">
        <v>100</v>
      </c>
      <c r="K169">
        <v>1</v>
      </c>
      <c r="L169" t="s">
        <v>131</v>
      </c>
      <c r="M169" s="50">
        <v>44875</v>
      </c>
      <c r="N169" s="50">
        <v>2958465</v>
      </c>
      <c r="P169">
        <v>0</v>
      </c>
      <c r="U169">
        <v>4</v>
      </c>
      <c r="V169">
        <v>1</v>
      </c>
      <c r="W169" t="s">
        <v>132</v>
      </c>
      <c r="X169">
        <v>0</v>
      </c>
    </row>
    <row r="170" spans="1:24" x14ac:dyDescent="0.25">
      <c r="A170">
        <v>1</v>
      </c>
      <c r="B170" s="13">
        <v>590920301003</v>
      </c>
      <c r="C170">
        <v>10</v>
      </c>
      <c r="D170" s="13">
        <v>5957163010</v>
      </c>
      <c r="F170" t="s">
        <v>130</v>
      </c>
      <c r="G170">
        <v>0</v>
      </c>
      <c r="H170">
        <v>100</v>
      </c>
      <c r="K170">
        <v>2</v>
      </c>
      <c r="L170" t="s">
        <v>131</v>
      </c>
      <c r="M170" s="50">
        <v>44875</v>
      </c>
      <c r="N170" s="50">
        <v>2958465</v>
      </c>
      <c r="P170">
        <v>0</v>
      </c>
      <c r="U170">
        <v>4</v>
      </c>
      <c r="V170">
        <v>1</v>
      </c>
      <c r="W170" t="s">
        <v>132</v>
      </c>
      <c r="X170">
        <v>0</v>
      </c>
    </row>
    <row r="171" spans="1:24" x14ac:dyDescent="0.25">
      <c r="A171">
        <v>1</v>
      </c>
      <c r="B171" s="13">
        <v>590920301003</v>
      </c>
      <c r="C171">
        <v>20</v>
      </c>
      <c r="D171" s="13">
        <v>5957333010</v>
      </c>
      <c r="F171" t="s">
        <v>130</v>
      </c>
      <c r="G171">
        <v>0</v>
      </c>
      <c r="H171">
        <v>100</v>
      </c>
      <c r="K171">
        <v>1</v>
      </c>
      <c r="L171" t="s">
        <v>131</v>
      </c>
      <c r="M171" s="50">
        <v>44875</v>
      </c>
      <c r="N171" s="50">
        <v>2958465</v>
      </c>
      <c r="P171">
        <v>0</v>
      </c>
      <c r="U171">
        <v>4</v>
      </c>
      <c r="V171">
        <v>1</v>
      </c>
      <c r="W171" t="s">
        <v>132</v>
      </c>
      <c r="X171">
        <v>0</v>
      </c>
    </row>
    <row r="172" spans="1:24" x14ac:dyDescent="0.25">
      <c r="A172">
        <v>1</v>
      </c>
      <c r="B172" s="13">
        <v>590920301003</v>
      </c>
      <c r="C172">
        <v>30</v>
      </c>
      <c r="D172" s="13">
        <v>5957303010</v>
      </c>
      <c r="F172" t="s">
        <v>130</v>
      </c>
      <c r="G172">
        <v>0</v>
      </c>
      <c r="H172">
        <v>100</v>
      </c>
      <c r="K172">
        <v>1</v>
      </c>
      <c r="L172" t="s">
        <v>131</v>
      </c>
      <c r="M172" s="50">
        <v>44875</v>
      </c>
      <c r="N172" s="50">
        <v>2958465</v>
      </c>
      <c r="P172">
        <v>0</v>
      </c>
      <c r="U172">
        <v>4</v>
      </c>
      <c r="V172">
        <v>1</v>
      </c>
      <c r="W172" t="s">
        <v>132</v>
      </c>
      <c r="X172">
        <v>0</v>
      </c>
    </row>
    <row r="173" spans="1:24" x14ac:dyDescent="0.25">
      <c r="A173">
        <v>1</v>
      </c>
      <c r="B173" s="13">
        <v>590920301003</v>
      </c>
      <c r="C173">
        <v>40</v>
      </c>
      <c r="D173" s="13">
        <v>5957093010</v>
      </c>
      <c r="F173" t="s">
        <v>130</v>
      </c>
      <c r="G173">
        <v>0</v>
      </c>
      <c r="H173">
        <v>100</v>
      </c>
      <c r="K173">
        <v>1</v>
      </c>
      <c r="L173" t="s">
        <v>131</v>
      </c>
      <c r="M173" s="50">
        <v>44875</v>
      </c>
      <c r="N173" s="50">
        <v>2958465</v>
      </c>
      <c r="P173">
        <v>0</v>
      </c>
      <c r="U173">
        <v>4</v>
      </c>
      <c r="V173">
        <v>1</v>
      </c>
      <c r="W173" t="s">
        <v>132</v>
      </c>
      <c r="X173">
        <v>0</v>
      </c>
    </row>
    <row r="174" spans="1:24" x14ac:dyDescent="0.25">
      <c r="A174">
        <v>1</v>
      </c>
      <c r="B174" s="13">
        <v>590920301003</v>
      </c>
      <c r="C174">
        <v>50</v>
      </c>
      <c r="D174" s="13">
        <v>1018034</v>
      </c>
      <c r="F174" t="s">
        <v>130</v>
      </c>
      <c r="G174">
        <v>0</v>
      </c>
      <c r="H174">
        <v>100</v>
      </c>
      <c r="K174">
        <v>4</v>
      </c>
      <c r="L174" t="s">
        <v>131</v>
      </c>
      <c r="M174" s="50">
        <v>44875</v>
      </c>
      <c r="N174" s="50">
        <v>2958465</v>
      </c>
      <c r="P174">
        <v>0</v>
      </c>
      <c r="U174">
        <v>4</v>
      </c>
      <c r="V174">
        <v>1</v>
      </c>
      <c r="W174" t="s">
        <v>132</v>
      </c>
      <c r="X174">
        <v>0</v>
      </c>
    </row>
    <row r="175" spans="1:24" x14ac:dyDescent="0.25">
      <c r="A175">
        <v>1</v>
      </c>
      <c r="B175" s="13">
        <v>590920301003</v>
      </c>
      <c r="C175">
        <v>60</v>
      </c>
      <c r="D175" s="13">
        <v>1018359</v>
      </c>
      <c r="F175" t="s">
        <v>130</v>
      </c>
      <c r="G175">
        <v>0</v>
      </c>
      <c r="H175">
        <v>100</v>
      </c>
      <c r="K175">
        <v>10</v>
      </c>
      <c r="L175" t="s">
        <v>131</v>
      </c>
      <c r="M175" s="50">
        <v>44875</v>
      </c>
      <c r="N175" s="50">
        <v>2958465</v>
      </c>
      <c r="P175">
        <v>0</v>
      </c>
      <c r="U175">
        <v>4</v>
      </c>
      <c r="V175">
        <v>1</v>
      </c>
      <c r="W175" t="s">
        <v>132</v>
      </c>
      <c r="X175">
        <v>0</v>
      </c>
    </row>
    <row r="176" spans="1:24" x14ac:dyDescent="0.25">
      <c r="A176">
        <v>1</v>
      </c>
      <c r="B176" s="13">
        <v>590920301003</v>
      </c>
      <c r="C176">
        <v>70</v>
      </c>
      <c r="D176" s="13">
        <v>1022213</v>
      </c>
      <c r="F176" t="s">
        <v>130</v>
      </c>
      <c r="G176">
        <v>0</v>
      </c>
      <c r="H176">
        <v>100</v>
      </c>
      <c r="K176">
        <v>5.5919999999999996</v>
      </c>
      <c r="L176" t="s">
        <v>131</v>
      </c>
      <c r="M176" s="50">
        <v>44875</v>
      </c>
      <c r="N176" s="50">
        <v>2958465</v>
      </c>
      <c r="P176">
        <v>0</v>
      </c>
      <c r="U176">
        <v>4</v>
      </c>
      <c r="V176">
        <v>1</v>
      </c>
      <c r="W176" t="s">
        <v>132</v>
      </c>
      <c r="X176">
        <v>0</v>
      </c>
    </row>
    <row r="177" spans="1:24" x14ac:dyDescent="0.25">
      <c r="A177">
        <v>1</v>
      </c>
      <c r="B177" s="13">
        <v>590920301003</v>
      </c>
      <c r="C177">
        <v>80</v>
      </c>
      <c r="D177" s="13">
        <v>2.0202020202020201E+42</v>
      </c>
      <c r="F177" t="s">
        <v>130</v>
      </c>
      <c r="G177">
        <v>0</v>
      </c>
      <c r="H177">
        <v>100</v>
      </c>
      <c r="K177">
        <v>1</v>
      </c>
      <c r="L177" t="s">
        <v>131</v>
      </c>
      <c r="M177" s="50">
        <v>44875</v>
      </c>
      <c r="N177" s="50">
        <v>2958465</v>
      </c>
      <c r="P177">
        <v>0</v>
      </c>
      <c r="U177">
        <v>4</v>
      </c>
      <c r="V177">
        <v>1</v>
      </c>
      <c r="W177" t="s">
        <v>132</v>
      </c>
      <c r="X177">
        <v>0</v>
      </c>
    </row>
    <row r="178" spans="1:24" x14ac:dyDescent="0.25">
      <c r="A178">
        <v>1</v>
      </c>
      <c r="B178" s="13">
        <v>590920300094</v>
      </c>
      <c r="C178">
        <v>10</v>
      </c>
      <c r="D178" s="13">
        <v>5957163099</v>
      </c>
      <c r="F178" t="s">
        <v>130</v>
      </c>
      <c r="G178">
        <v>0</v>
      </c>
      <c r="H178">
        <v>100</v>
      </c>
      <c r="K178">
        <v>2</v>
      </c>
      <c r="L178" t="s">
        <v>131</v>
      </c>
      <c r="M178" s="50">
        <v>44875</v>
      </c>
      <c r="N178" s="50">
        <v>2958465</v>
      </c>
      <c r="P178">
        <v>0</v>
      </c>
      <c r="U178">
        <v>4</v>
      </c>
      <c r="V178">
        <v>1</v>
      </c>
      <c r="W178" t="s">
        <v>132</v>
      </c>
      <c r="X178">
        <v>0</v>
      </c>
    </row>
    <row r="179" spans="1:24" x14ac:dyDescent="0.25">
      <c r="A179">
        <v>1</v>
      </c>
      <c r="B179" s="13">
        <v>590920300094</v>
      </c>
      <c r="C179">
        <v>20</v>
      </c>
      <c r="D179" s="13">
        <v>5957333099</v>
      </c>
      <c r="F179" t="s">
        <v>130</v>
      </c>
      <c r="G179">
        <v>0</v>
      </c>
      <c r="H179">
        <v>100</v>
      </c>
      <c r="K179">
        <v>1</v>
      </c>
      <c r="L179" t="s">
        <v>131</v>
      </c>
      <c r="M179" s="50">
        <v>44875</v>
      </c>
      <c r="N179" s="50">
        <v>2958465</v>
      </c>
      <c r="P179">
        <v>0</v>
      </c>
      <c r="U179">
        <v>4</v>
      </c>
      <c r="V179">
        <v>1</v>
      </c>
      <c r="W179" t="s">
        <v>132</v>
      </c>
      <c r="X179">
        <v>0</v>
      </c>
    </row>
    <row r="180" spans="1:24" x14ac:dyDescent="0.25">
      <c r="A180">
        <v>1</v>
      </c>
      <c r="B180" s="13">
        <v>590920300094</v>
      </c>
      <c r="C180">
        <v>30</v>
      </c>
      <c r="D180" s="13">
        <v>5957303099</v>
      </c>
      <c r="F180" t="s">
        <v>130</v>
      </c>
      <c r="G180">
        <v>0</v>
      </c>
      <c r="H180">
        <v>100</v>
      </c>
      <c r="K180">
        <v>1</v>
      </c>
      <c r="L180" t="s">
        <v>131</v>
      </c>
      <c r="M180" s="50">
        <v>44875</v>
      </c>
      <c r="N180" s="50">
        <v>2958465</v>
      </c>
      <c r="P180">
        <v>0</v>
      </c>
      <c r="U180">
        <v>4</v>
      </c>
      <c r="V180">
        <v>1</v>
      </c>
      <c r="W180" t="s">
        <v>132</v>
      </c>
      <c r="X180">
        <v>0</v>
      </c>
    </row>
    <row r="181" spans="1:24" x14ac:dyDescent="0.25">
      <c r="A181">
        <v>1</v>
      </c>
      <c r="B181" s="13">
        <v>590920300094</v>
      </c>
      <c r="C181">
        <v>40</v>
      </c>
      <c r="D181" s="13">
        <v>1022219</v>
      </c>
      <c r="F181" t="s">
        <v>130</v>
      </c>
      <c r="G181">
        <v>0</v>
      </c>
      <c r="H181">
        <v>100</v>
      </c>
      <c r="K181">
        <v>1</v>
      </c>
      <c r="L181" t="s">
        <v>131</v>
      </c>
      <c r="M181" s="50">
        <v>44875</v>
      </c>
      <c r="N181" s="50">
        <v>2958465</v>
      </c>
      <c r="P181">
        <v>0</v>
      </c>
      <c r="U181">
        <v>4</v>
      </c>
      <c r="V181">
        <v>1</v>
      </c>
      <c r="W181" t="s">
        <v>132</v>
      </c>
      <c r="X181">
        <v>0</v>
      </c>
    </row>
    <row r="182" spans="1:24" x14ac:dyDescent="0.25">
      <c r="A182">
        <v>1</v>
      </c>
      <c r="B182" s="13">
        <v>590920300094</v>
      </c>
      <c r="C182">
        <v>50</v>
      </c>
      <c r="D182" s="13">
        <v>1018034</v>
      </c>
      <c r="F182" t="s">
        <v>130</v>
      </c>
      <c r="G182">
        <v>0</v>
      </c>
      <c r="H182">
        <v>100</v>
      </c>
      <c r="K182">
        <v>4</v>
      </c>
      <c r="L182" t="s">
        <v>131</v>
      </c>
      <c r="M182" s="50">
        <v>44875</v>
      </c>
      <c r="N182" s="50">
        <v>2958465</v>
      </c>
      <c r="P182">
        <v>0</v>
      </c>
      <c r="U182">
        <v>4</v>
      </c>
      <c r="V182">
        <v>1</v>
      </c>
      <c r="W182" t="s">
        <v>132</v>
      </c>
      <c r="X182">
        <v>0</v>
      </c>
    </row>
    <row r="183" spans="1:24" x14ac:dyDescent="0.25">
      <c r="A183">
        <v>1</v>
      </c>
      <c r="B183" s="13">
        <v>590920300094</v>
      </c>
      <c r="C183">
        <v>60</v>
      </c>
      <c r="D183" s="13">
        <v>1018359</v>
      </c>
      <c r="F183" t="s">
        <v>130</v>
      </c>
      <c r="G183">
        <v>0</v>
      </c>
      <c r="H183">
        <v>100</v>
      </c>
      <c r="K183">
        <v>10</v>
      </c>
      <c r="L183" t="s">
        <v>131</v>
      </c>
      <c r="M183" s="50">
        <v>44875</v>
      </c>
      <c r="N183" s="50">
        <v>2958465</v>
      </c>
      <c r="P183">
        <v>0</v>
      </c>
      <c r="U183">
        <v>4</v>
      </c>
      <c r="V183">
        <v>1</v>
      </c>
      <c r="W183" t="s">
        <v>132</v>
      </c>
      <c r="X183">
        <v>0</v>
      </c>
    </row>
    <row r="184" spans="1:24" x14ac:dyDescent="0.25">
      <c r="A184">
        <v>1</v>
      </c>
      <c r="B184" s="13">
        <v>590920300094</v>
      </c>
      <c r="C184">
        <v>70</v>
      </c>
      <c r="D184" s="13">
        <v>1022213</v>
      </c>
      <c r="F184" t="s">
        <v>130</v>
      </c>
      <c r="G184">
        <v>0</v>
      </c>
      <c r="H184">
        <v>100</v>
      </c>
      <c r="K184">
        <v>5.5919999999999996</v>
      </c>
      <c r="L184" t="s">
        <v>131</v>
      </c>
      <c r="M184" s="50">
        <v>44875</v>
      </c>
      <c r="N184" s="50">
        <v>2958465</v>
      </c>
      <c r="P184">
        <v>0</v>
      </c>
      <c r="U184">
        <v>4</v>
      </c>
      <c r="V184">
        <v>1</v>
      </c>
      <c r="W184" t="s">
        <v>132</v>
      </c>
      <c r="X184">
        <v>0</v>
      </c>
    </row>
    <row r="185" spans="1:24" x14ac:dyDescent="0.25">
      <c r="A185">
        <v>1</v>
      </c>
      <c r="B185" s="13">
        <v>590920300094</v>
      </c>
      <c r="C185">
        <v>80</v>
      </c>
      <c r="D185" s="13">
        <v>2.0202020202020199E+44</v>
      </c>
      <c r="F185" t="s">
        <v>130</v>
      </c>
      <c r="G185">
        <v>0</v>
      </c>
      <c r="H185">
        <v>100</v>
      </c>
      <c r="K185">
        <v>1</v>
      </c>
      <c r="L185" t="s">
        <v>131</v>
      </c>
      <c r="M185" s="50">
        <v>44875</v>
      </c>
      <c r="N185" s="50">
        <v>2958465</v>
      </c>
      <c r="P185">
        <v>0</v>
      </c>
      <c r="U185">
        <v>4</v>
      </c>
      <c r="V185">
        <v>1</v>
      </c>
      <c r="W185" t="s">
        <v>132</v>
      </c>
      <c r="X185">
        <v>0</v>
      </c>
    </row>
    <row r="186" spans="1:24" x14ac:dyDescent="0.25">
      <c r="A186">
        <v>1</v>
      </c>
      <c r="B186" s="13">
        <v>590920300194</v>
      </c>
      <c r="C186">
        <v>10</v>
      </c>
      <c r="D186" s="13">
        <v>5957163001</v>
      </c>
      <c r="F186" t="s">
        <v>130</v>
      </c>
      <c r="G186">
        <v>0</v>
      </c>
      <c r="H186">
        <v>100</v>
      </c>
      <c r="K186">
        <v>2</v>
      </c>
      <c r="L186" t="s">
        <v>131</v>
      </c>
      <c r="M186" s="50">
        <v>44875</v>
      </c>
      <c r="N186" s="50">
        <v>2958465</v>
      </c>
      <c r="P186">
        <v>0</v>
      </c>
      <c r="U186">
        <v>4</v>
      </c>
      <c r="V186">
        <v>1</v>
      </c>
      <c r="W186" t="s">
        <v>132</v>
      </c>
      <c r="X186">
        <v>0</v>
      </c>
    </row>
    <row r="187" spans="1:24" x14ac:dyDescent="0.25">
      <c r="A187">
        <v>1</v>
      </c>
      <c r="B187" s="13">
        <v>590920300194</v>
      </c>
      <c r="C187">
        <v>20</v>
      </c>
      <c r="D187" s="13">
        <v>5957333001</v>
      </c>
      <c r="F187" t="s">
        <v>130</v>
      </c>
      <c r="G187">
        <v>0</v>
      </c>
      <c r="H187">
        <v>100</v>
      </c>
      <c r="K187">
        <v>1</v>
      </c>
      <c r="L187" t="s">
        <v>131</v>
      </c>
      <c r="M187" s="50">
        <v>44875</v>
      </c>
      <c r="N187" s="50">
        <v>2958465</v>
      </c>
      <c r="P187">
        <v>0</v>
      </c>
      <c r="U187">
        <v>4</v>
      </c>
      <c r="V187">
        <v>1</v>
      </c>
      <c r="W187" t="s">
        <v>132</v>
      </c>
      <c r="X187">
        <v>0</v>
      </c>
    </row>
    <row r="188" spans="1:24" x14ac:dyDescent="0.25">
      <c r="A188">
        <v>1</v>
      </c>
      <c r="B188" s="13">
        <v>590920300194</v>
      </c>
      <c r="C188">
        <v>30</v>
      </c>
      <c r="D188" s="13">
        <v>5957303001</v>
      </c>
      <c r="F188" t="s">
        <v>130</v>
      </c>
      <c r="G188">
        <v>0</v>
      </c>
      <c r="H188">
        <v>100</v>
      </c>
      <c r="K188">
        <v>1</v>
      </c>
      <c r="L188" t="s">
        <v>131</v>
      </c>
      <c r="M188" s="50">
        <v>44875</v>
      </c>
      <c r="N188" s="50">
        <v>2958465</v>
      </c>
      <c r="P188">
        <v>0</v>
      </c>
      <c r="U188">
        <v>4</v>
      </c>
      <c r="V188">
        <v>1</v>
      </c>
      <c r="W188" t="s">
        <v>132</v>
      </c>
      <c r="X188">
        <v>0</v>
      </c>
    </row>
    <row r="189" spans="1:24" x14ac:dyDescent="0.25">
      <c r="A189">
        <v>1</v>
      </c>
      <c r="B189" s="13">
        <v>590920300194</v>
      </c>
      <c r="C189">
        <v>40</v>
      </c>
      <c r="D189" s="13">
        <v>5957093001</v>
      </c>
      <c r="F189" t="s">
        <v>130</v>
      </c>
      <c r="G189">
        <v>0</v>
      </c>
      <c r="H189">
        <v>100</v>
      </c>
      <c r="K189">
        <v>1</v>
      </c>
      <c r="L189" t="s">
        <v>131</v>
      </c>
      <c r="M189" s="50">
        <v>44875</v>
      </c>
      <c r="N189" s="50">
        <v>2958465</v>
      </c>
      <c r="P189">
        <v>0</v>
      </c>
      <c r="U189">
        <v>4</v>
      </c>
      <c r="V189">
        <v>1</v>
      </c>
      <c r="W189" t="s">
        <v>132</v>
      </c>
      <c r="X189">
        <v>0</v>
      </c>
    </row>
    <row r="190" spans="1:24" x14ac:dyDescent="0.25">
      <c r="A190">
        <v>1</v>
      </c>
      <c r="B190" s="13">
        <v>590920300194</v>
      </c>
      <c r="C190">
        <v>50</v>
      </c>
      <c r="D190" s="13">
        <v>1018034</v>
      </c>
      <c r="F190" t="s">
        <v>130</v>
      </c>
      <c r="G190">
        <v>0</v>
      </c>
      <c r="H190">
        <v>100</v>
      </c>
      <c r="K190">
        <v>4</v>
      </c>
      <c r="L190" t="s">
        <v>131</v>
      </c>
      <c r="M190" s="50">
        <v>44875</v>
      </c>
      <c r="N190" s="50">
        <v>2958465</v>
      </c>
      <c r="P190">
        <v>0</v>
      </c>
      <c r="U190">
        <v>4</v>
      </c>
      <c r="V190">
        <v>1</v>
      </c>
      <c r="W190" t="s">
        <v>132</v>
      </c>
      <c r="X190">
        <v>0</v>
      </c>
    </row>
    <row r="191" spans="1:24" x14ac:dyDescent="0.25">
      <c r="A191">
        <v>1</v>
      </c>
      <c r="B191" s="13">
        <v>590920300194</v>
      </c>
      <c r="C191">
        <v>60</v>
      </c>
      <c r="D191" s="13">
        <v>1018359</v>
      </c>
      <c r="F191" t="s">
        <v>130</v>
      </c>
      <c r="G191">
        <v>0</v>
      </c>
      <c r="H191">
        <v>100</v>
      </c>
      <c r="K191">
        <v>10</v>
      </c>
      <c r="L191" t="s">
        <v>131</v>
      </c>
      <c r="M191" s="50">
        <v>44875</v>
      </c>
      <c r="N191" s="50">
        <v>2958465</v>
      </c>
      <c r="P191">
        <v>0</v>
      </c>
      <c r="U191">
        <v>4</v>
      </c>
      <c r="V191">
        <v>1</v>
      </c>
      <c r="W191" t="s">
        <v>132</v>
      </c>
      <c r="X191">
        <v>0</v>
      </c>
    </row>
    <row r="192" spans="1:24" x14ac:dyDescent="0.25">
      <c r="A192">
        <v>1</v>
      </c>
      <c r="B192" s="13">
        <v>590920300194</v>
      </c>
      <c r="C192">
        <v>70</v>
      </c>
      <c r="D192" s="13">
        <v>1022213</v>
      </c>
      <c r="F192" t="s">
        <v>130</v>
      </c>
      <c r="G192">
        <v>0</v>
      </c>
      <c r="H192">
        <v>100</v>
      </c>
      <c r="K192">
        <v>5.5919999999999996</v>
      </c>
      <c r="L192" t="s">
        <v>131</v>
      </c>
      <c r="M192" s="50">
        <v>44875</v>
      </c>
      <c r="N192" s="50">
        <v>2958465</v>
      </c>
      <c r="P192">
        <v>0</v>
      </c>
      <c r="U192">
        <v>4</v>
      </c>
      <c r="V192">
        <v>1</v>
      </c>
      <c r="W192" t="s">
        <v>132</v>
      </c>
      <c r="X192">
        <v>0</v>
      </c>
    </row>
    <row r="193" spans="1:24" x14ac:dyDescent="0.25">
      <c r="A193">
        <v>1</v>
      </c>
      <c r="B193" s="13">
        <v>590920300194</v>
      </c>
      <c r="C193">
        <v>80</v>
      </c>
      <c r="D193" s="13">
        <v>2.0202020202020199E+46</v>
      </c>
      <c r="F193" t="s">
        <v>130</v>
      </c>
      <c r="G193">
        <v>0</v>
      </c>
      <c r="H193">
        <v>100</v>
      </c>
      <c r="K193">
        <v>1</v>
      </c>
      <c r="L193" t="s">
        <v>131</v>
      </c>
      <c r="M193" s="50">
        <v>44875</v>
      </c>
      <c r="N193" s="50">
        <v>2958465</v>
      </c>
      <c r="P193">
        <v>0</v>
      </c>
      <c r="U193">
        <v>4</v>
      </c>
      <c r="V193">
        <v>1</v>
      </c>
      <c r="W193" t="s">
        <v>132</v>
      </c>
      <c r="X193">
        <v>0</v>
      </c>
    </row>
    <row r="194" spans="1:24" x14ac:dyDescent="0.25">
      <c r="A194">
        <v>1</v>
      </c>
      <c r="B194" s="13">
        <v>590920300294</v>
      </c>
      <c r="C194">
        <v>10</v>
      </c>
      <c r="D194" s="13">
        <v>5957163002</v>
      </c>
      <c r="F194" t="s">
        <v>130</v>
      </c>
      <c r="G194">
        <v>0</v>
      </c>
      <c r="H194">
        <v>100</v>
      </c>
      <c r="K194">
        <v>2</v>
      </c>
      <c r="L194" t="s">
        <v>131</v>
      </c>
      <c r="M194" s="50">
        <v>44875</v>
      </c>
      <c r="N194" s="50">
        <v>2958465</v>
      </c>
      <c r="P194">
        <v>0</v>
      </c>
      <c r="U194">
        <v>4</v>
      </c>
      <c r="V194">
        <v>1</v>
      </c>
      <c r="W194" t="s">
        <v>132</v>
      </c>
      <c r="X194">
        <v>0</v>
      </c>
    </row>
    <row r="195" spans="1:24" x14ac:dyDescent="0.25">
      <c r="A195">
        <v>1</v>
      </c>
      <c r="B195" s="13">
        <v>590920300294</v>
      </c>
      <c r="C195">
        <v>20</v>
      </c>
      <c r="D195" s="13">
        <v>5957333002</v>
      </c>
      <c r="F195" t="s">
        <v>130</v>
      </c>
      <c r="G195">
        <v>0</v>
      </c>
      <c r="H195">
        <v>100</v>
      </c>
      <c r="K195">
        <v>1</v>
      </c>
      <c r="L195" t="s">
        <v>131</v>
      </c>
      <c r="M195" s="50">
        <v>44875</v>
      </c>
      <c r="N195" s="50">
        <v>2958465</v>
      </c>
      <c r="P195">
        <v>0</v>
      </c>
      <c r="U195">
        <v>4</v>
      </c>
      <c r="V195">
        <v>1</v>
      </c>
      <c r="W195" t="s">
        <v>132</v>
      </c>
      <c r="X195">
        <v>0</v>
      </c>
    </row>
    <row r="196" spans="1:24" x14ac:dyDescent="0.25">
      <c r="A196">
        <v>1</v>
      </c>
      <c r="B196" s="13">
        <v>590920300294</v>
      </c>
      <c r="C196">
        <v>30</v>
      </c>
      <c r="D196" s="13">
        <v>5957303002</v>
      </c>
      <c r="F196" t="s">
        <v>130</v>
      </c>
      <c r="G196">
        <v>0</v>
      </c>
      <c r="H196">
        <v>100</v>
      </c>
      <c r="K196">
        <v>1</v>
      </c>
      <c r="L196" t="s">
        <v>131</v>
      </c>
      <c r="M196" s="50">
        <v>44875</v>
      </c>
      <c r="N196" s="50">
        <v>2958465</v>
      </c>
      <c r="P196">
        <v>0</v>
      </c>
      <c r="U196">
        <v>4</v>
      </c>
      <c r="V196">
        <v>1</v>
      </c>
      <c r="W196" t="s">
        <v>132</v>
      </c>
      <c r="X196">
        <v>0</v>
      </c>
    </row>
    <row r="197" spans="1:24" x14ac:dyDescent="0.25">
      <c r="A197">
        <v>1</v>
      </c>
      <c r="B197" s="13">
        <v>590920300294</v>
      </c>
      <c r="C197">
        <v>40</v>
      </c>
      <c r="D197" s="13">
        <v>5957093002</v>
      </c>
      <c r="F197" t="s">
        <v>130</v>
      </c>
      <c r="G197">
        <v>0</v>
      </c>
      <c r="H197">
        <v>100</v>
      </c>
      <c r="K197">
        <v>1</v>
      </c>
      <c r="L197" t="s">
        <v>131</v>
      </c>
      <c r="M197" s="50">
        <v>44875</v>
      </c>
      <c r="N197" s="50">
        <v>2958465</v>
      </c>
      <c r="P197">
        <v>0</v>
      </c>
      <c r="U197">
        <v>4</v>
      </c>
      <c r="V197">
        <v>1</v>
      </c>
      <c r="W197" t="s">
        <v>132</v>
      </c>
      <c r="X197">
        <v>0</v>
      </c>
    </row>
    <row r="198" spans="1:24" x14ac:dyDescent="0.25">
      <c r="A198">
        <v>1</v>
      </c>
      <c r="B198" s="13">
        <v>590920300294</v>
      </c>
      <c r="C198">
        <v>50</v>
      </c>
      <c r="D198" s="13">
        <v>1018034</v>
      </c>
      <c r="F198" t="s">
        <v>130</v>
      </c>
      <c r="G198">
        <v>0</v>
      </c>
      <c r="H198">
        <v>100</v>
      </c>
      <c r="K198">
        <v>4</v>
      </c>
      <c r="L198" t="s">
        <v>131</v>
      </c>
      <c r="M198" s="50">
        <v>44875</v>
      </c>
      <c r="N198" s="50">
        <v>2958465</v>
      </c>
      <c r="P198">
        <v>0</v>
      </c>
      <c r="U198">
        <v>4</v>
      </c>
      <c r="V198">
        <v>1</v>
      </c>
      <c r="W198" t="s">
        <v>132</v>
      </c>
      <c r="X198">
        <v>0</v>
      </c>
    </row>
    <row r="199" spans="1:24" x14ac:dyDescent="0.25">
      <c r="A199">
        <v>1</v>
      </c>
      <c r="B199" s="13">
        <v>590920300294</v>
      </c>
      <c r="C199">
        <v>60</v>
      </c>
      <c r="D199" s="13">
        <v>1022356</v>
      </c>
      <c r="F199" t="s">
        <v>130</v>
      </c>
      <c r="G199">
        <v>0</v>
      </c>
      <c r="H199">
        <v>100</v>
      </c>
      <c r="K199">
        <v>10</v>
      </c>
      <c r="L199" t="s">
        <v>131</v>
      </c>
      <c r="M199" s="50">
        <v>44875</v>
      </c>
      <c r="N199" s="50">
        <v>2958465</v>
      </c>
      <c r="P199">
        <v>0</v>
      </c>
      <c r="U199">
        <v>4</v>
      </c>
      <c r="V199">
        <v>1</v>
      </c>
      <c r="W199" t="s">
        <v>132</v>
      </c>
      <c r="X199">
        <v>0</v>
      </c>
    </row>
    <row r="200" spans="1:24" x14ac:dyDescent="0.25">
      <c r="A200">
        <v>1</v>
      </c>
      <c r="B200" s="13">
        <v>590920300294</v>
      </c>
      <c r="C200">
        <v>70</v>
      </c>
      <c r="D200" s="13">
        <v>1022213</v>
      </c>
      <c r="F200" t="s">
        <v>130</v>
      </c>
      <c r="G200">
        <v>0</v>
      </c>
      <c r="H200">
        <v>100</v>
      </c>
      <c r="K200">
        <v>5.5919999999999996</v>
      </c>
      <c r="L200" t="s">
        <v>131</v>
      </c>
      <c r="M200" s="50">
        <v>44875</v>
      </c>
      <c r="N200" s="50">
        <v>2958465</v>
      </c>
      <c r="P200">
        <v>0</v>
      </c>
      <c r="U200">
        <v>4</v>
      </c>
      <c r="V200">
        <v>1</v>
      </c>
      <c r="W200" t="s">
        <v>132</v>
      </c>
      <c r="X200">
        <v>0</v>
      </c>
    </row>
    <row r="201" spans="1:24" x14ac:dyDescent="0.25">
      <c r="A201">
        <v>1</v>
      </c>
      <c r="B201" s="13">
        <v>590920300294</v>
      </c>
      <c r="C201">
        <v>80</v>
      </c>
      <c r="D201" s="13">
        <v>2.0202020202020201E+48</v>
      </c>
      <c r="F201" t="s">
        <v>130</v>
      </c>
      <c r="G201">
        <v>0</v>
      </c>
      <c r="H201">
        <v>100</v>
      </c>
      <c r="K201">
        <v>1</v>
      </c>
      <c r="L201" t="s">
        <v>131</v>
      </c>
      <c r="M201" s="50">
        <v>44875</v>
      </c>
      <c r="N201" s="50">
        <v>2958465</v>
      </c>
      <c r="P201">
        <v>0</v>
      </c>
      <c r="U201">
        <v>4</v>
      </c>
      <c r="V201">
        <v>1</v>
      </c>
      <c r="W201" t="s">
        <v>132</v>
      </c>
      <c r="X201">
        <v>0</v>
      </c>
    </row>
    <row r="202" spans="1:24" x14ac:dyDescent="0.25">
      <c r="A202">
        <v>1</v>
      </c>
      <c r="B202" s="13">
        <v>590920300394</v>
      </c>
      <c r="C202">
        <v>10</v>
      </c>
      <c r="D202" s="13">
        <v>5957163003</v>
      </c>
      <c r="F202" t="s">
        <v>130</v>
      </c>
      <c r="G202">
        <v>0</v>
      </c>
      <c r="H202">
        <v>100</v>
      </c>
      <c r="K202">
        <v>2</v>
      </c>
      <c r="L202" t="s">
        <v>131</v>
      </c>
      <c r="M202" s="50">
        <v>44875</v>
      </c>
      <c r="N202" s="50">
        <v>2958465</v>
      </c>
      <c r="P202">
        <v>0</v>
      </c>
      <c r="U202">
        <v>4</v>
      </c>
      <c r="V202">
        <v>1</v>
      </c>
      <c r="W202" t="s">
        <v>132</v>
      </c>
      <c r="X202">
        <v>0</v>
      </c>
    </row>
    <row r="203" spans="1:24" x14ac:dyDescent="0.25">
      <c r="A203">
        <v>1</v>
      </c>
      <c r="B203" s="13">
        <v>590920300394</v>
      </c>
      <c r="C203">
        <v>20</v>
      </c>
      <c r="D203" s="13">
        <v>5957333003</v>
      </c>
      <c r="F203" t="s">
        <v>130</v>
      </c>
      <c r="G203">
        <v>0</v>
      </c>
      <c r="H203">
        <v>100</v>
      </c>
      <c r="K203">
        <v>1</v>
      </c>
      <c r="L203" t="s">
        <v>131</v>
      </c>
      <c r="M203" s="50">
        <v>44875</v>
      </c>
      <c r="N203" s="50">
        <v>2958465</v>
      </c>
      <c r="P203">
        <v>0</v>
      </c>
      <c r="U203">
        <v>4</v>
      </c>
      <c r="V203">
        <v>1</v>
      </c>
      <c r="W203" t="s">
        <v>132</v>
      </c>
      <c r="X203">
        <v>0</v>
      </c>
    </row>
    <row r="204" spans="1:24" x14ac:dyDescent="0.25">
      <c r="A204">
        <v>1</v>
      </c>
      <c r="B204" s="13">
        <v>590920300394</v>
      </c>
      <c r="C204">
        <v>30</v>
      </c>
      <c r="D204" s="13">
        <v>5957303003</v>
      </c>
      <c r="F204" t="s">
        <v>130</v>
      </c>
      <c r="G204">
        <v>0</v>
      </c>
      <c r="H204">
        <v>100</v>
      </c>
      <c r="K204">
        <v>1</v>
      </c>
      <c r="L204" t="s">
        <v>131</v>
      </c>
      <c r="M204" s="50">
        <v>44875</v>
      </c>
      <c r="N204" s="50">
        <v>2958465</v>
      </c>
      <c r="P204">
        <v>0</v>
      </c>
      <c r="U204">
        <v>4</v>
      </c>
      <c r="V204">
        <v>1</v>
      </c>
      <c r="W204" t="s">
        <v>132</v>
      </c>
      <c r="X204">
        <v>0</v>
      </c>
    </row>
    <row r="205" spans="1:24" x14ac:dyDescent="0.25">
      <c r="A205">
        <v>1</v>
      </c>
      <c r="B205" s="13">
        <v>590920300394</v>
      </c>
      <c r="C205">
        <v>40</v>
      </c>
      <c r="D205" s="13">
        <v>5957093003</v>
      </c>
      <c r="F205" t="s">
        <v>130</v>
      </c>
      <c r="G205">
        <v>0</v>
      </c>
      <c r="H205">
        <v>100</v>
      </c>
      <c r="K205">
        <v>1</v>
      </c>
      <c r="L205" t="s">
        <v>131</v>
      </c>
      <c r="M205" s="50">
        <v>44875</v>
      </c>
      <c r="N205" s="50">
        <v>2958465</v>
      </c>
      <c r="P205">
        <v>0</v>
      </c>
      <c r="U205">
        <v>4</v>
      </c>
      <c r="V205">
        <v>1</v>
      </c>
      <c r="W205" t="s">
        <v>132</v>
      </c>
      <c r="X205">
        <v>0</v>
      </c>
    </row>
    <row r="206" spans="1:24" x14ac:dyDescent="0.25">
      <c r="A206">
        <v>1</v>
      </c>
      <c r="B206" s="13">
        <v>590920300394</v>
      </c>
      <c r="C206">
        <v>50</v>
      </c>
      <c r="D206" s="13">
        <v>1018034</v>
      </c>
      <c r="F206" t="s">
        <v>130</v>
      </c>
      <c r="G206">
        <v>0</v>
      </c>
      <c r="H206">
        <v>100</v>
      </c>
      <c r="K206">
        <v>4</v>
      </c>
      <c r="L206" t="s">
        <v>131</v>
      </c>
      <c r="M206" s="50">
        <v>44875</v>
      </c>
      <c r="N206" s="50">
        <v>2958465</v>
      </c>
      <c r="P206">
        <v>0</v>
      </c>
      <c r="U206">
        <v>4</v>
      </c>
      <c r="V206">
        <v>1</v>
      </c>
      <c r="W206" t="s">
        <v>132</v>
      </c>
      <c r="X206">
        <v>0</v>
      </c>
    </row>
    <row r="207" spans="1:24" x14ac:dyDescent="0.25">
      <c r="A207">
        <v>1</v>
      </c>
      <c r="B207" s="13">
        <v>590920300394</v>
      </c>
      <c r="C207">
        <v>60</v>
      </c>
      <c r="D207" s="13">
        <v>1018359</v>
      </c>
      <c r="F207" t="s">
        <v>130</v>
      </c>
      <c r="G207">
        <v>0</v>
      </c>
      <c r="H207">
        <v>100</v>
      </c>
      <c r="K207">
        <v>10</v>
      </c>
      <c r="L207" t="s">
        <v>131</v>
      </c>
      <c r="M207" s="50">
        <v>44875</v>
      </c>
      <c r="N207" s="50">
        <v>2958465</v>
      </c>
      <c r="P207">
        <v>0</v>
      </c>
      <c r="U207">
        <v>4</v>
      </c>
      <c r="V207">
        <v>1</v>
      </c>
      <c r="W207" t="s">
        <v>132</v>
      </c>
      <c r="X207">
        <v>0</v>
      </c>
    </row>
    <row r="208" spans="1:24" x14ac:dyDescent="0.25">
      <c r="A208">
        <v>1</v>
      </c>
      <c r="B208" s="13">
        <v>590920300394</v>
      </c>
      <c r="C208">
        <v>70</v>
      </c>
      <c r="D208" s="13">
        <v>1022213</v>
      </c>
      <c r="F208" t="s">
        <v>130</v>
      </c>
      <c r="G208">
        <v>0</v>
      </c>
      <c r="H208">
        <v>100</v>
      </c>
      <c r="K208">
        <v>5.5919999999999996</v>
      </c>
      <c r="L208" t="s">
        <v>131</v>
      </c>
      <c r="M208" s="50">
        <v>44875</v>
      </c>
      <c r="N208" s="50">
        <v>2958465</v>
      </c>
      <c r="P208">
        <v>0</v>
      </c>
      <c r="U208">
        <v>4</v>
      </c>
      <c r="V208">
        <v>1</v>
      </c>
      <c r="W208" t="s">
        <v>132</v>
      </c>
      <c r="X208">
        <v>0</v>
      </c>
    </row>
    <row r="209" spans="1:24" x14ac:dyDescent="0.25">
      <c r="A209">
        <v>1</v>
      </c>
      <c r="B209" s="13">
        <v>590920300394</v>
      </c>
      <c r="C209">
        <v>80</v>
      </c>
      <c r="D209" s="13">
        <v>2.0202020202020198E+50</v>
      </c>
      <c r="F209" t="s">
        <v>130</v>
      </c>
      <c r="G209">
        <v>0</v>
      </c>
      <c r="H209">
        <v>100</v>
      </c>
      <c r="K209">
        <v>1</v>
      </c>
      <c r="L209" t="s">
        <v>131</v>
      </c>
      <c r="M209" s="50">
        <v>44875</v>
      </c>
      <c r="N209" s="50">
        <v>2958465</v>
      </c>
      <c r="P209">
        <v>0</v>
      </c>
      <c r="U209">
        <v>4</v>
      </c>
      <c r="V209">
        <v>1</v>
      </c>
      <c r="W209" t="s">
        <v>132</v>
      </c>
      <c r="X209">
        <v>0</v>
      </c>
    </row>
    <row r="210" spans="1:24" x14ac:dyDescent="0.25">
      <c r="A210">
        <v>1</v>
      </c>
      <c r="B210" s="13">
        <v>590920300494</v>
      </c>
      <c r="C210">
        <v>10</v>
      </c>
      <c r="D210" s="13">
        <v>5957163004</v>
      </c>
      <c r="F210" t="s">
        <v>130</v>
      </c>
      <c r="G210">
        <v>0</v>
      </c>
      <c r="H210">
        <v>100</v>
      </c>
      <c r="K210">
        <v>2</v>
      </c>
      <c r="L210" t="s">
        <v>131</v>
      </c>
      <c r="M210" s="50">
        <v>44875</v>
      </c>
      <c r="N210" s="50">
        <v>2958465</v>
      </c>
      <c r="P210">
        <v>0</v>
      </c>
      <c r="U210">
        <v>4</v>
      </c>
      <c r="V210">
        <v>1</v>
      </c>
      <c r="W210" t="s">
        <v>132</v>
      </c>
      <c r="X210">
        <v>0</v>
      </c>
    </row>
    <row r="211" spans="1:24" x14ac:dyDescent="0.25">
      <c r="A211">
        <v>1</v>
      </c>
      <c r="B211" s="13">
        <v>590920300494</v>
      </c>
      <c r="C211">
        <v>20</v>
      </c>
      <c r="D211" s="13">
        <v>5957333004</v>
      </c>
      <c r="F211" t="s">
        <v>130</v>
      </c>
      <c r="G211">
        <v>0</v>
      </c>
      <c r="H211">
        <v>100</v>
      </c>
      <c r="K211">
        <v>1</v>
      </c>
      <c r="L211" t="s">
        <v>131</v>
      </c>
      <c r="M211" s="50">
        <v>44875</v>
      </c>
      <c r="N211" s="50">
        <v>2958465</v>
      </c>
      <c r="P211">
        <v>0</v>
      </c>
      <c r="U211">
        <v>4</v>
      </c>
      <c r="V211">
        <v>1</v>
      </c>
      <c r="W211" t="s">
        <v>132</v>
      </c>
      <c r="X211">
        <v>0</v>
      </c>
    </row>
    <row r="212" spans="1:24" x14ac:dyDescent="0.25">
      <c r="A212">
        <v>1</v>
      </c>
      <c r="B212" s="13">
        <v>590920300494</v>
      </c>
      <c r="C212">
        <v>30</v>
      </c>
      <c r="D212" s="13">
        <v>5957303004</v>
      </c>
      <c r="F212" t="s">
        <v>130</v>
      </c>
      <c r="G212">
        <v>0</v>
      </c>
      <c r="H212">
        <v>100</v>
      </c>
      <c r="K212">
        <v>1</v>
      </c>
      <c r="L212" t="s">
        <v>131</v>
      </c>
      <c r="M212" s="50">
        <v>44875</v>
      </c>
      <c r="N212" s="50">
        <v>2958465</v>
      </c>
      <c r="P212">
        <v>0</v>
      </c>
      <c r="U212">
        <v>4</v>
      </c>
      <c r="V212">
        <v>1</v>
      </c>
      <c r="W212" t="s">
        <v>132</v>
      </c>
      <c r="X212">
        <v>0</v>
      </c>
    </row>
    <row r="213" spans="1:24" x14ac:dyDescent="0.25">
      <c r="A213">
        <v>1</v>
      </c>
      <c r="B213" s="13">
        <v>590920300494</v>
      </c>
      <c r="C213">
        <v>40</v>
      </c>
      <c r="D213" s="13">
        <v>5957093004</v>
      </c>
      <c r="F213" t="s">
        <v>130</v>
      </c>
      <c r="G213">
        <v>0</v>
      </c>
      <c r="H213">
        <v>100</v>
      </c>
      <c r="K213">
        <v>1</v>
      </c>
      <c r="L213" t="s">
        <v>131</v>
      </c>
      <c r="M213" s="50">
        <v>44875</v>
      </c>
      <c r="N213" s="50">
        <v>2958465</v>
      </c>
      <c r="P213">
        <v>0</v>
      </c>
      <c r="U213">
        <v>4</v>
      </c>
      <c r="V213">
        <v>1</v>
      </c>
      <c r="W213" t="s">
        <v>132</v>
      </c>
      <c r="X213">
        <v>0</v>
      </c>
    </row>
    <row r="214" spans="1:24" x14ac:dyDescent="0.25">
      <c r="A214">
        <v>1</v>
      </c>
      <c r="B214" s="13">
        <v>590920300494</v>
      </c>
      <c r="C214">
        <v>50</v>
      </c>
      <c r="D214" s="13">
        <v>1018034</v>
      </c>
      <c r="F214" t="s">
        <v>130</v>
      </c>
      <c r="G214">
        <v>0</v>
      </c>
      <c r="H214">
        <v>100</v>
      </c>
      <c r="K214">
        <v>4</v>
      </c>
      <c r="L214" t="s">
        <v>131</v>
      </c>
      <c r="M214" s="50">
        <v>44875</v>
      </c>
      <c r="N214" s="50">
        <v>2958465</v>
      </c>
      <c r="P214">
        <v>0</v>
      </c>
      <c r="U214">
        <v>4</v>
      </c>
      <c r="V214">
        <v>1</v>
      </c>
      <c r="W214" t="s">
        <v>132</v>
      </c>
      <c r="X214">
        <v>0</v>
      </c>
    </row>
    <row r="215" spans="1:24" x14ac:dyDescent="0.25">
      <c r="A215">
        <v>1</v>
      </c>
      <c r="B215" s="13">
        <v>590920300494</v>
      </c>
      <c r="C215">
        <v>60</v>
      </c>
      <c r="D215" s="13">
        <v>1022356</v>
      </c>
      <c r="F215" t="s">
        <v>130</v>
      </c>
      <c r="G215">
        <v>0</v>
      </c>
      <c r="H215">
        <v>100</v>
      </c>
      <c r="K215">
        <v>10</v>
      </c>
      <c r="L215" t="s">
        <v>131</v>
      </c>
      <c r="M215" s="50">
        <v>44875</v>
      </c>
      <c r="N215" s="50">
        <v>2958465</v>
      </c>
      <c r="P215">
        <v>0</v>
      </c>
      <c r="U215">
        <v>4</v>
      </c>
      <c r="V215">
        <v>1</v>
      </c>
      <c r="W215" t="s">
        <v>132</v>
      </c>
      <c r="X215">
        <v>0</v>
      </c>
    </row>
    <row r="216" spans="1:24" x14ac:dyDescent="0.25">
      <c r="A216">
        <v>1</v>
      </c>
      <c r="B216" s="13">
        <v>590920300494</v>
      </c>
      <c r="C216">
        <v>70</v>
      </c>
      <c r="D216" s="13">
        <v>1022213</v>
      </c>
      <c r="F216" t="s">
        <v>130</v>
      </c>
      <c r="G216">
        <v>0</v>
      </c>
      <c r="H216">
        <v>100</v>
      </c>
      <c r="K216">
        <v>5.5919999999999996</v>
      </c>
      <c r="L216" t="s">
        <v>131</v>
      </c>
      <c r="M216" s="50">
        <v>44875</v>
      </c>
      <c r="N216" s="50">
        <v>2958465</v>
      </c>
      <c r="P216">
        <v>0</v>
      </c>
      <c r="U216">
        <v>4</v>
      </c>
      <c r="V216">
        <v>1</v>
      </c>
      <c r="W216" t="s">
        <v>132</v>
      </c>
      <c r="X216">
        <v>0</v>
      </c>
    </row>
    <row r="217" spans="1:24" x14ac:dyDescent="0.25">
      <c r="A217">
        <v>1</v>
      </c>
      <c r="B217" s="13">
        <v>590920300494</v>
      </c>
      <c r="C217">
        <v>80</v>
      </c>
      <c r="D217" s="13">
        <v>2.0202020202020199E+52</v>
      </c>
      <c r="F217" t="s">
        <v>130</v>
      </c>
      <c r="G217">
        <v>0</v>
      </c>
      <c r="H217">
        <v>100</v>
      </c>
      <c r="K217">
        <v>1</v>
      </c>
      <c r="L217" t="s">
        <v>131</v>
      </c>
      <c r="M217" s="50">
        <v>44875</v>
      </c>
      <c r="N217" s="50">
        <v>2958465</v>
      </c>
      <c r="P217">
        <v>0</v>
      </c>
      <c r="U217">
        <v>4</v>
      </c>
      <c r="V217">
        <v>1</v>
      </c>
      <c r="W217" t="s">
        <v>132</v>
      </c>
      <c r="X217">
        <v>0</v>
      </c>
    </row>
    <row r="218" spans="1:24" x14ac:dyDescent="0.25">
      <c r="A218">
        <v>1</v>
      </c>
      <c r="B218" s="13">
        <v>590920300594</v>
      </c>
      <c r="C218">
        <v>10</v>
      </c>
      <c r="D218" s="13">
        <v>5957163005</v>
      </c>
      <c r="F218" t="s">
        <v>130</v>
      </c>
      <c r="G218">
        <v>0</v>
      </c>
      <c r="H218">
        <v>100</v>
      </c>
      <c r="K218">
        <v>2</v>
      </c>
      <c r="L218" t="s">
        <v>131</v>
      </c>
      <c r="M218" s="50">
        <v>44875</v>
      </c>
      <c r="N218" s="50">
        <v>2958465</v>
      </c>
      <c r="P218">
        <v>0</v>
      </c>
      <c r="U218">
        <v>4</v>
      </c>
      <c r="V218">
        <v>1</v>
      </c>
      <c r="W218" t="s">
        <v>132</v>
      </c>
      <c r="X218">
        <v>0</v>
      </c>
    </row>
    <row r="219" spans="1:24" x14ac:dyDescent="0.25">
      <c r="A219">
        <v>1</v>
      </c>
      <c r="B219" s="13">
        <v>590920300594</v>
      </c>
      <c r="C219">
        <v>20</v>
      </c>
      <c r="D219" s="13">
        <v>5957333005</v>
      </c>
      <c r="F219" t="s">
        <v>130</v>
      </c>
      <c r="G219">
        <v>0</v>
      </c>
      <c r="H219">
        <v>100</v>
      </c>
      <c r="K219">
        <v>1</v>
      </c>
      <c r="L219" t="s">
        <v>131</v>
      </c>
      <c r="M219" s="50">
        <v>44875</v>
      </c>
      <c r="N219" s="50">
        <v>2958465</v>
      </c>
      <c r="P219">
        <v>0</v>
      </c>
      <c r="U219">
        <v>4</v>
      </c>
      <c r="V219">
        <v>1</v>
      </c>
      <c r="W219" t="s">
        <v>132</v>
      </c>
      <c r="X219">
        <v>0</v>
      </c>
    </row>
    <row r="220" spans="1:24" x14ac:dyDescent="0.25">
      <c r="A220">
        <v>1</v>
      </c>
      <c r="B220" s="13">
        <v>590920300594</v>
      </c>
      <c r="C220">
        <v>30</v>
      </c>
      <c r="D220" s="13">
        <v>5957303005</v>
      </c>
      <c r="F220" t="s">
        <v>130</v>
      </c>
      <c r="G220">
        <v>0</v>
      </c>
      <c r="H220">
        <v>100</v>
      </c>
      <c r="K220">
        <v>1</v>
      </c>
      <c r="L220" t="s">
        <v>131</v>
      </c>
      <c r="M220" s="50">
        <v>44875</v>
      </c>
      <c r="N220" s="50">
        <v>2958465</v>
      </c>
      <c r="P220">
        <v>0</v>
      </c>
      <c r="U220">
        <v>4</v>
      </c>
      <c r="V220">
        <v>1</v>
      </c>
      <c r="W220" t="s">
        <v>132</v>
      </c>
      <c r="X220">
        <v>0</v>
      </c>
    </row>
    <row r="221" spans="1:24" x14ac:dyDescent="0.25">
      <c r="A221">
        <v>1</v>
      </c>
      <c r="B221" s="13">
        <v>590920300594</v>
      </c>
      <c r="C221">
        <v>40</v>
      </c>
      <c r="D221" s="13">
        <v>5957093005</v>
      </c>
      <c r="F221" t="s">
        <v>130</v>
      </c>
      <c r="G221">
        <v>0</v>
      </c>
      <c r="H221">
        <v>100</v>
      </c>
      <c r="K221">
        <v>1</v>
      </c>
      <c r="L221" t="s">
        <v>131</v>
      </c>
      <c r="M221" s="50">
        <v>44875</v>
      </c>
      <c r="N221" s="50">
        <v>2958465</v>
      </c>
      <c r="P221">
        <v>0</v>
      </c>
      <c r="U221">
        <v>4</v>
      </c>
      <c r="V221">
        <v>1</v>
      </c>
      <c r="W221" t="s">
        <v>132</v>
      </c>
      <c r="X221">
        <v>0</v>
      </c>
    </row>
    <row r="222" spans="1:24" x14ac:dyDescent="0.25">
      <c r="A222">
        <v>1</v>
      </c>
      <c r="B222" s="13">
        <v>590920300594</v>
      </c>
      <c r="C222">
        <v>50</v>
      </c>
      <c r="D222" s="13">
        <v>1018034</v>
      </c>
      <c r="F222" t="s">
        <v>130</v>
      </c>
      <c r="G222">
        <v>0</v>
      </c>
      <c r="H222">
        <v>100</v>
      </c>
      <c r="K222">
        <v>4</v>
      </c>
      <c r="L222" t="s">
        <v>131</v>
      </c>
      <c r="M222" s="50">
        <v>44875</v>
      </c>
      <c r="N222" s="50">
        <v>2958465</v>
      </c>
      <c r="P222">
        <v>0</v>
      </c>
      <c r="U222">
        <v>4</v>
      </c>
      <c r="V222">
        <v>1</v>
      </c>
      <c r="W222" t="s">
        <v>132</v>
      </c>
      <c r="X222">
        <v>0</v>
      </c>
    </row>
    <row r="223" spans="1:24" x14ac:dyDescent="0.25">
      <c r="A223">
        <v>1</v>
      </c>
      <c r="B223" s="13">
        <v>590920300594</v>
      </c>
      <c r="C223">
        <v>60</v>
      </c>
      <c r="D223" s="13">
        <v>1022356</v>
      </c>
      <c r="F223" t="s">
        <v>130</v>
      </c>
      <c r="G223">
        <v>0</v>
      </c>
      <c r="H223">
        <v>100</v>
      </c>
      <c r="K223">
        <v>10</v>
      </c>
      <c r="L223" t="s">
        <v>131</v>
      </c>
      <c r="M223" s="50">
        <v>44875</v>
      </c>
      <c r="N223" s="50">
        <v>2958465</v>
      </c>
      <c r="P223">
        <v>0</v>
      </c>
      <c r="U223">
        <v>4</v>
      </c>
      <c r="V223">
        <v>1</v>
      </c>
      <c r="W223" t="s">
        <v>132</v>
      </c>
      <c r="X223">
        <v>0</v>
      </c>
    </row>
    <row r="224" spans="1:24" x14ac:dyDescent="0.25">
      <c r="A224">
        <v>1</v>
      </c>
      <c r="B224" s="13">
        <v>590920300594</v>
      </c>
      <c r="C224">
        <v>70</v>
      </c>
      <c r="D224" s="13">
        <v>1022213</v>
      </c>
      <c r="F224" t="s">
        <v>130</v>
      </c>
      <c r="G224">
        <v>0</v>
      </c>
      <c r="H224">
        <v>100</v>
      </c>
      <c r="K224">
        <v>5.5919999999999996</v>
      </c>
      <c r="L224" t="s">
        <v>131</v>
      </c>
      <c r="M224" s="50">
        <v>44875</v>
      </c>
      <c r="N224" s="50">
        <v>2958465</v>
      </c>
      <c r="P224">
        <v>0</v>
      </c>
      <c r="U224">
        <v>4</v>
      </c>
      <c r="V224">
        <v>1</v>
      </c>
      <c r="W224" t="s">
        <v>132</v>
      </c>
      <c r="X224">
        <v>0</v>
      </c>
    </row>
    <row r="225" spans="1:24" x14ac:dyDescent="0.25">
      <c r="A225">
        <v>1</v>
      </c>
      <c r="B225" s="13">
        <v>590920300594</v>
      </c>
      <c r="C225">
        <v>80</v>
      </c>
      <c r="D225" s="13">
        <v>2.02020202020202E+54</v>
      </c>
      <c r="F225" t="s">
        <v>130</v>
      </c>
      <c r="G225">
        <v>0</v>
      </c>
      <c r="H225">
        <v>100</v>
      </c>
      <c r="K225">
        <v>1</v>
      </c>
      <c r="L225" t="s">
        <v>131</v>
      </c>
      <c r="M225" s="50">
        <v>44875</v>
      </c>
      <c r="N225" s="50">
        <v>2958465</v>
      </c>
      <c r="P225">
        <v>0</v>
      </c>
      <c r="U225">
        <v>4</v>
      </c>
      <c r="V225">
        <v>1</v>
      </c>
      <c r="W225" t="s">
        <v>132</v>
      </c>
      <c r="X225">
        <v>0</v>
      </c>
    </row>
    <row r="226" spans="1:24" x14ac:dyDescent="0.25">
      <c r="A226">
        <v>1</v>
      </c>
      <c r="B226" s="13">
        <v>590920300694</v>
      </c>
      <c r="C226">
        <v>10</v>
      </c>
      <c r="D226" s="13">
        <v>5957163006</v>
      </c>
      <c r="F226" t="s">
        <v>130</v>
      </c>
      <c r="G226">
        <v>0</v>
      </c>
      <c r="H226">
        <v>100</v>
      </c>
      <c r="K226">
        <v>2</v>
      </c>
      <c r="L226" t="s">
        <v>131</v>
      </c>
      <c r="M226" s="50">
        <v>44875</v>
      </c>
      <c r="N226" s="50">
        <v>2958465</v>
      </c>
      <c r="P226">
        <v>0</v>
      </c>
      <c r="U226">
        <v>4</v>
      </c>
      <c r="V226">
        <v>1</v>
      </c>
      <c r="W226" t="s">
        <v>132</v>
      </c>
      <c r="X226">
        <v>0</v>
      </c>
    </row>
    <row r="227" spans="1:24" x14ac:dyDescent="0.25">
      <c r="A227">
        <v>1</v>
      </c>
      <c r="B227" s="13">
        <v>590920300694</v>
      </c>
      <c r="C227">
        <v>20</v>
      </c>
      <c r="D227" s="13">
        <v>5957333006</v>
      </c>
      <c r="F227" t="s">
        <v>130</v>
      </c>
      <c r="G227">
        <v>0</v>
      </c>
      <c r="H227">
        <v>100</v>
      </c>
      <c r="K227">
        <v>1</v>
      </c>
      <c r="L227" t="s">
        <v>131</v>
      </c>
      <c r="M227" s="50">
        <v>44875</v>
      </c>
      <c r="N227" s="50">
        <v>2958465</v>
      </c>
      <c r="P227">
        <v>0</v>
      </c>
      <c r="U227">
        <v>4</v>
      </c>
      <c r="V227">
        <v>1</v>
      </c>
      <c r="W227" t="s">
        <v>132</v>
      </c>
      <c r="X227">
        <v>0</v>
      </c>
    </row>
    <row r="228" spans="1:24" x14ac:dyDescent="0.25">
      <c r="A228">
        <v>1</v>
      </c>
      <c r="B228" s="13">
        <v>590920300694</v>
      </c>
      <c r="C228">
        <v>30</v>
      </c>
      <c r="D228" s="13">
        <v>5957303006</v>
      </c>
      <c r="F228" t="s">
        <v>130</v>
      </c>
      <c r="G228">
        <v>0</v>
      </c>
      <c r="H228">
        <v>100</v>
      </c>
      <c r="K228">
        <v>1</v>
      </c>
      <c r="L228" t="s">
        <v>131</v>
      </c>
      <c r="M228" s="50">
        <v>44875</v>
      </c>
      <c r="N228" s="50">
        <v>2958465</v>
      </c>
      <c r="P228">
        <v>0</v>
      </c>
      <c r="U228">
        <v>4</v>
      </c>
      <c r="V228">
        <v>1</v>
      </c>
      <c r="W228" t="s">
        <v>132</v>
      </c>
      <c r="X228">
        <v>0</v>
      </c>
    </row>
    <row r="229" spans="1:24" x14ac:dyDescent="0.25">
      <c r="A229">
        <v>1</v>
      </c>
      <c r="B229" s="13">
        <v>590920300694</v>
      </c>
      <c r="C229">
        <v>40</v>
      </c>
      <c r="D229" s="13">
        <v>5957093006</v>
      </c>
      <c r="F229" t="s">
        <v>130</v>
      </c>
      <c r="G229">
        <v>0</v>
      </c>
      <c r="H229">
        <v>100</v>
      </c>
      <c r="K229">
        <v>1</v>
      </c>
      <c r="L229" t="s">
        <v>131</v>
      </c>
      <c r="M229" s="50">
        <v>44875</v>
      </c>
      <c r="N229" s="50">
        <v>2958465</v>
      </c>
      <c r="P229">
        <v>0</v>
      </c>
      <c r="U229">
        <v>4</v>
      </c>
      <c r="V229">
        <v>1</v>
      </c>
      <c r="W229" t="s">
        <v>132</v>
      </c>
      <c r="X229">
        <v>0</v>
      </c>
    </row>
    <row r="230" spans="1:24" x14ac:dyDescent="0.25">
      <c r="A230">
        <v>1</v>
      </c>
      <c r="B230" s="13">
        <v>590920300694</v>
      </c>
      <c r="C230">
        <v>50</v>
      </c>
      <c r="D230" s="13">
        <v>1018034</v>
      </c>
      <c r="F230" t="s">
        <v>130</v>
      </c>
      <c r="G230">
        <v>0</v>
      </c>
      <c r="H230">
        <v>100</v>
      </c>
      <c r="K230">
        <v>4</v>
      </c>
      <c r="L230" t="s">
        <v>131</v>
      </c>
      <c r="M230" s="50">
        <v>44875</v>
      </c>
      <c r="N230" s="50">
        <v>2958465</v>
      </c>
      <c r="P230">
        <v>0</v>
      </c>
      <c r="U230">
        <v>4</v>
      </c>
      <c r="V230">
        <v>1</v>
      </c>
      <c r="W230" t="s">
        <v>132</v>
      </c>
      <c r="X230">
        <v>0</v>
      </c>
    </row>
    <row r="231" spans="1:24" x14ac:dyDescent="0.25">
      <c r="A231">
        <v>1</v>
      </c>
      <c r="B231" s="13">
        <v>590920300694</v>
      </c>
      <c r="C231">
        <v>60</v>
      </c>
      <c r="D231" s="13">
        <v>1018359</v>
      </c>
      <c r="F231" t="s">
        <v>130</v>
      </c>
      <c r="G231">
        <v>0</v>
      </c>
      <c r="H231">
        <v>100</v>
      </c>
      <c r="K231">
        <v>10</v>
      </c>
      <c r="L231" t="s">
        <v>131</v>
      </c>
      <c r="M231" s="50">
        <v>44875</v>
      </c>
      <c r="N231" s="50">
        <v>2958465</v>
      </c>
      <c r="P231">
        <v>0</v>
      </c>
      <c r="U231">
        <v>4</v>
      </c>
      <c r="V231">
        <v>1</v>
      </c>
      <c r="W231" t="s">
        <v>132</v>
      </c>
      <c r="X231">
        <v>0</v>
      </c>
    </row>
    <row r="232" spans="1:24" x14ac:dyDescent="0.25">
      <c r="A232">
        <v>1</v>
      </c>
      <c r="B232" s="13">
        <v>590920300694</v>
      </c>
      <c r="C232">
        <v>70</v>
      </c>
      <c r="D232" s="13">
        <v>1022213</v>
      </c>
      <c r="F232" t="s">
        <v>130</v>
      </c>
      <c r="G232">
        <v>0</v>
      </c>
      <c r="H232">
        <v>100</v>
      </c>
      <c r="K232">
        <v>5.5919999999999996</v>
      </c>
      <c r="L232" t="s">
        <v>131</v>
      </c>
      <c r="M232" s="50">
        <v>44875</v>
      </c>
      <c r="N232" s="50">
        <v>2958465</v>
      </c>
      <c r="P232">
        <v>0</v>
      </c>
      <c r="U232">
        <v>4</v>
      </c>
      <c r="V232">
        <v>1</v>
      </c>
      <c r="W232" t="s">
        <v>132</v>
      </c>
      <c r="X232">
        <v>0</v>
      </c>
    </row>
    <row r="233" spans="1:24" x14ac:dyDescent="0.25">
      <c r="A233">
        <v>1</v>
      </c>
      <c r="B233" s="13">
        <v>590920300694</v>
      </c>
      <c r="C233">
        <v>80</v>
      </c>
      <c r="D233" s="13">
        <v>2.0202020202020199E+56</v>
      </c>
      <c r="F233" t="s">
        <v>130</v>
      </c>
      <c r="G233">
        <v>0</v>
      </c>
      <c r="H233">
        <v>100</v>
      </c>
      <c r="K233">
        <v>1</v>
      </c>
      <c r="L233" t="s">
        <v>131</v>
      </c>
      <c r="M233" s="50">
        <v>44875</v>
      </c>
      <c r="N233" s="50">
        <v>2958465</v>
      </c>
      <c r="P233">
        <v>0</v>
      </c>
      <c r="U233">
        <v>4</v>
      </c>
      <c r="V233">
        <v>1</v>
      </c>
      <c r="W233" t="s">
        <v>132</v>
      </c>
      <c r="X233">
        <v>0</v>
      </c>
    </row>
    <row r="234" spans="1:24" x14ac:dyDescent="0.25">
      <c r="A234">
        <v>1</v>
      </c>
      <c r="B234" s="13">
        <v>590920300794</v>
      </c>
      <c r="C234">
        <v>10</v>
      </c>
      <c r="D234" s="13">
        <v>5957163007</v>
      </c>
      <c r="F234" t="s">
        <v>130</v>
      </c>
      <c r="G234">
        <v>0</v>
      </c>
      <c r="H234">
        <v>100</v>
      </c>
      <c r="K234">
        <v>2</v>
      </c>
      <c r="L234" t="s">
        <v>131</v>
      </c>
      <c r="M234" s="50">
        <v>44875</v>
      </c>
      <c r="N234" s="50">
        <v>2958465</v>
      </c>
      <c r="P234">
        <v>0</v>
      </c>
      <c r="U234">
        <v>4</v>
      </c>
      <c r="V234">
        <v>1</v>
      </c>
      <c r="W234" t="s">
        <v>132</v>
      </c>
      <c r="X234">
        <v>0</v>
      </c>
    </row>
    <row r="235" spans="1:24" x14ac:dyDescent="0.25">
      <c r="A235">
        <v>1</v>
      </c>
      <c r="B235" s="13">
        <v>590920300794</v>
      </c>
      <c r="C235">
        <v>20</v>
      </c>
      <c r="D235" s="13">
        <v>5957333007</v>
      </c>
      <c r="F235" t="s">
        <v>130</v>
      </c>
      <c r="G235">
        <v>0</v>
      </c>
      <c r="H235">
        <v>100</v>
      </c>
      <c r="K235">
        <v>1</v>
      </c>
      <c r="L235" t="s">
        <v>131</v>
      </c>
      <c r="M235" s="50">
        <v>44875</v>
      </c>
      <c r="N235" s="50">
        <v>2958465</v>
      </c>
      <c r="P235">
        <v>0</v>
      </c>
      <c r="U235">
        <v>4</v>
      </c>
      <c r="V235">
        <v>1</v>
      </c>
      <c r="W235" t="s">
        <v>132</v>
      </c>
      <c r="X235">
        <v>0</v>
      </c>
    </row>
    <row r="236" spans="1:24" x14ac:dyDescent="0.25">
      <c r="A236">
        <v>1</v>
      </c>
      <c r="B236" s="13">
        <v>590920300794</v>
      </c>
      <c r="C236">
        <v>30</v>
      </c>
      <c r="D236" s="13">
        <v>5957303007</v>
      </c>
      <c r="F236" t="s">
        <v>130</v>
      </c>
      <c r="G236">
        <v>0</v>
      </c>
      <c r="H236">
        <v>100</v>
      </c>
      <c r="K236">
        <v>1</v>
      </c>
      <c r="L236" t="s">
        <v>131</v>
      </c>
      <c r="M236" s="50">
        <v>44875</v>
      </c>
      <c r="N236" s="50">
        <v>2958465</v>
      </c>
      <c r="P236">
        <v>0</v>
      </c>
      <c r="U236">
        <v>4</v>
      </c>
      <c r="V236">
        <v>1</v>
      </c>
      <c r="W236" t="s">
        <v>132</v>
      </c>
      <c r="X236">
        <v>0</v>
      </c>
    </row>
    <row r="237" spans="1:24" x14ac:dyDescent="0.25">
      <c r="A237">
        <v>1</v>
      </c>
      <c r="B237" s="13">
        <v>590920300794</v>
      </c>
      <c r="C237">
        <v>40</v>
      </c>
      <c r="D237" s="13">
        <v>5957093007</v>
      </c>
      <c r="F237" t="s">
        <v>130</v>
      </c>
      <c r="G237">
        <v>0</v>
      </c>
      <c r="H237">
        <v>100</v>
      </c>
      <c r="K237">
        <v>1</v>
      </c>
      <c r="L237" t="s">
        <v>131</v>
      </c>
      <c r="M237" s="50">
        <v>44875</v>
      </c>
      <c r="N237" s="50">
        <v>2958465</v>
      </c>
      <c r="P237">
        <v>0</v>
      </c>
      <c r="U237">
        <v>4</v>
      </c>
      <c r="V237">
        <v>1</v>
      </c>
      <c r="W237" t="s">
        <v>132</v>
      </c>
      <c r="X237">
        <v>0</v>
      </c>
    </row>
    <row r="238" spans="1:24" x14ac:dyDescent="0.25">
      <c r="A238">
        <v>1</v>
      </c>
      <c r="B238" s="13">
        <v>590920300794</v>
      </c>
      <c r="C238">
        <v>50</v>
      </c>
      <c r="D238" s="13">
        <v>1018034</v>
      </c>
      <c r="F238" t="s">
        <v>130</v>
      </c>
      <c r="G238">
        <v>0</v>
      </c>
      <c r="H238">
        <v>100</v>
      </c>
      <c r="K238">
        <v>4</v>
      </c>
      <c r="L238" t="s">
        <v>131</v>
      </c>
      <c r="M238" s="50">
        <v>44875</v>
      </c>
      <c r="N238" s="50">
        <v>2958465</v>
      </c>
      <c r="P238">
        <v>0</v>
      </c>
      <c r="U238">
        <v>4</v>
      </c>
      <c r="V238">
        <v>1</v>
      </c>
      <c r="W238" t="s">
        <v>132</v>
      </c>
      <c r="X238">
        <v>0</v>
      </c>
    </row>
    <row r="239" spans="1:24" x14ac:dyDescent="0.25">
      <c r="A239">
        <v>1</v>
      </c>
      <c r="B239" s="13">
        <v>590920300794</v>
      </c>
      <c r="C239">
        <v>60</v>
      </c>
      <c r="D239" s="13">
        <v>1018359</v>
      </c>
      <c r="F239" t="s">
        <v>130</v>
      </c>
      <c r="G239">
        <v>0</v>
      </c>
      <c r="H239">
        <v>100</v>
      </c>
      <c r="K239">
        <v>10</v>
      </c>
      <c r="L239" t="s">
        <v>131</v>
      </c>
      <c r="M239" s="50">
        <v>44875</v>
      </c>
      <c r="N239" s="50">
        <v>2958465</v>
      </c>
      <c r="P239">
        <v>0</v>
      </c>
      <c r="U239">
        <v>4</v>
      </c>
      <c r="V239">
        <v>1</v>
      </c>
      <c r="W239" t="s">
        <v>132</v>
      </c>
      <c r="X239">
        <v>0</v>
      </c>
    </row>
    <row r="240" spans="1:24" x14ac:dyDescent="0.25">
      <c r="A240">
        <v>1</v>
      </c>
      <c r="B240" s="13">
        <v>590920300794</v>
      </c>
      <c r="C240">
        <v>70</v>
      </c>
      <c r="D240" s="13">
        <v>1022213</v>
      </c>
      <c r="F240" t="s">
        <v>130</v>
      </c>
      <c r="G240">
        <v>0</v>
      </c>
      <c r="H240">
        <v>100</v>
      </c>
      <c r="K240">
        <v>5.5919999999999996</v>
      </c>
      <c r="L240" t="s">
        <v>131</v>
      </c>
      <c r="M240" s="50">
        <v>44875</v>
      </c>
      <c r="N240" s="50">
        <v>2958465</v>
      </c>
      <c r="P240">
        <v>0</v>
      </c>
      <c r="U240">
        <v>4</v>
      </c>
      <c r="V240">
        <v>1</v>
      </c>
      <c r="W240" t="s">
        <v>132</v>
      </c>
      <c r="X240">
        <v>0</v>
      </c>
    </row>
    <row r="241" spans="1:24" x14ac:dyDescent="0.25">
      <c r="A241">
        <v>1</v>
      </c>
      <c r="B241" s="13">
        <v>590920300794</v>
      </c>
      <c r="C241">
        <v>80</v>
      </c>
      <c r="D241" s="13">
        <v>2.0202020202020199E+58</v>
      </c>
      <c r="F241" t="s">
        <v>130</v>
      </c>
      <c r="G241">
        <v>0</v>
      </c>
      <c r="H241">
        <v>100</v>
      </c>
      <c r="K241">
        <v>1</v>
      </c>
      <c r="L241" t="s">
        <v>131</v>
      </c>
      <c r="M241" s="50">
        <v>44875</v>
      </c>
      <c r="N241" s="50">
        <v>2958465</v>
      </c>
      <c r="P241">
        <v>0</v>
      </c>
      <c r="U241">
        <v>4</v>
      </c>
      <c r="V241">
        <v>1</v>
      </c>
      <c r="W241" t="s">
        <v>132</v>
      </c>
      <c r="X241">
        <v>0</v>
      </c>
    </row>
    <row r="242" spans="1:24" x14ac:dyDescent="0.25">
      <c r="A242">
        <v>1</v>
      </c>
      <c r="B242" s="13">
        <v>590920300894</v>
      </c>
      <c r="C242">
        <v>10</v>
      </c>
      <c r="D242" s="13">
        <v>5957163008</v>
      </c>
      <c r="F242" t="s">
        <v>130</v>
      </c>
      <c r="G242">
        <v>0</v>
      </c>
      <c r="H242">
        <v>100</v>
      </c>
      <c r="K242">
        <v>2</v>
      </c>
      <c r="L242" t="s">
        <v>131</v>
      </c>
      <c r="M242" s="50">
        <v>44875</v>
      </c>
      <c r="N242" s="50">
        <v>2958465</v>
      </c>
      <c r="P242">
        <v>0</v>
      </c>
      <c r="U242">
        <v>4</v>
      </c>
      <c r="V242">
        <v>1</v>
      </c>
      <c r="W242" t="s">
        <v>132</v>
      </c>
      <c r="X242">
        <v>0</v>
      </c>
    </row>
    <row r="243" spans="1:24" x14ac:dyDescent="0.25">
      <c r="A243">
        <v>1</v>
      </c>
      <c r="B243" s="13">
        <v>590920300894</v>
      </c>
      <c r="C243">
        <v>20</v>
      </c>
      <c r="D243" s="13">
        <v>5957333008</v>
      </c>
      <c r="F243" t="s">
        <v>130</v>
      </c>
      <c r="G243">
        <v>0</v>
      </c>
      <c r="H243">
        <v>100</v>
      </c>
      <c r="K243">
        <v>1</v>
      </c>
      <c r="L243" t="s">
        <v>131</v>
      </c>
      <c r="M243" s="50">
        <v>44875</v>
      </c>
      <c r="N243" s="50">
        <v>2958465</v>
      </c>
      <c r="P243">
        <v>0</v>
      </c>
      <c r="U243">
        <v>4</v>
      </c>
      <c r="V243">
        <v>1</v>
      </c>
      <c r="W243" t="s">
        <v>132</v>
      </c>
      <c r="X243">
        <v>0</v>
      </c>
    </row>
    <row r="244" spans="1:24" x14ac:dyDescent="0.25">
      <c r="A244">
        <v>1</v>
      </c>
      <c r="B244" s="13">
        <v>590920300894</v>
      </c>
      <c r="C244">
        <v>30</v>
      </c>
      <c r="D244" s="13">
        <v>5957303008</v>
      </c>
      <c r="F244" t="s">
        <v>130</v>
      </c>
      <c r="G244">
        <v>0</v>
      </c>
      <c r="H244">
        <v>100</v>
      </c>
      <c r="K244">
        <v>1</v>
      </c>
      <c r="L244" t="s">
        <v>131</v>
      </c>
      <c r="M244" s="50">
        <v>44875</v>
      </c>
      <c r="N244" s="50">
        <v>2958465</v>
      </c>
      <c r="P244">
        <v>0</v>
      </c>
      <c r="U244">
        <v>4</v>
      </c>
      <c r="V244">
        <v>1</v>
      </c>
      <c r="W244" t="s">
        <v>132</v>
      </c>
      <c r="X244">
        <v>0</v>
      </c>
    </row>
    <row r="245" spans="1:24" x14ac:dyDescent="0.25">
      <c r="A245">
        <v>1</v>
      </c>
      <c r="B245" s="13">
        <v>590920300894</v>
      </c>
      <c r="C245">
        <v>40</v>
      </c>
      <c r="D245" s="13">
        <v>5957093008</v>
      </c>
      <c r="F245" t="s">
        <v>130</v>
      </c>
      <c r="G245">
        <v>0</v>
      </c>
      <c r="H245">
        <v>100</v>
      </c>
      <c r="K245">
        <v>1</v>
      </c>
      <c r="L245" t="s">
        <v>131</v>
      </c>
      <c r="M245" s="50">
        <v>44875</v>
      </c>
      <c r="N245" s="50">
        <v>2958465</v>
      </c>
      <c r="P245">
        <v>0</v>
      </c>
      <c r="U245">
        <v>4</v>
      </c>
      <c r="V245">
        <v>1</v>
      </c>
      <c r="W245" t="s">
        <v>132</v>
      </c>
      <c r="X245">
        <v>0</v>
      </c>
    </row>
    <row r="246" spans="1:24" x14ac:dyDescent="0.25">
      <c r="A246">
        <v>1</v>
      </c>
      <c r="B246" s="13">
        <v>590920300894</v>
      </c>
      <c r="C246">
        <v>50</v>
      </c>
      <c r="D246" s="13">
        <v>1018034</v>
      </c>
      <c r="F246" t="s">
        <v>130</v>
      </c>
      <c r="G246">
        <v>0</v>
      </c>
      <c r="H246">
        <v>100</v>
      </c>
      <c r="K246">
        <v>4</v>
      </c>
      <c r="L246" t="s">
        <v>131</v>
      </c>
      <c r="M246" s="50">
        <v>44875</v>
      </c>
      <c r="N246" s="50">
        <v>2958465</v>
      </c>
      <c r="P246">
        <v>0</v>
      </c>
      <c r="U246">
        <v>4</v>
      </c>
      <c r="V246">
        <v>1</v>
      </c>
      <c r="W246" t="s">
        <v>132</v>
      </c>
      <c r="X246">
        <v>0</v>
      </c>
    </row>
    <row r="247" spans="1:24" x14ac:dyDescent="0.25">
      <c r="A247">
        <v>1</v>
      </c>
      <c r="B247" s="13">
        <v>590920300894</v>
      </c>
      <c r="C247">
        <v>60</v>
      </c>
      <c r="D247" s="13">
        <v>1022356</v>
      </c>
      <c r="F247" t="s">
        <v>130</v>
      </c>
      <c r="G247">
        <v>0</v>
      </c>
      <c r="H247">
        <v>100</v>
      </c>
      <c r="K247">
        <v>10</v>
      </c>
      <c r="L247" t="s">
        <v>131</v>
      </c>
      <c r="M247" s="50">
        <v>44875</v>
      </c>
      <c r="N247" s="50">
        <v>2958465</v>
      </c>
      <c r="P247">
        <v>0</v>
      </c>
      <c r="U247">
        <v>4</v>
      </c>
      <c r="V247">
        <v>1</v>
      </c>
      <c r="W247" t="s">
        <v>132</v>
      </c>
      <c r="X247">
        <v>0</v>
      </c>
    </row>
    <row r="248" spans="1:24" x14ac:dyDescent="0.25">
      <c r="A248">
        <v>1</v>
      </c>
      <c r="B248" s="13">
        <v>590920300894</v>
      </c>
      <c r="C248">
        <v>70</v>
      </c>
      <c r="D248" s="13">
        <v>1022213</v>
      </c>
      <c r="F248" t="s">
        <v>130</v>
      </c>
      <c r="G248">
        <v>0</v>
      </c>
      <c r="H248">
        <v>100</v>
      </c>
      <c r="K248">
        <v>5.5919999999999996</v>
      </c>
      <c r="L248" t="s">
        <v>131</v>
      </c>
      <c r="M248" s="50">
        <v>44875</v>
      </c>
      <c r="N248" s="50">
        <v>2958465</v>
      </c>
      <c r="P248">
        <v>0</v>
      </c>
      <c r="U248">
        <v>4</v>
      </c>
      <c r="V248">
        <v>1</v>
      </c>
      <c r="W248" t="s">
        <v>132</v>
      </c>
      <c r="X248">
        <v>0</v>
      </c>
    </row>
    <row r="249" spans="1:24" x14ac:dyDescent="0.25">
      <c r="A249">
        <v>1</v>
      </c>
      <c r="B249" s="13">
        <v>590920300894</v>
      </c>
      <c r="C249">
        <v>80</v>
      </c>
      <c r="D249" s="13">
        <v>2.0202020202020199E+60</v>
      </c>
      <c r="F249" t="s">
        <v>130</v>
      </c>
      <c r="G249">
        <v>0</v>
      </c>
      <c r="H249">
        <v>100</v>
      </c>
      <c r="K249">
        <v>1</v>
      </c>
      <c r="L249" t="s">
        <v>131</v>
      </c>
      <c r="M249" s="50">
        <v>44875</v>
      </c>
      <c r="N249" s="50">
        <v>2958465</v>
      </c>
      <c r="P249">
        <v>0</v>
      </c>
      <c r="U249">
        <v>4</v>
      </c>
      <c r="V249">
        <v>1</v>
      </c>
      <c r="W249" t="s">
        <v>132</v>
      </c>
      <c r="X249">
        <v>0</v>
      </c>
    </row>
    <row r="250" spans="1:24" x14ac:dyDescent="0.25">
      <c r="A250">
        <v>1</v>
      </c>
      <c r="B250" s="13">
        <v>590920300994</v>
      </c>
      <c r="C250">
        <v>10</v>
      </c>
      <c r="D250" s="13">
        <v>5957163009</v>
      </c>
      <c r="F250" t="s">
        <v>130</v>
      </c>
      <c r="G250">
        <v>0</v>
      </c>
      <c r="H250">
        <v>100</v>
      </c>
      <c r="K250">
        <v>2</v>
      </c>
      <c r="L250" t="s">
        <v>131</v>
      </c>
      <c r="M250" s="50">
        <v>44875</v>
      </c>
      <c r="N250" s="50">
        <v>2958465</v>
      </c>
      <c r="P250">
        <v>0</v>
      </c>
      <c r="U250">
        <v>4</v>
      </c>
      <c r="V250">
        <v>1</v>
      </c>
      <c r="W250" t="s">
        <v>132</v>
      </c>
      <c r="X250">
        <v>0</v>
      </c>
    </row>
    <row r="251" spans="1:24" x14ac:dyDescent="0.25">
      <c r="A251">
        <v>1</v>
      </c>
      <c r="B251" s="13">
        <v>590920300994</v>
      </c>
      <c r="C251">
        <v>20</v>
      </c>
      <c r="D251" s="13">
        <v>5957333009</v>
      </c>
      <c r="F251" t="s">
        <v>130</v>
      </c>
      <c r="G251">
        <v>0</v>
      </c>
      <c r="H251">
        <v>100</v>
      </c>
      <c r="K251">
        <v>1</v>
      </c>
      <c r="L251" t="s">
        <v>131</v>
      </c>
      <c r="M251" s="50">
        <v>44875</v>
      </c>
      <c r="N251" s="50">
        <v>2958465</v>
      </c>
      <c r="P251">
        <v>0</v>
      </c>
      <c r="U251">
        <v>4</v>
      </c>
      <c r="V251">
        <v>1</v>
      </c>
      <c r="W251" t="s">
        <v>132</v>
      </c>
      <c r="X251">
        <v>0</v>
      </c>
    </row>
    <row r="252" spans="1:24" x14ac:dyDescent="0.25">
      <c r="A252">
        <v>1</v>
      </c>
      <c r="B252" s="13">
        <v>590920300994</v>
      </c>
      <c r="C252">
        <v>30</v>
      </c>
      <c r="D252" s="13">
        <v>5957303009</v>
      </c>
      <c r="F252" t="s">
        <v>130</v>
      </c>
      <c r="G252">
        <v>0</v>
      </c>
      <c r="H252">
        <v>100</v>
      </c>
      <c r="K252">
        <v>1</v>
      </c>
      <c r="L252" t="s">
        <v>131</v>
      </c>
      <c r="M252" s="50">
        <v>44875</v>
      </c>
      <c r="N252" s="50">
        <v>2958465</v>
      </c>
      <c r="P252">
        <v>0</v>
      </c>
      <c r="U252">
        <v>4</v>
      </c>
      <c r="V252">
        <v>1</v>
      </c>
      <c r="W252" t="s">
        <v>132</v>
      </c>
      <c r="X252">
        <v>0</v>
      </c>
    </row>
    <row r="253" spans="1:24" x14ac:dyDescent="0.25">
      <c r="A253">
        <v>1</v>
      </c>
      <c r="B253" s="13">
        <v>590920300994</v>
      </c>
      <c r="C253">
        <v>40</v>
      </c>
      <c r="D253" s="13">
        <v>5957093009</v>
      </c>
      <c r="F253" t="s">
        <v>130</v>
      </c>
      <c r="G253">
        <v>0</v>
      </c>
      <c r="H253">
        <v>100</v>
      </c>
      <c r="K253">
        <v>1</v>
      </c>
      <c r="L253" t="s">
        <v>131</v>
      </c>
      <c r="M253" s="50">
        <v>44875</v>
      </c>
      <c r="N253" s="50">
        <v>2958465</v>
      </c>
      <c r="P253">
        <v>0</v>
      </c>
      <c r="U253">
        <v>4</v>
      </c>
      <c r="V253">
        <v>1</v>
      </c>
      <c r="W253" t="s">
        <v>132</v>
      </c>
      <c r="X253">
        <v>0</v>
      </c>
    </row>
    <row r="254" spans="1:24" x14ac:dyDescent="0.25">
      <c r="A254">
        <v>1</v>
      </c>
      <c r="B254" s="13">
        <v>590920300994</v>
      </c>
      <c r="C254">
        <v>50</v>
      </c>
      <c r="D254" s="13">
        <v>1018034</v>
      </c>
      <c r="F254" t="s">
        <v>130</v>
      </c>
      <c r="G254">
        <v>0</v>
      </c>
      <c r="H254">
        <v>100</v>
      </c>
      <c r="K254">
        <v>4</v>
      </c>
      <c r="L254" t="s">
        <v>131</v>
      </c>
      <c r="M254" s="50">
        <v>44875</v>
      </c>
      <c r="N254" s="50">
        <v>2958465</v>
      </c>
      <c r="P254">
        <v>0</v>
      </c>
      <c r="U254">
        <v>4</v>
      </c>
      <c r="V254">
        <v>1</v>
      </c>
      <c r="W254" t="s">
        <v>132</v>
      </c>
      <c r="X254">
        <v>0</v>
      </c>
    </row>
    <row r="255" spans="1:24" x14ac:dyDescent="0.25">
      <c r="A255">
        <v>1</v>
      </c>
      <c r="B255" s="13">
        <v>590920300994</v>
      </c>
      <c r="C255">
        <v>60</v>
      </c>
      <c r="D255" s="13">
        <v>1018359</v>
      </c>
      <c r="F255" t="s">
        <v>130</v>
      </c>
      <c r="G255">
        <v>0</v>
      </c>
      <c r="H255">
        <v>100</v>
      </c>
      <c r="K255">
        <v>10</v>
      </c>
      <c r="L255" t="s">
        <v>131</v>
      </c>
      <c r="M255" s="50">
        <v>44875</v>
      </c>
      <c r="N255" s="50">
        <v>2958465</v>
      </c>
      <c r="P255">
        <v>0</v>
      </c>
      <c r="U255">
        <v>4</v>
      </c>
      <c r="V255">
        <v>1</v>
      </c>
      <c r="W255" t="s">
        <v>132</v>
      </c>
      <c r="X255">
        <v>0</v>
      </c>
    </row>
    <row r="256" spans="1:24" x14ac:dyDescent="0.25">
      <c r="A256">
        <v>1</v>
      </c>
      <c r="B256" s="13">
        <v>590920300994</v>
      </c>
      <c r="C256">
        <v>70</v>
      </c>
      <c r="D256" s="13">
        <v>1022213</v>
      </c>
      <c r="F256" t="s">
        <v>130</v>
      </c>
      <c r="G256">
        <v>0</v>
      </c>
      <c r="H256">
        <v>100</v>
      </c>
      <c r="K256">
        <v>5.5919999999999996</v>
      </c>
      <c r="L256" t="s">
        <v>131</v>
      </c>
      <c r="M256" s="50">
        <v>44875</v>
      </c>
      <c r="N256" s="50">
        <v>2958465</v>
      </c>
      <c r="P256">
        <v>0</v>
      </c>
      <c r="U256">
        <v>4</v>
      </c>
      <c r="V256">
        <v>1</v>
      </c>
      <c r="W256" t="s">
        <v>132</v>
      </c>
      <c r="X256">
        <v>0</v>
      </c>
    </row>
    <row r="257" spans="1:24" x14ac:dyDescent="0.25">
      <c r="A257">
        <v>1</v>
      </c>
      <c r="B257" s="13">
        <v>590920300994</v>
      </c>
      <c r="C257">
        <v>80</v>
      </c>
      <c r="D257" s="13">
        <v>2.02020202020202E+62</v>
      </c>
      <c r="F257" t="s">
        <v>130</v>
      </c>
      <c r="G257">
        <v>0</v>
      </c>
      <c r="H257">
        <v>100</v>
      </c>
      <c r="K257">
        <v>1</v>
      </c>
      <c r="L257" t="s">
        <v>131</v>
      </c>
      <c r="M257" s="50">
        <v>44875</v>
      </c>
      <c r="N257" s="50">
        <v>2958465</v>
      </c>
      <c r="P257">
        <v>0</v>
      </c>
      <c r="U257">
        <v>4</v>
      </c>
      <c r="V257">
        <v>1</v>
      </c>
      <c r="W257" t="s">
        <v>132</v>
      </c>
      <c r="X257">
        <v>0</v>
      </c>
    </row>
    <row r="258" spans="1:24" x14ac:dyDescent="0.25">
      <c r="A258">
        <v>1</v>
      </c>
      <c r="B258" s="13">
        <v>590920301094</v>
      </c>
      <c r="C258">
        <v>10</v>
      </c>
      <c r="D258" s="13">
        <v>5957163010</v>
      </c>
      <c r="F258" t="s">
        <v>130</v>
      </c>
      <c r="G258">
        <v>0</v>
      </c>
      <c r="H258">
        <v>100</v>
      </c>
      <c r="K258">
        <v>2</v>
      </c>
      <c r="L258" t="s">
        <v>131</v>
      </c>
      <c r="M258" s="50">
        <v>44875</v>
      </c>
      <c r="N258" s="50">
        <v>2958465</v>
      </c>
      <c r="P258">
        <v>0</v>
      </c>
      <c r="U258">
        <v>4</v>
      </c>
      <c r="V258">
        <v>1</v>
      </c>
      <c r="W258" t="s">
        <v>132</v>
      </c>
      <c r="X258">
        <v>0</v>
      </c>
    </row>
    <row r="259" spans="1:24" x14ac:dyDescent="0.25">
      <c r="A259">
        <v>1</v>
      </c>
      <c r="B259" s="13">
        <v>590920301094</v>
      </c>
      <c r="C259">
        <v>20</v>
      </c>
      <c r="D259" s="13">
        <v>5957333010</v>
      </c>
      <c r="F259" t="s">
        <v>130</v>
      </c>
      <c r="G259">
        <v>0</v>
      </c>
      <c r="H259">
        <v>100</v>
      </c>
      <c r="K259">
        <v>1</v>
      </c>
      <c r="L259" t="s">
        <v>131</v>
      </c>
      <c r="M259" s="50">
        <v>44875</v>
      </c>
      <c r="N259" s="50">
        <v>2958465</v>
      </c>
      <c r="P259">
        <v>0</v>
      </c>
      <c r="U259">
        <v>4</v>
      </c>
      <c r="V259">
        <v>1</v>
      </c>
      <c r="W259" t="s">
        <v>132</v>
      </c>
      <c r="X259">
        <v>0</v>
      </c>
    </row>
    <row r="260" spans="1:24" x14ac:dyDescent="0.25">
      <c r="A260">
        <v>1</v>
      </c>
      <c r="B260" s="13">
        <v>590920301094</v>
      </c>
      <c r="C260">
        <v>30</v>
      </c>
      <c r="D260" s="13">
        <v>5957303010</v>
      </c>
      <c r="F260" t="s">
        <v>130</v>
      </c>
      <c r="G260">
        <v>0</v>
      </c>
      <c r="H260">
        <v>100</v>
      </c>
      <c r="K260">
        <v>1</v>
      </c>
      <c r="L260" t="s">
        <v>131</v>
      </c>
      <c r="M260" s="50">
        <v>44875</v>
      </c>
      <c r="N260" s="50">
        <v>2958465</v>
      </c>
      <c r="P260">
        <v>0</v>
      </c>
      <c r="U260">
        <v>4</v>
      </c>
      <c r="V260">
        <v>1</v>
      </c>
      <c r="W260" t="s">
        <v>132</v>
      </c>
      <c r="X260">
        <v>0</v>
      </c>
    </row>
    <row r="261" spans="1:24" x14ac:dyDescent="0.25">
      <c r="A261">
        <v>1</v>
      </c>
      <c r="B261" s="13">
        <v>590920301094</v>
      </c>
      <c r="C261">
        <v>40</v>
      </c>
      <c r="D261" s="13">
        <v>5957093010</v>
      </c>
      <c r="F261" t="s">
        <v>130</v>
      </c>
      <c r="G261">
        <v>0</v>
      </c>
      <c r="H261">
        <v>100</v>
      </c>
      <c r="K261">
        <v>1</v>
      </c>
      <c r="L261" t="s">
        <v>131</v>
      </c>
      <c r="M261" s="50">
        <v>44875</v>
      </c>
      <c r="N261" s="50">
        <v>2958465</v>
      </c>
      <c r="P261">
        <v>0</v>
      </c>
      <c r="U261">
        <v>4</v>
      </c>
      <c r="V261">
        <v>1</v>
      </c>
      <c r="W261" t="s">
        <v>132</v>
      </c>
      <c r="X261">
        <v>0</v>
      </c>
    </row>
    <row r="262" spans="1:24" x14ac:dyDescent="0.25">
      <c r="A262">
        <v>1</v>
      </c>
      <c r="B262" s="13">
        <v>590920301094</v>
      </c>
      <c r="C262">
        <v>50</v>
      </c>
      <c r="D262" s="13">
        <v>1018034</v>
      </c>
      <c r="F262" t="s">
        <v>130</v>
      </c>
      <c r="G262">
        <v>0</v>
      </c>
      <c r="H262">
        <v>100</v>
      </c>
      <c r="K262">
        <v>4</v>
      </c>
      <c r="L262" t="s">
        <v>131</v>
      </c>
      <c r="M262" s="50">
        <v>44875</v>
      </c>
      <c r="N262" s="50">
        <v>2958465</v>
      </c>
      <c r="P262">
        <v>0</v>
      </c>
      <c r="U262">
        <v>4</v>
      </c>
      <c r="V262">
        <v>1</v>
      </c>
      <c r="W262" t="s">
        <v>132</v>
      </c>
      <c r="X262">
        <v>0</v>
      </c>
    </row>
    <row r="263" spans="1:24" x14ac:dyDescent="0.25">
      <c r="A263">
        <v>1</v>
      </c>
      <c r="B263" s="13">
        <v>590920301094</v>
      </c>
      <c r="C263">
        <v>60</v>
      </c>
      <c r="D263" s="13">
        <v>1018359</v>
      </c>
      <c r="F263" t="s">
        <v>130</v>
      </c>
      <c r="G263">
        <v>0</v>
      </c>
      <c r="H263">
        <v>100</v>
      </c>
      <c r="K263">
        <v>10</v>
      </c>
      <c r="L263" t="s">
        <v>131</v>
      </c>
      <c r="M263" s="50">
        <v>44875</v>
      </c>
      <c r="N263" s="50">
        <v>2958465</v>
      </c>
      <c r="P263">
        <v>0</v>
      </c>
      <c r="U263">
        <v>4</v>
      </c>
      <c r="V263">
        <v>1</v>
      </c>
      <c r="W263" t="s">
        <v>132</v>
      </c>
      <c r="X263">
        <v>0</v>
      </c>
    </row>
    <row r="264" spans="1:24" x14ac:dyDescent="0.25">
      <c r="A264">
        <v>1</v>
      </c>
      <c r="B264" s="13">
        <v>590920301094</v>
      </c>
      <c r="C264">
        <v>70</v>
      </c>
      <c r="D264" s="13">
        <v>1022213</v>
      </c>
      <c r="F264" t="s">
        <v>130</v>
      </c>
      <c r="G264">
        <v>0</v>
      </c>
      <c r="H264">
        <v>100</v>
      </c>
      <c r="K264">
        <v>5.5919999999999996</v>
      </c>
      <c r="L264" t="s">
        <v>131</v>
      </c>
      <c r="M264" s="50">
        <v>44875</v>
      </c>
      <c r="N264" s="50">
        <v>2958465</v>
      </c>
      <c r="P264">
        <v>0</v>
      </c>
      <c r="U264">
        <v>4</v>
      </c>
      <c r="V264">
        <v>1</v>
      </c>
      <c r="W264" t="s">
        <v>132</v>
      </c>
      <c r="X264">
        <v>0</v>
      </c>
    </row>
    <row r="265" spans="1:24" x14ac:dyDescent="0.25">
      <c r="A265">
        <v>1</v>
      </c>
      <c r="B265" s="13">
        <v>590920301094</v>
      </c>
      <c r="C265">
        <v>80</v>
      </c>
      <c r="D265" s="13">
        <v>2.0202020202020201E+64</v>
      </c>
      <c r="F265" t="s">
        <v>130</v>
      </c>
      <c r="G265">
        <v>0</v>
      </c>
      <c r="H265">
        <v>100</v>
      </c>
      <c r="K265">
        <v>1</v>
      </c>
      <c r="L265" t="s">
        <v>131</v>
      </c>
      <c r="M265" s="50">
        <v>44875</v>
      </c>
      <c r="N265" s="50">
        <v>2958465</v>
      </c>
      <c r="P265">
        <v>0</v>
      </c>
      <c r="U265">
        <v>4</v>
      </c>
      <c r="V265">
        <v>1</v>
      </c>
      <c r="W265" t="s">
        <v>132</v>
      </c>
      <c r="X265">
        <v>0</v>
      </c>
    </row>
    <row r="266" spans="1:24" x14ac:dyDescent="0.25">
      <c r="A266">
        <v>1</v>
      </c>
      <c r="B266" s="13">
        <v>590920300095</v>
      </c>
      <c r="C266">
        <v>10</v>
      </c>
      <c r="D266" s="13">
        <v>5957163099</v>
      </c>
      <c r="F266" t="s">
        <v>130</v>
      </c>
      <c r="G266">
        <v>0</v>
      </c>
      <c r="H266">
        <v>100</v>
      </c>
      <c r="K266">
        <v>2</v>
      </c>
      <c r="L266" t="s">
        <v>131</v>
      </c>
      <c r="M266" s="50">
        <v>44875</v>
      </c>
      <c r="N266" s="50">
        <v>2958465</v>
      </c>
      <c r="P266">
        <v>0</v>
      </c>
      <c r="U266">
        <v>4</v>
      </c>
      <c r="V266">
        <v>1</v>
      </c>
      <c r="W266" t="s">
        <v>132</v>
      </c>
      <c r="X266">
        <v>0</v>
      </c>
    </row>
    <row r="267" spans="1:24" x14ac:dyDescent="0.25">
      <c r="A267">
        <v>1</v>
      </c>
      <c r="B267" s="13">
        <v>590920300095</v>
      </c>
      <c r="C267">
        <v>20</v>
      </c>
      <c r="D267" s="13">
        <v>5957333099</v>
      </c>
      <c r="F267" t="s">
        <v>130</v>
      </c>
      <c r="G267">
        <v>0</v>
      </c>
      <c r="H267">
        <v>100</v>
      </c>
      <c r="K267">
        <v>1</v>
      </c>
      <c r="L267" t="s">
        <v>131</v>
      </c>
      <c r="M267" s="50">
        <v>44875</v>
      </c>
      <c r="N267" s="50">
        <v>2958465</v>
      </c>
      <c r="P267">
        <v>0</v>
      </c>
      <c r="U267">
        <v>4</v>
      </c>
      <c r="V267">
        <v>1</v>
      </c>
      <c r="W267" t="s">
        <v>132</v>
      </c>
      <c r="X267">
        <v>0</v>
      </c>
    </row>
    <row r="268" spans="1:24" x14ac:dyDescent="0.25">
      <c r="A268">
        <v>1</v>
      </c>
      <c r="B268" s="13">
        <v>590920300095</v>
      </c>
      <c r="C268">
        <v>30</v>
      </c>
      <c r="D268" s="13">
        <v>5957303099</v>
      </c>
      <c r="F268" t="s">
        <v>130</v>
      </c>
      <c r="G268">
        <v>0</v>
      </c>
      <c r="H268">
        <v>100</v>
      </c>
      <c r="K268">
        <v>1</v>
      </c>
      <c r="L268" t="s">
        <v>131</v>
      </c>
      <c r="M268" s="50">
        <v>44875</v>
      </c>
      <c r="N268" s="50">
        <v>2958465</v>
      </c>
      <c r="P268">
        <v>0</v>
      </c>
      <c r="U268">
        <v>4</v>
      </c>
      <c r="V268">
        <v>1</v>
      </c>
      <c r="W268" t="s">
        <v>132</v>
      </c>
      <c r="X268">
        <v>0</v>
      </c>
    </row>
    <row r="269" spans="1:24" x14ac:dyDescent="0.25">
      <c r="A269">
        <v>1</v>
      </c>
      <c r="B269" s="13">
        <v>590920300095</v>
      </c>
      <c r="C269">
        <v>40</v>
      </c>
      <c r="D269" s="13">
        <v>1022219</v>
      </c>
      <c r="F269" t="s">
        <v>130</v>
      </c>
      <c r="G269">
        <v>0</v>
      </c>
      <c r="H269">
        <v>100</v>
      </c>
      <c r="K269">
        <v>1</v>
      </c>
      <c r="L269" t="s">
        <v>131</v>
      </c>
      <c r="M269" s="50">
        <v>44875</v>
      </c>
      <c r="N269" s="50">
        <v>2958465</v>
      </c>
      <c r="P269">
        <v>0</v>
      </c>
      <c r="U269">
        <v>4</v>
      </c>
      <c r="V269">
        <v>1</v>
      </c>
      <c r="W269" t="s">
        <v>132</v>
      </c>
      <c r="X269">
        <v>0</v>
      </c>
    </row>
    <row r="270" spans="1:24" x14ac:dyDescent="0.25">
      <c r="A270">
        <v>1</v>
      </c>
      <c r="B270" s="13">
        <v>590920300095</v>
      </c>
      <c r="C270">
        <v>50</v>
      </c>
      <c r="D270" s="13">
        <v>1018034</v>
      </c>
      <c r="F270" t="s">
        <v>130</v>
      </c>
      <c r="G270">
        <v>0</v>
      </c>
      <c r="H270">
        <v>100</v>
      </c>
      <c r="K270">
        <v>4</v>
      </c>
      <c r="L270" t="s">
        <v>131</v>
      </c>
      <c r="M270" s="50">
        <v>44875</v>
      </c>
      <c r="N270" s="50">
        <v>2958465</v>
      </c>
      <c r="P270">
        <v>0</v>
      </c>
      <c r="U270">
        <v>4</v>
      </c>
      <c r="V270">
        <v>1</v>
      </c>
      <c r="W270" t="s">
        <v>132</v>
      </c>
      <c r="X270">
        <v>0</v>
      </c>
    </row>
    <row r="271" spans="1:24" x14ac:dyDescent="0.25">
      <c r="A271">
        <v>1</v>
      </c>
      <c r="B271" s="13">
        <v>590920300095</v>
      </c>
      <c r="C271">
        <v>60</v>
      </c>
      <c r="D271" s="13">
        <v>1018359</v>
      </c>
      <c r="F271" t="s">
        <v>130</v>
      </c>
      <c r="G271">
        <v>0</v>
      </c>
      <c r="H271">
        <v>100</v>
      </c>
      <c r="K271">
        <v>10</v>
      </c>
      <c r="L271" t="s">
        <v>131</v>
      </c>
      <c r="M271" s="50">
        <v>44875</v>
      </c>
      <c r="N271" s="50">
        <v>2958465</v>
      </c>
      <c r="P271">
        <v>0</v>
      </c>
      <c r="U271">
        <v>4</v>
      </c>
      <c r="V271">
        <v>1</v>
      </c>
      <c r="W271" t="s">
        <v>132</v>
      </c>
      <c r="X271">
        <v>0</v>
      </c>
    </row>
    <row r="272" spans="1:24" x14ac:dyDescent="0.25">
      <c r="A272">
        <v>1</v>
      </c>
      <c r="B272" s="13">
        <v>590920300095</v>
      </c>
      <c r="C272">
        <v>70</v>
      </c>
      <c r="D272" s="13">
        <v>1022213</v>
      </c>
      <c r="F272" t="s">
        <v>130</v>
      </c>
      <c r="G272">
        <v>0</v>
      </c>
      <c r="H272">
        <v>100</v>
      </c>
      <c r="K272">
        <v>5.5919999999999996</v>
      </c>
      <c r="L272" t="s">
        <v>131</v>
      </c>
      <c r="M272" s="50">
        <v>44875</v>
      </c>
      <c r="N272" s="50">
        <v>2958465</v>
      </c>
      <c r="P272">
        <v>0</v>
      </c>
      <c r="U272">
        <v>4</v>
      </c>
      <c r="V272">
        <v>1</v>
      </c>
      <c r="W272" t="s">
        <v>132</v>
      </c>
      <c r="X272">
        <v>0</v>
      </c>
    </row>
    <row r="273" spans="1:24" x14ac:dyDescent="0.25">
      <c r="A273">
        <v>1</v>
      </c>
      <c r="B273" s="13">
        <v>590920300095</v>
      </c>
      <c r="C273">
        <v>80</v>
      </c>
      <c r="D273" s="13">
        <v>2.02020202020202E+66</v>
      </c>
      <c r="F273" t="s">
        <v>130</v>
      </c>
      <c r="G273">
        <v>0</v>
      </c>
      <c r="H273">
        <v>100</v>
      </c>
      <c r="K273">
        <v>1</v>
      </c>
      <c r="L273" t="s">
        <v>131</v>
      </c>
      <c r="M273" s="50">
        <v>44875</v>
      </c>
      <c r="N273" s="50">
        <v>2958465</v>
      </c>
      <c r="P273">
        <v>0</v>
      </c>
      <c r="U273">
        <v>4</v>
      </c>
      <c r="V273">
        <v>1</v>
      </c>
      <c r="W273" t="s">
        <v>132</v>
      </c>
      <c r="X273">
        <v>0</v>
      </c>
    </row>
    <row r="274" spans="1:24" x14ac:dyDescent="0.25">
      <c r="A274">
        <v>1</v>
      </c>
      <c r="B274" s="13">
        <v>590920300195</v>
      </c>
      <c r="C274">
        <v>10</v>
      </c>
      <c r="D274" s="13">
        <v>5957163001</v>
      </c>
      <c r="F274" t="s">
        <v>130</v>
      </c>
      <c r="G274">
        <v>0</v>
      </c>
      <c r="H274">
        <v>100</v>
      </c>
      <c r="K274">
        <v>2</v>
      </c>
      <c r="L274" t="s">
        <v>131</v>
      </c>
      <c r="M274" s="50">
        <v>44875</v>
      </c>
      <c r="N274" s="50">
        <v>2958465</v>
      </c>
      <c r="P274">
        <v>0</v>
      </c>
      <c r="U274">
        <v>4</v>
      </c>
      <c r="V274">
        <v>1</v>
      </c>
      <c r="W274" t="s">
        <v>132</v>
      </c>
      <c r="X274">
        <v>0</v>
      </c>
    </row>
    <row r="275" spans="1:24" x14ac:dyDescent="0.25">
      <c r="A275">
        <v>1</v>
      </c>
      <c r="B275" s="13">
        <v>590920300195</v>
      </c>
      <c r="C275">
        <v>20</v>
      </c>
      <c r="D275" s="13">
        <v>5957333001</v>
      </c>
      <c r="F275" t="s">
        <v>130</v>
      </c>
      <c r="G275">
        <v>0</v>
      </c>
      <c r="H275">
        <v>100</v>
      </c>
      <c r="K275">
        <v>1</v>
      </c>
      <c r="L275" t="s">
        <v>131</v>
      </c>
      <c r="M275" s="50">
        <v>44875</v>
      </c>
      <c r="N275" s="50">
        <v>2958465</v>
      </c>
      <c r="P275">
        <v>0</v>
      </c>
      <c r="U275">
        <v>4</v>
      </c>
      <c r="V275">
        <v>1</v>
      </c>
      <c r="W275" t="s">
        <v>132</v>
      </c>
      <c r="X275">
        <v>0</v>
      </c>
    </row>
    <row r="276" spans="1:24" x14ac:dyDescent="0.25">
      <c r="A276">
        <v>1</v>
      </c>
      <c r="B276" s="13">
        <v>590920300195</v>
      </c>
      <c r="C276">
        <v>30</v>
      </c>
      <c r="D276" s="13">
        <v>5957303001</v>
      </c>
      <c r="F276" t="s">
        <v>130</v>
      </c>
      <c r="G276">
        <v>0</v>
      </c>
      <c r="H276">
        <v>100</v>
      </c>
      <c r="K276">
        <v>1</v>
      </c>
      <c r="L276" t="s">
        <v>131</v>
      </c>
      <c r="M276" s="50">
        <v>44875</v>
      </c>
      <c r="N276" s="50">
        <v>2958465</v>
      </c>
      <c r="P276">
        <v>0</v>
      </c>
      <c r="U276">
        <v>4</v>
      </c>
      <c r="V276">
        <v>1</v>
      </c>
      <c r="W276" t="s">
        <v>132</v>
      </c>
      <c r="X276">
        <v>0</v>
      </c>
    </row>
    <row r="277" spans="1:24" x14ac:dyDescent="0.25">
      <c r="A277">
        <v>1</v>
      </c>
      <c r="B277" s="13">
        <v>590920300195</v>
      </c>
      <c r="C277">
        <v>40</v>
      </c>
      <c r="D277" s="13">
        <v>5957093001</v>
      </c>
      <c r="F277" t="s">
        <v>130</v>
      </c>
      <c r="G277">
        <v>0</v>
      </c>
      <c r="H277">
        <v>100</v>
      </c>
      <c r="K277">
        <v>1</v>
      </c>
      <c r="L277" t="s">
        <v>131</v>
      </c>
      <c r="M277" s="50">
        <v>44875</v>
      </c>
      <c r="N277" s="50">
        <v>2958465</v>
      </c>
      <c r="P277">
        <v>0</v>
      </c>
      <c r="U277">
        <v>4</v>
      </c>
      <c r="V277">
        <v>1</v>
      </c>
      <c r="W277" t="s">
        <v>132</v>
      </c>
      <c r="X277">
        <v>0</v>
      </c>
    </row>
    <row r="278" spans="1:24" x14ac:dyDescent="0.25">
      <c r="A278">
        <v>1</v>
      </c>
      <c r="B278" s="13">
        <v>590920300195</v>
      </c>
      <c r="C278">
        <v>50</v>
      </c>
      <c r="D278" s="13">
        <v>1018034</v>
      </c>
      <c r="F278" t="s">
        <v>130</v>
      </c>
      <c r="G278">
        <v>0</v>
      </c>
      <c r="H278">
        <v>100</v>
      </c>
      <c r="K278">
        <v>4</v>
      </c>
      <c r="L278" t="s">
        <v>131</v>
      </c>
      <c r="M278" s="50">
        <v>44875</v>
      </c>
      <c r="N278" s="50">
        <v>2958465</v>
      </c>
      <c r="P278">
        <v>0</v>
      </c>
      <c r="U278">
        <v>4</v>
      </c>
      <c r="V278">
        <v>1</v>
      </c>
      <c r="W278" t="s">
        <v>132</v>
      </c>
      <c r="X278">
        <v>0</v>
      </c>
    </row>
    <row r="279" spans="1:24" x14ac:dyDescent="0.25">
      <c r="A279">
        <v>1</v>
      </c>
      <c r="B279" s="13">
        <v>590920300195</v>
      </c>
      <c r="C279">
        <v>60</v>
      </c>
      <c r="D279" s="13">
        <v>1018359</v>
      </c>
      <c r="F279" t="s">
        <v>130</v>
      </c>
      <c r="G279">
        <v>0</v>
      </c>
      <c r="H279">
        <v>100</v>
      </c>
      <c r="K279">
        <v>10</v>
      </c>
      <c r="L279" t="s">
        <v>131</v>
      </c>
      <c r="M279" s="50">
        <v>44875</v>
      </c>
      <c r="N279" s="50">
        <v>2958465</v>
      </c>
      <c r="P279">
        <v>0</v>
      </c>
      <c r="U279">
        <v>4</v>
      </c>
      <c r="V279">
        <v>1</v>
      </c>
      <c r="W279" t="s">
        <v>132</v>
      </c>
      <c r="X279">
        <v>0</v>
      </c>
    </row>
    <row r="280" spans="1:24" x14ac:dyDescent="0.25">
      <c r="A280">
        <v>1</v>
      </c>
      <c r="B280" s="13">
        <v>590920300195</v>
      </c>
      <c r="C280">
        <v>70</v>
      </c>
      <c r="D280" s="13">
        <v>1022213</v>
      </c>
      <c r="F280" t="s">
        <v>130</v>
      </c>
      <c r="G280">
        <v>0</v>
      </c>
      <c r="H280">
        <v>100</v>
      </c>
      <c r="K280">
        <v>5.5919999999999996</v>
      </c>
      <c r="L280" t="s">
        <v>131</v>
      </c>
      <c r="M280" s="50">
        <v>44875</v>
      </c>
      <c r="N280" s="50">
        <v>2958465</v>
      </c>
      <c r="P280">
        <v>0</v>
      </c>
      <c r="U280">
        <v>4</v>
      </c>
      <c r="V280">
        <v>1</v>
      </c>
      <c r="W280" t="s">
        <v>132</v>
      </c>
      <c r="X280">
        <v>0</v>
      </c>
    </row>
    <row r="281" spans="1:24" x14ac:dyDescent="0.25">
      <c r="A281">
        <v>1</v>
      </c>
      <c r="B281" s="13">
        <v>590920300195</v>
      </c>
      <c r="C281">
        <v>80</v>
      </c>
      <c r="D281" s="13">
        <v>2.0202020202020199E+68</v>
      </c>
      <c r="F281" t="s">
        <v>130</v>
      </c>
      <c r="G281">
        <v>0</v>
      </c>
      <c r="H281">
        <v>100</v>
      </c>
      <c r="K281">
        <v>1</v>
      </c>
      <c r="L281" t="s">
        <v>131</v>
      </c>
      <c r="M281" s="50">
        <v>44875</v>
      </c>
      <c r="N281" s="50">
        <v>2958465</v>
      </c>
      <c r="P281">
        <v>0</v>
      </c>
      <c r="U281">
        <v>4</v>
      </c>
      <c r="V281">
        <v>1</v>
      </c>
      <c r="W281" t="s">
        <v>132</v>
      </c>
      <c r="X281">
        <v>0</v>
      </c>
    </row>
    <row r="282" spans="1:24" x14ac:dyDescent="0.25">
      <c r="A282">
        <v>1</v>
      </c>
      <c r="B282" s="13">
        <v>590920300295</v>
      </c>
      <c r="C282">
        <v>10</v>
      </c>
      <c r="D282" s="13">
        <v>5957163002</v>
      </c>
      <c r="F282" t="s">
        <v>130</v>
      </c>
      <c r="G282">
        <v>0</v>
      </c>
      <c r="H282">
        <v>100</v>
      </c>
      <c r="K282">
        <v>2</v>
      </c>
      <c r="L282" t="s">
        <v>131</v>
      </c>
      <c r="M282" s="50">
        <v>44875</v>
      </c>
      <c r="N282" s="50">
        <v>2958465</v>
      </c>
      <c r="P282">
        <v>0</v>
      </c>
      <c r="U282">
        <v>4</v>
      </c>
      <c r="V282">
        <v>1</v>
      </c>
      <c r="W282" t="s">
        <v>132</v>
      </c>
      <c r="X282">
        <v>0</v>
      </c>
    </row>
    <row r="283" spans="1:24" x14ac:dyDescent="0.25">
      <c r="A283">
        <v>1</v>
      </c>
      <c r="B283" s="13">
        <v>590920300295</v>
      </c>
      <c r="C283">
        <v>20</v>
      </c>
      <c r="D283" s="13">
        <v>5957333002</v>
      </c>
      <c r="F283" t="s">
        <v>130</v>
      </c>
      <c r="G283">
        <v>0</v>
      </c>
      <c r="H283">
        <v>100</v>
      </c>
      <c r="K283">
        <v>1</v>
      </c>
      <c r="L283" t="s">
        <v>131</v>
      </c>
      <c r="M283" s="50">
        <v>44875</v>
      </c>
      <c r="N283" s="50">
        <v>2958465</v>
      </c>
      <c r="P283">
        <v>0</v>
      </c>
      <c r="U283">
        <v>4</v>
      </c>
      <c r="V283">
        <v>1</v>
      </c>
      <c r="W283" t="s">
        <v>132</v>
      </c>
      <c r="X283">
        <v>0</v>
      </c>
    </row>
    <row r="284" spans="1:24" x14ac:dyDescent="0.25">
      <c r="A284">
        <v>1</v>
      </c>
      <c r="B284" s="13">
        <v>590920300295</v>
      </c>
      <c r="C284">
        <v>30</v>
      </c>
      <c r="D284" s="13">
        <v>5957303002</v>
      </c>
      <c r="F284" t="s">
        <v>130</v>
      </c>
      <c r="G284">
        <v>0</v>
      </c>
      <c r="H284">
        <v>100</v>
      </c>
      <c r="K284">
        <v>1</v>
      </c>
      <c r="L284" t="s">
        <v>131</v>
      </c>
      <c r="M284" s="50">
        <v>44875</v>
      </c>
      <c r="N284" s="50">
        <v>2958465</v>
      </c>
      <c r="P284">
        <v>0</v>
      </c>
      <c r="U284">
        <v>4</v>
      </c>
      <c r="V284">
        <v>1</v>
      </c>
      <c r="W284" t="s">
        <v>132</v>
      </c>
      <c r="X284">
        <v>0</v>
      </c>
    </row>
    <row r="285" spans="1:24" x14ac:dyDescent="0.25">
      <c r="A285">
        <v>1</v>
      </c>
      <c r="B285" s="13">
        <v>590920300295</v>
      </c>
      <c r="C285">
        <v>40</v>
      </c>
      <c r="D285" s="13">
        <v>5957093002</v>
      </c>
      <c r="F285" t="s">
        <v>130</v>
      </c>
      <c r="G285">
        <v>0</v>
      </c>
      <c r="H285">
        <v>100</v>
      </c>
      <c r="K285">
        <v>1</v>
      </c>
      <c r="L285" t="s">
        <v>131</v>
      </c>
      <c r="M285" s="50">
        <v>44875</v>
      </c>
      <c r="N285" s="50">
        <v>2958465</v>
      </c>
      <c r="P285">
        <v>0</v>
      </c>
      <c r="U285">
        <v>4</v>
      </c>
      <c r="V285">
        <v>1</v>
      </c>
      <c r="W285" t="s">
        <v>132</v>
      </c>
      <c r="X285">
        <v>0</v>
      </c>
    </row>
    <row r="286" spans="1:24" x14ac:dyDescent="0.25">
      <c r="A286">
        <v>1</v>
      </c>
      <c r="B286" s="13">
        <v>590920300295</v>
      </c>
      <c r="C286">
        <v>50</v>
      </c>
      <c r="D286" s="13">
        <v>1018034</v>
      </c>
      <c r="F286" t="s">
        <v>130</v>
      </c>
      <c r="G286">
        <v>0</v>
      </c>
      <c r="H286">
        <v>100</v>
      </c>
      <c r="K286">
        <v>4</v>
      </c>
      <c r="L286" t="s">
        <v>131</v>
      </c>
      <c r="M286" s="50">
        <v>44875</v>
      </c>
      <c r="N286" s="50">
        <v>2958465</v>
      </c>
      <c r="P286">
        <v>0</v>
      </c>
      <c r="U286">
        <v>4</v>
      </c>
      <c r="V286">
        <v>1</v>
      </c>
      <c r="W286" t="s">
        <v>132</v>
      </c>
      <c r="X286">
        <v>0</v>
      </c>
    </row>
    <row r="287" spans="1:24" x14ac:dyDescent="0.25">
      <c r="A287">
        <v>1</v>
      </c>
      <c r="B287" s="13">
        <v>590920300295</v>
      </c>
      <c r="C287">
        <v>60</v>
      </c>
      <c r="D287" s="13">
        <v>1022356</v>
      </c>
      <c r="F287" t="s">
        <v>130</v>
      </c>
      <c r="G287">
        <v>0</v>
      </c>
      <c r="H287">
        <v>100</v>
      </c>
      <c r="K287">
        <v>10</v>
      </c>
      <c r="L287" t="s">
        <v>131</v>
      </c>
      <c r="M287" s="50">
        <v>44875</v>
      </c>
      <c r="N287" s="50">
        <v>2958465</v>
      </c>
      <c r="P287">
        <v>0</v>
      </c>
      <c r="U287">
        <v>4</v>
      </c>
      <c r="V287">
        <v>1</v>
      </c>
      <c r="W287" t="s">
        <v>132</v>
      </c>
      <c r="X287">
        <v>0</v>
      </c>
    </row>
    <row r="288" spans="1:24" x14ac:dyDescent="0.25">
      <c r="A288">
        <v>1</v>
      </c>
      <c r="B288" s="13">
        <v>590920300295</v>
      </c>
      <c r="C288">
        <v>70</v>
      </c>
      <c r="D288" s="13">
        <v>1022213</v>
      </c>
      <c r="F288" t="s">
        <v>130</v>
      </c>
      <c r="G288">
        <v>0</v>
      </c>
      <c r="H288">
        <v>100</v>
      </c>
      <c r="K288">
        <v>5.5919999999999996</v>
      </c>
      <c r="L288" t="s">
        <v>131</v>
      </c>
      <c r="M288" s="50">
        <v>44875</v>
      </c>
      <c r="N288" s="50">
        <v>2958465</v>
      </c>
      <c r="P288">
        <v>0</v>
      </c>
      <c r="U288">
        <v>4</v>
      </c>
      <c r="V288">
        <v>1</v>
      </c>
      <c r="W288" t="s">
        <v>132</v>
      </c>
      <c r="X288">
        <v>0</v>
      </c>
    </row>
    <row r="289" spans="1:24" x14ac:dyDescent="0.25">
      <c r="A289">
        <v>1</v>
      </c>
      <c r="B289" s="13">
        <v>590920300295</v>
      </c>
      <c r="C289">
        <v>80</v>
      </c>
      <c r="D289" s="13">
        <v>2.0202020202020199E+70</v>
      </c>
      <c r="F289" t="s">
        <v>130</v>
      </c>
      <c r="G289">
        <v>0</v>
      </c>
      <c r="H289">
        <v>100</v>
      </c>
      <c r="K289">
        <v>1</v>
      </c>
      <c r="L289" t="s">
        <v>131</v>
      </c>
      <c r="M289" s="50">
        <v>44875</v>
      </c>
      <c r="N289" s="50">
        <v>2958465</v>
      </c>
      <c r="P289">
        <v>0</v>
      </c>
      <c r="U289">
        <v>4</v>
      </c>
      <c r="V289">
        <v>1</v>
      </c>
      <c r="W289" t="s">
        <v>132</v>
      </c>
      <c r="X289">
        <v>0</v>
      </c>
    </row>
    <row r="290" spans="1:24" x14ac:dyDescent="0.25">
      <c r="A290">
        <v>1</v>
      </c>
      <c r="B290" s="13">
        <v>590920300395</v>
      </c>
      <c r="C290">
        <v>10</v>
      </c>
      <c r="D290" s="13">
        <v>5957163003</v>
      </c>
      <c r="F290" t="s">
        <v>130</v>
      </c>
      <c r="G290">
        <v>0</v>
      </c>
      <c r="H290">
        <v>100</v>
      </c>
      <c r="K290">
        <v>2</v>
      </c>
      <c r="L290" t="s">
        <v>131</v>
      </c>
      <c r="M290" s="50">
        <v>44875</v>
      </c>
      <c r="N290" s="50">
        <v>2958465</v>
      </c>
      <c r="P290">
        <v>0</v>
      </c>
      <c r="U290">
        <v>4</v>
      </c>
      <c r="V290">
        <v>1</v>
      </c>
      <c r="W290" t="s">
        <v>132</v>
      </c>
      <c r="X290">
        <v>0</v>
      </c>
    </row>
    <row r="291" spans="1:24" x14ac:dyDescent="0.25">
      <c r="A291">
        <v>1</v>
      </c>
      <c r="B291" s="13">
        <v>590920300395</v>
      </c>
      <c r="C291">
        <v>20</v>
      </c>
      <c r="D291" s="13">
        <v>5957333003</v>
      </c>
      <c r="F291" t="s">
        <v>130</v>
      </c>
      <c r="G291">
        <v>0</v>
      </c>
      <c r="H291">
        <v>100</v>
      </c>
      <c r="K291">
        <v>1</v>
      </c>
      <c r="L291" t="s">
        <v>131</v>
      </c>
      <c r="M291" s="50">
        <v>44875</v>
      </c>
      <c r="N291" s="50">
        <v>2958465</v>
      </c>
      <c r="P291">
        <v>0</v>
      </c>
      <c r="U291">
        <v>4</v>
      </c>
      <c r="V291">
        <v>1</v>
      </c>
      <c r="W291" t="s">
        <v>132</v>
      </c>
      <c r="X291">
        <v>0</v>
      </c>
    </row>
    <row r="292" spans="1:24" x14ac:dyDescent="0.25">
      <c r="A292">
        <v>1</v>
      </c>
      <c r="B292" s="13">
        <v>590920300395</v>
      </c>
      <c r="C292">
        <v>30</v>
      </c>
      <c r="D292" s="13">
        <v>5957303003</v>
      </c>
      <c r="F292" t="s">
        <v>130</v>
      </c>
      <c r="G292">
        <v>0</v>
      </c>
      <c r="H292">
        <v>100</v>
      </c>
      <c r="K292">
        <v>1</v>
      </c>
      <c r="L292" t="s">
        <v>131</v>
      </c>
      <c r="M292" s="50">
        <v>44875</v>
      </c>
      <c r="N292" s="50">
        <v>2958465</v>
      </c>
      <c r="P292">
        <v>0</v>
      </c>
      <c r="U292">
        <v>4</v>
      </c>
      <c r="V292">
        <v>1</v>
      </c>
      <c r="W292" t="s">
        <v>132</v>
      </c>
      <c r="X292">
        <v>0</v>
      </c>
    </row>
    <row r="293" spans="1:24" x14ac:dyDescent="0.25">
      <c r="A293">
        <v>1</v>
      </c>
      <c r="B293" s="13">
        <v>590920300395</v>
      </c>
      <c r="C293">
        <v>40</v>
      </c>
      <c r="D293" s="13">
        <v>5957093003</v>
      </c>
      <c r="F293" t="s">
        <v>130</v>
      </c>
      <c r="G293">
        <v>0</v>
      </c>
      <c r="H293">
        <v>100</v>
      </c>
      <c r="K293">
        <v>1</v>
      </c>
      <c r="L293" t="s">
        <v>131</v>
      </c>
      <c r="M293" s="50">
        <v>44875</v>
      </c>
      <c r="N293" s="50">
        <v>2958465</v>
      </c>
      <c r="P293">
        <v>0</v>
      </c>
      <c r="U293">
        <v>4</v>
      </c>
      <c r="V293">
        <v>1</v>
      </c>
      <c r="W293" t="s">
        <v>132</v>
      </c>
      <c r="X293">
        <v>0</v>
      </c>
    </row>
    <row r="294" spans="1:24" x14ac:dyDescent="0.25">
      <c r="A294">
        <v>1</v>
      </c>
      <c r="B294" s="13">
        <v>590920300395</v>
      </c>
      <c r="C294">
        <v>50</v>
      </c>
      <c r="D294" s="13">
        <v>1018034</v>
      </c>
      <c r="F294" t="s">
        <v>130</v>
      </c>
      <c r="G294">
        <v>0</v>
      </c>
      <c r="H294">
        <v>100</v>
      </c>
      <c r="K294">
        <v>4</v>
      </c>
      <c r="L294" t="s">
        <v>131</v>
      </c>
      <c r="M294" s="50">
        <v>44875</v>
      </c>
      <c r="N294" s="50">
        <v>2958465</v>
      </c>
      <c r="P294">
        <v>0</v>
      </c>
      <c r="U294">
        <v>4</v>
      </c>
      <c r="V294">
        <v>1</v>
      </c>
      <c r="W294" t="s">
        <v>132</v>
      </c>
      <c r="X294">
        <v>0</v>
      </c>
    </row>
    <row r="295" spans="1:24" x14ac:dyDescent="0.25">
      <c r="A295">
        <v>1</v>
      </c>
      <c r="B295" s="13">
        <v>590920300395</v>
      </c>
      <c r="C295">
        <v>60</v>
      </c>
      <c r="D295" s="13">
        <v>1018359</v>
      </c>
      <c r="F295" t="s">
        <v>130</v>
      </c>
      <c r="G295">
        <v>0</v>
      </c>
      <c r="H295">
        <v>100</v>
      </c>
      <c r="K295">
        <v>10</v>
      </c>
      <c r="L295" t="s">
        <v>131</v>
      </c>
      <c r="M295" s="50">
        <v>44875</v>
      </c>
      <c r="N295" s="50">
        <v>2958465</v>
      </c>
      <c r="P295">
        <v>0</v>
      </c>
      <c r="U295">
        <v>4</v>
      </c>
      <c r="V295">
        <v>1</v>
      </c>
      <c r="W295" t="s">
        <v>132</v>
      </c>
      <c r="X295">
        <v>0</v>
      </c>
    </row>
    <row r="296" spans="1:24" x14ac:dyDescent="0.25">
      <c r="A296">
        <v>1</v>
      </c>
      <c r="B296" s="13">
        <v>590920300395</v>
      </c>
      <c r="C296">
        <v>70</v>
      </c>
      <c r="D296" s="13">
        <v>1022213</v>
      </c>
      <c r="F296" t="s">
        <v>130</v>
      </c>
      <c r="G296">
        <v>0</v>
      </c>
      <c r="H296">
        <v>100</v>
      </c>
      <c r="K296">
        <v>5.5919999999999996</v>
      </c>
      <c r="L296" t="s">
        <v>131</v>
      </c>
      <c r="M296" s="50">
        <v>44875</v>
      </c>
      <c r="N296" s="50">
        <v>2958465</v>
      </c>
      <c r="P296">
        <v>0</v>
      </c>
      <c r="U296">
        <v>4</v>
      </c>
      <c r="V296">
        <v>1</v>
      </c>
      <c r="W296" t="s">
        <v>132</v>
      </c>
      <c r="X296">
        <v>0</v>
      </c>
    </row>
    <row r="297" spans="1:24" x14ac:dyDescent="0.25">
      <c r="A297">
        <v>1</v>
      </c>
      <c r="B297" s="13">
        <v>590920300395</v>
      </c>
      <c r="C297">
        <v>80</v>
      </c>
      <c r="D297" s="13">
        <v>2.0202020202020199E+72</v>
      </c>
      <c r="F297" t="s">
        <v>130</v>
      </c>
      <c r="G297">
        <v>0</v>
      </c>
      <c r="H297">
        <v>100</v>
      </c>
      <c r="K297">
        <v>1</v>
      </c>
      <c r="L297" t="s">
        <v>131</v>
      </c>
      <c r="M297" s="50">
        <v>44875</v>
      </c>
      <c r="N297" s="50">
        <v>2958465</v>
      </c>
      <c r="P297">
        <v>0</v>
      </c>
      <c r="U297">
        <v>4</v>
      </c>
      <c r="V297">
        <v>1</v>
      </c>
      <c r="W297" t="s">
        <v>132</v>
      </c>
      <c r="X297">
        <v>0</v>
      </c>
    </row>
    <row r="298" spans="1:24" x14ac:dyDescent="0.25">
      <c r="A298">
        <v>1</v>
      </c>
      <c r="B298" s="13">
        <v>590920300495</v>
      </c>
      <c r="C298">
        <v>10</v>
      </c>
      <c r="D298" s="13">
        <v>5957163004</v>
      </c>
      <c r="F298" t="s">
        <v>130</v>
      </c>
      <c r="G298">
        <v>0</v>
      </c>
      <c r="H298">
        <v>100</v>
      </c>
      <c r="K298">
        <v>2</v>
      </c>
      <c r="L298" t="s">
        <v>131</v>
      </c>
      <c r="M298" s="50">
        <v>44875</v>
      </c>
      <c r="N298" s="50">
        <v>2958465</v>
      </c>
      <c r="P298">
        <v>0</v>
      </c>
      <c r="U298">
        <v>4</v>
      </c>
      <c r="V298">
        <v>1</v>
      </c>
      <c r="W298" t="s">
        <v>132</v>
      </c>
      <c r="X298">
        <v>0</v>
      </c>
    </row>
    <row r="299" spans="1:24" x14ac:dyDescent="0.25">
      <c r="A299">
        <v>1</v>
      </c>
      <c r="B299" s="13">
        <v>590920300495</v>
      </c>
      <c r="C299">
        <v>20</v>
      </c>
      <c r="D299" s="13">
        <v>5957333004</v>
      </c>
      <c r="F299" t="s">
        <v>130</v>
      </c>
      <c r="G299">
        <v>0</v>
      </c>
      <c r="H299">
        <v>100</v>
      </c>
      <c r="K299">
        <v>1</v>
      </c>
      <c r="L299" t="s">
        <v>131</v>
      </c>
      <c r="M299" s="50">
        <v>44875</v>
      </c>
      <c r="N299" s="50">
        <v>2958465</v>
      </c>
      <c r="P299">
        <v>0</v>
      </c>
      <c r="U299">
        <v>4</v>
      </c>
      <c r="V299">
        <v>1</v>
      </c>
      <c r="W299" t="s">
        <v>132</v>
      </c>
      <c r="X299">
        <v>0</v>
      </c>
    </row>
    <row r="300" spans="1:24" x14ac:dyDescent="0.25">
      <c r="A300">
        <v>1</v>
      </c>
      <c r="B300" s="13">
        <v>590920300495</v>
      </c>
      <c r="C300">
        <v>30</v>
      </c>
      <c r="D300" s="13">
        <v>5957303004</v>
      </c>
      <c r="F300" t="s">
        <v>130</v>
      </c>
      <c r="G300">
        <v>0</v>
      </c>
      <c r="H300">
        <v>100</v>
      </c>
      <c r="K300">
        <v>1</v>
      </c>
      <c r="L300" t="s">
        <v>131</v>
      </c>
      <c r="M300" s="50">
        <v>44875</v>
      </c>
      <c r="N300" s="50">
        <v>2958465</v>
      </c>
      <c r="P300">
        <v>0</v>
      </c>
      <c r="U300">
        <v>4</v>
      </c>
      <c r="V300">
        <v>1</v>
      </c>
      <c r="W300" t="s">
        <v>132</v>
      </c>
      <c r="X300">
        <v>0</v>
      </c>
    </row>
    <row r="301" spans="1:24" x14ac:dyDescent="0.25">
      <c r="A301">
        <v>1</v>
      </c>
      <c r="B301" s="13">
        <v>590920300495</v>
      </c>
      <c r="C301">
        <v>40</v>
      </c>
      <c r="D301" s="13">
        <v>5957093004</v>
      </c>
      <c r="F301" t="s">
        <v>130</v>
      </c>
      <c r="G301">
        <v>0</v>
      </c>
      <c r="H301">
        <v>100</v>
      </c>
      <c r="K301">
        <v>1</v>
      </c>
      <c r="L301" t="s">
        <v>131</v>
      </c>
      <c r="M301" s="50">
        <v>44875</v>
      </c>
      <c r="N301" s="50">
        <v>2958465</v>
      </c>
      <c r="P301">
        <v>0</v>
      </c>
      <c r="U301">
        <v>4</v>
      </c>
      <c r="V301">
        <v>1</v>
      </c>
      <c r="W301" t="s">
        <v>132</v>
      </c>
      <c r="X301">
        <v>0</v>
      </c>
    </row>
    <row r="302" spans="1:24" x14ac:dyDescent="0.25">
      <c r="A302">
        <v>1</v>
      </c>
      <c r="B302" s="13">
        <v>590920300495</v>
      </c>
      <c r="C302">
        <v>50</v>
      </c>
      <c r="D302" s="13">
        <v>1018034</v>
      </c>
      <c r="F302" t="s">
        <v>130</v>
      </c>
      <c r="G302">
        <v>0</v>
      </c>
      <c r="H302">
        <v>100</v>
      </c>
      <c r="K302">
        <v>4</v>
      </c>
      <c r="L302" t="s">
        <v>131</v>
      </c>
      <c r="M302" s="50">
        <v>44875</v>
      </c>
      <c r="N302" s="50">
        <v>2958465</v>
      </c>
      <c r="P302">
        <v>0</v>
      </c>
      <c r="U302">
        <v>4</v>
      </c>
      <c r="V302">
        <v>1</v>
      </c>
      <c r="W302" t="s">
        <v>132</v>
      </c>
      <c r="X302">
        <v>0</v>
      </c>
    </row>
    <row r="303" spans="1:24" x14ac:dyDescent="0.25">
      <c r="A303">
        <v>1</v>
      </c>
      <c r="B303" s="13">
        <v>590920300495</v>
      </c>
      <c r="C303">
        <v>60</v>
      </c>
      <c r="D303" s="13">
        <v>1022356</v>
      </c>
      <c r="F303" t="s">
        <v>130</v>
      </c>
      <c r="G303">
        <v>0</v>
      </c>
      <c r="H303">
        <v>100</v>
      </c>
      <c r="K303">
        <v>10</v>
      </c>
      <c r="L303" t="s">
        <v>131</v>
      </c>
      <c r="M303" s="50">
        <v>44875</v>
      </c>
      <c r="N303" s="50">
        <v>2958465</v>
      </c>
      <c r="P303">
        <v>0</v>
      </c>
      <c r="U303">
        <v>4</v>
      </c>
      <c r="V303">
        <v>1</v>
      </c>
      <c r="W303" t="s">
        <v>132</v>
      </c>
      <c r="X303">
        <v>0</v>
      </c>
    </row>
    <row r="304" spans="1:24" x14ac:dyDescent="0.25">
      <c r="A304">
        <v>1</v>
      </c>
      <c r="B304" s="13">
        <v>590920300495</v>
      </c>
      <c r="C304">
        <v>70</v>
      </c>
      <c r="D304" s="13">
        <v>1022213</v>
      </c>
      <c r="F304" t="s">
        <v>130</v>
      </c>
      <c r="G304">
        <v>0</v>
      </c>
      <c r="H304">
        <v>100</v>
      </c>
      <c r="K304">
        <v>5.5919999999999996</v>
      </c>
      <c r="L304" t="s">
        <v>131</v>
      </c>
      <c r="M304" s="50">
        <v>44875</v>
      </c>
      <c r="N304" s="50">
        <v>2958465</v>
      </c>
      <c r="P304">
        <v>0</v>
      </c>
      <c r="U304">
        <v>4</v>
      </c>
      <c r="V304">
        <v>1</v>
      </c>
      <c r="W304" t="s">
        <v>132</v>
      </c>
      <c r="X304">
        <v>0</v>
      </c>
    </row>
    <row r="305" spans="1:24" x14ac:dyDescent="0.25">
      <c r="A305">
        <v>1</v>
      </c>
      <c r="B305" s="13">
        <v>590920300495</v>
      </c>
      <c r="C305">
        <v>80</v>
      </c>
      <c r="D305" s="13">
        <v>2.0202020202020201E+74</v>
      </c>
      <c r="F305" t="s">
        <v>130</v>
      </c>
      <c r="G305">
        <v>0</v>
      </c>
      <c r="H305">
        <v>100</v>
      </c>
      <c r="K305">
        <v>1</v>
      </c>
      <c r="L305" t="s">
        <v>131</v>
      </c>
      <c r="M305" s="50">
        <v>44875</v>
      </c>
      <c r="N305" s="50">
        <v>2958465</v>
      </c>
      <c r="P305">
        <v>0</v>
      </c>
      <c r="U305">
        <v>4</v>
      </c>
      <c r="V305">
        <v>1</v>
      </c>
      <c r="W305" t="s">
        <v>132</v>
      </c>
      <c r="X305">
        <v>0</v>
      </c>
    </row>
    <row r="306" spans="1:24" x14ac:dyDescent="0.25">
      <c r="A306">
        <v>1</v>
      </c>
      <c r="B306" s="13">
        <v>590920300595</v>
      </c>
      <c r="C306">
        <v>10</v>
      </c>
      <c r="D306" s="13">
        <v>5957163005</v>
      </c>
      <c r="F306" t="s">
        <v>130</v>
      </c>
      <c r="G306">
        <v>0</v>
      </c>
      <c r="H306">
        <v>100</v>
      </c>
      <c r="K306">
        <v>2</v>
      </c>
      <c r="L306" t="s">
        <v>131</v>
      </c>
      <c r="M306" s="50">
        <v>44875</v>
      </c>
      <c r="N306" s="50">
        <v>2958465</v>
      </c>
      <c r="P306">
        <v>0</v>
      </c>
      <c r="U306">
        <v>4</v>
      </c>
      <c r="V306">
        <v>1</v>
      </c>
      <c r="W306" t="s">
        <v>132</v>
      </c>
      <c r="X306">
        <v>0</v>
      </c>
    </row>
    <row r="307" spans="1:24" x14ac:dyDescent="0.25">
      <c r="A307">
        <v>1</v>
      </c>
      <c r="B307" s="13">
        <v>590920300595</v>
      </c>
      <c r="C307">
        <v>20</v>
      </c>
      <c r="D307" s="13">
        <v>5957333005</v>
      </c>
      <c r="F307" t="s">
        <v>130</v>
      </c>
      <c r="G307">
        <v>0</v>
      </c>
      <c r="H307">
        <v>100</v>
      </c>
      <c r="K307">
        <v>1</v>
      </c>
      <c r="L307" t="s">
        <v>131</v>
      </c>
      <c r="M307" s="50">
        <v>44875</v>
      </c>
      <c r="N307" s="50">
        <v>2958465</v>
      </c>
      <c r="P307">
        <v>0</v>
      </c>
      <c r="U307">
        <v>4</v>
      </c>
      <c r="V307">
        <v>1</v>
      </c>
      <c r="W307" t="s">
        <v>132</v>
      </c>
      <c r="X307">
        <v>0</v>
      </c>
    </row>
    <row r="308" spans="1:24" x14ac:dyDescent="0.25">
      <c r="A308">
        <v>1</v>
      </c>
      <c r="B308" s="13">
        <v>590920300595</v>
      </c>
      <c r="C308">
        <v>30</v>
      </c>
      <c r="D308" s="13">
        <v>5957303005</v>
      </c>
      <c r="F308" t="s">
        <v>130</v>
      </c>
      <c r="G308">
        <v>0</v>
      </c>
      <c r="H308">
        <v>100</v>
      </c>
      <c r="K308">
        <v>1</v>
      </c>
      <c r="L308" t="s">
        <v>131</v>
      </c>
      <c r="M308" s="50">
        <v>44875</v>
      </c>
      <c r="N308" s="50">
        <v>2958465</v>
      </c>
      <c r="P308">
        <v>0</v>
      </c>
      <c r="U308">
        <v>4</v>
      </c>
      <c r="V308">
        <v>1</v>
      </c>
      <c r="W308" t="s">
        <v>132</v>
      </c>
      <c r="X308">
        <v>0</v>
      </c>
    </row>
    <row r="309" spans="1:24" x14ac:dyDescent="0.25">
      <c r="A309">
        <v>1</v>
      </c>
      <c r="B309" s="13">
        <v>590920300595</v>
      </c>
      <c r="C309">
        <v>40</v>
      </c>
      <c r="D309" s="13">
        <v>5957093005</v>
      </c>
      <c r="F309" t="s">
        <v>130</v>
      </c>
      <c r="G309">
        <v>0</v>
      </c>
      <c r="H309">
        <v>100</v>
      </c>
      <c r="K309">
        <v>1</v>
      </c>
      <c r="L309" t="s">
        <v>131</v>
      </c>
      <c r="M309" s="50">
        <v>44875</v>
      </c>
      <c r="N309" s="50">
        <v>2958465</v>
      </c>
      <c r="P309">
        <v>0</v>
      </c>
      <c r="U309">
        <v>4</v>
      </c>
      <c r="V309">
        <v>1</v>
      </c>
      <c r="W309" t="s">
        <v>132</v>
      </c>
      <c r="X309">
        <v>0</v>
      </c>
    </row>
    <row r="310" spans="1:24" x14ac:dyDescent="0.25">
      <c r="A310">
        <v>1</v>
      </c>
      <c r="B310" s="13">
        <v>590920300595</v>
      </c>
      <c r="C310">
        <v>50</v>
      </c>
      <c r="D310" s="13">
        <v>1018034</v>
      </c>
      <c r="F310" t="s">
        <v>130</v>
      </c>
      <c r="G310">
        <v>0</v>
      </c>
      <c r="H310">
        <v>100</v>
      </c>
      <c r="K310">
        <v>4</v>
      </c>
      <c r="L310" t="s">
        <v>131</v>
      </c>
      <c r="M310" s="50">
        <v>44875</v>
      </c>
      <c r="N310" s="50">
        <v>2958465</v>
      </c>
      <c r="P310">
        <v>0</v>
      </c>
      <c r="U310">
        <v>4</v>
      </c>
      <c r="V310">
        <v>1</v>
      </c>
      <c r="W310" t="s">
        <v>132</v>
      </c>
      <c r="X310">
        <v>0</v>
      </c>
    </row>
    <row r="311" spans="1:24" x14ac:dyDescent="0.25">
      <c r="A311">
        <v>1</v>
      </c>
      <c r="B311" s="13">
        <v>590920300595</v>
      </c>
      <c r="C311">
        <v>60</v>
      </c>
      <c r="D311" s="13">
        <v>1022356</v>
      </c>
      <c r="F311" t="s">
        <v>130</v>
      </c>
      <c r="G311">
        <v>0</v>
      </c>
      <c r="H311">
        <v>100</v>
      </c>
      <c r="K311">
        <v>10</v>
      </c>
      <c r="L311" t="s">
        <v>131</v>
      </c>
      <c r="M311" s="50">
        <v>44875</v>
      </c>
      <c r="N311" s="50">
        <v>2958465</v>
      </c>
      <c r="P311">
        <v>0</v>
      </c>
      <c r="U311">
        <v>4</v>
      </c>
      <c r="V311">
        <v>1</v>
      </c>
      <c r="W311" t="s">
        <v>132</v>
      </c>
      <c r="X311">
        <v>0</v>
      </c>
    </row>
    <row r="312" spans="1:24" x14ac:dyDescent="0.25">
      <c r="A312">
        <v>1</v>
      </c>
      <c r="B312" s="13">
        <v>590920300595</v>
      </c>
      <c r="C312">
        <v>70</v>
      </c>
      <c r="D312" s="13">
        <v>1022213</v>
      </c>
      <c r="F312" t="s">
        <v>130</v>
      </c>
      <c r="G312">
        <v>0</v>
      </c>
      <c r="H312">
        <v>100</v>
      </c>
      <c r="K312">
        <v>5.5919999999999996</v>
      </c>
      <c r="L312" t="s">
        <v>131</v>
      </c>
      <c r="M312" s="50">
        <v>44875</v>
      </c>
      <c r="N312" s="50">
        <v>2958465</v>
      </c>
      <c r="P312">
        <v>0</v>
      </c>
      <c r="U312">
        <v>4</v>
      </c>
      <c r="V312">
        <v>1</v>
      </c>
      <c r="W312" t="s">
        <v>132</v>
      </c>
      <c r="X312">
        <v>0</v>
      </c>
    </row>
    <row r="313" spans="1:24" x14ac:dyDescent="0.25">
      <c r="A313">
        <v>1</v>
      </c>
      <c r="B313" s="13">
        <v>590920300595</v>
      </c>
      <c r="C313">
        <v>80</v>
      </c>
      <c r="D313" s="13">
        <v>2.0202020202020201E+76</v>
      </c>
      <c r="F313" t="s">
        <v>130</v>
      </c>
      <c r="G313">
        <v>0</v>
      </c>
      <c r="H313">
        <v>100</v>
      </c>
      <c r="K313">
        <v>1</v>
      </c>
      <c r="L313" t="s">
        <v>131</v>
      </c>
      <c r="M313" s="50">
        <v>44875</v>
      </c>
      <c r="N313" s="50">
        <v>2958465</v>
      </c>
      <c r="P313">
        <v>0</v>
      </c>
      <c r="U313">
        <v>4</v>
      </c>
      <c r="V313">
        <v>1</v>
      </c>
      <c r="W313" t="s">
        <v>132</v>
      </c>
      <c r="X313">
        <v>0</v>
      </c>
    </row>
    <row r="314" spans="1:24" x14ac:dyDescent="0.25">
      <c r="A314">
        <v>1</v>
      </c>
      <c r="B314" s="13">
        <v>590920300695</v>
      </c>
      <c r="C314">
        <v>10</v>
      </c>
      <c r="D314" s="13">
        <v>5957163006</v>
      </c>
      <c r="F314" t="s">
        <v>130</v>
      </c>
      <c r="G314">
        <v>0</v>
      </c>
      <c r="H314">
        <v>100</v>
      </c>
      <c r="K314">
        <v>2</v>
      </c>
      <c r="L314" t="s">
        <v>131</v>
      </c>
      <c r="M314" s="50">
        <v>44875</v>
      </c>
      <c r="N314" s="50">
        <v>2958465</v>
      </c>
      <c r="P314">
        <v>0</v>
      </c>
      <c r="U314">
        <v>4</v>
      </c>
      <c r="V314">
        <v>1</v>
      </c>
      <c r="W314" t="s">
        <v>132</v>
      </c>
      <c r="X314">
        <v>0</v>
      </c>
    </row>
    <row r="315" spans="1:24" x14ac:dyDescent="0.25">
      <c r="A315">
        <v>1</v>
      </c>
      <c r="B315" s="13">
        <v>590920300695</v>
      </c>
      <c r="C315">
        <v>20</v>
      </c>
      <c r="D315" s="13">
        <v>5957333006</v>
      </c>
      <c r="F315" t="s">
        <v>130</v>
      </c>
      <c r="G315">
        <v>0</v>
      </c>
      <c r="H315">
        <v>100</v>
      </c>
      <c r="K315">
        <v>1</v>
      </c>
      <c r="L315" t="s">
        <v>131</v>
      </c>
      <c r="M315" s="50">
        <v>44875</v>
      </c>
      <c r="N315" s="50">
        <v>2958465</v>
      </c>
      <c r="P315">
        <v>0</v>
      </c>
      <c r="U315">
        <v>4</v>
      </c>
      <c r="V315">
        <v>1</v>
      </c>
      <c r="W315" t="s">
        <v>132</v>
      </c>
      <c r="X315">
        <v>0</v>
      </c>
    </row>
    <row r="316" spans="1:24" x14ac:dyDescent="0.25">
      <c r="A316">
        <v>1</v>
      </c>
      <c r="B316" s="13">
        <v>590920300695</v>
      </c>
      <c r="C316">
        <v>30</v>
      </c>
      <c r="D316" s="13">
        <v>5957303006</v>
      </c>
      <c r="F316" t="s">
        <v>130</v>
      </c>
      <c r="G316">
        <v>0</v>
      </c>
      <c r="H316">
        <v>100</v>
      </c>
      <c r="K316">
        <v>1</v>
      </c>
      <c r="L316" t="s">
        <v>131</v>
      </c>
      <c r="M316" s="50">
        <v>44875</v>
      </c>
      <c r="N316" s="50">
        <v>2958465</v>
      </c>
      <c r="P316">
        <v>0</v>
      </c>
      <c r="U316">
        <v>4</v>
      </c>
      <c r="V316">
        <v>1</v>
      </c>
      <c r="W316" t="s">
        <v>132</v>
      </c>
      <c r="X316">
        <v>0</v>
      </c>
    </row>
    <row r="317" spans="1:24" x14ac:dyDescent="0.25">
      <c r="A317">
        <v>1</v>
      </c>
      <c r="B317" s="13">
        <v>590920300695</v>
      </c>
      <c r="C317">
        <v>40</v>
      </c>
      <c r="D317" s="13">
        <v>5957093006</v>
      </c>
      <c r="F317" t="s">
        <v>130</v>
      </c>
      <c r="G317">
        <v>0</v>
      </c>
      <c r="H317">
        <v>100</v>
      </c>
      <c r="K317">
        <v>1</v>
      </c>
      <c r="L317" t="s">
        <v>131</v>
      </c>
      <c r="M317" s="50">
        <v>44875</v>
      </c>
      <c r="N317" s="50">
        <v>2958465</v>
      </c>
      <c r="P317">
        <v>0</v>
      </c>
      <c r="U317">
        <v>4</v>
      </c>
      <c r="V317">
        <v>1</v>
      </c>
      <c r="W317" t="s">
        <v>132</v>
      </c>
      <c r="X317">
        <v>0</v>
      </c>
    </row>
    <row r="318" spans="1:24" x14ac:dyDescent="0.25">
      <c r="A318">
        <v>1</v>
      </c>
      <c r="B318" s="13">
        <v>590920300695</v>
      </c>
      <c r="C318">
        <v>50</v>
      </c>
      <c r="D318" s="13">
        <v>1018034</v>
      </c>
      <c r="F318" t="s">
        <v>130</v>
      </c>
      <c r="G318">
        <v>0</v>
      </c>
      <c r="H318">
        <v>100</v>
      </c>
      <c r="K318">
        <v>4</v>
      </c>
      <c r="L318" t="s">
        <v>131</v>
      </c>
      <c r="M318" s="50">
        <v>44875</v>
      </c>
      <c r="N318" s="50">
        <v>2958465</v>
      </c>
      <c r="P318">
        <v>0</v>
      </c>
      <c r="U318">
        <v>4</v>
      </c>
      <c r="V318">
        <v>1</v>
      </c>
      <c r="W318" t="s">
        <v>132</v>
      </c>
      <c r="X318">
        <v>0</v>
      </c>
    </row>
    <row r="319" spans="1:24" x14ac:dyDescent="0.25">
      <c r="A319">
        <v>1</v>
      </c>
      <c r="B319" s="13">
        <v>590920300695</v>
      </c>
      <c r="C319">
        <v>60</v>
      </c>
      <c r="D319" s="13">
        <v>1018359</v>
      </c>
      <c r="F319" t="s">
        <v>130</v>
      </c>
      <c r="G319">
        <v>0</v>
      </c>
      <c r="H319">
        <v>100</v>
      </c>
      <c r="K319">
        <v>10</v>
      </c>
      <c r="L319" t="s">
        <v>131</v>
      </c>
      <c r="M319" s="50">
        <v>44875</v>
      </c>
      <c r="N319" s="50">
        <v>2958465</v>
      </c>
      <c r="P319">
        <v>0</v>
      </c>
      <c r="U319">
        <v>4</v>
      </c>
      <c r="V319">
        <v>1</v>
      </c>
      <c r="W319" t="s">
        <v>132</v>
      </c>
      <c r="X319">
        <v>0</v>
      </c>
    </row>
    <row r="320" spans="1:24" x14ac:dyDescent="0.25">
      <c r="A320">
        <v>1</v>
      </c>
      <c r="B320" s="13">
        <v>590920300695</v>
      </c>
      <c r="C320">
        <v>70</v>
      </c>
      <c r="D320" s="13">
        <v>1022213</v>
      </c>
      <c r="F320" t="s">
        <v>130</v>
      </c>
      <c r="G320">
        <v>0</v>
      </c>
      <c r="H320">
        <v>100</v>
      </c>
      <c r="K320">
        <v>5.5919999999999996</v>
      </c>
      <c r="L320" t="s">
        <v>131</v>
      </c>
      <c r="M320" s="50">
        <v>44875</v>
      </c>
      <c r="N320" s="50">
        <v>2958465</v>
      </c>
      <c r="P320">
        <v>0</v>
      </c>
      <c r="U320">
        <v>4</v>
      </c>
      <c r="V320">
        <v>1</v>
      </c>
      <c r="W320" t="s">
        <v>132</v>
      </c>
      <c r="X320">
        <v>0</v>
      </c>
    </row>
    <row r="321" spans="1:24" x14ac:dyDescent="0.25">
      <c r="A321">
        <v>1</v>
      </c>
      <c r="B321" s="13">
        <v>590920300695</v>
      </c>
      <c r="C321">
        <v>80</v>
      </c>
      <c r="D321" s="13">
        <v>2.0202020202020199E+78</v>
      </c>
      <c r="F321" t="s">
        <v>130</v>
      </c>
      <c r="G321">
        <v>0</v>
      </c>
      <c r="H321">
        <v>100</v>
      </c>
      <c r="K321">
        <v>1</v>
      </c>
      <c r="L321" t="s">
        <v>131</v>
      </c>
      <c r="M321" s="50">
        <v>44875</v>
      </c>
      <c r="N321" s="50">
        <v>2958465</v>
      </c>
      <c r="P321">
        <v>0</v>
      </c>
      <c r="U321">
        <v>4</v>
      </c>
      <c r="V321">
        <v>1</v>
      </c>
      <c r="W321" t="s">
        <v>132</v>
      </c>
      <c r="X321">
        <v>0</v>
      </c>
    </row>
    <row r="322" spans="1:24" x14ac:dyDescent="0.25">
      <c r="A322">
        <v>1</v>
      </c>
      <c r="B322" s="13">
        <v>590920300795</v>
      </c>
      <c r="C322">
        <v>10</v>
      </c>
      <c r="D322" s="13">
        <v>5957163007</v>
      </c>
      <c r="F322" t="s">
        <v>130</v>
      </c>
      <c r="G322">
        <v>0</v>
      </c>
      <c r="H322">
        <v>100</v>
      </c>
      <c r="K322">
        <v>2</v>
      </c>
      <c r="L322" t="s">
        <v>131</v>
      </c>
      <c r="M322" s="50">
        <v>44875</v>
      </c>
      <c r="N322" s="50">
        <v>2958465</v>
      </c>
      <c r="P322">
        <v>0</v>
      </c>
      <c r="U322">
        <v>4</v>
      </c>
      <c r="V322">
        <v>1</v>
      </c>
      <c r="W322" t="s">
        <v>132</v>
      </c>
      <c r="X322">
        <v>0</v>
      </c>
    </row>
    <row r="323" spans="1:24" x14ac:dyDescent="0.25">
      <c r="A323">
        <v>1</v>
      </c>
      <c r="B323" s="13">
        <v>590920300795</v>
      </c>
      <c r="C323">
        <v>20</v>
      </c>
      <c r="D323" s="13">
        <v>5957333007</v>
      </c>
      <c r="F323" t="s">
        <v>130</v>
      </c>
      <c r="G323">
        <v>0</v>
      </c>
      <c r="H323">
        <v>100</v>
      </c>
      <c r="K323">
        <v>1</v>
      </c>
      <c r="L323" t="s">
        <v>131</v>
      </c>
      <c r="M323" s="50">
        <v>44875</v>
      </c>
      <c r="N323" s="50">
        <v>2958465</v>
      </c>
      <c r="P323">
        <v>0</v>
      </c>
      <c r="U323">
        <v>4</v>
      </c>
      <c r="V323">
        <v>1</v>
      </c>
      <c r="W323" t="s">
        <v>132</v>
      </c>
      <c r="X323">
        <v>0</v>
      </c>
    </row>
    <row r="324" spans="1:24" x14ac:dyDescent="0.25">
      <c r="A324">
        <v>1</v>
      </c>
      <c r="B324" s="13">
        <v>590920300795</v>
      </c>
      <c r="C324">
        <v>30</v>
      </c>
      <c r="D324" s="13">
        <v>5957303007</v>
      </c>
      <c r="F324" t="s">
        <v>130</v>
      </c>
      <c r="G324">
        <v>0</v>
      </c>
      <c r="H324">
        <v>100</v>
      </c>
      <c r="K324">
        <v>1</v>
      </c>
      <c r="L324" t="s">
        <v>131</v>
      </c>
      <c r="M324" s="50">
        <v>44875</v>
      </c>
      <c r="N324" s="50">
        <v>2958465</v>
      </c>
      <c r="P324">
        <v>0</v>
      </c>
      <c r="U324">
        <v>4</v>
      </c>
      <c r="V324">
        <v>1</v>
      </c>
      <c r="W324" t="s">
        <v>132</v>
      </c>
      <c r="X324">
        <v>0</v>
      </c>
    </row>
    <row r="325" spans="1:24" x14ac:dyDescent="0.25">
      <c r="A325">
        <v>1</v>
      </c>
      <c r="B325" s="13">
        <v>590920300795</v>
      </c>
      <c r="C325">
        <v>40</v>
      </c>
      <c r="D325" s="13">
        <v>5957093007</v>
      </c>
      <c r="F325" t="s">
        <v>130</v>
      </c>
      <c r="G325">
        <v>0</v>
      </c>
      <c r="H325">
        <v>100</v>
      </c>
      <c r="K325">
        <v>1</v>
      </c>
      <c r="L325" t="s">
        <v>131</v>
      </c>
      <c r="M325" s="50">
        <v>44875</v>
      </c>
      <c r="N325" s="50">
        <v>2958465</v>
      </c>
      <c r="P325">
        <v>0</v>
      </c>
      <c r="U325">
        <v>4</v>
      </c>
      <c r="V325">
        <v>1</v>
      </c>
      <c r="W325" t="s">
        <v>132</v>
      </c>
      <c r="X325">
        <v>0</v>
      </c>
    </row>
    <row r="326" spans="1:24" x14ac:dyDescent="0.25">
      <c r="A326">
        <v>1</v>
      </c>
      <c r="B326" s="13">
        <v>590920300795</v>
      </c>
      <c r="C326">
        <v>50</v>
      </c>
      <c r="D326" s="13">
        <v>1018034</v>
      </c>
      <c r="F326" t="s">
        <v>130</v>
      </c>
      <c r="G326">
        <v>0</v>
      </c>
      <c r="H326">
        <v>100</v>
      </c>
      <c r="K326">
        <v>4</v>
      </c>
      <c r="L326" t="s">
        <v>131</v>
      </c>
      <c r="M326" s="50">
        <v>44875</v>
      </c>
      <c r="N326" s="50">
        <v>2958465</v>
      </c>
      <c r="P326">
        <v>0</v>
      </c>
      <c r="U326">
        <v>4</v>
      </c>
      <c r="V326">
        <v>1</v>
      </c>
      <c r="W326" t="s">
        <v>132</v>
      </c>
      <c r="X326">
        <v>0</v>
      </c>
    </row>
    <row r="327" spans="1:24" x14ac:dyDescent="0.25">
      <c r="A327">
        <v>1</v>
      </c>
      <c r="B327" s="13">
        <v>590920300795</v>
      </c>
      <c r="C327">
        <v>60</v>
      </c>
      <c r="D327" s="13">
        <v>1018359</v>
      </c>
      <c r="F327" t="s">
        <v>130</v>
      </c>
      <c r="G327">
        <v>0</v>
      </c>
      <c r="H327">
        <v>100</v>
      </c>
      <c r="K327">
        <v>10</v>
      </c>
      <c r="L327" t="s">
        <v>131</v>
      </c>
      <c r="M327" s="50">
        <v>44875</v>
      </c>
      <c r="N327" s="50">
        <v>2958465</v>
      </c>
      <c r="P327">
        <v>0</v>
      </c>
      <c r="U327">
        <v>4</v>
      </c>
      <c r="V327">
        <v>1</v>
      </c>
      <c r="W327" t="s">
        <v>132</v>
      </c>
      <c r="X327">
        <v>0</v>
      </c>
    </row>
    <row r="328" spans="1:24" x14ac:dyDescent="0.25">
      <c r="A328">
        <v>1</v>
      </c>
      <c r="B328" s="13">
        <v>590920300795</v>
      </c>
      <c r="C328">
        <v>70</v>
      </c>
      <c r="D328" s="13">
        <v>1022213</v>
      </c>
      <c r="F328" t="s">
        <v>130</v>
      </c>
      <c r="G328">
        <v>0</v>
      </c>
      <c r="H328">
        <v>100</v>
      </c>
      <c r="K328">
        <v>5.5919999999999996</v>
      </c>
      <c r="L328" t="s">
        <v>131</v>
      </c>
      <c r="M328" s="50">
        <v>44875</v>
      </c>
      <c r="N328" s="50">
        <v>2958465</v>
      </c>
      <c r="P328">
        <v>0</v>
      </c>
      <c r="U328">
        <v>4</v>
      </c>
      <c r="V328">
        <v>1</v>
      </c>
      <c r="W328" t="s">
        <v>132</v>
      </c>
      <c r="X328">
        <v>0</v>
      </c>
    </row>
    <row r="329" spans="1:24" x14ac:dyDescent="0.25">
      <c r="A329">
        <v>1</v>
      </c>
      <c r="B329" s="13">
        <v>590920300795</v>
      </c>
      <c r="C329">
        <v>80</v>
      </c>
      <c r="D329" s="13">
        <v>2.0202020202020201E+80</v>
      </c>
      <c r="F329" t="s">
        <v>130</v>
      </c>
      <c r="G329">
        <v>0</v>
      </c>
      <c r="H329">
        <v>100</v>
      </c>
      <c r="K329">
        <v>1</v>
      </c>
      <c r="L329" t="s">
        <v>131</v>
      </c>
      <c r="M329" s="50">
        <v>44875</v>
      </c>
      <c r="N329" s="50">
        <v>2958465</v>
      </c>
      <c r="P329">
        <v>0</v>
      </c>
      <c r="U329">
        <v>4</v>
      </c>
      <c r="V329">
        <v>1</v>
      </c>
      <c r="W329" t="s">
        <v>132</v>
      </c>
      <c r="X329">
        <v>0</v>
      </c>
    </row>
    <row r="330" spans="1:24" x14ac:dyDescent="0.25">
      <c r="A330">
        <v>1</v>
      </c>
      <c r="B330" s="13">
        <v>590920300895</v>
      </c>
      <c r="C330">
        <v>10</v>
      </c>
      <c r="D330" s="13">
        <v>5957163008</v>
      </c>
      <c r="F330" t="s">
        <v>130</v>
      </c>
      <c r="G330">
        <v>0</v>
      </c>
      <c r="H330">
        <v>100</v>
      </c>
      <c r="K330">
        <v>2</v>
      </c>
      <c r="L330" t="s">
        <v>131</v>
      </c>
      <c r="M330" s="50">
        <v>44875</v>
      </c>
      <c r="N330" s="50">
        <v>2958465</v>
      </c>
      <c r="P330">
        <v>0</v>
      </c>
      <c r="U330">
        <v>4</v>
      </c>
      <c r="V330">
        <v>1</v>
      </c>
      <c r="W330" t="s">
        <v>132</v>
      </c>
      <c r="X330">
        <v>0</v>
      </c>
    </row>
    <row r="331" spans="1:24" x14ac:dyDescent="0.25">
      <c r="A331">
        <v>1</v>
      </c>
      <c r="B331" s="13">
        <v>590920300895</v>
      </c>
      <c r="C331">
        <v>20</v>
      </c>
      <c r="D331" s="13">
        <v>5957333008</v>
      </c>
      <c r="F331" t="s">
        <v>130</v>
      </c>
      <c r="G331">
        <v>0</v>
      </c>
      <c r="H331">
        <v>100</v>
      </c>
      <c r="K331">
        <v>1</v>
      </c>
      <c r="L331" t="s">
        <v>131</v>
      </c>
      <c r="M331" s="50">
        <v>44875</v>
      </c>
      <c r="N331" s="50">
        <v>2958465</v>
      </c>
      <c r="P331">
        <v>0</v>
      </c>
      <c r="U331">
        <v>4</v>
      </c>
      <c r="V331">
        <v>1</v>
      </c>
      <c r="W331" t="s">
        <v>132</v>
      </c>
      <c r="X331">
        <v>0</v>
      </c>
    </row>
    <row r="332" spans="1:24" x14ac:dyDescent="0.25">
      <c r="A332">
        <v>1</v>
      </c>
      <c r="B332" s="13">
        <v>590920300895</v>
      </c>
      <c r="C332">
        <v>30</v>
      </c>
      <c r="D332" s="13">
        <v>5957303008</v>
      </c>
      <c r="F332" t="s">
        <v>130</v>
      </c>
      <c r="G332">
        <v>0</v>
      </c>
      <c r="H332">
        <v>100</v>
      </c>
      <c r="K332">
        <v>1</v>
      </c>
      <c r="L332" t="s">
        <v>131</v>
      </c>
      <c r="M332" s="50">
        <v>44875</v>
      </c>
      <c r="N332" s="50">
        <v>2958465</v>
      </c>
      <c r="P332">
        <v>0</v>
      </c>
      <c r="U332">
        <v>4</v>
      </c>
      <c r="V332">
        <v>1</v>
      </c>
      <c r="W332" t="s">
        <v>132</v>
      </c>
      <c r="X332">
        <v>0</v>
      </c>
    </row>
    <row r="333" spans="1:24" x14ac:dyDescent="0.25">
      <c r="A333">
        <v>1</v>
      </c>
      <c r="B333" s="13">
        <v>590920300895</v>
      </c>
      <c r="C333">
        <v>40</v>
      </c>
      <c r="D333" s="13">
        <v>5957093008</v>
      </c>
      <c r="F333" t="s">
        <v>130</v>
      </c>
      <c r="G333">
        <v>0</v>
      </c>
      <c r="H333">
        <v>100</v>
      </c>
      <c r="K333">
        <v>1</v>
      </c>
      <c r="L333" t="s">
        <v>131</v>
      </c>
      <c r="M333" s="50">
        <v>44875</v>
      </c>
      <c r="N333" s="50">
        <v>2958465</v>
      </c>
      <c r="P333">
        <v>0</v>
      </c>
      <c r="U333">
        <v>4</v>
      </c>
      <c r="V333">
        <v>1</v>
      </c>
      <c r="W333" t="s">
        <v>132</v>
      </c>
      <c r="X333">
        <v>0</v>
      </c>
    </row>
    <row r="334" spans="1:24" x14ac:dyDescent="0.25">
      <c r="A334">
        <v>1</v>
      </c>
      <c r="B334" s="13">
        <v>590920300895</v>
      </c>
      <c r="C334">
        <v>50</v>
      </c>
      <c r="D334" s="13">
        <v>1018034</v>
      </c>
      <c r="F334" t="s">
        <v>130</v>
      </c>
      <c r="G334">
        <v>0</v>
      </c>
      <c r="H334">
        <v>100</v>
      </c>
      <c r="K334">
        <v>4</v>
      </c>
      <c r="L334" t="s">
        <v>131</v>
      </c>
      <c r="M334" s="50">
        <v>44875</v>
      </c>
      <c r="N334" s="50">
        <v>2958465</v>
      </c>
      <c r="P334">
        <v>0</v>
      </c>
      <c r="U334">
        <v>4</v>
      </c>
      <c r="V334">
        <v>1</v>
      </c>
      <c r="W334" t="s">
        <v>132</v>
      </c>
      <c r="X334">
        <v>0</v>
      </c>
    </row>
    <row r="335" spans="1:24" x14ac:dyDescent="0.25">
      <c r="A335">
        <v>1</v>
      </c>
      <c r="B335" s="13">
        <v>590920300895</v>
      </c>
      <c r="C335">
        <v>60</v>
      </c>
      <c r="D335" s="13">
        <v>1022356</v>
      </c>
      <c r="F335" t="s">
        <v>130</v>
      </c>
      <c r="G335">
        <v>0</v>
      </c>
      <c r="H335">
        <v>100</v>
      </c>
      <c r="K335">
        <v>10</v>
      </c>
      <c r="L335" t="s">
        <v>131</v>
      </c>
      <c r="M335" s="50">
        <v>44875</v>
      </c>
      <c r="N335" s="50">
        <v>2958465</v>
      </c>
      <c r="P335">
        <v>0</v>
      </c>
      <c r="U335">
        <v>4</v>
      </c>
      <c r="V335">
        <v>1</v>
      </c>
      <c r="W335" t="s">
        <v>132</v>
      </c>
      <c r="X335">
        <v>0</v>
      </c>
    </row>
    <row r="336" spans="1:24" x14ac:dyDescent="0.25">
      <c r="A336">
        <v>1</v>
      </c>
      <c r="B336" s="13">
        <v>590920300895</v>
      </c>
      <c r="C336">
        <v>70</v>
      </c>
      <c r="D336" s="13">
        <v>1022213</v>
      </c>
      <c r="F336" t="s">
        <v>130</v>
      </c>
      <c r="G336">
        <v>0</v>
      </c>
      <c r="H336">
        <v>100</v>
      </c>
      <c r="K336">
        <v>5.5919999999999996</v>
      </c>
      <c r="L336" t="s">
        <v>131</v>
      </c>
      <c r="M336" s="50">
        <v>44875</v>
      </c>
      <c r="N336" s="50">
        <v>2958465</v>
      </c>
      <c r="P336">
        <v>0</v>
      </c>
      <c r="U336">
        <v>4</v>
      </c>
      <c r="V336">
        <v>1</v>
      </c>
      <c r="W336" t="s">
        <v>132</v>
      </c>
      <c r="X336">
        <v>0</v>
      </c>
    </row>
    <row r="337" spans="1:24" x14ac:dyDescent="0.25">
      <c r="A337">
        <v>1</v>
      </c>
      <c r="B337" s="13">
        <v>590920300895</v>
      </c>
      <c r="C337">
        <v>80</v>
      </c>
      <c r="D337" s="13">
        <v>2.0202020202020202E+82</v>
      </c>
      <c r="F337" t="s">
        <v>130</v>
      </c>
      <c r="G337">
        <v>0</v>
      </c>
      <c r="H337">
        <v>100</v>
      </c>
      <c r="K337">
        <v>1</v>
      </c>
      <c r="L337" t="s">
        <v>131</v>
      </c>
      <c r="M337" s="50">
        <v>44875</v>
      </c>
      <c r="N337" s="50">
        <v>2958465</v>
      </c>
      <c r="P337">
        <v>0</v>
      </c>
      <c r="U337">
        <v>4</v>
      </c>
      <c r="V337">
        <v>1</v>
      </c>
      <c r="W337" t="s">
        <v>132</v>
      </c>
      <c r="X337">
        <v>0</v>
      </c>
    </row>
    <row r="338" spans="1:24" x14ac:dyDescent="0.25">
      <c r="A338">
        <v>1</v>
      </c>
      <c r="B338" s="13">
        <v>590920300995</v>
      </c>
      <c r="C338">
        <v>10</v>
      </c>
      <c r="D338" s="13">
        <v>5957163009</v>
      </c>
      <c r="F338" t="s">
        <v>130</v>
      </c>
      <c r="G338">
        <v>0</v>
      </c>
      <c r="H338">
        <v>100</v>
      </c>
      <c r="K338">
        <v>2</v>
      </c>
      <c r="L338" t="s">
        <v>131</v>
      </c>
      <c r="M338" s="50">
        <v>44875</v>
      </c>
      <c r="N338" s="50">
        <v>2958465</v>
      </c>
      <c r="P338">
        <v>0</v>
      </c>
      <c r="U338">
        <v>4</v>
      </c>
      <c r="V338">
        <v>1</v>
      </c>
      <c r="W338" t="s">
        <v>132</v>
      </c>
      <c r="X338">
        <v>0</v>
      </c>
    </row>
    <row r="339" spans="1:24" x14ac:dyDescent="0.25">
      <c r="A339">
        <v>1</v>
      </c>
      <c r="B339" s="13">
        <v>590920300995</v>
      </c>
      <c r="C339">
        <v>20</v>
      </c>
      <c r="D339" s="13">
        <v>5957333009</v>
      </c>
      <c r="F339" t="s">
        <v>130</v>
      </c>
      <c r="G339">
        <v>0</v>
      </c>
      <c r="H339">
        <v>100</v>
      </c>
      <c r="K339">
        <v>1</v>
      </c>
      <c r="L339" t="s">
        <v>131</v>
      </c>
      <c r="M339" s="50">
        <v>44875</v>
      </c>
      <c r="N339" s="50">
        <v>2958465</v>
      </c>
      <c r="P339">
        <v>0</v>
      </c>
      <c r="U339">
        <v>4</v>
      </c>
      <c r="V339">
        <v>1</v>
      </c>
      <c r="W339" t="s">
        <v>132</v>
      </c>
      <c r="X339">
        <v>0</v>
      </c>
    </row>
    <row r="340" spans="1:24" x14ac:dyDescent="0.25">
      <c r="A340">
        <v>1</v>
      </c>
      <c r="B340" s="13">
        <v>590920300995</v>
      </c>
      <c r="C340">
        <v>30</v>
      </c>
      <c r="D340" s="13">
        <v>5957303009</v>
      </c>
      <c r="F340" t="s">
        <v>130</v>
      </c>
      <c r="G340">
        <v>0</v>
      </c>
      <c r="H340">
        <v>100</v>
      </c>
      <c r="K340">
        <v>1</v>
      </c>
      <c r="L340" t="s">
        <v>131</v>
      </c>
      <c r="M340" s="50">
        <v>44875</v>
      </c>
      <c r="N340" s="50">
        <v>2958465</v>
      </c>
      <c r="P340">
        <v>0</v>
      </c>
      <c r="U340">
        <v>4</v>
      </c>
      <c r="V340">
        <v>1</v>
      </c>
      <c r="W340" t="s">
        <v>132</v>
      </c>
      <c r="X340">
        <v>0</v>
      </c>
    </row>
    <row r="341" spans="1:24" x14ac:dyDescent="0.25">
      <c r="A341">
        <v>1</v>
      </c>
      <c r="B341" s="13">
        <v>590920300995</v>
      </c>
      <c r="C341">
        <v>40</v>
      </c>
      <c r="D341" s="13">
        <v>5957093009</v>
      </c>
      <c r="F341" t="s">
        <v>130</v>
      </c>
      <c r="G341">
        <v>0</v>
      </c>
      <c r="H341">
        <v>100</v>
      </c>
      <c r="K341">
        <v>1</v>
      </c>
      <c r="L341" t="s">
        <v>131</v>
      </c>
      <c r="M341" s="50">
        <v>44875</v>
      </c>
      <c r="N341" s="50">
        <v>2958465</v>
      </c>
      <c r="P341">
        <v>0</v>
      </c>
      <c r="U341">
        <v>4</v>
      </c>
      <c r="V341">
        <v>1</v>
      </c>
      <c r="W341" t="s">
        <v>132</v>
      </c>
      <c r="X341">
        <v>0</v>
      </c>
    </row>
    <row r="342" spans="1:24" x14ac:dyDescent="0.25">
      <c r="A342">
        <v>1</v>
      </c>
      <c r="B342" s="13">
        <v>590920300995</v>
      </c>
      <c r="C342">
        <v>50</v>
      </c>
      <c r="D342" s="13">
        <v>1018034</v>
      </c>
      <c r="F342" t="s">
        <v>130</v>
      </c>
      <c r="G342">
        <v>0</v>
      </c>
      <c r="H342">
        <v>100</v>
      </c>
      <c r="K342">
        <v>4</v>
      </c>
      <c r="L342" t="s">
        <v>131</v>
      </c>
      <c r="M342" s="50">
        <v>44875</v>
      </c>
      <c r="N342" s="50">
        <v>2958465</v>
      </c>
      <c r="P342">
        <v>0</v>
      </c>
      <c r="U342">
        <v>4</v>
      </c>
      <c r="V342">
        <v>1</v>
      </c>
      <c r="W342" t="s">
        <v>132</v>
      </c>
      <c r="X342">
        <v>0</v>
      </c>
    </row>
    <row r="343" spans="1:24" x14ac:dyDescent="0.25">
      <c r="A343">
        <v>1</v>
      </c>
      <c r="B343" s="13">
        <v>590920300995</v>
      </c>
      <c r="C343">
        <v>60</v>
      </c>
      <c r="D343" s="13">
        <v>1018359</v>
      </c>
      <c r="F343" t="s">
        <v>130</v>
      </c>
      <c r="G343">
        <v>0</v>
      </c>
      <c r="H343">
        <v>100</v>
      </c>
      <c r="K343">
        <v>10</v>
      </c>
      <c r="L343" t="s">
        <v>131</v>
      </c>
      <c r="M343" s="50">
        <v>44875</v>
      </c>
      <c r="N343" s="50">
        <v>2958465</v>
      </c>
      <c r="P343">
        <v>0</v>
      </c>
      <c r="U343">
        <v>4</v>
      </c>
      <c r="V343">
        <v>1</v>
      </c>
      <c r="W343" t="s">
        <v>132</v>
      </c>
      <c r="X343">
        <v>0</v>
      </c>
    </row>
    <row r="344" spans="1:24" x14ac:dyDescent="0.25">
      <c r="A344">
        <v>1</v>
      </c>
      <c r="B344" s="13">
        <v>590920300995</v>
      </c>
      <c r="C344">
        <v>70</v>
      </c>
      <c r="D344" s="13">
        <v>1022213</v>
      </c>
      <c r="F344" t="s">
        <v>130</v>
      </c>
      <c r="G344">
        <v>0</v>
      </c>
      <c r="H344">
        <v>100</v>
      </c>
      <c r="K344">
        <v>5.5919999999999996</v>
      </c>
      <c r="L344" t="s">
        <v>131</v>
      </c>
      <c r="M344" s="50">
        <v>44875</v>
      </c>
      <c r="N344" s="50">
        <v>2958465</v>
      </c>
      <c r="P344">
        <v>0</v>
      </c>
      <c r="U344">
        <v>4</v>
      </c>
      <c r="V344">
        <v>1</v>
      </c>
      <c r="W344" t="s">
        <v>132</v>
      </c>
      <c r="X344">
        <v>0</v>
      </c>
    </row>
    <row r="345" spans="1:24" x14ac:dyDescent="0.25">
      <c r="A345">
        <v>1</v>
      </c>
      <c r="B345" s="13">
        <v>590920300995</v>
      </c>
      <c r="C345">
        <v>80</v>
      </c>
      <c r="D345" s="13">
        <v>2.0202020202020199E+84</v>
      </c>
      <c r="F345" t="s">
        <v>130</v>
      </c>
      <c r="G345">
        <v>0</v>
      </c>
      <c r="H345">
        <v>100</v>
      </c>
      <c r="K345">
        <v>1</v>
      </c>
      <c r="L345" t="s">
        <v>131</v>
      </c>
      <c r="M345" s="50">
        <v>44875</v>
      </c>
      <c r="N345" s="50">
        <v>2958465</v>
      </c>
      <c r="P345">
        <v>0</v>
      </c>
      <c r="U345">
        <v>4</v>
      </c>
      <c r="V345">
        <v>1</v>
      </c>
      <c r="W345" t="s">
        <v>132</v>
      </c>
      <c r="X345">
        <v>0</v>
      </c>
    </row>
    <row r="346" spans="1:24" x14ac:dyDescent="0.25">
      <c r="A346">
        <v>1</v>
      </c>
      <c r="B346" s="13">
        <v>590920301095</v>
      </c>
      <c r="C346">
        <v>10</v>
      </c>
      <c r="D346" s="13">
        <v>5957163010</v>
      </c>
      <c r="F346" t="s">
        <v>130</v>
      </c>
      <c r="G346">
        <v>0</v>
      </c>
      <c r="H346">
        <v>100</v>
      </c>
      <c r="K346">
        <v>2</v>
      </c>
      <c r="L346" t="s">
        <v>131</v>
      </c>
      <c r="M346" s="50">
        <v>44875</v>
      </c>
      <c r="N346" s="50">
        <v>2958465</v>
      </c>
      <c r="P346">
        <v>0</v>
      </c>
      <c r="U346">
        <v>4</v>
      </c>
      <c r="V346">
        <v>1</v>
      </c>
      <c r="W346" t="s">
        <v>132</v>
      </c>
      <c r="X346">
        <v>0</v>
      </c>
    </row>
    <row r="347" spans="1:24" x14ac:dyDescent="0.25">
      <c r="A347">
        <v>1</v>
      </c>
      <c r="B347" s="13">
        <v>590920301095</v>
      </c>
      <c r="C347">
        <v>20</v>
      </c>
      <c r="D347" s="13">
        <v>5957333010</v>
      </c>
      <c r="F347" t="s">
        <v>130</v>
      </c>
      <c r="G347">
        <v>0</v>
      </c>
      <c r="H347">
        <v>100</v>
      </c>
      <c r="K347">
        <v>1</v>
      </c>
      <c r="L347" t="s">
        <v>131</v>
      </c>
      <c r="M347" s="50">
        <v>44875</v>
      </c>
      <c r="N347" s="50">
        <v>2958465</v>
      </c>
      <c r="P347">
        <v>0</v>
      </c>
      <c r="U347">
        <v>4</v>
      </c>
      <c r="V347">
        <v>1</v>
      </c>
      <c r="W347" t="s">
        <v>132</v>
      </c>
      <c r="X347">
        <v>0</v>
      </c>
    </row>
    <row r="348" spans="1:24" x14ac:dyDescent="0.25">
      <c r="A348">
        <v>1</v>
      </c>
      <c r="B348" s="13">
        <v>590920301095</v>
      </c>
      <c r="C348">
        <v>30</v>
      </c>
      <c r="D348" s="13">
        <v>5957303010</v>
      </c>
      <c r="F348" t="s">
        <v>130</v>
      </c>
      <c r="G348">
        <v>0</v>
      </c>
      <c r="H348">
        <v>100</v>
      </c>
      <c r="K348">
        <v>1</v>
      </c>
      <c r="L348" t="s">
        <v>131</v>
      </c>
      <c r="M348" s="50">
        <v>44875</v>
      </c>
      <c r="N348" s="50">
        <v>2958465</v>
      </c>
      <c r="P348">
        <v>0</v>
      </c>
      <c r="U348">
        <v>4</v>
      </c>
      <c r="V348">
        <v>1</v>
      </c>
      <c r="W348" t="s">
        <v>132</v>
      </c>
      <c r="X348">
        <v>0</v>
      </c>
    </row>
    <row r="349" spans="1:24" x14ac:dyDescent="0.25">
      <c r="A349">
        <v>1</v>
      </c>
      <c r="B349" s="13">
        <v>590920301095</v>
      </c>
      <c r="C349">
        <v>40</v>
      </c>
      <c r="D349" s="13">
        <v>5957093010</v>
      </c>
      <c r="F349" t="s">
        <v>130</v>
      </c>
      <c r="G349">
        <v>0</v>
      </c>
      <c r="H349">
        <v>100</v>
      </c>
      <c r="K349">
        <v>1</v>
      </c>
      <c r="L349" t="s">
        <v>131</v>
      </c>
      <c r="M349" s="50">
        <v>44875</v>
      </c>
      <c r="N349" s="50">
        <v>2958465</v>
      </c>
      <c r="P349">
        <v>0</v>
      </c>
      <c r="U349">
        <v>4</v>
      </c>
      <c r="V349">
        <v>1</v>
      </c>
      <c r="W349" t="s">
        <v>132</v>
      </c>
      <c r="X349">
        <v>0</v>
      </c>
    </row>
    <row r="350" spans="1:24" x14ac:dyDescent="0.25">
      <c r="A350">
        <v>1</v>
      </c>
      <c r="B350" s="13">
        <v>590920301095</v>
      </c>
      <c r="C350">
        <v>50</v>
      </c>
      <c r="D350" s="13">
        <v>1018034</v>
      </c>
      <c r="F350" t="s">
        <v>130</v>
      </c>
      <c r="G350">
        <v>0</v>
      </c>
      <c r="H350">
        <v>100</v>
      </c>
      <c r="K350">
        <v>4</v>
      </c>
      <c r="L350" t="s">
        <v>131</v>
      </c>
      <c r="M350" s="50">
        <v>44875</v>
      </c>
      <c r="N350" s="50">
        <v>2958465</v>
      </c>
      <c r="P350">
        <v>0</v>
      </c>
      <c r="U350">
        <v>4</v>
      </c>
      <c r="V350">
        <v>1</v>
      </c>
      <c r="W350" t="s">
        <v>132</v>
      </c>
      <c r="X350">
        <v>0</v>
      </c>
    </row>
    <row r="351" spans="1:24" x14ac:dyDescent="0.25">
      <c r="A351">
        <v>1</v>
      </c>
      <c r="B351" s="13">
        <v>590920301095</v>
      </c>
      <c r="C351">
        <v>60</v>
      </c>
      <c r="D351" s="13">
        <v>1018359</v>
      </c>
      <c r="F351" t="s">
        <v>130</v>
      </c>
      <c r="G351">
        <v>0</v>
      </c>
      <c r="H351">
        <v>100</v>
      </c>
      <c r="K351">
        <v>10</v>
      </c>
      <c r="L351" t="s">
        <v>131</v>
      </c>
      <c r="M351" s="50">
        <v>44875</v>
      </c>
      <c r="N351" s="50">
        <v>2958465</v>
      </c>
      <c r="P351">
        <v>0</v>
      </c>
      <c r="U351">
        <v>4</v>
      </c>
      <c r="V351">
        <v>1</v>
      </c>
      <c r="W351" t="s">
        <v>132</v>
      </c>
      <c r="X351">
        <v>0</v>
      </c>
    </row>
    <row r="352" spans="1:24" x14ac:dyDescent="0.25">
      <c r="A352">
        <v>1</v>
      </c>
      <c r="B352" s="13">
        <v>590920301095</v>
      </c>
      <c r="C352">
        <v>70</v>
      </c>
      <c r="D352" s="13">
        <v>1022213</v>
      </c>
      <c r="F352" t="s">
        <v>130</v>
      </c>
      <c r="G352">
        <v>0</v>
      </c>
      <c r="H352">
        <v>100</v>
      </c>
      <c r="K352">
        <v>5.5919999999999996</v>
      </c>
      <c r="L352" t="s">
        <v>131</v>
      </c>
      <c r="M352" s="50">
        <v>44875</v>
      </c>
      <c r="N352" s="50">
        <v>2958465</v>
      </c>
      <c r="P352">
        <v>0</v>
      </c>
      <c r="U352">
        <v>4</v>
      </c>
      <c r="V352">
        <v>1</v>
      </c>
      <c r="W352" t="s">
        <v>132</v>
      </c>
      <c r="X352">
        <v>0</v>
      </c>
    </row>
    <row r="353" spans="1:24" x14ac:dyDescent="0.25">
      <c r="A353">
        <v>1</v>
      </c>
      <c r="B353" s="13">
        <v>590920301095</v>
      </c>
      <c r="C353">
        <v>80</v>
      </c>
      <c r="D353" s="13">
        <v>2.0202020202020201E+86</v>
      </c>
      <c r="F353" t="s">
        <v>130</v>
      </c>
      <c r="G353">
        <v>0</v>
      </c>
      <c r="H353">
        <v>100</v>
      </c>
      <c r="K353">
        <v>1</v>
      </c>
      <c r="L353" t="s">
        <v>131</v>
      </c>
      <c r="M353" s="50">
        <v>44875</v>
      </c>
      <c r="N353" s="50">
        <v>2958465</v>
      </c>
      <c r="P353">
        <v>0</v>
      </c>
      <c r="U353">
        <v>4</v>
      </c>
      <c r="V353">
        <v>1</v>
      </c>
      <c r="W353" t="s">
        <v>132</v>
      </c>
      <c r="X353">
        <v>0</v>
      </c>
    </row>
    <row r="354" spans="1:24" x14ac:dyDescent="0.25">
      <c r="A354">
        <v>1</v>
      </c>
      <c r="B354" s="13">
        <v>590920300096</v>
      </c>
      <c r="C354">
        <v>10</v>
      </c>
      <c r="D354" s="13">
        <v>5957163099</v>
      </c>
      <c r="F354" t="s">
        <v>130</v>
      </c>
      <c r="G354">
        <v>0</v>
      </c>
      <c r="H354">
        <v>100</v>
      </c>
      <c r="K354">
        <v>2</v>
      </c>
      <c r="L354" t="s">
        <v>131</v>
      </c>
      <c r="M354" s="50">
        <v>44875</v>
      </c>
      <c r="N354" s="50">
        <v>2958465</v>
      </c>
      <c r="P354">
        <v>0</v>
      </c>
      <c r="U354">
        <v>4</v>
      </c>
      <c r="V354">
        <v>1</v>
      </c>
      <c r="W354" t="s">
        <v>132</v>
      </c>
      <c r="X354">
        <v>0</v>
      </c>
    </row>
    <row r="355" spans="1:24" x14ac:dyDescent="0.25">
      <c r="A355">
        <v>1</v>
      </c>
      <c r="B355" s="13">
        <v>590920300096</v>
      </c>
      <c r="C355">
        <v>20</v>
      </c>
      <c r="D355" s="13">
        <v>5957333099</v>
      </c>
      <c r="F355" t="s">
        <v>130</v>
      </c>
      <c r="G355">
        <v>0</v>
      </c>
      <c r="H355">
        <v>100</v>
      </c>
      <c r="K355">
        <v>1</v>
      </c>
      <c r="L355" t="s">
        <v>131</v>
      </c>
      <c r="M355" s="50">
        <v>44875</v>
      </c>
      <c r="N355" s="50">
        <v>2958465</v>
      </c>
      <c r="P355">
        <v>0</v>
      </c>
      <c r="U355">
        <v>4</v>
      </c>
      <c r="V355">
        <v>1</v>
      </c>
      <c r="W355" t="s">
        <v>132</v>
      </c>
      <c r="X355">
        <v>0</v>
      </c>
    </row>
    <row r="356" spans="1:24" x14ac:dyDescent="0.25">
      <c r="A356">
        <v>1</v>
      </c>
      <c r="B356" s="13">
        <v>590920300096</v>
      </c>
      <c r="C356">
        <v>30</v>
      </c>
      <c r="D356" s="13">
        <v>5957303099</v>
      </c>
      <c r="F356" t="s">
        <v>130</v>
      </c>
      <c r="G356">
        <v>0</v>
      </c>
      <c r="H356">
        <v>100</v>
      </c>
      <c r="K356">
        <v>1</v>
      </c>
      <c r="L356" t="s">
        <v>131</v>
      </c>
      <c r="M356" s="50">
        <v>44875</v>
      </c>
      <c r="N356" s="50">
        <v>2958465</v>
      </c>
      <c r="P356">
        <v>0</v>
      </c>
      <c r="U356">
        <v>4</v>
      </c>
      <c r="V356">
        <v>1</v>
      </c>
      <c r="W356" t="s">
        <v>132</v>
      </c>
      <c r="X356">
        <v>0</v>
      </c>
    </row>
    <row r="357" spans="1:24" x14ac:dyDescent="0.25">
      <c r="A357">
        <v>1</v>
      </c>
      <c r="B357" s="13">
        <v>590920300096</v>
      </c>
      <c r="C357">
        <v>40</v>
      </c>
      <c r="D357" s="13">
        <v>1022219</v>
      </c>
      <c r="F357" t="s">
        <v>130</v>
      </c>
      <c r="G357">
        <v>0</v>
      </c>
      <c r="H357">
        <v>100</v>
      </c>
      <c r="K357">
        <v>1</v>
      </c>
      <c r="L357" t="s">
        <v>131</v>
      </c>
      <c r="M357" s="50">
        <v>44875</v>
      </c>
      <c r="N357" s="50">
        <v>2958465</v>
      </c>
      <c r="P357">
        <v>0</v>
      </c>
      <c r="U357">
        <v>4</v>
      </c>
      <c r="V357">
        <v>1</v>
      </c>
      <c r="W357" t="s">
        <v>132</v>
      </c>
      <c r="X357">
        <v>0</v>
      </c>
    </row>
    <row r="358" spans="1:24" x14ac:dyDescent="0.25">
      <c r="A358">
        <v>1</v>
      </c>
      <c r="B358" s="13">
        <v>590920300096</v>
      </c>
      <c r="C358">
        <v>50</v>
      </c>
      <c r="D358" s="13">
        <v>1018034</v>
      </c>
      <c r="F358" t="s">
        <v>130</v>
      </c>
      <c r="G358">
        <v>0</v>
      </c>
      <c r="H358">
        <v>100</v>
      </c>
      <c r="K358">
        <v>4</v>
      </c>
      <c r="L358" t="s">
        <v>131</v>
      </c>
      <c r="M358" s="50">
        <v>44875</v>
      </c>
      <c r="N358" s="50">
        <v>2958465</v>
      </c>
      <c r="P358">
        <v>0</v>
      </c>
      <c r="U358">
        <v>4</v>
      </c>
      <c r="V358">
        <v>1</v>
      </c>
      <c r="W358" t="s">
        <v>132</v>
      </c>
      <c r="X358">
        <v>0</v>
      </c>
    </row>
    <row r="359" spans="1:24" x14ac:dyDescent="0.25">
      <c r="A359">
        <v>1</v>
      </c>
      <c r="B359" s="13">
        <v>590920300096</v>
      </c>
      <c r="C359">
        <v>60</v>
      </c>
      <c r="D359" s="13">
        <v>1018359</v>
      </c>
      <c r="F359" t="s">
        <v>130</v>
      </c>
      <c r="G359">
        <v>0</v>
      </c>
      <c r="H359">
        <v>100</v>
      </c>
      <c r="K359">
        <v>10</v>
      </c>
      <c r="L359" t="s">
        <v>131</v>
      </c>
      <c r="M359" s="50">
        <v>44875</v>
      </c>
      <c r="N359" s="50">
        <v>2958465</v>
      </c>
      <c r="P359">
        <v>0</v>
      </c>
      <c r="U359">
        <v>4</v>
      </c>
      <c r="V359">
        <v>1</v>
      </c>
      <c r="W359" t="s">
        <v>132</v>
      </c>
      <c r="X359">
        <v>0</v>
      </c>
    </row>
    <row r="360" spans="1:24" x14ac:dyDescent="0.25">
      <c r="A360">
        <v>1</v>
      </c>
      <c r="B360" s="13">
        <v>590920300096</v>
      </c>
      <c r="C360">
        <v>70</v>
      </c>
      <c r="D360" s="13">
        <v>1022213</v>
      </c>
      <c r="F360" t="s">
        <v>130</v>
      </c>
      <c r="G360">
        <v>0</v>
      </c>
      <c r="H360">
        <v>100</v>
      </c>
      <c r="K360">
        <v>5.5919999999999996</v>
      </c>
      <c r="L360" t="s">
        <v>131</v>
      </c>
      <c r="M360" s="50">
        <v>44875</v>
      </c>
      <c r="N360" s="50">
        <v>2958465</v>
      </c>
      <c r="P360">
        <v>0</v>
      </c>
      <c r="U360">
        <v>4</v>
      </c>
      <c r="V360">
        <v>1</v>
      </c>
      <c r="W360" t="s">
        <v>132</v>
      </c>
      <c r="X360">
        <v>0</v>
      </c>
    </row>
    <row r="361" spans="1:24" x14ac:dyDescent="0.25">
      <c r="A361">
        <v>1</v>
      </c>
      <c r="B361" s="13">
        <v>590920300096</v>
      </c>
      <c r="C361">
        <v>80</v>
      </c>
      <c r="D361" s="13">
        <v>2.0202020202020201E+88</v>
      </c>
      <c r="F361" t="s">
        <v>130</v>
      </c>
      <c r="G361">
        <v>0</v>
      </c>
      <c r="H361">
        <v>100</v>
      </c>
      <c r="K361">
        <v>1</v>
      </c>
      <c r="L361" t="s">
        <v>131</v>
      </c>
      <c r="M361" s="50">
        <v>44875</v>
      </c>
      <c r="N361" s="50">
        <v>2958465</v>
      </c>
      <c r="P361">
        <v>0</v>
      </c>
      <c r="U361">
        <v>4</v>
      </c>
      <c r="V361">
        <v>1</v>
      </c>
      <c r="W361" t="s">
        <v>132</v>
      </c>
      <c r="X361">
        <v>0</v>
      </c>
    </row>
    <row r="362" spans="1:24" x14ac:dyDescent="0.25">
      <c r="A362">
        <v>1</v>
      </c>
      <c r="B362" s="13">
        <v>590920300196</v>
      </c>
      <c r="C362">
        <v>10</v>
      </c>
      <c r="D362" s="13">
        <v>5957163001</v>
      </c>
      <c r="F362" t="s">
        <v>130</v>
      </c>
      <c r="G362">
        <v>0</v>
      </c>
      <c r="H362">
        <v>100</v>
      </c>
      <c r="K362">
        <v>2</v>
      </c>
      <c r="L362" t="s">
        <v>131</v>
      </c>
      <c r="M362" s="50">
        <v>44875</v>
      </c>
      <c r="N362" s="50">
        <v>2958465</v>
      </c>
      <c r="P362">
        <v>0</v>
      </c>
      <c r="U362">
        <v>4</v>
      </c>
      <c r="V362">
        <v>1</v>
      </c>
      <c r="W362" t="s">
        <v>132</v>
      </c>
      <c r="X362">
        <v>0</v>
      </c>
    </row>
    <row r="363" spans="1:24" x14ac:dyDescent="0.25">
      <c r="A363">
        <v>1</v>
      </c>
      <c r="B363" s="13">
        <v>590920300196</v>
      </c>
      <c r="C363">
        <v>20</v>
      </c>
      <c r="D363" s="13">
        <v>5957333001</v>
      </c>
      <c r="F363" t="s">
        <v>130</v>
      </c>
      <c r="G363">
        <v>0</v>
      </c>
      <c r="H363">
        <v>100</v>
      </c>
      <c r="K363">
        <v>1</v>
      </c>
      <c r="L363" t="s">
        <v>131</v>
      </c>
      <c r="M363" s="50">
        <v>44875</v>
      </c>
      <c r="N363" s="50">
        <v>2958465</v>
      </c>
      <c r="P363">
        <v>0</v>
      </c>
      <c r="U363">
        <v>4</v>
      </c>
      <c r="V363">
        <v>1</v>
      </c>
      <c r="W363" t="s">
        <v>132</v>
      </c>
      <c r="X363">
        <v>0</v>
      </c>
    </row>
    <row r="364" spans="1:24" x14ac:dyDescent="0.25">
      <c r="A364">
        <v>1</v>
      </c>
      <c r="B364" s="13">
        <v>590920300196</v>
      </c>
      <c r="C364">
        <v>30</v>
      </c>
      <c r="D364" s="13">
        <v>5957303001</v>
      </c>
      <c r="F364" t="s">
        <v>130</v>
      </c>
      <c r="G364">
        <v>0</v>
      </c>
      <c r="H364">
        <v>100</v>
      </c>
      <c r="K364">
        <v>1</v>
      </c>
      <c r="L364" t="s">
        <v>131</v>
      </c>
      <c r="M364" s="50">
        <v>44875</v>
      </c>
      <c r="N364" s="50">
        <v>2958465</v>
      </c>
      <c r="P364">
        <v>0</v>
      </c>
      <c r="U364">
        <v>4</v>
      </c>
      <c r="V364">
        <v>1</v>
      </c>
      <c r="W364" t="s">
        <v>132</v>
      </c>
      <c r="X364">
        <v>0</v>
      </c>
    </row>
    <row r="365" spans="1:24" x14ac:dyDescent="0.25">
      <c r="A365">
        <v>1</v>
      </c>
      <c r="B365" s="13">
        <v>590920300196</v>
      </c>
      <c r="C365">
        <v>40</v>
      </c>
      <c r="D365" s="13">
        <v>5957093001</v>
      </c>
      <c r="F365" t="s">
        <v>130</v>
      </c>
      <c r="G365">
        <v>0</v>
      </c>
      <c r="H365">
        <v>100</v>
      </c>
      <c r="K365">
        <v>1</v>
      </c>
      <c r="L365" t="s">
        <v>131</v>
      </c>
      <c r="M365" s="50">
        <v>44875</v>
      </c>
      <c r="N365" s="50">
        <v>2958465</v>
      </c>
      <c r="P365">
        <v>0</v>
      </c>
      <c r="U365">
        <v>4</v>
      </c>
      <c r="V365">
        <v>1</v>
      </c>
      <c r="W365" t="s">
        <v>132</v>
      </c>
      <c r="X365">
        <v>0</v>
      </c>
    </row>
    <row r="366" spans="1:24" x14ac:dyDescent="0.25">
      <c r="A366">
        <v>1</v>
      </c>
      <c r="B366" s="13">
        <v>590920300196</v>
      </c>
      <c r="C366">
        <v>50</v>
      </c>
      <c r="D366" s="13">
        <v>1018034</v>
      </c>
      <c r="F366" t="s">
        <v>130</v>
      </c>
      <c r="G366">
        <v>0</v>
      </c>
      <c r="H366">
        <v>100</v>
      </c>
      <c r="K366">
        <v>4</v>
      </c>
      <c r="L366" t="s">
        <v>131</v>
      </c>
      <c r="M366" s="50">
        <v>44875</v>
      </c>
      <c r="N366" s="50">
        <v>2958465</v>
      </c>
      <c r="P366">
        <v>0</v>
      </c>
      <c r="U366">
        <v>4</v>
      </c>
      <c r="V366">
        <v>1</v>
      </c>
      <c r="W366" t="s">
        <v>132</v>
      </c>
      <c r="X366">
        <v>0</v>
      </c>
    </row>
    <row r="367" spans="1:24" x14ac:dyDescent="0.25">
      <c r="A367">
        <v>1</v>
      </c>
      <c r="B367" s="13">
        <v>590920300196</v>
      </c>
      <c r="C367">
        <v>60</v>
      </c>
      <c r="D367" s="13">
        <v>1018359</v>
      </c>
      <c r="F367" t="s">
        <v>130</v>
      </c>
      <c r="G367">
        <v>0</v>
      </c>
      <c r="H367">
        <v>100</v>
      </c>
      <c r="K367">
        <v>10</v>
      </c>
      <c r="L367" t="s">
        <v>131</v>
      </c>
      <c r="M367" s="50">
        <v>44875</v>
      </c>
      <c r="N367" s="50">
        <v>2958465</v>
      </c>
      <c r="P367">
        <v>0</v>
      </c>
      <c r="U367">
        <v>4</v>
      </c>
      <c r="V367">
        <v>1</v>
      </c>
      <c r="W367" t="s">
        <v>132</v>
      </c>
      <c r="X367">
        <v>0</v>
      </c>
    </row>
    <row r="368" spans="1:24" x14ac:dyDescent="0.25">
      <c r="A368">
        <v>1</v>
      </c>
      <c r="B368" s="13">
        <v>590920300196</v>
      </c>
      <c r="C368">
        <v>70</v>
      </c>
      <c r="D368" s="13">
        <v>1022213</v>
      </c>
      <c r="F368" t="s">
        <v>130</v>
      </c>
      <c r="G368">
        <v>0</v>
      </c>
      <c r="H368">
        <v>100</v>
      </c>
      <c r="K368">
        <v>5.5919999999999996</v>
      </c>
      <c r="L368" t="s">
        <v>131</v>
      </c>
      <c r="M368" s="50">
        <v>44875</v>
      </c>
      <c r="N368" s="50">
        <v>2958465</v>
      </c>
      <c r="P368">
        <v>0</v>
      </c>
      <c r="U368">
        <v>4</v>
      </c>
      <c r="V368">
        <v>1</v>
      </c>
      <c r="W368" t="s">
        <v>132</v>
      </c>
      <c r="X368">
        <v>0</v>
      </c>
    </row>
    <row r="369" spans="1:24" x14ac:dyDescent="0.25">
      <c r="A369">
        <v>1</v>
      </c>
      <c r="B369" s="13">
        <v>590920300196</v>
      </c>
      <c r="C369">
        <v>80</v>
      </c>
      <c r="D369" s="13">
        <v>2.02020202020202E+90</v>
      </c>
      <c r="F369" t="s">
        <v>130</v>
      </c>
      <c r="G369">
        <v>0</v>
      </c>
      <c r="H369">
        <v>100</v>
      </c>
      <c r="K369">
        <v>1</v>
      </c>
      <c r="L369" t="s">
        <v>131</v>
      </c>
      <c r="M369" s="50">
        <v>44875</v>
      </c>
      <c r="N369" s="50">
        <v>2958465</v>
      </c>
      <c r="P369">
        <v>0</v>
      </c>
      <c r="U369">
        <v>4</v>
      </c>
      <c r="V369">
        <v>1</v>
      </c>
      <c r="W369" t="s">
        <v>132</v>
      </c>
      <c r="X369">
        <v>0</v>
      </c>
    </row>
    <row r="370" spans="1:24" x14ac:dyDescent="0.25">
      <c r="A370">
        <v>1</v>
      </c>
      <c r="B370" s="13">
        <v>590920300296</v>
      </c>
      <c r="C370">
        <v>10</v>
      </c>
      <c r="D370" s="13">
        <v>5957163002</v>
      </c>
      <c r="F370" t="s">
        <v>130</v>
      </c>
      <c r="G370">
        <v>0</v>
      </c>
      <c r="H370">
        <v>100</v>
      </c>
      <c r="K370">
        <v>2</v>
      </c>
      <c r="L370" t="s">
        <v>131</v>
      </c>
      <c r="M370" s="50">
        <v>44875</v>
      </c>
      <c r="N370" s="50">
        <v>2958465</v>
      </c>
      <c r="P370">
        <v>0</v>
      </c>
      <c r="U370">
        <v>4</v>
      </c>
      <c r="V370">
        <v>1</v>
      </c>
      <c r="W370" t="s">
        <v>132</v>
      </c>
      <c r="X370">
        <v>0</v>
      </c>
    </row>
    <row r="371" spans="1:24" x14ac:dyDescent="0.25">
      <c r="A371">
        <v>1</v>
      </c>
      <c r="B371" s="13">
        <v>590920300296</v>
      </c>
      <c r="C371">
        <v>20</v>
      </c>
      <c r="D371" s="13">
        <v>5957333002</v>
      </c>
      <c r="F371" t="s">
        <v>130</v>
      </c>
      <c r="G371">
        <v>0</v>
      </c>
      <c r="H371">
        <v>100</v>
      </c>
      <c r="K371">
        <v>1</v>
      </c>
      <c r="L371" t="s">
        <v>131</v>
      </c>
      <c r="M371" s="50">
        <v>44875</v>
      </c>
      <c r="N371" s="50">
        <v>2958465</v>
      </c>
      <c r="P371">
        <v>0</v>
      </c>
      <c r="U371">
        <v>4</v>
      </c>
      <c r="V371">
        <v>1</v>
      </c>
      <c r="W371" t="s">
        <v>132</v>
      </c>
      <c r="X371">
        <v>0</v>
      </c>
    </row>
    <row r="372" spans="1:24" x14ac:dyDescent="0.25">
      <c r="A372">
        <v>1</v>
      </c>
      <c r="B372" s="13">
        <v>590920300296</v>
      </c>
      <c r="C372">
        <v>30</v>
      </c>
      <c r="D372" s="13">
        <v>5957303002</v>
      </c>
      <c r="F372" t="s">
        <v>130</v>
      </c>
      <c r="G372">
        <v>0</v>
      </c>
      <c r="H372">
        <v>100</v>
      </c>
      <c r="K372">
        <v>1</v>
      </c>
      <c r="L372" t="s">
        <v>131</v>
      </c>
      <c r="M372" s="50">
        <v>44875</v>
      </c>
      <c r="N372" s="50">
        <v>2958465</v>
      </c>
      <c r="P372">
        <v>0</v>
      </c>
      <c r="U372">
        <v>4</v>
      </c>
      <c r="V372">
        <v>1</v>
      </c>
      <c r="W372" t="s">
        <v>132</v>
      </c>
      <c r="X372">
        <v>0</v>
      </c>
    </row>
    <row r="373" spans="1:24" x14ac:dyDescent="0.25">
      <c r="A373">
        <v>1</v>
      </c>
      <c r="B373" s="13">
        <v>590920300296</v>
      </c>
      <c r="C373">
        <v>40</v>
      </c>
      <c r="D373" s="13">
        <v>5957093002</v>
      </c>
      <c r="F373" t="s">
        <v>130</v>
      </c>
      <c r="G373">
        <v>0</v>
      </c>
      <c r="H373">
        <v>100</v>
      </c>
      <c r="K373">
        <v>1</v>
      </c>
      <c r="L373" t="s">
        <v>131</v>
      </c>
      <c r="M373" s="50">
        <v>44875</v>
      </c>
      <c r="N373" s="50">
        <v>2958465</v>
      </c>
      <c r="P373">
        <v>0</v>
      </c>
      <c r="U373">
        <v>4</v>
      </c>
      <c r="V373">
        <v>1</v>
      </c>
      <c r="W373" t="s">
        <v>132</v>
      </c>
      <c r="X373">
        <v>0</v>
      </c>
    </row>
    <row r="374" spans="1:24" x14ac:dyDescent="0.25">
      <c r="A374">
        <v>1</v>
      </c>
      <c r="B374" s="13">
        <v>590920300296</v>
      </c>
      <c r="C374">
        <v>50</v>
      </c>
      <c r="D374" s="13">
        <v>1018034</v>
      </c>
      <c r="F374" t="s">
        <v>130</v>
      </c>
      <c r="G374">
        <v>0</v>
      </c>
      <c r="H374">
        <v>100</v>
      </c>
      <c r="K374">
        <v>4</v>
      </c>
      <c r="L374" t="s">
        <v>131</v>
      </c>
      <c r="M374" s="50">
        <v>44875</v>
      </c>
      <c r="N374" s="50">
        <v>2958465</v>
      </c>
      <c r="P374">
        <v>0</v>
      </c>
      <c r="U374">
        <v>4</v>
      </c>
      <c r="V374">
        <v>1</v>
      </c>
      <c r="W374" t="s">
        <v>132</v>
      </c>
      <c r="X374">
        <v>0</v>
      </c>
    </row>
    <row r="375" spans="1:24" x14ac:dyDescent="0.25">
      <c r="A375">
        <v>1</v>
      </c>
      <c r="B375" s="13">
        <v>590920300296</v>
      </c>
      <c r="C375">
        <v>60</v>
      </c>
      <c r="D375" s="13">
        <v>1022356</v>
      </c>
      <c r="F375" t="s">
        <v>130</v>
      </c>
      <c r="G375">
        <v>0</v>
      </c>
      <c r="H375">
        <v>100</v>
      </c>
      <c r="K375">
        <v>10</v>
      </c>
      <c r="L375" t="s">
        <v>131</v>
      </c>
      <c r="M375" s="50">
        <v>44875</v>
      </c>
      <c r="N375" s="50">
        <v>2958465</v>
      </c>
      <c r="P375">
        <v>0</v>
      </c>
      <c r="U375">
        <v>4</v>
      </c>
      <c r="V375">
        <v>1</v>
      </c>
      <c r="W375" t="s">
        <v>132</v>
      </c>
      <c r="X375">
        <v>0</v>
      </c>
    </row>
    <row r="376" spans="1:24" x14ac:dyDescent="0.25">
      <c r="A376">
        <v>1</v>
      </c>
      <c r="B376" s="13">
        <v>590920300296</v>
      </c>
      <c r="C376">
        <v>70</v>
      </c>
      <c r="D376" s="13">
        <v>1022213</v>
      </c>
      <c r="F376" t="s">
        <v>130</v>
      </c>
      <c r="G376">
        <v>0</v>
      </c>
      <c r="H376">
        <v>100</v>
      </c>
      <c r="K376">
        <v>5.5919999999999996</v>
      </c>
      <c r="L376" t="s">
        <v>131</v>
      </c>
      <c r="M376" s="50">
        <v>44875</v>
      </c>
      <c r="N376" s="50">
        <v>2958465</v>
      </c>
      <c r="P376">
        <v>0</v>
      </c>
      <c r="U376">
        <v>4</v>
      </c>
      <c r="V376">
        <v>1</v>
      </c>
      <c r="W376" t="s">
        <v>132</v>
      </c>
      <c r="X376">
        <v>0</v>
      </c>
    </row>
    <row r="377" spans="1:24" x14ac:dyDescent="0.25">
      <c r="A377">
        <v>1</v>
      </c>
      <c r="B377" s="13">
        <v>590920300296</v>
      </c>
      <c r="C377">
        <v>80</v>
      </c>
      <c r="D377" s="13">
        <v>2.02020202020202E+92</v>
      </c>
      <c r="F377" t="s">
        <v>130</v>
      </c>
      <c r="G377">
        <v>0</v>
      </c>
      <c r="H377">
        <v>100</v>
      </c>
      <c r="K377">
        <v>1</v>
      </c>
      <c r="L377" t="s">
        <v>131</v>
      </c>
      <c r="M377" s="50">
        <v>44875</v>
      </c>
      <c r="N377" s="50">
        <v>2958465</v>
      </c>
      <c r="P377">
        <v>0</v>
      </c>
      <c r="U377">
        <v>4</v>
      </c>
      <c r="V377">
        <v>1</v>
      </c>
      <c r="W377" t="s">
        <v>132</v>
      </c>
      <c r="X377">
        <v>0</v>
      </c>
    </row>
    <row r="378" spans="1:24" x14ac:dyDescent="0.25">
      <c r="A378">
        <v>1</v>
      </c>
      <c r="B378" s="13">
        <v>590920300396</v>
      </c>
      <c r="C378">
        <v>10</v>
      </c>
      <c r="D378" s="13">
        <v>5957163003</v>
      </c>
      <c r="F378" t="s">
        <v>130</v>
      </c>
      <c r="G378">
        <v>0</v>
      </c>
      <c r="H378">
        <v>100</v>
      </c>
      <c r="K378">
        <v>2</v>
      </c>
      <c r="L378" t="s">
        <v>131</v>
      </c>
      <c r="M378" s="50">
        <v>44875</v>
      </c>
      <c r="N378" s="50">
        <v>2958465</v>
      </c>
      <c r="P378">
        <v>0</v>
      </c>
      <c r="U378">
        <v>4</v>
      </c>
      <c r="V378">
        <v>1</v>
      </c>
      <c r="W378" t="s">
        <v>132</v>
      </c>
      <c r="X378">
        <v>0</v>
      </c>
    </row>
    <row r="379" spans="1:24" x14ac:dyDescent="0.25">
      <c r="A379">
        <v>1</v>
      </c>
      <c r="B379" s="13">
        <v>590920300396</v>
      </c>
      <c r="C379">
        <v>20</v>
      </c>
      <c r="D379" s="13">
        <v>5957333003</v>
      </c>
      <c r="F379" t="s">
        <v>130</v>
      </c>
      <c r="G379">
        <v>0</v>
      </c>
      <c r="H379">
        <v>100</v>
      </c>
      <c r="K379">
        <v>1</v>
      </c>
      <c r="L379" t="s">
        <v>131</v>
      </c>
      <c r="M379" s="50">
        <v>44875</v>
      </c>
      <c r="N379" s="50">
        <v>2958465</v>
      </c>
      <c r="P379">
        <v>0</v>
      </c>
      <c r="U379">
        <v>4</v>
      </c>
      <c r="V379">
        <v>1</v>
      </c>
      <c r="W379" t="s">
        <v>132</v>
      </c>
      <c r="X379">
        <v>0</v>
      </c>
    </row>
    <row r="380" spans="1:24" x14ac:dyDescent="0.25">
      <c r="A380">
        <v>1</v>
      </c>
      <c r="B380" s="13">
        <v>590920300396</v>
      </c>
      <c r="C380">
        <v>30</v>
      </c>
      <c r="D380" s="13">
        <v>5957303003</v>
      </c>
      <c r="F380" t="s">
        <v>130</v>
      </c>
      <c r="G380">
        <v>0</v>
      </c>
      <c r="H380">
        <v>100</v>
      </c>
      <c r="K380">
        <v>1</v>
      </c>
      <c r="L380" t="s">
        <v>131</v>
      </c>
      <c r="M380" s="50">
        <v>44875</v>
      </c>
      <c r="N380" s="50">
        <v>2958465</v>
      </c>
      <c r="P380">
        <v>0</v>
      </c>
      <c r="U380">
        <v>4</v>
      </c>
      <c r="V380">
        <v>1</v>
      </c>
      <c r="W380" t="s">
        <v>132</v>
      </c>
      <c r="X380">
        <v>0</v>
      </c>
    </row>
    <row r="381" spans="1:24" x14ac:dyDescent="0.25">
      <c r="A381">
        <v>1</v>
      </c>
      <c r="B381" s="13">
        <v>590920300396</v>
      </c>
      <c r="C381">
        <v>40</v>
      </c>
      <c r="D381" s="13">
        <v>5957093003</v>
      </c>
      <c r="F381" t="s">
        <v>130</v>
      </c>
      <c r="G381">
        <v>0</v>
      </c>
      <c r="H381">
        <v>100</v>
      </c>
      <c r="K381">
        <v>1</v>
      </c>
      <c r="L381" t="s">
        <v>131</v>
      </c>
      <c r="M381" s="50">
        <v>44875</v>
      </c>
      <c r="N381" s="50">
        <v>2958465</v>
      </c>
      <c r="P381">
        <v>0</v>
      </c>
      <c r="U381">
        <v>4</v>
      </c>
      <c r="V381">
        <v>1</v>
      </c>
      <c r="W381" t="s">
        <v>132</v>
      </c>
      <c r="X381">
        <v>0</v>
      </c>
    </row>
    <row r="382" spans="1:24" x14ac:dyDescent="0.25">
      <c r="A382">
        <v>1</v>
      </c>
      <c r="B382" s="13">
        <v>590920300396</v>
      </c>
      <c r="C382">
        <v>50</v>
      </c>
      <c r="D382" s="13">
        <v>1018034</v>
      </c>
      <c r="F382" t="s">
        <v>130</v>
      </c>
      <c r="G382">
        <v>0</v>
      </c>
      <c r="H382">
        <v>100</v>
      </c>
      <c r="K382">
        <v>4</v>
      </c>
      <c r="L382" t="s">
        <v>131</v>
      </c>
      <c r="M382" s="50">
        <v>44875</v>
      </c>
      <c r="N382" s="50">
        <v>2958465</v>
      </c>
      <c r="P382">
        <v>0</v>
      </c>
      <c r="U382">
        <v>4</v>
      </c>
      <c r="V382">
        <v>1</v>
      </c>
      <c r="W382" t="s">
        <v>132</v>
      </c>
      <c r="X382">
        <v>0</v>
      </c>
    </row>
    <row r="383" spans="1:24" x14ac:dyDescent="0.25">
      <c r="A383">
        <v>1</v>
      </c>
      <c r="B383" s="13">
        <v>590920300396</v>
      </c>
      <c r="C383">
        <v>60</v>
      </c>
      <c r="D383" s="13">
        <v>1018359</v>
      </c>
      <c r="F383" t="s">
        <v>130</v>
      </c>
      <c r="G383">
        <v>0</v>
      </c>
      <c r="H383">
        <v>100</v>
      </c>
      <c r="K383">
        <v>10</v>
      </c>
      <c r="L383" t="s">
        <v>131</v>
      </c>
      <c r="M383" s="50">
        <v>44875</v>
      </c>
      <c r="N383" s="50">
        <v>2958465</v>
      </c>
      <c r="P383">
        <v>0</v>
      </c>
      <c r="U383">
        <v>4</v>
      </c>
      <c r="V383">
        <v>1</v>
      </c>
      <c r="W383" t="s">
        <v>132</v>
      </c>
      <c r="X383">
        <v>0</v>
      </c>
    </row>
    <row r="384" spans="1:24" x14ac:dyDescent="0.25">
      <c r="A384">
        <v>1</v>
      </c>
      <c r="B384" s="13">
        <v>590920300396</v>
      </c>
      <c r="C384">
        <v>70</v>
      </c>
      <c r="D384" s="13">
        <v>1022213</v>
      </c>
      <c r="F384" t="s">
        <v>130</v>
      </c>
      <c r="G384">
        <v>0</v>
      </c>
      <c r="H384">
        <v>100</v>
      </c>
      <c r="K384">
        <v>5.5919999999999996</v>
      </c>
      <c r="L384" t="s">
        <v>131</v>
      </c>
      <c r="M384" s="50">
        <v>44875</v>
      </c>
      <c r="N384" s="50">
        <v>2958465</v>
      </c>
      <c r="P384">
        <v>0</v>
      </c>
      <c r="U384">
        <v>4</v>
      </c>
      <c r="V384">
        <v>1</v>
      </c>
      <c r="W384" t="s">
        <v>132</v>
      </c>
      <c r="X384">
        <v>0</v>
      </c>
    </row>
    <row r="385" spans="1:24" x14ac:dyDescent="0.25">
      <c r="A385">
        <v>1</v>
      </c>
      <c r="B385" s="13">
        <v>590920300396</v>
      </c>
      <c r="C385">
        <v>80</v>
      </c>
      <c r="D385" s="13">
        <v>2.02020202020202E+94</v>
      </c>
      <c r="F385" t="s">
        <v>130</v>
      </c>
      <c r="G385">
        <v>0</v>
      </c>
      <c r="H385">
        <v>100</v>
      </c>
      <c r="K385">
        <v>1</v>
      </c>
      <c r="L385" t="s">
        <v>131</v>
      </c>
      <c r="M385" s="50">
        <v>44875</v>
      </c>
      <c r="N385" s="50">
        <v>2958465</v>
      </c>
      <c r="P385">
        <v>0</v>
      </c>
      <c r="U385">
        <v>4</v>
      </c>
      <c r="V385">
        <v>1</v>
      </c>
      <c r="W385" t="s">
        <v>132</v>
      </c>
      <c r="X385">
        <v>0</v>
      </c>
    </row>
    <row r="386" spans="1:24" x14ac:dyDescent="0.25">
      <c r="A386">
        <v>1</v>
      </c>
      <c r="B386" s="13">
        <v>590920300496</v>
      </c>
      <c r="C386">
        <v>10</v>
      </c>
      <c r="D386" s="13">
        <v>5957163004</v>
      </c>
      <c r="F386" t="s">
        <v>130</v>
      </c>
      <c r="G386">
        <v>0</v>
      </c>
      <c r="H386">
        <v>100</v>
      </c>
      <c r="K386">
        <v>2</v>
      </c>
      <c r="L386" t="s">
        <v>131</v>
      </c>
      <c r="M386" s="50">
        <v>44875</v>
      </c>
      <c r="N386" s="50">
        <v>2958465</v>
      </c>
      <c r="P386">
        <v>0</v>
      </c>
      <c r="U386">
        <v>4</v>
      </c>
      <c r="V386">
        <v>1</v>
      </c>
      <c r="W386" t="s">
        <v>132</v>
      </c>
      <c r="X386">
        <v>0</v>
      </c>
    </row>
    <row r="387" spans="1:24" x14ac:dyDescent="0.25">
      <c r="A387">
        <v>1</v>
      </c>
      <c r="B387" s="13">
        <v>590920300496</v>
      </c>
      <c r="C387">
        <v>20</v>
      </c>
      <c r="D387" s="13">
        <v>5957333004</v>
      </c>
      <c r="F387" t="s">
        <v>130</v>
      </c>
      <c r="G387">
        <v>0</v>
      </c>
      <c r="H387">
        <v>100</v>
      </c>
      <c r="K387">
        <v>1</v>
      </c>
      <c r="L387" t="s">
        <v>131</v>
      </c>
      <c r="M387" s="50">
        <v>44875</v>
      </c>
      <c r="N387" s="50">
        <v>2958465</v>
      </c>
      <c r="P387">
        <v>0</v>
      </c>
      <c r="U387">
        <v>4</v>
      </c>
      <c r="V387">
        <v>1</v>
      </c>
      <c r="W387" t="s">
        <v>132</v>
      </c>
      <c r="X387">
        <v>0</v>
      </c>
    </row>
    <row r="388" spans="1:24" x14ac:dyDescent="0.25">
      <c r="A388">
        <v>1</v>
      </c>
      <c r="B388" s="13">
        <v>590920300496</v>
      </c>
      <c r="C388">
        <v>30</v>
      </c>
      <c r="D388" s="13">
        <v>5957303004</v>
      </c>
      <c r="F388" t="s">
        <v>130</v>
      </c>
      <c r="G388">
        <v>0</v>
      </c>
      <c r="H388">
        <v>100</v>
      </c>
      <c r="K388">
        <v>1</v>
      </c>
      <c r="L388" t="s">
        <v>131</v>
      </c>
      <c r="M388" s="50">
        <v>44875</v>
      </c>
      <c r="N388" s="50">
        <v>2958465</v>
      </c>
      <c r="P388">
        <v>0</v>
      </c>
      <c r="U388">
        <v>4</v>
      </c>
      <c r="V388">
        <v>1</v>
      </c>
      <c r="W388" t="s">
        <v>132</v>
      </c>
      <c r="X388">
        <v>0</v>
      </c>
    </row>
    <row r="389" spans="1:24" x14ac:dyDescent="0.25">
      <c r="A389">
        <v>1</v>
      </c>
      <c r="B389" s="13">
        <v>590920300496</v>
      </c>
      <c r="C389">
        <v>40</v>
      </c>
      <c r="D389" s="13">
        <v>5957093004</v>
      </c>
      <c r="F389" t="s">
        <v>130</v>
      </c>
      <c r="G389">
        <v>0</v>
      </c>
      <c r="H389">
        <v>100</v>
      </c>
      <c r="K389">
        <v>1</v>
      </c>
      <c r="L389" t="s">
        <v>131</v>
      </c>
      <c r="M389" s="50">
        <v>44875</v>
      </c>
      <c r="N389" s="50">
        <v>2958465</v>
      </c>
      <c r="P389">
        <v>0</v>
      </c>
      <c r="U389">
        <v>4</v>
      </c>
      <c r="V389">
        <v>1</v>
      </c>
      <c r="W389" t="s">
        <v>132</v>
      </c>
      <c r="X389">
        <v>0</v>
      </c>
    </row>
    <row r="390" spans="1:24" x14ac:dyDescent="0.25">
      <c r="A390">
        <v>1</v>
      </c>
      <c r="B390" s="13">
        <v>590920300496</v>
      </c>
      <c r="C390">
        <v>50</v>
      </c>
      <c r="D390" s="13">
        <v>1018034</v>
      </c>
      <c r="F390" t="s">
        <v>130</v>
      </c>
      <c r="G390">
        <v>0</v>
      </c>
      <c r="H390">
        <v>100</v>
      </c>
      <c r="K390">
        <v>4</v>
      </c>
      <c r="L390" t="s">
        <v>131</v>
      </c>
      <c r="M390" s="50">
        <v>44875</v>
      </c>
      <c r="N390" s="50">
        <v>2958465</v>
      </c>
      <c r="P390">
        <v>0</v>
      </c>
      <c r="U390">
        <v>4</v>
      </c>
      <c r="V390">
        <v>1</v>
      </c>
      <c r="W390" t="s">
        <v>132</v>
      </c>
      <c r="X390">
        <v>0</v>
      </c>
    </row>
    <row r="391" spans="1:24" x14ac:dyDescent="0.25">
      <c r="A391">
        <v>1</v>
      </c>
      <c r="B391" s="13">
        <v>590920300496</v>
      </c>
      <c r="C391">
        <v>60</v>
      </c>
      <c r="D391" s="13">
        <v>1022356</v>
      </c>
      <c r="F391" t="s">
        <v>130</v>
      </c>
      <c r="G391">
        <v>0</v>
      </c>
      <c r="H391">
        <v>100</v>
      </c>
      <c r="K391">
        <v>10</v>
      </c>
      <c r="L391" t="s">
        <v>131</v>
      </c>
      <c r="M391" s="50">
        <v>44875</v>
      </c>
      <c r="N391" s="50">
        <v>2958465</v>
      </c>
      <c r="P391">
        <v>0</v>
      </c>
      <c r="U391">
        <v>4</v>
      </c>
      <c r="V391">
        <v>1</v>
      </c>
      <c r="W391" t="s">
        <v>132</v>
      </c>
      <c r="X391">
        <v>0</v>
      </c>
    </row>
    <row r="392" spans="1:24" x14ac:dyDescent="0.25">
      <c r="A392">
        <v>1</v>
      </c>
      <c r="B392" s="13">
        <v>590920300496</v>
      </c>
      <c r="C392">
        <v>70</v>
      </c>
      <c r="D392" s="13">
        <v>1022213</v>
      </c>
      <c r="F392" t="s">
        <v>130</v>
      </c>
      <c r="G392">
        <v>0</v>
      </c>
      <c r="H392">
        <v>100</v>
      </c>
      <c r="K392">
        <v>5.5919999999999996</v>
      </c>
      <c r="L392" t="s">
        <v>131</v>
      </c>
      <c r="M392" s="50">
        <v>44875</v>
      </c>
      <c r="N392" s="50">
        <v>2958465</v>
      </c>
      <c r="P392">
        <v>0</v>
      </c>
      <c r="U392">
        <v>4</v>
      </c>
      <c r="V392">
        <v>1</v>
      </c>
      <c r="W392" t="s">
        <v>132</v>
      </c>
      <c r="X392">
        <v>0</v>
      </c>
    </row>
    <row r="393" spans="1:24" x14ac:dyDescent="0.25">
      <c r="A393">
        <v>1</v>
      </c>
      <c r="B393" s="13">
        <v>590920300496</v>
      </c>
      <c r="C393">
        <v>80</v>
      </c>
      <c r="D393" s="13">
        <v>2.0202020202020199E+96</v>
      </c>
      <c r="F393" t="s">
        <v>130</v>
      </c>
      <c r="G393">
        <v>0</v>
      </c>
      <c r="H393">
        <v>100</v>
      </c>
      <c r="K393">
        <v>1</v>
      </c>
      <c r="L393" t="s">
        <v>131</v>
      </c>
      <c r="M393" s="50">
        <v>44875</v>
      </c>
      <c r="N393" s="50">
        <v>2958465</v>
      </c>
      <c r="P393">
        <v>0</v>
      </c>
      <c r="U393">
        <v>4</v>
      </c>
      <c r="V393">
        <v>1</v>
      </c>
      <c r="W393" t="s">
        <v>132</v>
      </c>
      <c r="X393">
        <v>0</v>
      </c>
    </row>
    <row r="394" spans="1:24" x14ac:dyDescent="0.25">
      <c r="A394">
        <v>1</v>
      </c>
      <c r="B394" s="13">
        <v>590920300596</v>
      </c>
      <c r="C394">
        <v>10</v>
      </c>
      <c r="D394" s="13">
        <v>5957163005</v>
      </c>
      <c r="F394" t="s">
        <v>130</v>
      </c>
      <c r="G394">
        <v>0</v>
      </c>
      <c r="H394">
        <v>100</v>
      </c>
      <c r="K394">
        <v>2</v>
      </c>
      <c r="L394" t="s">
        <v>131</v>
      </c>
      <c r="M394" s="50">
        <v>44875</v>
      </c>
      <c r="N394" s="50">
        <v>2958465</v>
      </c>
      <c r="P394">
        <v>0</v>
      </c>
      <c r="U394">
        <v>4</v>
      </c>
      <c r="V394">
        <v>1</v>
      </c>
      <c r="W394" t="s">
        <v>132</v>
      </c>
      <c r="X394">
        <v>0</v>
      </c>
    </row>
    <row r="395" spans="1:24" x14ac:dyDescent="0.25">
      <c r="A395">
        <v>1</v>
      </c>
      <c r="B395" s="13">
        <v>590920300596</v>
      </c>
      <c r="C395">
        <v>20</v>
      </c>
      <c r="D395" s="13">
        <v>5957333005</v>
      </c>
      <c r="F395" t="s">
        <v>130</v>
      </c>
      <c r="G395">
        <v>0</v>
      </c>
      <c r="H395">
        <v>100</v>
      </c>
      <c r="K395">
        <v>1</v>
      </c>
      <c r="L395" t="s">
        <v>131</v>
      </c>
      <c r="M395" s="50">
        <v>44875</v>
      </c>
      <c r="N395" s="50">
        <v>2958465</v>
      </c>
      <c r="P395">
        <v>0</v>
      </c>
      <c r="U395">
        <v>4</v>
      </c>
      <c r="V395">
        <v>1</v>
      </c>
      <c r="W395" t="s">
        <v>132</v>
      </c>
      <c r="X395">
        <v>0</v>
      </c>
    </row>
    <row r="396" spans="1:24" x14ac:dyDescent="0.25">
      <c r="A396">
        <v>1</v>
      </c>
      <c r="B396" s="13">
        <v>590920300596</v>
      </c>
      <c r="C396">
        <v>30</v>
      </c>
      <c r="D396" s="13">
        <v>5957303005</v>
      </c>
      <c r="F396" t="s">
        <v>130</v>
      </c>
      <c r="G396">
        <v>0</v>
      </c>
      <c r="H396">
        <v>100</v>
      </c>
      <c r="K396">
        <v>1</v>
      </c>
      <c r="L396" t="s">
        <v>131</v>
      </c>
      <c r="M396" s="50">
        <v>44875</v>
      </c>
      <c r="N396" s="50">
        <v>2958465</v>
      </c>
      <c r="P396">
        <v>0</v>
      </c>
      <c r="U396">
        <v>4</v>
      </c>
      <c r="V396">
        <v>1</v>
      </c>
      <c r="W396" t="s">
        <v>132</v>
      </c>
      <c r="X396">
        <v>0</v>
      </c>
    </row>
    <row r="397" spans="1:24" x14ac:dyDescent="0.25">
      <c r="A397">
        <v>1</v>
      </c>
      <c r="B397" s="13">
        <v>590920300596</v>
      </c>
      <c r="C397">
        <v>40</v>
      </c>
      <c r="D397" s="13">
        <v>5957093005</v>
      </c>
      <c r="F397" t="s">
        <v>130</v>
      </c>
      <c r="G397">
        <v>0</v>
      </c>
      <c r="H397">
        <v>100</v>
      </c>
      <c r="K397">
        <v>1</v>
      </c>
      <c r="L397" t="s">
        <v>131</v>
      </c>
      <c r="M397" s="50">
        <v>44875</v>
      </c>
      <c r="N397" s="50">
        <v>2958465</v>
      </c>
      <c r="P397">
        <v>0</v>
      </c>
      <c r="U397">
        <v>4</v>
      </c>
      <c r="V397">
        <v>1</v>
      </c>
      <c r="W397" t="s">
        <v>132</v>
      </c>
      <c r="X397">
        <v>0</v>
      </c>
    </row>
    <row r="398" spans="1:24" x14ac:dyDescent="0.25">
      <c r="A398">
        <v>1</v>
      </c>
      <c r="B398" s="13">
        <v>590920300596</v>
      </c>
      <c r="C398">
        <v>50</v>
      </c>
      <c r="D398" s="13">
        <v>1018034</v>
      </c>
      <c r="F398" t="s">
        <v>130</v>
      </c>
      <c r="G398">
        <v>0</v>
      </c>
      <c r="H398">
        <v>100</v>
      </c>
      <c r="K398">
        <v>4</v>
      </c>
      <c r="L398" t="s">
        <v>131</v>
      </c>
      <c r="M398" s="50">
        <v>44875</v>
      </c>
      <c r="N398" s="50">
        <v>2958465</v>
      </c>
      <c r="P398">
        <v>0</v>
      </c>
      <c r="U398">
        <v>4</v>
      </c>
      <c r="V398">
        <v>1</v>
      </c>
      <c r="W398" t="s">
        <v>132</v>
      </c>
      <c r="X398">
        <v>0</v>
      </c>
    </row>
    <row r="399" spans="1:24" x14ac:dyDescent="0.25">
      <c r="A399">
        <v>1</v>
      </c>
      <c r="B399" s="13">
        <v>590920300596</v>
      </c>
      <c r="C399">
        <v>60</v>
      </c>
      <c r="D399" s="13">
        <v>1022356</v>
      </c>
      <c r="F399" t="s">
        <v>130</v>
      </c>
      <c r="G399">
        <v>0</v>
      </c>
      <c r="H399">
        <v>100</v>
      </c>
      <c r="K399">
        <v>10</v>
      </c>
      <c r="L399" t="s">
        <v>131</v>
      </c>
      <c r="M399" s="50">
        <v>44875</v>
      </c>
      <c r="N399" s="50">
        <v>2958465</v>
      </c>
      <c r="P399">
        <v>0</v>
      </c>
      <c r="U399">
        <v>4</v>
      </c>
      <c r="V399">
        <v>1</v>
      </c>
      <c r="W399" t="s">
        <v>132</v>
      </c>
      <c r="X399">
        <v>0</v>
      </c>
    </row>
    <row r="400" spans="1:24" x14ac:dyDescent="0.25">
      <c r="A400">
        <v>1</v>
      </c>
      <c r="B400" s="13">
        <v>590920300596</v>
      </c>
      <c r="C400">
        <v>70</v>
      </c>
      <c r="D400" s="13">
        <v>1022213</v>
      </c>
      <c r="F400" t="s">
        <v>130</v>
      </c>
      <c r="G400">
        <v>0</v>
      </c>
      <c r="H400">
        <v>100</v>
      </c>
      <c r="K400">
        <v>5.5919999999999996</v>
      </c>
      <c r="L400" t="s">
        <v>131</v>
      </c>
      <c r="M400" s="50">
        <v>44875</v>
      </c>
      <c r="N400" s="50">
        <v>2958465</v>
      </c>
      <c r="P400">
        <v>0</v>
      </c>
      <c r="U400">
        <v>4</v>
      </c>
      <c r="V400">
        <v>1</v>
      </c>
      <c r="W400" t="s">
        <v>132</v>
      </c>
      <c r="X400">
        <v>0</v>
      </c>
    </row>
    <row r="401" spans="1:24" x14ac:dyDescent="0.25">
      <c r="A401">
        <v>1</v>
      </c>
      <c r="B401" s="13">
        <v>590920300596</v>
      </c>
      <c r="C401">
        <v>80</v>
      </c>
      <c r="D401" s="13">
        <v>2.0202020202020199E+98</v>
      </c>
      <c r="F401" t="s">
        <v>130</v>
      </c>
      <c r="G401">
        <v>0</v>
      </c>
      <c r="H401">
        <v>100</v>
      </c>
      <c r="K401">
        <v>1</v>
      </c>
      <c r="L401" t="s">
        <v>131</v>
      </c>
      <c r="M401" s="50">
        <v>44875</v>
      </c>
      <c r="N401" s="50">
        <v>2958465</v>
      </c>
      <c r="P401">
        <v>0</v>
      </c>
      <c r="U401">
        <v>4</v>
      </c>
      <c r="V401">
        <v>1</v>
      </c>
      <c r="W401" t="s">
        <v>132</v>
      </c>
      <c r="X401">
        <v>0</v>
      </c>
    </row>
    <row r="402" spans="1:24" x14ac:dyDescent="0.25">
      <c r="A402">
        <v>1</v>
      </c>
      <c r="B402" s="13">
        <v>590920300696</v>
      </c>
      <c r="C402">
        <v>10</v>
      </c>
      <c r="D402" s="13">
        <v>5957163006</v>
      </c>
      <c r="F402" t="s">
        <v>130</v>
      </c>
      <c r="G402">
        <v>0</v>
      </c>
      <c r="H402">
        <v>100</v>
      </c>
      <c r="K402">
        <v>2</v>
      </c>
      <c r="L402" t="s">
        <v>131</v>
      </c>
      <c r="M402" s="50">
        <v>44875</v>
      </c>
      <c r="N402" s="50">
        <v>2958465</v>
      </c>
      <c r="P402">
        <v>0</v>
      </c>
      <c r="U402">
        <v>4</v>
      </c>
      <c r="V402">
        <v>1</v>
      </c>
      <c r="W402" t="s">
        <v>132</v>
      </c>
      <c r="X402">
        <v>0</v>
      </c>
    </row>
    <row r="403" spans="1:24" x14ac:dyDescent="0.25">
      <c r="A403">
        <v>1</v>
      </c>
      <c r="B403" s="13">
        <v>590920300696</v>
      </c>
      <c r="C403">
        <v>20</v>
      </c>
      <c r="D403" s="13">
        <v>5957333006</v>
      </c>
      <c r="F403" t="s">
        <v>130</v>
      </c>
      <c r="G403">
        <v>0</v>
      </c>
      <c r="H403">
        <v>100</v>
      </c>
      <c r="K403">
        <v>1</v>
      </c>
      <c r="L403" t="s">
        <v>131</v>
      </c>
      <c r="M403" s="50">
        <v>44875</v>
      </c>
      <c r="N403" s="50">
        <v>2958465</v>
      </c>
      <c r="P403">
        <v>0</v>
      </c>
      <c r="U403">
        <v>4</v>
      </c>
      <c r="V403">
        <v>1</v>
      </c>
      <c r="W403" t="s">
        <v>132</v>
      </c>
      <c r="X403">
        <v>0</v>
      </c>
    </row>
    <row r="404" spans="1:24" x14ac:dyDescent="0.25">
      <c r="A404">
        <v>1</v>
      </c>
      <c r="B404" s="13">
        <v>590920300696</v>
      </c>
      <c r="C404">
        <v>30</v>
      </c>
      <c r="D404" s="13">
        <v>5957303006</v>
      </c>
      <c r="F404" t="s">
        <v>130</v>
      </c>
      <c r="G404">
        <v>0</v>
      </c>
      <c r="H404">
        <v>100</v>
      </c>
      <c r="K404">
        <v>1</v>
      </c>
      <c r="L404" t="s">
        <v>131</v>
      </c>
      <c r="M404" s="50">
        <v>44875</v>
      </c>
      <c r="N404" s="50">
        <v>2958465</v>
      </c>
      <c r="P404">
        <v>0</v>
      </c>
      <c r="U404">
        <v>4</v>
      </c>
      <c r="V404">
        <v>1</v>
      </c>
      <c r="W404" t="s">
        <v>132</v>
      </c>
      <c r="X404">
        <v>0</v>
      </c>
    </row>
    <row r="405" spans="1:24" x14ac:dyDescent="0.25">
      <c r="A405">
        <v>1</v>
      </c>
      <c r="B405" s="13">
        <v>590920300696</v>
      </c>
      <c r="C405">
        <v>40</v>
      </c>
      <c r="D405" s="13">
        <v>5957093006</v>
      </c>
      <c r="F405" t="s">
        <v>130</v>
      </c>
      <c r="G405">
        <v>0</v>
      </c>
      <c r="H405">
        <v>100</v>
      </c>
      <c r="K405">
        <v>1</v>
      </c>
      <c r="L405" t="s">
        <v>131</v>
      </c>
      <c r="M405" s="50">
        <v>44875</v>
      </c>
      <c r="N405" s="50">
        <v>2958465</v>
      </c>
      <c r="P405">
        <v>0</v>
      </c>
      <c r="U405">
        <v>4</v>
      </c>
      <c r="V405">
        <v>1</v>
      </c>
      <c r="W405" t="s">
        <v>132</v>
      </c>
      <c r="X405">
        <v>0</v>
      </c>
    </row>
    <row r="406" spans="1:24" x14ac:dyDescent="0.25">
      <c r="A406">
        <v>1</v>
      </c>
      <c r="B406" s="13">
        <v>590920300696</v>
      </c>
      <c r="C406">
        <v>50</v>
      </c>
      <c r="D406" s="13">
        <v>1018034</v>
      </c>
      <c r="F406" t="s">
        <v>130</v>
      </c>
      <c r="G406">
        <v>0</v>
      </c>
      <c r="H406">
        <v>100</v>
      </c>
      <c r="K406">
        <v>4</v>
      </c>
      <c r="L406" t="s">
        <v>131</v>
      </c>
      <c r="M406" s="50">
        <v>44875</v>
      </c>
      <c r="N406" s="50">
        <v>2958465</v>
      </c>
      <c r="P406">
        <v>0</v>
      </c>
      <c r="U406">
        <v>4</v>
      </c>
      <c r="V406">
        <v>1</v>
      </c>
      <c r="W406" t="s">
        <v>132</v>
      </c>
      <c r="X406">
        <v>0</v>
      </c>
    </row>
    <row r="407" spans="1:24" x14ac:dyDescent="0.25">
      <c r="A407">
        <v>1</v>
      </c>
      <c r="B407" s="13">
        <v>590920300696</v>
      </c>
      <c r="C407">
        <v>60</v>
      </c>
      <c r="D407" s="13">
        <v>1018359</v>
      </c>
      <c r="F407" t="s">
        <v>130</v>
      </c>
      <c r="G407">
        <v>0</v>
      </c>
      <c r="H407">
        <v>100</v>
      </c>
      <c r="K407">
        <v>10</v>
      </c>
      <c r="L407" t="s">
        <v>131</v>
      </c>
      <c r="M407" s="50">
        <v>44875</v>
      </c>
      <c r="N407" s="50">
        <v>2958465</v>
      </c>
      <c r="P407">
        <v>0</v>
      </c>
      <c r="U407">
        <v>4</v>
      </c>
      <c r="V407">
        <v>1</v>
      </c>
      <c r="W407" t="s">
        <v>132</v>
      </c>
      <c r="X407">
        <v>0</v>
      </c>
    </row>
    <row r="408" spans="1:24" x14ac:dyDescent="0.25">
      <c r="A408">
        <v>1</v>
      </c>
      <c r="B408" s="13">
        <v>590920300696</v>
      </c>
      <c r="C408">
        <v>70</v>
      </c>
      <c r="D408" s="13">
        <v>1022213</v>
      </c>
      <c r="F408" t="s">
        <v>130</v>
      </c>
      <c r="G408">
        <v>0</v>
      </c>
      <c r="H408">
        <v>100</v>
      </c>
      <c r="K408">
        <v>5.5919999999999996</v>
      </c>
      <c r="L408" t="s">
        <v>131</v>
      </c>
      <c r="M408" s="50">
        <v>44875</v>
      </c>
      <c r="N408" s="50">
        <v>2958465</v>
      </c>
      <c r="P408">
        <v>0</v>
      </c>
      <c r="U408">
        <v>4</v>
      </c>
      <c r="V408">
        <v>1</v>
      </c>
      <c r="W408" t="s">
        <v>132</v>
      </c>
      <c r="X408">
        <v>0</v>
      </c>
    </row>
    <row r="409" spans="1:24" x14ac:dyDescent="0.25">
      <c r="A409">
        <v>1</v>
      </c>
      <c r="B409" s="13">
        <v>590920300696</v>
      </c>
      <c r="C409">
        <v>80</v>
      </c>
      <c r="D409" s="13">
        <v>2.0202020202020199E+100</v>
      </c>
      <c r="F409" t="s">
        <v>130</v>
      </c>
      <c r="G409">
        <v>0</v>
      </c>
      <c r="H409">
        <v>100</v>
      </c>
      <c r="K409">
        <v>1</v>
      </c>
      <c r="L409" t="s">
        <v>131</v>
      </c>
      <c r="M409" s="50">
        <v>44875</v>
      </c>
      <c r="N409" s="50">
        <v>2958465</v>
      </c>
      <c r="P409">
        <v>0</v>
      </c>
      <c r="U409">
        <v>4</v>
      </c>
      <c r="V409">
        <v>1</v>
      </c>
      <c r="W409" t="s">
        <v>132</v>
      </c>
      <c r="X409">
        <v>0</v>
      </c>
    </row>
    <row r="410" spans="1:24" x14ac:dyDescent="0.25">
      <c r="A410">
        <v>1</v>
      </c>
      <c r="B410" s="13">
        <v>590920300796</v>
      </c>
      <c r="C410">
        <v>10</v>
      </c>
      <c r="D410" s="13">
        <v>5957163007</v>
      </c>
      <c r="F410" t="s">
        <v>130</v>
      </c>
      <c r="G410">
        <v>0</v>
      </c>
      <c r="H410">
        <v>100</v>
      </c>
      <c r="K410">
        <v>2</v>
      </c>
      <c r="L410" t="s">
        <v>131</v>
      </c>
      <c r="M410" s="50">
        <v>44875</v>
      </c>
      <c r="N410" s="50">
        <v>2958465</v>
      </c>
      <c r="P410">
        <v>0</v>
      </c>
      <c r="U410">
        <v>4</v>
      </c>
      <c r="V410">
        <v>1</v>
      </c>
      <c r="W410" t="s">
        <v>132</v>
      </c>
      <c r="X410">
        <v>0</v>
      </c>
    </row>
    <row r="411" spans="1:24" x14ac:dyDescent="0.25">
      <c r="A411">
        <v>1</v>
      </c>
      <c r="B411" s="13">
        <v>590920300796</v>
      </c>
      <c r="C411">
        <v>20</v>
      </c>
      <c r="D411" s="13">
        <v>5957333007</v>
      </c>
      <c r="F411" t="s">
        <v>130</v>
      </c>
      <c r="G411">
        <v>0</v>
      </c>
      <c r="H411">
        <v>100</v>
      </c>
      <c r="K411">
        <v>1</v>
      </c>
      <c r="L411" t="s">
        <v>131</v>
      </c>
      <c r="M411" s="50">
        <v>44875</v>
      </c>
      <c r="N411" s="50">
        <v>2958465</v>
      </c>
      <c r="P411">
        <v>0</v>
      </c>
      <c r="U411">
        <v>4</v>
      </c>
      <c r="V411">
        <v>1</v>
      </c>
      <c r="W411" t="s">
        <v>132</v>
      </c>
      <c r="X411">
        <v>0</v>
      </c>
    </row>
    <row r="412" spans="1:24" x14ac:dyDescent="0.25">
      <c r="A412">
        <v>1</v>
      </c>
      <c r="B412" s="13">
        <v>590920300796</v>
      </c>
      <c r="C412">
        <v>30</v>
      </c>
      <c r="D412" s="13">
        <v>5957303007</v>
      </c>
      <c r="F412" t="s">
        <v>130</v>
      </c>
      <c r="G412">
        <v>0</v>
      </c>
      <c r="H412">
        <v>100</v>
      </c>
      <c r="K412">
        <v>1</v>
      </c>
      <c r="L412" t="s">
        <v>131</v>
      </c>
      <c r="M412" s="50">
        <v>44875</v>
      </c>
      <c r="N412" s="50">
        <v>2958465</v>
      </c>
      <c r="P412">
        <v>0</v>
      </c>
      <c r="U412">
        <v>4</v>
      </c>
      <c r="V412">
        <v>1</v>
      </c>
      <c r="W412" t="s">
        <v>132</v>
      </c>
      <c r="X412">
        <v>0</v>
      </c>
    </row>
    <row r="413" spans="1:24" x14ac:dyDescent="0.25">
      <c r="A413">
        <v>1</v>
      </c>
      <c r="B413" s="13">
        <v>590920300796</v>
      </c>
      <c r="C413">
        <v>40</v>
      </c>
      <c r="D413" s="13">
        <v>5957093007</v>
      </c>
      <c r="F413" t="s">
        <v>130</v>
      </c>
      <c r="G413">
        <v>0</v>
      </c>
      <c r="H413">
        <v>100</v>
      </c>
      <c r="K413">
        <v>1</v>
      </c>
      <c r="L413" t="s">
        <v>131</v>
      </c>
      <c r="M413" s="50">
        <v>44875</v>
      </c>
      <c r="N413" s="50">
        <v>2958465</v>
      </c>
      <c r="P413">
        <v>0</v>
      </c>
      <c r="U413">
        <v>4</v>
      </c>
      <c r="V413">
        <v>1</v>
      </c>
      <c r="W413" t="s">
        <v>132</v>
      </c>
      <c r="X413">
        <v>0</v>
      </c>
    </row>
    <row r="414" spans="1:24" x14ac:dyDescent="0.25">
      <c r="A414">
        <v>1</v>
      </c>
      <c r="B414" s="13">
        <v>590920300796</v>
      </c>
      <c r="C414">
        <v>50</v>
      </c>
      <c r="D414" s="13">
        <v>1018034</v>
      </c>
      <c r="F414" t="s">
        <v>130</v>
      </c>
      <c r="G414">
        <v>0</v>
      </c>
      <c r="H414">
        <v>100</v>
      </c>
      <c r="K414">
        <v>4</v>
      </c>
      <c r="L414" t="s">
        <v>131</v>
      </c>
      <c r="M414" s="50">
        <v>44875</v>
      </c>
      <c r="N414" s="50">
        <v>2958465</v>
      </c>
      <c r="P414">
        <v>0</v>
      </c>
      <c r="U414">
        <v>4</v>
      </c>
      <c r="V414">
        <v>1</v>
      </c>
      <c r="W414" t="s">
        <v>132</v>
      </c>
      <c r="X414">
        <v>0</v>
      </c>
    </row>
    <row r="415" spans="1:24" x14ac:dyDescent="0.25">
      <c r="A415">
        <v>1</v>
      </c>
      <c r="B415" s="13">
        <v>590920300796</v>
      </c>
      <c r="C415">
        <v>60</v>
      </c>
      <c r="D415" s="13">
        <v>1018359</v>
      </c>
      <c r="F415" t="s">
        <v>130</v>
      </c>
      <c r="G415">
        <v>0</v>
      </c>
      <c r="H415">
        <v>100</v>
      </c>
      <c r="K415">
        <v>10</v>
      </c>
      <c r="L415" t="s">
        <v>131</v>
      </c>
      <c r="M415" s="50">
        <v>44875</v>
      </c>
      <c r="N415" s="50">
        <v>2958465</v>
      </c>
      <c r="P415">
        <v>0</v>
      </c>
      <c r="U415">
        <v>4</v>
      </c>
      <c r="V415">
        <v>1</v>
      </c>
      <c r="W415" t="s">
        <v>132</v>
      </c>
      <c r="X415">
        <v>0</v>
      </c>
    </row>
    <row r="416" spans="1:24" x14ac:dyDescent="0.25">
      <c r="A416">
        <v>1</v>
      </c>
      <c r="B416" s="13">
        <v>590920300796</v>
      </c>
      <c r="C416">
        <v>70</v>
      </c>
      <c r="D416" s="13">
        <v>1022213</v>
      </c>
      <c r="F416" t="s">
        <v>130</v>
      </c>
      <c r="G416">
        <v>0</v>
      </c>
      <c r="H416">
        <v>100</v>
      </c>
      <c r="K416">
        <v>5.5919999999999996</v>
      </c>
      <c r="L416" t="s">
        <v>131</v>
      </c>
      <c r="M416" s="50">
        <v>44875</v>
      </c>
      <c r="N416" s="50">
        <v>2958465</v>
      </c>
      <c r="P416">
        <v>0</v>
      </c>
      <c r="U416">
        <v>4</v>
      </c>
      <c r="V416">
        <v>1</v>
      </c>
      <c r="W416" t="s">
        <v>132</v>
      </c>
      <c r="X416">
        <v>0</v>
      </c>
    </row>
    <row r="417" spans="1:24" x14ac:dyDescent="0.25">
      <c r="A417">
        <v>1</v>
      </c>
      <c r="B417" s="13">
        <v>590920300796</v>
      </c>
      <c r="C417">
        <v>80</v>
      </c>
      <c r="D417" s="13">
        <v>2.0202020202020201E+102</v>
      </c>
      <c r="F417" t="s">
        <v>130</v>
      </c>
      <c r="G417">
        <v>0</v>
      </c>
      <c r="H417">
        <v>100</v>
      </c>
      <c r="K417">
        <v>1</v>
      </c>
      <c r="L417" t="s">
        <v>131</v>
      </c>
      <c r="M417" s="50">
        <v>44875</v>
      </c>
      <c r="N417" s="50">
        <v>2958465</v>
      </c>
      <c r="P417">
        <v>0</v>
      </c>
      <c r="U417">
        <v>4</v>
      </c>
      <c r="V417">
        <v>1</v>
      </c>
      <c r="W417" t="s">
        <v>132</v>
      </c>
      <c r="X417">
        <v>0</v>
      </c>
    </row>
    <row r="418" spans="1:24" x14ac:dyDescent="0.25">
      <c r="A418">
        <v>1</v>
      </c>
      <c r="B418" s="13">
        <v>590920300896</v>
      </c>
      <c r="C418">
        <v>10</v>
      </c>
      <c r="D418" s="13">
        <v>5957163008</v>
      </c>
      <c r="F418" t="s">
        <v>130</v>
      </c>
      <c r="G418">
        <v>0</v>
      </c>
      <c r="H418">
        <v>100</v>
      </c>
      <c r="K418">
        <v>2</v>
      </c>
      <c r="L418" t="s">
        <v>131</v>
      </c>
      <c r="M418" s="50">
        <v>44875</v>
      </c>
      <c r="N418" s="50">
        <v>2958465</v>
      </c>
      <c r="P418">
        <v>0</v>
      </c>
      <c r="U418">
        <v>4</v>
      </c>
      <c r="V418">
        <v>1</v>
      </c>
      <c r="W418" t="s">
        <v>132</v>
      </c>
      <c r="X418">
        <v>0</v>
      </c>
    </row>
    <row r="419" spans="1:24" x14ac:dyDescent="0.25">
      <c r="A419">
        <v>1</v>
      </c>
      <c r="B419" s="13">
        <v>590920300896</v>
      </c>
      <c r="C419">
        <v>20</v>
      </c>
      <c r="D419" s="13">
        <v>5957333008</v>
      </c>
      <c r="F419" t="s">
        <v>130</v>
      </c>
      <c r="G419">
        <v>0</v>
      </c>
      <c r="H419">
        <v>100</v>
      </c>
      <c r="K419">
        <v>1</v>
      </c>
      <c r="L419" t="s">
        <v>131</v>
      </c>
      <c r="M419" s="50">
        <v>44875</v>
      </c>
      <c r="N419" s="50">
        <v>2958465</v>
      </c>
      <c r="P419">
        <v>0</v>
      </c>
      <c r="U419">
        <v>4</v>
      </c>
      <c r="V419">
        <v>1</v>
      </c>
      <c r="W419" t="s">
        <v>132</v>
      </c>
      <c r="X419">
        <v>0</v>
      </c>
    </row>
    <row r="420" spans="1:24" x14ac:dyDescent="0.25">
      <c r="A420">
        <v>1</v>
      </c>
      <c r="B420" s="13">
        <v>590920300896</v>
      </c>
      <c r="C420">
        <v>30</v>
      </c>
      <c r="D420" s="13">
        <v>5957303008</v>
      </c>
      <c r="F420" t="s">
        <v>130</v>
      </c>
      <c r="G420">
        <v>0</v>
      </c>
      <c r="H420">
        <v>100</v>
      </c>
      <c r="K420">
        <v>1</v>
      </c>
      <c r="L420" t="s">
        <v>131</v>
      </c>
      <c r="M420" s="50">
        <v>44875</v>
      </c>
      <c r="N420" s="50">
        <v>2958465</v>
      </c>
      <c r="P420">
        <v>0</v>
      </c>
      <c r="U420">
        <v>4</v>
      </c>
      <c r="V420">
        <v>1</v>
      </c>
      <c r="W420" t="s">
        <v>132</v>
      </c>
      <c r="X420">
        <v>0</v>
      </c>
    </row>
    <row r="421" spans="1:24" x14ac:dyDescent="0.25">
      <c r="A421">
        <v>1</v>
      </c>
      <c r="B421" s="13">
        <v>590920300896</v>
      </c>
      <c r="C421">
        <v>40</v>
      </c>
      <c r="D421" s="13">
        <v>5957093008</v>
      </c>
      <c r="F421" t="s">
        <v>130</v>
      </c>
      <c r="G421">
        <v>0</v>
      </c>
      <c r="H421">
        <v>100</v>
      </c>
      <c r="K421">
        <v>1</v>
      </c>
      <c r="L421" t="s">
        <v>131</v>
      </c>
      <c r="M421" s="50">
        <v>44875</v>
      </c>
      <c r="N421" s="50">
        <v>2958465</v>
      </c>
      <c r="P421">
        <v>0</v>
      </c>
      <c r="U421">
        <v>4</v>
      </c>
      <c r="V421">
        <v>1</v>
      </c>
      <c r="W421" t="s">
        <v>132</v>
      </c>
      <c r="X421">
        <v>0</v>
      </c>
    </row>
    <row r="422" spans="1:24" x14ac:dyDescent="0.25">
      <c r="A422">
        <v>1</v>
      </c>
      <c r="B422" s="13">
        <v>590920300896</v>
      </c>
      <c r="C422">
        <v>50</v>
      </c>
      <c r="D422" s="13">
        <v>1018034</v>
      </c>
      <c r="F422" t="s">
        <v>130</v>
      </c>
      <c r="G422">
        <v>0</v>
      </c>
      <c r="H422">
        <v>100</v>
      </c>
      <c r="K422">
        <v>4</v>
      </c>
      <c r="L422" t="s">
        <v>131</v>
      </c>
      <c r="M422" s="50">
        <v>44875</v>
      </c>
      <c r="N422" s="50">
        <v>2958465</v>
      </c>
      <c r="P422">
        <v>0</v>
      </c>
      <c r="U422">
        <v>4</v>
      </c>
      <c r="V422">
        <v>1</v>
      </c>
      <c r="W422" t="s">
        <v>132</v>
      </c>
      <c r="X422">
        <v>0</v>
      </c>
    </row>
    <row r="423" spans="1:24" x14ac:dyDescent="0.25">
      <c r="A423">
        <v>1</v>
      </c>
      <c r="B423" s="13">
        <v>590920300896</v>
      </c>
      <c r="C423">
        <v>60</v>
      </c>
      <c r="D423" s="13">
        <v>1022356</v>
      </c>
      <c r="F423" t="s">
        <v>130</v>
      </c>
      <c r="G423">
        <v>0</v>
      </c>
      <c r="H423">
        <v>100</v>
      </c>
      <c r="K423">
        <v>10</v>
      </c>
      <c r="L423" t="s">
        <v>131</v>
      </c>
      <c r="M423" s="50">
        <v>44875</v>
      </c>
      <c r="N423" s="50">
        <v>2958465</v>
      </c>
      <c r="P423">
        <v>0</v>
      </c>
      <c r="U423">
        <v>4</v>
      </c>
      <c r="V423">
        <v>1</v>
      </c>
      <c r="W423" t="s">
        <v>132</v>
      </c>
      <c r="X423">
        <v>0</v>
      </c>
    </row>
    <row r="424" spans="1:24" x14ac:dyDescent="0.25">
      <c r="A424">
        <v>1</v>
      </c>
      <c r="B424" s="13">
        <v>590920300896</v>
      </c>
      <c r="C424">
        <v>70</v>
      </c>
      <c r="D424" s="13">
        <v>1022213</v>
      </c>
      <c r="F424" t="s">
        <v>130</v>
      </c>
      <c r="G424">
        <v>0</v>
      </c>
      <c r="H424">
        <v>100</v>
      </c>
      <c r="K424">
        <v>5.5919999999999996</v>
      </c>
      <c r="L424" t="s">
        <v>131</v>
      </c>
      <c r="M424" s="50">
        <v>44875</v>
      </c>
      <c r="N424" s="50">
        <v>2958465</v>
      </c>
      <c r="P424">
        <v>0</v>
      </c>
      <c r="U424">
        <v>4</v>
      </c>
      <c r="V424">
        <v>1</v>
      </c>
      <c r="W424" t="s">
        <v>132</v>
      </c>
      <c r="X424">
        <v>0</v>
      </c>
    </row>
    <row r="425" spans="1:24" x14ac:dyDescent="0.25">
      <c r="A425">
        <v>1</v>
      </c>
      <c r="B425" s="13">
        <v>590920300896</v>
      </c>
      <c r="C425">
        <v>80</v>
      </c>
      <c r="D425" s="13">
        <v>2.0202020202020199E+104</v>
      </c>
      <c r="F425" t="s">
        <v>130</v>
      </c>
      <c r="G425">
        <v>0</v>
      </c>
      <c r="H425">
        <v>100</v>
      </c>
      <c r="K425">
        <v>1</v>
      </c>
      <c r="L425" t="s">
        <v>131</v>
      </c>
      <c r="M425" s="50">
        <v>44875</v>
      </c>
      <c r="N425" s="50">
        <v>2958465</v>
      </c>
      <c r="P425">
        <v>0</v>
      </c>
      <c r="U425">
        <v>4</v>
      </c>
      <c r="V425">
        <v>1</v>
      </c>
      <c r="W425" t="s">
        <v>132</v>
      </c>
      <c r="X425">
        <v>0</v>
      </c>
    </row>
    <row r="426" spans="1:24" x14ac:dyDescent="0.25">
      <c r="A426">
        <v>1</v>
      </c>
      <c r="B426" s="13">
        <v>590920300996</v>
      </c>
      <c r="C426">
        <v>10</v>
      </c>
      <c r="D426" s="13">
        <v>5957163009</v>
      </c>
      <c r="F426" t="s">
        <v>130</v>
      </c>
      <c r="G426">
        <v>0</v>
      </c>
      <c r="H426">
        <v>100</v>
      </c>
      <c r="K426">
        <v>2</v>
      </c>
      <c r="L426" t="s">
        <v>131</v>
      </c>
      <c r="M426" s="50">
        <v>44875</v>
      </c>
      <c r="N426" s="50">
        <v>2958465</v>
      </c>
      <c r="P426">
        <v>0</v>
      </c>
      <c r="U426">
        <v>4</v>
      </c>
      <c r="V426">
        <v>1</v>
      </c>
      <c r="W426" t="s">
        <v>132</v>
      </c>
      <c r="X426">
        <v>0</v>
      </c>
    </row>
    <row r="427" spans="1:24" x14ac:dyDescent="0.25">
      <c r="A427">
        <v>1</v>
      </c>
      <c r="B427" s="13">
        <v>590920300996</v>
      </c>
      <c r="C427">
        <v>20</v>
      </c>
      <c r="D427" s="13">
        <v>5957333009</v>
      </c>
      <c r="F427" t="s">
        <v>130</v>
      </c>
      <c r="G427">
        <v>0</v>
      </c>
      <c r="H427">
        <v>100</v>
      </c>
      <c r="K427">
        <v>1</v>
      </c>
      <c r="L427" t="s">
        <v>131</v>
      </c>
      <c r="M427" s="50">
        <v>44875</v>
      </c>
      <c r="N427" s="50">
        <v>2958465</v>
      </c>
      <c r="P427">
        <v>0</v>
      </c>
      <c r="U427">
        <v>4</v>
      </c>
      <c r="V427">
        <v>1</v>
      </c>
      <c r="W427" t="s">
        <v>132</v>
      </c>
      <c r="X427">
        <v>0</v>
      </c>
    </row>
    <row r="428" spans="1:24" x14ac:dyDescent="0.25">
      <c r="A428">
        <v>1</v>
      </c>
      <c r="B428" s="13">
        <v>590920300996</v>
      </c>
      <c r="C428">
        <v>30</v>
      </c>
      <c r="D428" s="13">
        <v>5957303009</v>
      </c>
      <c r="F428" t="s">
        <v>130</v>
      </c>
      <c r="G428">
        <v>0</v>
      </c>
      <c r="H428">
        <v>100</v>
      </c>
      <c r="K428">
        <v>1</v>
      </c>
      <c r="L428" t="s">
        <v>131</v>
      </c>
      <c r="M428" s="50">
        <v>44875</v>
      </c>
      <c r="N428" s="50">
        <v>2958465</v>
      </c>
      <c r="P428">
        <v>0</v>
      </c>
      <c r="U428">
        <v>4</v>
      </c>
      <c r="V428">
        <v>1</v>
      </c>
      <c r="W428" t="s">
        <v>132</v>
      </c>
      <c r="X428">
        <v>0</v>
      </c>
    </row>
    <row r="429" spans="1:24" x14ac:dyDescent="0.25">
      <c r="A429">
        <v>1</v>
      </c>
      <c r="B429" s="13">
        <v>590920300996</v>
      </c>
      <c r="C429">
        <v>40</v>
      </c>
      <c r="D429" s="13">
        <v>5957093009</v>
      </c>
      <c r="F429" t="s">
        <v>130</v>
      </c>
      <c r="G429">
        <v>0</v>
      </c>
      <c r="H429">
        <v>100</v>
      </c>
      <c r="K429">
        <v>1</v>
      </c>
      <c r="L429" t="s">
        <v>131</v>
      </c>
      <c r="M429" s="50">
        <v>44875</v>
      </c>
      <c r="N429" s="50">
        <v>2958465</v>
      </c>
      <c r="P429">
        <v>0</v>
      </c>
      <c r="U429">
        <v>4</v>
      </c>
      <c r="V429">
        <v>1</v>
      </c>
      <c r="W429" t="s">
        <v>132</v>
      </c>
      <c r="X429">
        <v>0</v>
      </c>
    </row>
    <row r="430" spans="1:24" x14ac:dyDescent="0.25">
      <c r="A430">
        <v>1</v>
      </c>
      <c r="B430" s="13">
        <v>590920300996</v>
      </c>
      <c r="C430">
        <v>50</v>
      </c>
      <c r="D430" s="13">
        <v>1018034</v>
      </c>
      <c r="F430" t="s">
        <v>130</v>
      </c>
      <c r="G430">
        <v>0</v>
      </c>
      <c r="H430">
        <v>100</v>
      </c>
      <c r="K430">
        <v>4</v>
      </c>
      <c r="L430" t="s">
        <v>131</v>
      </c>
      <c r="M430" s="50">
        <v>44875</v>
      </c>
      <c r="N430" s="50">
        <v>2958465</v>
      </c>
      <c r="P430">
        <v>0</v>
      </c>
      <c r="U430">
        <v>4</v>
      </c>
      <c r="V430">
        <v>1</v>
      </c>
      <c r="W430" t="s">
        <v>132</v>
      </c>
      <c r="X430">
        <v>0</v>
      </c>
    </row>
    <row r="431" spans="1:24" x14ac:dyDescent="0.25">
      <c r="A431">
        <v>1</v>
      </c>
      <c r="B431" s="13">
        <v>590920300996</v>
      </c>
      <c r="C431">
        <v>60</v>
      </c>
      <c r="D431" s="13">
        <v>1018359</v>
      </c>
      <c r="F431" t="s">
        <v>130</v>
      </c>
      <c r="G431">
        <v>0</v>
      </c>
      <c r="H431">
        <v>100</v>
      </c>
      <c r="K431">
        <v>10</v>
      </c>
      <c r="L431" t="s">
        <v>131</v>
      </c>
      <c r="M431" s="50">
        <v>44875</v>
      </c>
      <c r="N431" s="50">
        <v>2958465</v>
      </c>
      <c r="P431">
        <v>0</v>
      </c>
      <c r="U431">
        <v>4</v>
      </c>
      <c r="V431">
        <v>1</v>
      </c>
      <c r="W431" t="s">
        <v>132</v>
      </c>
      <c r="X431">
        <v>0</v>
      </c>
    </row>
    <row r="432" spans="1:24" x14ac:dyDescent="0.25">
      <c r="A432">
        <v>1</v>
      </c>
      <c r="B432" s="13">
        <v>590920300996</v>
      </c>
      <c r="C432">
        <v>70</v>
      </c>
      <c r="D432" s="13">
        <v>1022213</v>
      </c>
      <c r="F432" t="s">
        <v>130</v>
      </c>
      <c r="G432">
        <v>0</v>
      </c>
      <c r="H432">
        <v>100</v>
      </c>
      <c r="K432">
        <v>5.5919999999999996</v>
      </c>
      <c r="L432" t="s">
        <v>131</v>
      </c>
      <c r="M432" s="50">
        <v>44875</v>
      </c>
      <c r="N432" s="50">
        <v>2958465</v>
      </c>
      <c r="P432">
        <v>0</v>
      </c>
      <c r="U432">
        <v>4</v>
      </c>
      <c r="V432">
        <v>1</v>
      </c>
      <c r="W432" t="s">
        <v>132</v>
      </c>
      <c r="X432">
        <v>0</v>
      </c>
    </row>
    <row r="433" spans="1:24" x14ac:dyDescent="0.25">
      <c r="A433">
        <v>1</v>
      </c>
      <c r="B433" s="13">
        <v>590920300996</v>
      </c>
      <c r="C433">
        <v>80</v>
      </c>
      <c r="D433" s="13">
        <v>2.02020202020202E+106</v>
      </c>
      <c r="F433" t="s">
        <v>130</v>
      </c>
      <c r="G433">
        <v>0</v>
      </c>
      <c r="H433">
        <v>100</v>
      </c>
      <c r="K433">
        <v>1</v>
      </c>
      <c r="L433" t="s">
        <v>131</v>
      </c>
      <c r="M433" s="50">
        <v>44875</v>
      </c>
      <c r="N433" s="50">
        <v>2958465</v>
      </c>
      <c r="P433">
        <v>0</v>
      </c>
      <c r="U433">
        <v>4</v>
      </c>
      <c r="V433">
        <v>1</v>
      </c>
      <c r="W433" t="s">
        <v>132</v>
      </c>
      <c r="X433">
        <v>0</v>
      </c>
    </row>
    <row r="434" spans="1:24" x14ac:dyDescent="0.25">
      <c r="A434">
        <v>1</v>
      </c>
      <c r="B434" s="13">
        <v>590920301096</v>
      </c>
      <c r="C434">
        <v>10</v>
      </c>
      <c r="D434" s="13">
        <v>5957163010</v>
      </c>
      <c r="F434" t="s">
        <v>130</v>
      </c>
      <c r="G434">
        <v>0</v>
      </c>
      <c r="H434">
        <v>100</v>
      </c>
      <c r="K434">
        <v>2</v>
      </c>
      <c r="L434" t="s">
        <v>131</v>
      </c>
      <c r="M434" s="50">
        <v>44875</v>
      </c>
      <c r="N434" s="50">
        <v>2958465</v>
      </c>
      <c r="P434">
        <v>0</v>
      </c>
      <c r="U434">
        <v>4</v>
      </c>
      <c r="V434">
        <v>1</v>
      </c>
      <c r="W434" t="s">
        <v>132</v>
      </c>
      <c r="X434">
        <v>0</v>
      </c>
    </row>
    <row r="435" spans="1:24" x14ac:dyDescent="0.25">
      <c r="A435">
        <v>1</v>
      </c>
      <c r="B435" s="13">
        <v>590920301096</v>
      </c>
      <c r="C435">
        <v>20</v>
      </c>
      <c r="D435" s="13">
        <v>5957333010</v>
      </c>
      <c r="F435" t="s">
        <v>130</v>
      </c>
      <c r="G435">
        <v>0</v>
      </c>
      <c r="H435">
        <v>100</v>
      </c>
      <c r="K435">
        <v>1</v>
      </c>
      <c r="L435" t="s">
        <v>131</v>
      </c>
      <c r="M435" s="50">
        <v>44875</v>
      </c>
      <c r="N435" s="50">
        <v>2958465</v>
      </c>
      <c r="P435">
        <v>0</v>
      </c>
      <c r="U435">
        <v>4</v>
      </c>
      <c r="V435">
        <v>1</v>
      </c>
      <c r="W435" t="s">
        <v>132</v>
      </c>
      <c r="X435">
        <v>0</v>
      </c>
    </row>
    <row r="436" spans="1:24" x14ac:dyDescent="0.25">
      <c r="A436">
        <v>1</v>
      </c>
      <c r="B436" s="13">
        <v>590920301096</v>
      </c>
      <c r="C436">
        <v>30</v>
      </c>
      <c r="D436" s="13">
        <v>5957303010</v>
      </c>
      <c r="F436" t="s">
        <v>130</v>
      </c>
      <c r="G436">
        <v>0</v>
      </c>
      <c r="H436">
        <v>100</v>
      </c>
      <c r="K436">
        <v>1</v>
      </c>
      <c r="L436" t="s">
        <v>131</v>
      </c>
      <c r="M436" s="50">
        <v>44875</v>
      </c>
      <c r="N436" s="50">
        <v>2958465</v>
      </c>
      <c r="P436">
        <v>0</v>
      </c>
      <c r="U436">
        <v>4</v>
      </c>
      <c r="V436">
        <v>1</v>
      </c>
      <c r="W436" t="s">
        <v>132</v>
      </c>
      <c r="X436">
        <v>0</v>
      </c>
    </row>
    <row r="437" spans="1:24" x14ac:dyDescent="0.25">
      <c r="A437">
        <v>1</v>
      </c>
      <c r="B437" s="13">
        <v>590920301096</v>
      </c>
      <c r="C437">
        <v>40</v>
      </c>
      <c r="D437" s="13">
        <v>5957093010</v>
      </c>
      <c r="F437" t="s">
        <v>130</v>
      </c>
      <c r="G437">
        <v>0</v>
      </c>
      <c r="H437">
        <v>100</v>
      </c>
      <c r="K437">
        <v>1</v>
      </c>
      <c r="L437" t="s">
        <v>131</v>
      </c>
      <c r="M437" s="50">
        <v>44875</v>
      </c>
      <c r="N437" s="50">
        <v>2958465</v>
      </c>
      <c r="P437">
        <v>0</v>
      </c>
      <c r="U437">
        <v>4</v>
      </c>
      <c r="V437">
        <v>1</v>
      </c>
      <c r="W437" t="s">
        <v>132</v>
      </c>
      <c r="X437">
        <v>0</v>
      </c>
    </row>
    <row r="438" spans="1:24" x14ac:dyDescent="0.25">
      <c r="A438">
        <v>1</v>
      </c>
      <c r="B438" s="13">
        <v>590920301096</v>
      </c>
      <c r="C438">
        <v>50</v>
      </c>
      <c r="D438" s="13">
        <v>1018034</v>
      </c>
      <c r="F438" t="s">
        <v>130</v>
      </c>
      <c r="G438">
        <v>0</v>
      </c>
      <c r="H438">
        <v>100</v>
      </c>
      <c r="K438">
        <v>4</v>
      </c>
      <c r="L438" t="s">
        <v>131</v>
      </c>
      <c r="M438" s="50">
        <v>44875</v>
      </c>
      <c r="N438" s="50">
        <v>2958465</v>
      </c>
      <c r="P438">
        <v>0</v>
      </c>
      <c r="U438">
        <v>4</v>
      </c>
      <c r="V438">
        <v>1</v>
      </c>
      <c r="W438" t="s">
        <v>132</v>
      </c>
      <c r="X438">
        <v>0</v>
      </c>
    </row>
    <row r="439" spans="1:24" x14ac:dyDescent="0.25">
      <c r="A439">
        <v>1</v>
      </c>
      <c r="B439" s="13">
        <v>590920301096</v>
      </c>
      <c r="C439">
        <v>60</v>
      </c>
      <c r="D439" s="13">
        <v>1018359</v>
      </c>
      <c r="F439" t="s">
        <v>130</v>
      </c>
      <c r="G439">
        <v>0</v>
      </c>
      <c r="H439">
        <v>100</v>
      </c>
      <c r="K439">
        <v>10</v>
      </c>
      <c r="L439" t="s">
        <v>131</v>
      </c>
      <c r="M439" s="50">
        <v>44875</v>
      </c>
      <c r="N439" s="50">
        <v>2958465</v>
      </c>
      <c r="P439">
        <v>0</v>
      </c>
      <c r="U439">
        <v>4</v>
      </c>
      <c r="V439">
        <v>1</v>
      </c>
      <c r="W439" t="s">
        <v>132</v>
      </c>
      <c r="X439">
        <v>0</v>
      </c>
    </row>
    <row r="440" spans="1:24" x14ac:dyDescent="0.25">
      <c r="A440">
        <v>1</v>
      </c>
      <c r="B440" s="13">
        <v>590920301096</v>
      </c>
      <c r="C440">
        <v>70</v>
      </c>
      <c r="D440" s="13">
        <v>1022213</v>
      </c>
      <c r="F440" t="s">
        <v>130</v>
      </c>
      <c r="G440">
        <v>0</v>
      </c>
      <c r="H440">
        <v>100</v>
      </c>
      <c r="K440">
        <v>5.5919999999999996</v>
      </c>
      <c r="L440" t="s">
        <v>131</v>
      </c>
      <c r="M440" s="50">
        <v>44875</v>
      </c>
      <c r="N440" s="50">
        <v>2958465</v>
      </c>
      <c r="P440">
        <v>0</v>
      </c>
      <c r="U440">
        <v>4</v>
      </c>
      <c r="V440">
        <v>1</v>
      </c>
      <c r="W440" t="s">
        <v>132</v>
      </c>
      <c r="X440">
        <v>0</v>
      </c>
    </row>
    <row r="441" spans="1:24" x14ac:dyDescent="0.25">
      <c r="A441">
        <v>1</v>
      </c>
      <c r="B441" s="13">
        <v>590920301096</v>
      </c>
      <c r="C441">
        <v>80</v>
      </c>
      <c r="D441" s="13">
        <v>2.0202020202020199E+108</v>
      </c>
      <c r="F441" t="s">
        <v>130</v>
      </c>
      <c r="G441">
        <v>0</v>
      </c>
      <c r="H441">
        <v>100</v>
      </c>
      <c r="K441">
        <v>1</v>
      </c>
      <c r="L441" t="s">
        <v>131</v>
      </c>
      <c r="M441" s="50">
        <v>44875</v>
      </c>
      <c r="N441" s="50">
        <v>2958465</v>
      </c>
      <c r="P441">
        <v>0</v>
      </c>
      <c r="U441">
        <v>4</v>
      </c>
      <c r="V441">
        <v>1</v>
      </c>
      <c r="W441" t="s">
        <v>132</v>
      </c>
      <c r="X441">
        <v>0</v>
      </c>
    </row>
    <row r="442" spans="1:24" x14ac:dyDescent="0.25">
      <c r="A442">
        <v>1</v>
      </c>
      <c r="B442" s="13">
        <v>590920300049</v>
      </c>
      <c r="C442">
        <v>10</v>
      </c>
      <c r="D442" s="13">
        <v>5957163099</v>
      </c>
      <c r="F442" t="s">
        <v>130</v>
      </c>
      <c r="G442">
        <v>0</v>
      </c>
      <c r="H442">
        <v>100</v>
      </c>
      <c r="K442">
        <v>2</v>
      </c>
      <c r="L442" t="s">
        <v>131</v>
      </c>
      <c r="M442" s="50">
        <v>44875</v>
      </c>
      <c r="N442" s="50">
        <v>2958465</v>
      </c>
      <c r="P442">
        <v>0</v>
      </c>
      <c r="U442">
        <v>4</v>
      </c>
      <c r="V442">
        <v>1</v>
      </c>
      <c r="W442" t="s">
        <v>132</v>
      </c>
      <c r="X442">
        <v>0</v>
      </c>
    </row>
    <row r="443" spans="1:24" x14ac:dyDescent="0.25">
      <c r="A443">
        <v>1</v>
      </c>
      <c r="B443" s="13">
        <v>590920300049</v>
      </c>
      <c r="C443">
        <v>20</v>
      </c>
      <c r="D443" s="13">
        <v>5957333099</v>
      </c>
      <c r="F443" t="s">
        <v>130</v>
      </c>
      <c r="G443">
        <v>0</v>
      </c>
      <c r="H443">
        <v>100</v>
      </c>
      <c r="K443">
        <v>1</v>
      </c>
      <c r="L443" t="s">
        <v>131</v>
      </c>
      <c r="M443" s="50">
        <v>44875</v>
      </c>
      <c r="N443" s="50">
        <v>2958465</v>
      </c>
      <c r="P443">
        <v>0</v>
      </c>
      <c r="U443">
        <v>4</v>
      </c>
      <c r="V443">
        <v>1</v>
      </c>
      <c r="W443" t="s">
        <v>132</v>
      </c>
      <c r="X443">
        <v>0</v>
      </c>
    </row>
    <row r="444" spans="1:24" x14ac:dyDescent="0.25">
      <c r="A444">
        <v>1</v>
      </c>
      <c r="B444" s="13">
        <v>590920300049</v>
      </c>
      <c r="C444">
        <v>30</v>
      </c>
      <c r="D444" s="13">
        <v>5957303099</v>
      </c>
      <c r="F444" t="s">
        <v>130</v>
      </c>
      <c r="G444">
        <v>0</v>
      </c>
      <c r="H444">
        <v>100</v>
      </c>
      <c r="K444">
        <v>1</v>
      </c>
      <c r="L444" t="s">
        <v>131</v>
      </c>
      <c r="M444" s="50">
        <v>44875</v>
      </c>
      <c r="N444" s="50">
        <v>2958465</v>
      </c>
      <c r="P444">
        <v>0</v>
      </c>
      <c r="U444">
        <v>4</v>
      </c>
      <c r="V444">
        <v>1</v>
      </c>
      <c r="W444" t="s">
        <v>132</v>
      </c>
      <c r="X444">
        <v>0</v>
      </c>
    </row>
    <row r="445" spans="1:24" x14ac:dyDescent="0.25">
      <c r="A445">
        <v>1</v>
      </c>
      <c r="B445" s="13">
        <v>590920300049</v>
      </c>
      <c r="C445">
        <v>40</v>
      </c>
      <c r="D445" s="13">
        <v>1022219</v>
      </c>
      <c r="F445" t="s">
        <v>130</v>
      </c>
      <c r="G445">
        <v>0</v>
      </c>
      <c r="H445">
        <v>100</v>
      </c>
      <c r="K445">
        <v>1</v>
      </c>
      <c r="L445" t="s">
        <v>131</v>
      </c>
      <c r="M445" s="50">
        <v>44875</v>
      </c>
      <c r="N445" s="50">
        <v>2958465</v>
      </c>
      <c r="P445">
        <v>0</v>
      </c>
      <c r="U445">
        <v>4</v>
      </c>
      <c r="V445">
        <v>1</v>
      </c>
      <c r="W445" t="s">
        <v>132</v>
      </c>
      <c r="X445">
        <v>0</v>
      </c>
    </row>
    <row r="446" spans="1:24" x14ac:dyDescent="0.25">
      <c r="A446">
        <v>1</v>
      </c>
      <c r="B446" s="13">
        <v>590920300049</v>
      </c>
      <c r="C446">
        <v>50</v>
      </c>
      <c r="D446" s="13">
        <v>1018034</v>
      </c>
      <c r="F446" t="s">
        <v>130</v>
      </c>
      <c r="G446">
        <v>0</v>
      </c>
      <c r="H446">
        <v>100</v>
      </c>
      <c r="K446">
        <v>4</v>
      </c>
      <c r="L446" t="s">
        <v>131</v>
      </c>
      <c r="M446" s="50">
        <v>44875</v>
      </c>
      <c r="N446" s="50">
        <v>2958465</v>
      </c>
      <c r="P446">
        <v>0</v>
      </c>
      <c r="U446">
        <v>4</v>
      </c>
      <c r="V446">
        <v>1</v>
      </c>
      <c r="W446" t="s">
        <v>132</v>
      </c>
      <c r="X446">
        <v>0</v>
      </c>
    </row>
    <row r="447" spans="1:24" x14ac:dyDescent="0.25">
      <c r="A447">
        <v>1</v>
      </c>
      <c r="B447" s="13">
        <v>590920300049</v>
      </c>
      <c r="C447">
        <v>60</v>
      </c>
      <c r="D447" s="13">
        <v>1018359</v>
      </c>
      <c r="F447" t="s">
        <v>130</v>
      </c>
      <c r="G447">
        <v>0</v>
      </c>
      <c r="H447">
        <v>100</v>
      </c>
      <c r="K447">
        <v>10</v>
      </c>
      <c r="L447" t="s">
        <v>131</v>
      </c>
      <c r="M447" s="50">
        <v>44875</v>
      </c>
      <c r="N447" s="50">
        <v>2958465</v>
      </c>
      <c r="P447">
        <v>0</v>
      </c>
      <c r="U447">
        <v>4</v>
      </c>
      <c r="V447">
        <v>1</v>
      </c>
      <c r="W447" t="s">
        <v>132</v>
      </c>
      <c r="X447">
        <v>0</v>
      </c>
    </row>
    <row r="448" spans="1:24" x14ac:dyDescent="0.25">
      <c r="A448">
        <v>1</v>
      </c>
      <c r="B448" s="13">
        <v>590920300049</v>
      </c>
      <c r="C448">
        <v>70</v>
      </c>
      <c r="D448" s="13">
        <v>1022213</v>
      </c>
      <c r="F448" t="s">
        <v>130</v>
      </c>
      <c r="G448">
        <v>0</v>
      </c>
      <c r="H448">
        <v>100</v>
      </c>
      <c r="K448">
        <v>5.5919999999999996</v>
      </c>
      <c r="L448" t="s">
        <v>131</v>
      </c>
      <c r="M448" s="50">
        <v>44875</v>
      </c>
      <c r="N448" s="50">
        <v>2958465</v>
      </c>
      <c r="P448">
        <v>0</v>
      </c>
      <c r="U448">
        <v>4</v>
      </c>
      <c r="V448">
        <v>1</v>
      </c>
      <c r="W448" t="s">
        <v>132</v>
      </c>
      <c r="X448">
        <v>0</v>
      </c>
    </row>
    <row r="449" spans="1:24" x14ac:dyDescent="0.25">
      <c r="A449">
        <v>1</v>
      </c>
      <c r="B449" s="13">
        <v>590920300049</v>
      </c>
      <c r="C449">
        <v>80</v>
      </c>
      <c r="D449" s="13">
        <v>12165649</v>
      </c>
      <c r="F449" t="s">
        <v>130</v>
      </c>
      <c r="G449">
        <v>0</v>
      </c>
      <c r="H449">
        <v>100</v>
      </c>
      <c r="K449">
        <v>1</v>
      </c>
      <c r="L449" t="s">
        <v>131</v>
      </c>
      <c r="M449" s="50">
        <v>44875</v>
      </c>
      <c r="N449" s="50">
        <v>2958465</v>
      </c>
      <c r="P449">
        <v>0</v>
      </c>
      <c r="U449">
        <v>4</v>
      </c>
      <c r="V449">
        <v>1</v>
      </c>
      <c r="W449" t="s">
        <v>132</v>
      </c>
      <c r="X449">
        <v>0</v>
      </c>
    </row>
    <row r="450" spans="1:24" x14ac:dyDescent="0.25">
      <c r="A450">
        <v>1</v>
      </c>
      <c r="B450" s="13">
        <v>590920300549</v>
      </c>
      <c r="C450">
        <v>10</v>
      </c>
      <c r="D450" s="13">
        <v>5957163005</v>
      </c>
      <c r="F450" t="s">
        <v>130</v>
      </c>
      <c r="G450">
        <v>0</v>
      </c>
      <c r="H450">
        <v>100</v>
      </c>
      <c r="K450">
        <v>2</v>
      </c>
      <c r="L450" t="s">
        <v>131</v>
      </c>
      <c r="M450" s="50">
        <v>44875</v>
      </c>
      <c r="N450" s="50">
        <v>2958465</v>
      </c>
      <c r="P450">
        <v>0</v>
      </c>
      <c r="U450">
        <v>4</v>
      </c>
      <c r="V450">
        <v>1</v>
      </c>
      <c r="W450" t="s">
        <v>132</v>
      </c>
      <c r="X450">
        <v>0</v>
      </c>
    </row>
    <row r="451" spans="1:24" x14ac:dyDescent="0.25">
      <c r="A451">
        <v>1</v>
      </c>
      <c r="B451" s="13">
        <v>590920300549</v>
      </c>
      <c r="C451">
        <v>20</v>
      </c>
      <c r="D451" s="13">
        <v>5957333005</v>
      </c>
      <c r="F451" t="s">
        <v>130</v>
      </c>
      <c r="G451">
        <v>0</v>
      </c>
      <c r="H451">
        <v>100</v>
      </c>
      <c r="K451">
        <v>1</v>
      </c>
      <c r="L451" t="s">
        <v>131</v>
      </c>
      <c r="M451" s="50">
        <v>44875</v>
      </c>
      <c r="N451" s="50">
        <v>2958465</v>
      </c>
      <c r="P451">
        <v>0</v>
      </c>
      <c r="U451">
        <v>4</v>
      </c>
      <c r="V451">
        <v>1</v>
      </c>
      <c r="W451" t="s">
        <v>132</v>
      </c>
      <c r="X451">
        <v>0</v>
      </c>
    </row>
    <row r="452" spans="1:24" x14ac:dyDescent="0.25">
      <c r="A452">
        <v>1</v>
      </c>
      <c r="B452" s="13">
        <v>590920300549</v>
      </c>
      <c r="C452">
        <v>30</v>
      </c>
      <c r="D452" s="13">
        <v>5957303005</v>
      </c>
      <c r="F452" t="s">
        <v>130</v>
      </c>
      <c r="G452">
        <v>0</v>
      </c>
      <c r="H452">
        <v>100</v>
      </c>
      <c r="K452">
        <v>1</v>
      </c>
      <c r="L452" t="s">
        <v>131</v>
      </c>
      <c r="M452" s="50">
        <v>44875</v>
      </c>
      <c r="N452" s="50">
        <v>2958465</v>
      </c>
      <c r="P452">
        <v>0</v>
      </c>
      <c r="U452">
        <v>4</v>
      </c>
      <c r="V452">
        <v>1</v>
      </c>
      <c r="W452" t="s">
        <v>132</v>
      </c>
      <c r="X452">
        <v>0</v>
      </c>
    </row>
    <row r="453" spans="1:24" x14ac:dyDescent="0.25">
      <c r="A453">
        <v>1</v>
      </c>
      <c r="B453" s="13">
        <v>590920300549</v>
      </c>
      <c r="C453">
        <v>40</v>
      </c>
      <c r="D453" s="13">
        <v>5957093005</v>
      </c>
      <c r="F453" t="s">
        <v>130</v>
      </c>
      <c r="G453">
        <v>0</v>
      </c>
      <c r="H453">
        <v>100</v>
      </c>
      <c r="K453">
        <v>1</v>
      </c>
      <c r="L453" t="s">
        <v>131</v>
      </c>
      <c r="M453" s="50">
        <v>44875</v>
      </c>
      <c r="N453" s="50">
        <v>2958465</v>
      </c>
      <c r="P453">
        <v>0</v>
      </c>
      <c r="U453">
        <v>4</v>
      </c>
      <c r="V453">
        <v>1</v>
      </c>
      <c r="W453" t="s">
        <v>132</v>
      </c>
      <c r="X453">
        <v>0</v>
      </c>
    </row>
    <row r="454" spans="1:24" x14ac:dyDescent="0.25">
      <c r="A454">
        <v>1</v>
      </c>
      <c r="B454" s="13">
        <v>590920300549</v>
      </c>
      <c r="C454">
        <v>50</v>
      </c>
      <c r="D454" s="13">
        <v>1018034</v>
      </c>
      <c r="F454" t="s">
        <v>130</v>
      </c>
      <c r="G454">
        <v>0</v>
      </c>
      <c r="H454">
        <v>100</v>
      </c>
      <c r="K454">
        <v>4</v>
      </c>
      <c r="L454" t="s">
        <v>131</v>
      </c>
      <c r="M454" s="50">
        <v>44875</v>
      </c>
      <c r="N454" s="50">
        <v>2958465</v>
      </c>
      <c r="P454">
        <v>0</v>
      </c>
      <c r="U454">
        <v>4</v>
      </c>
      <c r="V454">
        <v>1</v>
      </c>
      <c r="W454" t="s">
        <v>132</v>
      </c>
      <c r="X454">
        <v>0</v>
      </c>
    </row>
    <row r="455" spans="1:24" x14ac:dyDescent="0.25">
      <c r="A455">
        <v>1</v>
      </c>
      <c r="B455" s="13">
        <v>590920300549</v>
      </c>
      <c r="C455">
        <v>60</v>
      </c>
      <c r="D455" s="13">
        <v>1022356</v>
      </c>
      <c r="F455" t="s">
        <v>130</v>
      </c>
      <c r="G455">
        <v>0</v>
      </c>
      <c r="H455">
        <v>100</v>
      </c>
      <c r="K455">
        <v>10</v>
      </c>
      <c r="L455" t="s">
        <v>131</v>
      </c>
      <c r="M455" s="50">
        <v>44875</v>
      </c>
      <c r="N455" s="50">
        <v>2958465</v>
      </c>
      <c r="P455">
        <v>0</v>
      </c>
      <c r="U455">
        <v>4</v>
      </c>
      <c r="V455">
        <v>1</v>
      </c>
      <c r="W455" t="s">
        <v>132</v>
      </c>
      <c r="X455">
        <v>0</v>
      </c>
    </row>
    <row r="456" spans="1:24" x14ac:dyDescent="0.25">
      <c r="A456">
        <v>1</v>
      </c>
      <c r="B456" s="13">
        <v>590920300549</v>
      </c>
      <c r="C456">
        <v>70</v>
      </c>
      <c r="D456" s="13">
        <v>1022213</v>
      </c>
      <c r="F456" t="s">
        <v>130</v>
      </c>
      <c r="G456">
        <v>0</v>
      </c>
      <c r="H456">
        <v>100</v>
      </c>
      <c r="K456">
        <v>5.5919999999999996</v>
      </c>
      <c r="L456" t="s">
        <v>131</v>
      </c>
      <c r="M456" s="50">
        <v>44875</v>
      </c>
      <c r="N456" s="50">
        <v>2958465</v>
      </c>
      <c r="P456">
        <v>0</v>
      </c>
      <c r="U456">
        <v>4</v>
      </c>
      <c r="V456">
        <v>1</v>
      </c>
      <c r="W456" t="s">
        <v>132</v>
      </c>
      <c r="X456">
        <v>0</v>
      </c>
    </row>
    <row r="457" spans="1:24" x14ac:dyDescent="0.25">
      <c r="A457">
        <v>1</v>
      </c>
      <c r="B457" s="13">
        <v>590920300549</v>
      </c>
      <c r="C457">
        <v>80</v>
      </c>
      <c r="D457" s="13">
        <v>12165649</v>
      </c>
      <c r="F457" t="s">
        <v>130</v>
      </c>
      <c r="G457">
        <v>0</v>
      </c>
      <c r="H457">
        <v>100</v>
      </c>
      <c r="K457">
        <v>1</v>
      </c>
      <c r="L457" t="s">
        <v>131</v>
      </c>
      <c r="M457" s="50">
        <v>44875</v>
      </c>
      <c r="N457" s="50">
        <v>2958465</v>
      </c>
      <c r="P457">
        <v>0</v>
      </c>
      <c r="U457">
        <v>4</v>
      </c>
      <c r="V457">
        <v>1</v>
      </c>
      <c r="W457" t="s">
        <v>132</v>
      </c>
      <c r="X457">
        <v>0</v>
      </c>
    </row>
    <row r="458" spans="1:24" x14ac:dyDescent="0.25">
      <c r="A458">
        <v>1</v>
      </c>
      <c r="B458" s="13">
        <v>590920300849</v>
      </c>
      <c r="C458">
        <v>10</v>
      </c>
      <c r="D458" s="13">
        <v>5957163008</v>
      </c>
      <c r="F458" t="s">
        <v>130</v>
      </c>
      <c r="G458">
        <v>0</v>
      </c>
      <c r="H458">
        <v>100</v>
      </c>
      <c r="K458">
        <v>2</v>
      </c>
      <c r="L458" t="s">
        <v>131</v>
      </c>
      <c r="M458" s="50">
        <v>44875</v>
      </c>
      <c r="N458" s="50">
        <v>2958465</v>
      </c>
      <c r="P458">
        <v>0</v>
      </c>
      <c r="U458">
        <v>4</v>
      </c>
      <c r="V458">
        <v>1</v>
      </c>
      <c r="W458" t="s">
        <v>132</v>
      </c>
      <c r="X458">
        <v>0</v>
      </c>
    </row>
    <row r="459" spans="1:24" x14ac:dyDescent="0.25">
      <c r="A459">
        <v>1</v>
      </c>
      <c r="B459" s="13">
        <v>590920300849</v>
      </c>
      <c r="C459">
        <v>20</v>
      </c>
      <c r="D459" s="13">
        <v>5957333008</v>
      </c>
      <c r="F459" t="s">
        <v>130</v>
      </c>
      <c r="G459">
        <v>0</v>
      </c>
      <c r="H459">
        <v>100</v>
      </c>
      <c r="K459">
        <v>1</v>
      </c>
      <c r="L459" t="s">
        <v>131</v>
      </c>
      <c r="M459" s="50">
        <v>44875</v>
      </c>
      <c r="N459" s="50">
        <v>2958465</v>
      </c>
      <c r="P459">
        <v>0</v>
      </c>
      <c r="U459">
        <v>4</v>
      </c>
      <c r="V459">
        <v>1</v>
      </c>
      <c r="W459" t="s">
        <v>132</v>
      </c>
      <c r="X459">
        <v>0</v>
      </c>
    </row>
    <row r="460" spans="1:24" x14ac:dyDescent="0.25">
      <c r="A460">
        <v>1</v>
      </c>
      <c r="B460" s="13">
        <v>590920300849</v>
      </c>
      <c r="C460">
        <v>30</v>
      </c>
      <c r="D460" s="13">
        <v>5957303008</v>
      </c>
      <c r="F460" t="s">
        <v>130</v>
      </c>
      <c r="G460">
        <v>0</v>
      </c>
      <c r="H460">
        <v>100</v>
      </c>
      <c r="K460">
        <v>1</v>
      </c>
      <c r="L460" t="s">
        <v>131</v>
      </c>
      <c r="M460" s="50">
        <v>44875</v>
      </c>
      <c r="N460" s="50">
        <v>2958465</v>
      </c>
      <c r="P460">
        <v>0</v>
      </c>
      <c r="U460">
        <v>4</v>
      </c>
      <c r="V460">
        <v>1</v>
      </c>
      <c r="W460" t="s">
        <v>132</v>
      </c>
      <c r="X460">
        <v>0</v>
      </c>
    </row>
    <row r="461" spans="1:24" x14ac:dyDescent="0.25">
      <c r="A461">
        <v>1</v>
      </c>
      <c r="B461" s="13">
        <v>590920300849</v>
      </c>
      <c r="C461">
        <v>40</v>
      </c>
      <c r="D461" s="13">
        <v>5957093008</v>
      </c>
      <c r="F461" t="s">
        <v>130</v>
      </c>
      <c r="G461">
        <v>0</v>
      </c>
      <c r="H461">
        <v>100</v>
      </c>
      <c r="K461">
        <v>1</v>
      </c>
      <c r="L461" t="s">
        <v>131</v>
      </c>
      <c r="M461" s="50">
        <v>44875</v>
      </c>
      <c r="N461" s="50">
        <v>2958465</v>
      </c>
      <c r="P461">
        <v>0</v>
      </c>
      <c r="U461">
        <v>4</v>
      </c>
      <c r="V461">
        <v>1</v>
      </c>
      <c r="W461" t="s">
        <v>132</v>
      </c>
      <c r="X461">
        <v>0</v>
      </c>
    </row>
    <row r="462" spans="1:24" x14ac:dyDescent="0.25">
      <c r="A462">
        <v>1</v>
      </c>
      <c r="B462" s="13">
        <v>590920300849</v>
      </c>
      <c r="C462">
        <v>50</v>
      </c>
      <c r="D462" s="13">
        <v>1018034</v>
      </c>
      <c r="F462" t="s">
        <v>130</v>
      </c>
      <c r="G462">
        <v>0</v>
      </c>
      <c r="H462">
        <v>100</v>
      </c>
      <c r="K462">
        <v>4</v>
      </c>
      <c r="L462" t="s">
        <v>131</v>
      </c>
      <c r="M462" s="50">
        <v>44875</v>
      </c>
      <c r="N462" s="50">
        <v>2958465</v>
      </c>
      <c r="P462">
        <v>0</v>
      </c>
      <c r="U462">
        <v>4</v>
      </c>
      <c r="V462">
        <v>1</v>
      </c>
      <c r="W462" t="s">
        <v>132</v>
      </c>
      <c r="X462">
        <v>0</v>
      </c>
    </row>
    <row r="463" spans="1:24" x14ac:dyDescent="0.25">
      <c r="A463">
        <v>1</v>
      </c>
      <c r="B463" s="13">
        <v>590920300849</v>
      </c>
      <c r="C463">
        <v>60</v>
      </c>
      <c r="D463" s="13">
        <v>1022356</v>
      </c>
      <c r="F463" t="s">
        <v>130</v>
      </c>
      <c r="G463">
        <v>0</v>
      </c>
      <c r="H463">
        <v>100</v>
      </c>
      <c r="K463">
        <v>10</v>
      </c>
      <c r="L463" t="s">
        <v>131</v>
      </c>
      <c r="M463" s="50">
        <v>44875</v>
      </c>
      <c r="N463" s="50">
        <v>2958465</v>
      </c>
      <c r="P463">
        <v>0</v>
      </c>
      <c r="U463">
        <v>4</v>
      </c>
      <c r="V463">
        <v>1</v>
      </c>
      <c r="W463" t="s">
        <v>132</v>
      </c>
      <c r="X463">
        <v>0</v>
      </c>
    </row>
    <row r="464" spans="1:24" x14ac:dyDescent="0.25">
      <c r="A464">
        <v>1</v>
      </c>
      <c r="B464" s="13">
        <v>590920300849</v>
      </c>
      <c r="C464">
        <v>70</v>
      </c>
      <c r="D464" s="13">
        <v>1022213</v>
      </c>
      <c r="F464" t="s">
        <v>130</v>
      </c>
      <c r="G464">
        <v>0</v>
      </c>
      <c r="H464">
        <v>100</v>
      </c>
      <c r="K464">
        <v>5.5919999999999996</v>
      </c>
      <c r="L464" t="s">
        <v>131</v>
      </c>
      <c r="M464" s="50">
        <v>44875</v>
      </c>
      <c r="N464" s="50">
        <v>2958465</v>
      </c>
      <c r="P464">
        <v>0</v>
      </c>
      <c r="U464">
        <v>4</v>
      </c>
      <c r="V464">
        <v>1</v>
      </c>
      <c r="W464" t="s">
        <v>132</v>
      </c>
      <c r="X464">
        <v>0</v>
      </c>
    </row>
    <row r="465" spans="1:24" x14ac:dyDescent="0.25">
      <c r="A465">
        <v>1</v>
      </c>
      <c r="B465" s="13">
        <v>590920300849</v>
      </c>
      <c r="C465">
        <v>80</v>
      </c>
      <c r="D465" s="13">
        <v>12165649</v>
      </c>
      <c r="F465" t="s">
        <v>130</v>
      </c>
      <c r="G465">
        <v>0</v>
      </c>
      <c r="H465">
        <v>100</v>
      </c>
      <c r="K465">
        <v>1</v>
      </c>
      <c r="L465" t="s">
        <v>131</v>
      </c>
      <c r="M465" s="50">
        <v>44875</v>
      </c>
      <c r="N465" s="50">
        <v>2958465</v>
      </c>
      <c r="P465">
        <v>0</v>
      </c>
      <c r="U465">
        <v>4</v>
      </c>
      <c r="V465">
        <v>1</v>
      </c>
      <c r="W465" t="s">
        <v>132</v>
      </c>
      <c r="X465">
        <v>0</v>
      </c>
    </row>
    <row r="466" spans="1:24" x14ac:dyDescent="0.25">
      <c r="A466">
        <v>1</v>
      </c>
      <c r="B466" s="13">
        <v>590920300050</v>
      </c>
      <c r="C466">
        <v>10</v>
      </c>
      <c r="D466" s="13">
        <v>5957163099</v>
      </c>
      <c r="F466" t="s">
        <v>130</v>
      </c>
      <c r="G466">
        <v>0</v>
      </c>
      <c r="H466">
        <v>100</v>
      </c>
      <c r="K466">
        <v>2</v>
      </c>
      <c r="L466" t="s">
        <v>131</v>
      </c>
      <c r="M466" s="50">
        <v>44875</v>
      </c>
      <c r="N466" s="50">
        <v>2958465</v>
      </c>
      <c r="P466">
        <v>0</v>
      </c>
      <c r="U466">
        <v>4</v>
      </c>
      <c r="V466">
        <v>1</v>
      </c>
      <c r="W466" t="s">
        <v>132</v>
      </c>
      <c r="X466">
        <v>0</v>
      </c>
    </row>
    <row r="467" spans="1:24" x14ac:dyDescent="0.25">
      <c r="A467">
        <v>1</v>
      </c>
      <c r="B467" s="13">
        <v>590920300050</v>
      </c>
      <c r="C467">
        <v>20</v>
      </c>
      <c r="D467" s="13">
        <v>5957333099</v>
      </c>
      <c r="F467" t="s">
        <v>130</v>
      </c>
      <c r="G467">
        <v>0</v>
      </c>
      <c r="H467">
        <v>100</v>
      </c>
      <c r="K467">
        <v>1</v>
      </c>
      <c r="L467" t="s">
        <v>131</v>
      </c>
      <c r="M467" s="50">
        <v>44875</v>
      </c>
      <c r="N467" s="50">
        <v>2958465</v>
      </c>
      <c r="P467">
        <v>0</v>
      </c>
      <c r="U467">
        <v>4</v>
      </c>
      <c r="V467">
        <v>1</v>
      </c>
      <c r="W467" t="s">
        <v>132</v>
      </c>
      <c r="X467">
        <v>0</v>
      </c>
    </row>
    <row r="468" spans="1:24" x14ac:dyDescent="0.25">
      <c r="A468">
        <v>1</v>
      </c>
      <c r="B468" s="13">
        <v>590920300050</v>
      </c>
      <c r="C468">
        <v>30</v>
      </c>
      <c r="D468" s="13">
        <v>5957303099</v>
      </c>
      <c r="F468" t="s">
        <v>130</v>
      </c>
      <c r="G468">
        <v>0</v>
      </c>
      <c r="H468">
        <v>100</v>
      </c>
      <c r="K468">
        <v>1</v>
      </c>
      <c r="L468" t="s">
        <v>131</v>
      </c>
      <c r="M468" s="50">
        <v>44875</v>
      </c>
      <c r="N468" s="50">
        <v>2958465</v>
      </c>
      <c r="P468">
        <v>0</v>
      </c>
      <c r="U468">
        <v>4</v>
      </c>
      <c r="V468">
        <v>1</v>
      </c>
      <c r="W468" t="s">
        <v>132</v>
      </c>
      <c r="X468">
        <v>0</v>
      </c>
    </row>
    <row r="469" spans="1:24" x14ac:dyDescent="0.25">
      <c r="A469">
        <v>1</v>
      </c>
      <c r="B469" s="13">
        <v>590920300050</v>
      </c>
      <c r="C469">
        <v>40</v>
      </c>
      <c r="D469" s="13">
        <v>1022219</v>
      </c>
      <c r="F469" t="s">
        <v>130</v>
      </c>
      <c r="G469">
        <v>0</v>
      </c>
      <c r="H469">
        <v>100</v>
      </c>
      <c r="K469">
        <v>1</v>
      </c>
      <c r="L469" t="s">
        <v>131</v>
      </c>
      <c r="M469" s="50">
        <v>44875</v>
      </c>
      <c r="N469" s="50">
        <v>2958465</v>
      </c>
      <c r="P469">
        <v>0</v>
      </c>
      <c r="U469">
        <v>4</v>
      </c>
      <c r="V469">
        <v>1</v>
      </c>
      <c r="W469" t="s">
        <v>132</v>
      </c>
      <c r="X469">
        <v>0</v>
      </c>
    </row>
    <row r="470" spans="1:24" x14ac:dyDescent="0.25">
      <c r="A470">
        <v>1</v>
      </c>
      <c r="B470" s="13">
        <v>590920300050</v>
      </c>
      <c r="C470">
        <v>50</v>
      </c>
      <c r="D470" s="13">
        <v>1018034</v>
      </c>
      <c r="F470" t="s">
        <v>130</v>
      </c>
      <c r="G470">
        <v>0</v>
      </c>
      <c r="H470">
        <v>100</v>
      </c>
      <c r="K470">
        <v>4</v>
      </c>
      <c r="L470" t="s">
        <v>131</v>
      </c>
      <c r="M470" s="50">
        <v>44875</v>
      </c>
      <c r="N470" s="50">
        <v>2958465</v>
      </c>
      <c r="P470">
        <v>0</v>
      </c>
      <c r="U470">
        <v>4</v>
      </c>
      <c r="V470">
        <v>1</v>
      </c>
      <c r="W470" t="s">
        <v>132</v>
      </c>
      <c r="X470">
        <v>0</v>
      </c>
    </row>
    <row r="471" spans="1:24" x14ac:dyDescent="0.25">
      <c r="A471">
        <v>1</v>
      </c>
      <c r="B471" s="13">
        <v>590920300050</v>
      </c>
      <c r="C471">
        <v>60</v>
      </c>
      <c r="D471" s="13">
        <v>1018359</v>
      </c>
      <c r="F471" t="s">
        <v>130</v>
      </c>
      <c r="G471">
        <v>0</v>
      </c>
      <c r="H471">
        <v>100</v>
      </c>
      <c r="K471">
        <v>10</v>
      </c>
      <c r="L471" t="s">
        <v>131</v>
      </c>
      <c r="M471" s="50">
        <v>44875</v>
      </c>
      <c r="N471" s="50">
        <v>2958465</v>
      </c>
      <c r="P471">
        <v>0</v>
      </c>
      <c r="U471">
        <v>4</v>
      </c>
      <c r="V471">
        <v>1</v>
      </c>
      <c r="W471" t="s">
        <v>132</v>
      </c>
      <c r="X471">
        <v>0</v>
      </c>
    </row>
    <row r="472" spans="1:24" x14ac:dyDescent="0.25">
      <c r="A472">
        <v>1</v>
      </c>
      <c r="B472" s="13">
        <v>590920300050</v>
      </c>
      <c r="C472">
        <v>70</v>
      </c>
      <c r="D472" s="13">
        <v>1022213</v>
      </c>
      <c r="F472" t="s">
        <v>130</v>
      </c>
      <c r="G472">
        <v>0</v>
      </c>
      <c r="H472">
        <v>100</v>
      </c>
      <c r="K472">
        <v>5.5919999999999996</v>
      </c>
      <c r="L472" t="s">
        <v>131</v>
      </c>
      <c r="M472" s="50">
        <v>44875</v>
      </c>
      <c r="N472" s="50">
        <v>2958465</v>
      </c>
      <c r="P472">
        <v>0</v>
      </c>
      <c r="U472">
        <v>4</v>
      </c>
      <c r="V472">
        <v>1</v>
      </c>
      <c r="W472" t="s">
        <v>132</v>
      </c>
      <c r="X472">
        <v>0</v>
      </c>
    </row>
    <row r="473" spans="1:24" x14ac:dyDescent="0.25">
      <c r="A473">
        <v>1</v>
      </c>
      <c r="B473" s="13">
        <v>590920300050</v>
      </c>
      <c r="C473">
        <v>80</v>
      </c>
      <c r="D473" s="13">
        <v>12165650</v>
      </c>
      <c r="F473" t="s">
        <v>130</v>
      </c>
      <c r="G473">
        <v>0</v>
      </c>
      <c r="H473">
        <v>100</v>
      </c>
      <c r="K473">
        <v>1</v>
      </c>
      <c r="L473" t="s">
        <v>131</v>
      </c>
      <c r="M473" s="50">
        <v>44875</v>
      </c>
      <c r="N473" s="50">
        <v>2958465</v>
      </c>
      <c r="P473">
        <v>0</v>
      </c>
      <c r="U473">
        <v>4</v>
      </c>
      <c r="V473">
        <v>1</v>
      </c>
      <c r="W473" t="s">
        <v>132</v>
      </c>
      <c r="X473">
        <v>0</v>
      </c>
    </row>
    <row r="474" spans="1:24" x14ac:dyDescent="0.25">
      <c r="A474">
        <v>1</v>
      </c>
      <c r="B474" s="13">
        <v>590920300550</v>
      </c>
      <c r="C474">
        <v>10</v>
      </c>
      <c r="D474" s="13">
        <v>5957163005</v>
      </c>
      <c r="F474" t="s">
        <v>130</v>
      </c>
      <c r="G474">
        <v>0</v>
      </c>
      <c r="H474">
        <v>100</v>
      </c>
      <c r="K474">
        <v>2</v>
      </c>
      <c r="L474" t="s">
        <v>131</v>
      </c>
      <c r="M474" s="50">
        <v>44875</v>
      </c>
      <c r="N474" s="50">
        <v>2958465</v>
      </c>
      <c r="P474">
        <v>0</v>
      </c>
      <c r="U474">
        <v>4</v>
      </c>
      <c r="V474">
        <v>1</v>
      </c>
      <c r="W474" t="s">
        <v>132</v>
      </c>
      <c r="X474">
        <v>0</v>
      </c>
    </row>
    <row r="475" spans="1:24" x14ac:dyDescent="0.25">
      <c r="A475">
        <v>1</v>
      </c>
      <c r="B475" s="13">
        <v>590920300550</v>
      </c>
      <c r="C475">
        <v>20</v>
      </c>
      <c r="D475" s="13">
        <v>5957333005</v>
      </c>
      <c r="F475" t="s">
        <v>130</v>
      </c>
      <c r="G475">
        <v>0</v>
      </c>
      <c r="H475">
        <v>100</v>
      </c>
      <c r="K475">
        <v>1</v>
      </c>
      <c r="L475" t="s">
        <v>131</v>
      </c>
      <c r="M475" s="50">
        <v>44875</v>
      </c>
      <c r="N475" s="50">
        <v>2958465</v>
      </c>
      <c r="P475">
        <v>0</v>
      </c>
      <c r="U475">
        <v>4</v>
      </c>
      <c r="V475">
        <v>1</v>
      </c>
      <c r="W475" t="s">
        <v>132</v>
      </c>
      <c r="X475">
        <v>0</v>
      </c>
    </row>
    <row r="476" spans="1:24" x14ac:dyDescent="0.25">
      <c r="A476">
        <v>1</v>
      </c>
      <c r="B476" s="13">
        <v>590920300550</v>
      </c>
      <c r="C476">
        <v>30</v>
      </c>
      <c r="D476" s="13">
        <v>5957303005</v>
      </c>
      <c r="F476" t="s">
        <v>130</v>
      </c>
      <c r="G476">
        <v>0</v>
      </c>
      <c r="H476">
        <v>100</v>
      </c>
      <c r="K476">
        <v>1</v>
      </c>
      <c r="L476" t="s">
        <v>131</v>
      </c>
      <c r="M476" s="50">
        <v>44875</v>
      </c>
      <c r="N476" s="50">
        <v>2958465</v>
      </c>
      <c r="P476">
        <v>0</v>
      </c>
      <c r="U476">
        <v>4</v>
      </c>
      <c r="V476">
        <v>1</v>
      </c>
      <c r="W476" t="s">
        <v>132</v>
      </c>
      <c r="X476">
        <v>0</v>
      </c>
    </row>
    <row r="477" spans="1:24" x14ac:dyDescent="0.25">
      <c r="A477">
        <v>1</v>
      </c>
      <c r="B477" s="13">
        <v>590920300550</v>
      </c>
      <c r="C477">
        <v>40</v>
      </c>
      <c r="D477" s="13">
        <v>5957093005</v>
      </c>
      <c r="F477" t="s">
        <v>130</v>
      </c>
      <c r="G477">
        <v>0</v>
      </c>
      <c r="H477">
        <v>100</v>
      </c>
      <c r="K477">
        <v>1</v>
      </c>
      <c r="L477" t="s">
        <v>131</v>
      </c>
      <c r="M477" s="50">
        <v>44875</v>
      </c>
      <c r="N477" s="50">
        <v>2958465</v>
      </c>
      <c r="P477">
        <v>0</v>
      </c>
      <c r="U477">
        <v>4</v>
      </c>
      <c r="V477">
        <v>1</v>
      </c>
      <c r="W477" t="s">
        <v>132</v>
      </c>
      <c r="X477">
        <v>0</v>
      </c>
    </row>
    <row r="478" spans="1:24" x14ac:dyDescent="0.25">
      <c r="A478">
        <v>1</v>
      </c>
      <c r="B478" s="13">
        <v>590920300550</v>
      </c>
      <c r="C478">
        <v>50</v>
      </c>
      <c r="D478" s="13">
        <v>1018034</v>
      </c>
      <c r="F478" t="s">
        <v>130</v>
      </c>
      <c r="G478">
        <v>0</v>
      </c>
      <c r="H478">
        <v>100</v>
      </c>
      <c r="K478">
        <v>4</v>
      </c>
      <c r="L478" t="s">
        <v>131</v>
      </c>
      <c r="M478" s="50">
        <v>44875</v>
      </c>
      <c r="N478" s="50">
        <v>2958465</v>
      </c>
      <c r="P478">
        <v>0</v>
      </c>
      <c r="U478">
        <v>4</v>
      </c>
      <c r="V478">
        <v>1</v>
      </c>
      <c r="W478" t="s">
        <v>132</v>
      </c>
      <c r="X478">
        <v>0</v>
      </c>
    </row>
    <row r="479" spans="1:24" x14ac:dyDescent="0.25">
      <c r="A479">
        <v>1</v>
      </c>
      <c r="B479" s="13">
        <v>590920300550</v>
      </c>
      <c r="C479">
        <v>60</v>
      </c>
      <c r="D479" s="13">
        <v>1022356</v>
      </c>
      <c r="F479" t="s">
        <v>130</v>
      </c>
      <c r="G479">
        <v>0</v>
      </c>
      <c r="H479">
        <v>100</v>
      </c>
      <c r="K479">
        <v>10</v>
      </c>
      <c r="L479" t="s">
        <v>131</v>
      </c>
      <c r="M479" s="50">
        <v>44875</v>
      </c>
      <c r="N479" s="50">
        <v>2958465</v>
      </c>
      <c r="P479">
        <v>0</v>
      </c>
      <c r="U479">
        <v>4</v>
      </c>
      <c r="V479">
        <v>1</v>
      </c>
      <c r="W479" t="s">
        <v>132</v>
      </c>
      <c r="X479">
        <v>0</v>
      </c>
    </row>
    <row r="480" spans="1:24" x14ac:dyDescent="0.25">
      <c r="A480">
        <v>1</v>
      </c>
      <c r="B480" s="13">
        <v>590920300550</v>
      </c>
      <c r="C480">
        <v>70</v>
      </c>
      <c r="D480" s="13">
        <v>1022213</v>
      </c>
      <c r="F480" t="s">
        <v>130</v>
      </c>
      <c r="G480">
        <v>0</v>
      </c>
      <c r="H480">
        <v>100</v>
      </c>
      <c r="K480">
        <v>5.5919999999999996</v>
      </c>
      <c r="L480" t="s">
        <v>131</v>
      </c>
      <c r="M480" s="50">
        <v>44875</v>
      </c>
      <c r="N480" s="50">
        <v>2958465</v>
      </c>
      <c r="P480">
        <v>0</v>
      </c>
      <c r="U480">
        <v>4</v>
      </c>
      <c r="V480">
        <v>1</v>
      </c>
      <c r="W480" t="s">
        <v>132</v>
      </c>
      <c r="X480">
        <v>0</v>
      </c>
    </row>
    <row r="481" spans="1:24" x14ac:dyDescent="0.25">
      <c r="A481">
        <v>1</v>
      </c>
      <c r="B481" s="13">
        <v>590920300550</v>
      </c>
      <c r="C481">
        <v>80</v>
      </c>
      <c r="D481" s="13">
        <v>12165650</v>
      </c>
      <c r="F481" t="s">
        <v>130</v>
      </c>
      <c r="G481">
        <v>0</v>
      </c>
      <c r="H481">
        <v>100</v>
      </c>
      <c r="K481">
        <v>1</v>
      </c>
      <c r="L481" t="s">
        <v>131</v>
      </c>
      <c r="M481" s="50">
        <v>44875</v>
      </c>
      <c r="N481" s="50">
        <v>2958465</v>
      </c>
      <c r="P481">
        <v>0</v>
      </c>
      <c r="U481">
        <v>4</v>
      </c>
      <c r="V481">
        <v>1</v>
      </c>
      <c r="W481" t="s">
        <v>132</v>
      </c>
      <c r="X481">
        <v>0</v>
      </c>
    </row>
    <row r="482" spans="1:24" x14ac:dyDescent="0.25">
      <c r="A482">
        <v>1</v>
      </c>
      <c r="B482" s="13">
        <v>590920300950</v>
      </c>
      <c r="C482">
        <v>10</v>
      </c>
      <c r="D482" s="13">
        <v>5957163009</v>
      </c>
      <c r="F482" t="s">
        <v>130</v>
      </c>
      <c r="G482">
        <v>0</v>
      </c>
      <c r="H482">
        <v>100</v>
      </c>
      <c r="K482">
        <v>2</v>
      </c>
      <c r="L482" t="s">
        <v>131</v>
      </c>
      <c r="M482" s="50">
        <v>44875</v>
      </c>
      <c r="N482" s="50">
        <v>2958465</v>
      </c>
      <c r="P482">
        <v>0</v>
      </c>
      <c r="U482">
        <v>4</v>
      </c>
      <c r="V482">
        <v>1</v>
      </c>
      <c r="W482" t="s">
        <v>132</v>
      </c>
      <c r="X482">
        <v>0</v>
      </c>
    </row>
    <row r="483" spans="1:24" x14ac:dyDescent="0.25">
      <c r="A483">
        <v>1</v>
      </c>
      <c r="B483" s="13">
        <v>590920300950</v>
      </c>
      <c r="C483">
        <v>20</v>
      </c>
      <c r="D483" s="13">
        <v>5957333009</v>
      </c>
      <c r="F483" t="s">
        <v>130</v>
      </c>
      <c r="G483">
        <v>0</v>
      </c>
      <c r="H483">
        <v>100</v>
      </c>
      <c r="K483">
        <v>1</v>
      </c>
      <c r="L483" t="s">
        <v>131</v>
      </c>
      <c r="M483" s="50">
        <v>44875</v>
      </c>
      <c r="N483" s="50">
        <v>2958465</v>
      </c>
      <c r="P483">
        <v>0</v>
      </c>
      <c r="U483">
        <v>4</v>
      </c>
      <c r="V483">
        <v>1</v>
      </c>
      <c r="W483" t="s">
        <v>132</v>
      </c>
      <c r="X483">
        <v>0</v>
      </c>
    </row>
    <row r="484" spans="1:24" x14ac:dyDescent="0.25">
      <c r="A484">
        <v>1</v>
      </c>
      <c r="B484" s="13">
        <v>590920300950</v>
      </c>
      <c r="C484">
        <v>30</v>
      </c>
      <c r="D484" s="13">
        <v>5957303009</v>
      </c>
      <c r="F484" t="s">
        <v>130</v>
      </c>
      <c r="G484">
        <v>0</v>
      </c>
      <c r="H484">
        <v>100</v>
      </c>
      <c r="K484">
        <v>1</v>
      </c>
      <c r="L484" t="s">
        <v>131</v>
      </c>
      <c r="M484" s="50">
        <v>44875</v>
      </c>
      <c r="N484" s="50">
        <v>2958465</v>
      </c>
      <c r="P484">
        <v>0</v>
      </c>
      <c r="U484">
        <v>4</v>
      </c>
      <c r="V484">
        <v>1</v>
      </c>
      <c r="W484" t="s">
        <v>132</v>
      </c>
      <c r="X484">
        <v>0</v>
      </c>
    </row>
    <row r="485" spans="1:24" x14ac:dyDescent="0.25">
      <c r="A485">
        <v>1</v>
      </c>
      <c r="B485" s="13">
        <v>590920300950</v>
      </c>
      <c r="C485">
        <v>40</v>
      </c>
      <c r="D485" s="13">
        <v>5957093009</v>
      </c>
      <c r="F485" t="s">
        <v>130</v>
      </c>
      <c r="G485">
        <v>0</v>
      </c>
      <c r="H485">
        <v>100</v>
      </c>
      <c r="K485">
        <v>1</v>
      </c>
      <c r="L485" t="s">
        <v>131</v>
      </c>
      <c r="M485" s="50">
        <v>44875</v>
      </c>
      <c r="N485" s="50">
        <v>2958465</v>
      </c>
      <c r="P485">
        <v>0</v>
      </c>
      <c r="U485">
        <v>4</v>
      </c>
      <c r="V485">
        <v>1</v>
      </c>
      <c r="W485" t="s">
        <v>132</v>
      </c>
      <c r="X485">
        <v>0</v>
      </c>
    </row>
    <row r="486" spans="1:24" x14ac:dyDescent="0.25">
      <c r="A486">
        <v>1</v>
      </c>
      <c r="B486" s="13">
        <v>590920300950</v>
      </c>
      <c r="C486">
        <v>50</v>
      </c>
      <c r="D486" s="13">
        <v>1018034</v>
      </c>
      <c r="F486" t="s">
        <v>130</v>
      </c>
      <c r="G486">
        <v>0</v>
      </c>
      <c r="H486">
        <v>100</v>
      </c>
      <c r="K486">
        <v>4</v>
      </c>
      <c r="L486" t="s">
        <v>131</v>
      </c>
      <c r="M486" s="50">
        <v>44875</v>
      </c>
      <c r="N486" s="50">
        <v>2958465</v>
      </c>
      <c r="P486">
        <v>0</v>
      </c>
      <c r="U486">
        <v>4</v>
      </c>
      <c r="V486">
        <v>1</v>
      </c>
      <c r="W486" t="s">
        <v>132</v>
      </c>
      <c r="X486">
        <v>0</v>
      </c>
    </row>
    <row r="487" spans="1:24" x14ac:dyDescent="0.25">
      <c r="A487">
        <v>1</v>
      </c>
      <c r="B487" s="13">
        <v>590920300950</v>
      </c>
      <c r="C487">
        <v>60</v>
      </c>
      <c r="D487" s="13">
        <v>1018359</v>
      </c>
      <c r="F487" t="s">
        <v>130</v>
      </c>
      <c r="G487">
        <v>0</v>
      </c>
      <c r="H487">
        <v>100</v>
      </c>
      <c r="K487">
        <v>10</v>
      </c>
      <c r="L487" t="s">
        <v>131</v>
      </c>
      <c r="M487" s="50">
        <v>44875</v>
      </c>
      <c r="N487" s="50">
        <v>2958465</v>
      </c>
      <c r="P487">
        <v>0</v>
      </c>
      <c r="U487">
        <v>4</v>
      </c>
      <c r="V487">
        <v>1</v>
      </c>
      <c r="W487" t="s">
        <v>132</v>
      </c>
      <c r="X487">
        <v>0</v>
      </c>
    </row>
    <row r="488" spans="1:24" x14ac:dyDescent="0.25">
      <c r="A488">
        <v>1</v>
      </c>
      <c r="B488" s="13">
        <v>590920300950</v>
      </c>
      <c r="C488">
        <v>70</v>
      </c>
      <c r="D488" s="13">
        <v>1022213</v>
      </c>
      <c r="F488" t="s">
        <v>130</v>
      </c>
      <c r="G488">
        <v>0</v>
      </c>
      <c r="H488">
        <v>100</v>
      </c>
      <c r="K488">
        <v>5.5919999999999996</v>
      </c>
      <c r="L488" t="s">
        <v>131</v>
      </c>
      <c r="M488" s="50">
        <v>44875</v>
      </c>
      <c r="N488" s="50">
        <v>2958465</v>
      </c>
      <c r="P488">
        <v>0</v>
      </c>
      <c r="U488">
        <v>4</v>
      </c>
      <c r="V488">
        <v>1</v>
      </c>
      <c r="W488" t="s">
        <v>132</v>
      </c>
      <c r="X488">
        <v>0</v>
      </c>
    </row>
    <row r="489" spans="1:24" x14ac:dyDescent="0.25">
      <c r="A489">
        <v>1</v>
      </c>
      <c r="B489" s="13">
        <v>590920300950</v>
      </c>
      <c r="C489">
        <v>80</v>
      </c>
      <c r="D489" s="13">
        <v>12165650</v>
      </c>
      <c r="F489" t="s">
        <v>130</v>
      </c>
      <c r="G489">
        <v>0</v>
      </c>
      <c r="H489">
        <v>100</v>
      </c>
      <c r="K489">
        <v>1</v>
      </c>
      <c r="L489" t="s">
        <v>131</v>
      </c>
      <c r="M489" s="50">
        <v>44875</v>
      </c>
      <c r="N489" s="50">
        <v>2958465</v>
      </c>
      <c r="P489">
        <v>0</v>
      </c>
      <c r="U489">
        <v>4</v>
      </c>
      <c r="V489">
        <v>1</v>
      </c>
      <c r="W489" t="s">
        <v>132</v>
      </c>
      <c r="X489">
        <v>0</v>
      </c>
    </row>
    <row r="490" spans="1:24" x14ac:dyDescent="0.25">
      <c r="A490">
        <v>1</v>
      </c>
      <c r="B490" s="13">
        <v>590920300051</v>
      </c>
      <c r="C490">
        <v>10</v>
      </c>
      <c r="D490" s="13">
        <v>5957163099</v>
      </c>
      <c r="F490" t="s">
        <v>130</v>
      </c>
      <c r="G490">
        <v>0</v>
      </c>
      <c r="H490">
        <v>100</v>
      </c>
      <c r="K490">
        <v>2</v>
      </c>
      <c r="L490" t="s">
        <v>131</v>
      </c>
      <c r="M490" s="50">
        <v>44875</v>
      </c>
      <c r="N490" s="50">
        <v>2958465</v>
      </c>
      <c r="P490">
        <v>0</v>
      </c>
      <c r="U490">
        <v>4</v>
      </c>
      <c r="V490">
        <v>1</v>
      </c>
      <c r="W490" t="s">
        <v>132</v>
      </c>
      <c r="X490">
        <v>0</v>
      </c>
    </row>
    <row r="491" spans="1:24" x14ac:dyDescent="0.25">
      <c r="A491">
        <v>1</v>
      </c>
      <c r="B491" s="13">
        <v>590920300051</v>
      </c>
      <c r="C491">
        <v>20</v>
      </c>
      <c r="D491" s="13">
        <v>5957333099</v>
      </c>
      <c r="F491" t="s">
        <v>130</v>
      </c>
      <c r="G491">
        <v>0</v>
      </c>
      <c r="H491">
        <v>100</v>
      </c>
      <c r="K491">
        <v>1</v>
      </c>
      <c r="L491" t="s">
        <v>131</v>
      </c>
      <c r="M491" s="50">
        <v>44875</v>
      </c>
      <c r="N491" s="50">
        <v>2958465</v>
      </c>
      <c r="P491">
        <v>0</v>
      </c>
      <c r="U491">
        <v>4</v>
      </c>
      <c r="V491">
        <v>1</v>
      </c>
      <c r="W491" t="s">
        <v>132</v>
      </c>
      <c r="X491">
        <v>0</v>
      </c>
    </row>
    <row r="492" spans="1:24" x14ac:dyDescent="0.25">
      <c r="A492">
        <v>1</v>
      </c>
      <c r="B492" s="13">
        <v>590920300051</v>
      </c>
      <c r="C492">
        <v>30</v>
      </c>
      <c r="D492" s="13">
        <v>5957303099</v>
      </c>
      <c r="F492" t="s">
        <v>130</v>
      </c>
      <c r="G492">
        <v>0</v>
      </c>
      <c r="H492">
        <v>100</v>
      </c>
      <c r="K492">
        <v>1</v>
      </c>
      <c r="L492" t="s">
        <v>131</v>
      </c>
      <c r="M492" s="50">
        <v>44875</v>
      </c>
      <c r="N492" s="50">
        <v>2958465</v>
      </c>
      <c r="P492">
        <v>0</v>
      </c>
      <c r="U492">
        <v>4</v>
      </c>
      <c r="V492">
        <v>1</v>
      </c>
      <c r="W492" t="s">
        <v>132</v>
      </c>
      <c r="X492">
        <v>0</v>
      </c>
    </row>
    <row r="493" spans="1:24" x14ac:dyDescent="0.25">
      <c r="A493">
        <v>1</v>
      </c>
      <c r="B493" s="13">
        <v>590920300051</v>
      </c>
      <c r="C493">
        <v>40</v>
      </c>
      <c r="D493" s="13">
        <v>1022219</v>
      </c>
      <c r="F493" t="s">
        <v>130</v>
      </c>
      <c r="G493">
        <v>0</v>
      </c>
      <c r="H493">
        <v>100</v>
      </c>
      <c r="K493">
        <v>1</v>
      </c>
      <c r="L493" t="s">
        <v>131</v>
      </c>
      <c r="M493" s="50">
        <v>44875</v>
      </c>
      <c r="N493" s="50">
        <v>2958465</v>
      </c>
      <c r="P493">
        <v>0</v>
      </c>
      <c r="U493">
        <v>4</v>
      </c>
      <c r="V493">
        <v>1</v>
      </c>
      <c r="W493" t="s">
        <v>132</v>
      </c>
      <c r="X493">
        <v>0</v>
      </c>
    </row>
    <row r="494" spans="1:24" x14ac:dyDescent="0.25">
      <c r="A494">
        <v>1</v>
      </c>
      <c r="B494" s="13">
        <v>590920300051</v>
      </c>
      <c r="C494">
        <v>50</v>
      </c>
      <c r="D494" s="13">
        <v>1018034</v>
      </c>
      <c r="F494" t="s">
        <v>130</v>
      </c>
      <c r="G494">
        <v>0</v>
      </c>
      <c r="H494">
        <v>100</v>
      </c>
      <c r="K494">
        <v>4</v>
      </c>
      <c r="L494" t="s">
        <v>131</v>
      </c>
      <c r="M494" s="50">
        <v>44875</v>
      </c>
      <c r="N494" s="50">
        <v>2958465</v>
      </c>
      <c r="P494">
        <v>0</v>
      </c>
      <c r="U494">
        <v>4</v>
      </c>
      <c r="V494">
        <v>1</v>
      </c>
      <c r="W494" t="s">
        <v>132</v>
      </c>
      <c r="X494">
        <v>0</v>
      </c>
    </row>
    <row r="495" spans="1:24" x14ac:dyDescent="0.25">
      <c r="A495">
        <v>1</v>
      </c>
      <c r="B495" s="13">
        <v>590920300051</v>
      </c>
      <c r="C495">
        <v>60</v>
      </c>
      <c r="D495" s="13">
        <v>1018359</v>
      </c>
      <c r="F495" t="s">
        <v>130</v>
      </c>
      <c r="G495">
        <v>0</v>
      </c>
      <c r="H495">
        <v>100</v>
      </c>
      <c r="K495">
        <v>10</v>
      </c>
      <c r="L495" t="s">
        <v>131</v>
      </c>
      <c r="M495" s="50">
        <v>44875</v>
      </c>
      <c r="N495" s="50">
        <v>2958465</v>
      </c>
      <c r="P495">
        <v>0</v>
      </c>
      <c r="U495">
        <v>4</v>
      </c>
      <c r="V495">
        <v>1</v>
      </c>
      <c r="W495" t="s">
        <v>132</v>
      </c>
      <c r="X495">
        <v>0</v>
      </c>
    </row>
    <row r="496" spans="1:24" x14ac:dyDescent="0.25">
      <c r="A496">
        <v>1</v>
      </c>
      <c r="B496" s="13">
        <v>590920300051</v>
      </c>
      <c r="C496">
        <v>70</v>
      </c>
      <c r="D496" s="13">
        <v>1022213</v>
      </c>
      <c r="F496" t="s">
        <v>130</v>
      </c>
      <c r="G496">
        <v>0</v>
      </c>
      <c r="H496">
        <v>100</v>
      </c>
      <c r="K496">
        <v>5.5919999999999996</v>
      </c>
      <c r="L496" t="s">
        <v>131</v>
      </c>
      <c r="M496" s="50">
        <v>44875</v>
      </c>
      <c r="N496" s="50">
        <v>2958465</v>
      </c>
      <c r="P496">
        <v>0</v>
      </c>
      <c r="U496">
        <v>4</v>
      </c>
      <c r="V496">
        <v>1</v>
      </c>
      <c r="W496" t="s">
        <v>132</v>
      </c>
      <c r="X496">
        <v>0</v>
      </c>
    </row>
    <row r="497" spans="1:24" x14ac:dyDescent="0.25">
      <c r="A497">
        <v>1</v>
      </c>
      <c r="B497" s="13">
        <v>590920300051</v>
      </c>
      <c r="C497">
        <v>80</v>
      </c>
      <c r="D497" s="13">
        <v>12165651</v>
      </c>
      <c r="F497" t="s">
        <v>130</v>
      </c>
      <c r="G497">
        <v>0</v>
      </c>
      <c r="H497">
        <v>100</v>
      </c>
      <c r="K497">
        <v>1</v>
      </c>
      <c r="L497" t="s">
        <v>131</v>
      </c>
      <c r="M497" s="50">
        <v>44875</v>
      </c>
      <c r="N497" s="50">
        <v>2958465</v>
      </c>
      <c r="P497">
        <v>0</v>
      </c>
      <c r="U497">
        <v>4</v>
      </c>
      <c r="V497">
        <v>1</v>
      </c>
      <c r="W497" t="s">
        <v>132</v>
      </c>
      <c r="X497">
        <v>0</v>
      </c>
    </row>
    <row r="498" spans="1:24" x14ac:dyDescent="0.25">
      <c r="A498">
        <v>1</v>
      </c>
      <c r="B498" s="13">
        <v>590920301051</v>
      </c>
      <c r="C498">
        <v>10</v>
      </c>
      <c r="D498" s="13">
        <v>5957163010</v>
      </c>
      <c r="F498" t="s">
        <v>130</v>
      </c>
      <c r="G498">
        <v>0</v>
      </c>
      <c r="H498">
        <v>100</v>
      </c>
      <c r="K498">
        <v>2</v>
      </c>
      <c r="L498" t="s">
        <v>131</v>
      </c>
      <c r="M498" s="50">
        <v>44875</v>
      </c>
      <c r="N498" s="50">
        <v>2958465</v>
      </c>
      <c r="P498">
        <v>0</v>
      </c>
      <c r="U498">
        <v>4</v>
      </c>
      <c r="V498">
        <v>1</v>
      </c>
      <c r="W498" t="s">
        <v>132</v>
      </c>
      <c r="X498">
        <v>0</v>
      </c>
    </row>
    <row r="499" spans="1:24" x14ac:dyDescent="0.25">
      <c r="A499">
        <v>1</v>
      </c>
      <c r="B499" s="13">
        <v>590920301051</v>
      </c>
      <c r="C499">
        <v>20</v>
      </c>
      <c r="D499" s="13">
        <v>5957333010</v>
      </c>
      <c r="F499" t="s">
        <v>130</v>
      </c>
      <c r="G499">
        <v>0</v>
      </c>
      <c r="H499">
        <v>100</v>
      </c>
      <c r="K499">
        <v>1</v>
      </c>
      <c r="L499" t="s">
        <v>131</v>
      </c>
      <c r="M499" s="50">
        <v>44875</v>
      </c>
      <c r="N499" s="50">
        <v>2958465</v>
      </c>
      <c r="P499">
        <v>0</v>
      </c>
      <c r="U499">
        <v>4</v>
      </c>
      <c r="V499">
        <v>1</v>
      </c>
      <c r="W499" t="s">
        <v>132</v>
      </c>
      <c r="X499">
        <v>0</v>
      </c>
    </row>
    <row r="500" spans="1:24" x14ac:dyDescent="0.25">
      <c r="A500">
        <v>1</v>
      </c>
      <c r="B500" s="13">
        <v>590920301051</v>
      </c>
      <c r="C500">
        <v>30</v>
      </c>
      <c r="D500" s="13">
        <v>5957303010</v>
      </c>
      <c r="F500" t="s">
        <v>130</v>
      </c>
      <c r="G500">
        <v>0</v>
      </c>
      <c r="H500">
        <v>100</v>
      </c>
      <c r="K500">
        <v>1</v>
      </c>
      <c r="L500" t="s">
        <v>131</v>
      </c>
      <c r="M500" s="50">
        <v>44875</v>
      </c>
      <c r="N500" s="50">
        <v>2958465</v>
      </c>
      <c r="P500">
        <v>0</v>
      </c>
      <c r="U500">
        <v>4</v>
      </c>
      <c r="V500">
        <v>1</v>
      </c>
      <c r="W500" t="s">
        <v>132</v>
      </c>
      <c r="X500">
        <v>0</v>
      </c>
    </row>
    <row r="501" spans="1:24" x14ac:dyDescent="0.25">
      <c r="A501">
        <v>1</v>
      </c>
      <c r="B501" s="13">
        <v>590920301051</v>
      </c>
      <c r="C501">
        <v>40</v>
      </c>
      <c r="D501" s="13">
        <v>5957093010</v>
      </c>
      <c r="F501" t="s">
        <v>130</v>
      </c>
      <c r="G501">
        <v>0</v>
      </c>
      <c r="H501">
        <v>100</v>
      </c>
      <c r="K501">
        <v>1</v>
      </c>
      <c r="L501" t="s">
        <v>131</v>
      </c>
      <c r="M501" s="50">
        <v>44875</v>
      </c>
      <c r="N501" s="50">
        <v>2958465</v>
      </c>
      <c r="P501">
        <v>0</v>
      </c>
      <c r="U501">
        <v>4</v>
      </c>
      <c r="V501">
        <v>1</v>
      </c>
      <c r="W501" t="s">
        <v>132</v>
      </c>
      <c r="X501">
        <v>0</v>
      </c>
    </row>
    <row r="502" spans="1:24" x14ac:dyDescent="0.25">
      <c r="A502">
        <v>1</v>
      </c>
      <c r="B502" s="13">
        <v>590920301051</v>
      </c>
      <c r="C502">
        <v>50</v>
      </c>
      <c r="D502" s="13">
        <v>1018034</v>
      </c>
      <c r="F502" t="s">
        <v>130</v>
      </c>
      <c r="G502">
        <v>0</v>
      </c>
      <c r="H502">
        <v>100</v>
      </c>
      <c r="K502">
        <v>4</v>
      </c>
      <c r="L502" t="s">
        <v>131</v>
      </c>
      <c r="M502" s="50">
        <v>44875</v>
      </c>
      <c r="N502" s="50">
        <v>2958465</v>
      </c>
      <c r="P502">
        <v>0</v>
      </c>
      <c r="U502">
        <v>4</v>
      </c>
      <c r="V502">
        <v>1</v>
      </c>
      <c r="W502" t="s">
        <v>132</v>
      </c>
      <c r="X502">
        <v>0</v>
      </c>
    </row>
    <row r="503" spans="1:24" x14ac:dyDescent="0.25">
      <c r="A503">
        <v>1</v>
      </c>
      <c r="B503" s="13">
        <v>590920301051</v>
      </c>
      <c r="C503">
        <v>60</v>
      </c>
      <c r="D503" s="13">
        <v>1018359</v>
      </c>
      <c r="F503" t="s">
        <v>130</v>
      </c>
      <c r="G503">
        <v>0</v>
      </c>
      <c r="H503">
        <v>100</v>
      </c>
      <c r="K503">
        <v>10</v>
      </c>
      <c r="L503" t="s">
        <v>131</v>
      </c>
      <c r="M503" s="50">
        <v>44875</v>
      </c>
      <c r="N503" s="50">
        <v>2958465</v>
      </c>
      <c r="P503">
        <v>0</v>
      </c>
      <c r="U503">
        <v>4</v>
      </c>
      <c r="V503">
        <v>1</v>
      </c>
      <c r="W503" t="s">
        <v>132</v>
      </c>
      <c r="X503">
        <v>0</v>
      </c>
    </row>
    <row r="504" spans="1:24" x14ac:dyDescent="0.25">
      <c r="A504">
        <v>1</v>
      </c>
      <c r="B504" s="13">
        <v>590920301051</v>
      </c>
      <c r="C504">
        <v>70</v>
      </c>
      <c r="D504" s="13">
        <v>1022213</v>
      </c>
      <c r="F504" t="s">
        <v>130</v>
      </c>
      <c r="G504">
        <v>0</v>
      </c>
      <c r="H504">
        <v>100</v>
      </c>
      <c r="K504">
        <v>5.5919999999999996</v>
      </c>
      <c r="L504" t="s">
        <v>131</v>
      </c>
      <c r="M504" s="50">
        <v>44875</v>
      </c>
      <c r="N504" s="50">
        <v>2958465</v>
      </c>
      <c r="P504">
        <v>0</v>
      </c>
      <c r="U504">
        <v>4</v>
      </c>
      <c r="V504">
        <v>1</v>
      </c>
      <c r="W504" t="s">
        <v>132</v>
      </c>
      <c r="X504">
        <v>0</v>
      </c>
    </row>
    <row r="505" spans="1:24" x14ac:dyDescent="0.25">
      <c r="A505">
        <v>1</v>
      </c>
      <c r="B505" s="13">
        <v>590920301051</v>
      </c>
      <c r="C505">
        <v>80</v>
      </c>
      <c r="D505" s="13">
        <v>12165651</v>
      </c>
      <c r="F505" t="s">
        <v>130</v>
      </c>
      <c r="G505">
        <v>0</v>
      </c>
      <c r="H505">
        <v>100</v>
      </c>
      <c r="K505">
        <v>1</v>
      </c>
      <c r="L505" t="s">
        <v>131</v>
      </c>
      <c r="M505" s="50">
        <v>44875</v>
      </c>
      <c r="N505" s="50">
        <v>2958465</v>
      </c>
      <c r="P505">
        <v>0</v>
      </c>
      <c r="U505">
        <v>4</v>
      </c>
      <c r="V505">
        <v>1</v>
      </c>
      <c r="W505" t="s">
        <v>132</v>
      </c>
      <c r="X505">
        <v>0</v>
      </c>
    </row>
    <row r="506" spans="1:24" x14ac:dyDescent="0.25">
      <c r="A506">
        <v>1</v>
      </c>
      <c r="B506" s="13">
        <v>590920300052</v>
      </c>
      <c r="C506">
        <v>10</v>
      </c>
      <c r="D506" s="13">
        <v>5957163099</v>
      </c>
      <c r="F506" t="s">
        <v>130</v>
      </c>
      <c r="G506">
        <v>0</v>
      </c>
      <c r="H506">
        <v>100</v>
      </c>
      <c r="K506">
        <v>2</v>
      </c>
      <c r="L506" t="s">
        <v>131</v>
      </c>
      <c r="M506" s="50">
        <v>44875</v>
      </c>
      <c r="N506" s="50">
        <v>2958465</v>
      </c>
      <c r="P506">
        <v>0</v>
      </c>
      <c r="U506">
        <v>4</v>
      </c>
      <c r="V506">
        <v>1</v>
      </c>
      <c r="W506" t="s">
        <v>132</v>
      </c>
      <c r="X506">
        <v>0</v>
      </c>
    </row>
    <row r="507" spans="1:24" x14ac:dyDescent="0.25">
      <c r="A507">
        <v>1</v>
      </c>
      <c r="B507" s="13">
        <v>590920300052</v>
      </c>
      <c r="C507">
        <v>20</v>
      </c>
      <c r="D507" s="13">
        <v>5957333099</v>
      </c>
      <c r="F507" t="s">
        <v>130</v>
      </c>
      <c r="G507">
        <v>0</v>
      </c>
      <c r="H507">
        <v>100</v>
      </c>
      <c r="K507">
        <v>1</v>
      </c>
      <c r="L507" t="s">
        <v>131</v>
      </c>
      <c r="M507" s="50">
        <v>44875</v>
      </c>
      <c r="N507" s="50">
        <v>2958465</v>
      </c>
      <c r="P507">
        <v>0</v>
      </c>
      <c r="U507">
        <v>4</v>
      </c>
      <c r="V507">
        <v>1</v>
      </c>
      <c r="W507" t="s">
        <v>132</v>
      </c>
      <c r="X507">
        <v>0</v>
      </c>
    </row>
    <row r="508" spans="1:24" x14ac:dyDescent="0.25">
      <c r="A508">
        <v>1</v>
      </c>
      <c r="B508" s="13">
        <v>590920300052</v>
      </c>
      <c r="C508">
        <v>30</v>
      </c>
      <c r="D508" s="13">
        <v>5957303099</v>
      </c>
      <c r="F508" t="s">
        <v>130</v>
      </c>
      <c r="G508">
        <v>0</v>
      </c>
      <c r="H508">
        <v>100</v>
      </c>
      <c r="K508">
        <v>1</v>
      </c>
      <c r="L508" t="s">
        <v>131</v>
      </c>
      <c r="M508" s="50">
        <v>44875</v>
      </c>
      <c r="N508" s="50">
        <v>2958465</v>
      </c>
      <c r="P508">
        <v>0</v>
      </c>
      <c r="U508">
        <v>4</v>
      </c>
      <c r="V508">
        <v>1</v>
      </c>
      <c r="W508" t="s">
        <v>132</v>
      </c>
      <c r="X508">
        <v>0</v>
      </c>
    </row>
    <row r="509" spans="1:24" x14ac:dyDescent="0.25">
      <c r="A509">
        <v>1</v>
      </c>
      <c r="B509" s="13">
        <v>590920300052</v>
      </c>
      <c r="C509">
        <v>40</v>
      </c>
      <c r="D509" s="13">
        <v>1022219</v>
      </c>
      <c r="F509" t="s">
        <v>130</v>
      </c>
      <c r="G509">
        <v>0</v>
      </c>
      <c r="H509">
        <v>100</v>
      </c>
      <c r="K509">
        <v>1</v>
      </c>
      <c r="L509" t="s">
        <v>131</v>
      </c>
      <c r="M509" s="50">
        <v>44875</v>
      </c>
      <c r="N509" s="50">
        <v>2958465</v>
      </c>
      <c r="P509">
        <v>0</v>
      </c>
      <c r="U509">
        <v>4</v>
      </c>
      <c r="V509">
        <v>1</v>
      </c>
      <c r="W509" t="s">
        <v>132</v>
      </c>
      <c r="X509">
        <v>0</v>
      </c>
    </row>
    <row r="510" spans="1:24" x14ac:dyDescent="0.25">
      <c r="A510">
        <v>1</v>
      </c>
      <c r="B510" s="13">
        <v>590920300052</v>
      </c>
      <c r="C510">
        <v>50</v>
      </c>
      <c r="D510" s="13">
        <v>1018034</v>
      </c>
      <c r="F510" t="s">
        <v>130</v>
      </c>
      <c r="G510">
        <v>0</v>
      </c>
      <c r="H510">
        <v>100</v>
      </c>
      <c r="K510">
        <v>4</v>
      </c>
      <c r="L510" t="s">
        <v>131</v>
      </c>
      <c r="M510" s="50">
        <v>44875</v>
      </c>
      <c r="N510" s="50">
        <v>2958465</v>
      </c>
      <c r="P510">
        <v>0</v>
      </c>
      <c r="U510">
        <v>4</v>
      </c>
      <c r="V510">
        <v>1</v>
      </c>
      <c r="W510" t="s">
        <v>132</v>
      </c>
      <c r="X510">
        <v>0</v>
      </c>
    </row>
    <row r="511" spans="1:24" x14ac:dyDescent="0.25">
      <c r="A511">
        <v>1</v>
      </c>
      <c r="B511" s="13">
        <v>590920300052</v>
      </c>
      <c r="C511">
        <v>60</v>
      </c>
      <c r="D511" s="13">
        <v>1018359</v>
      </c>
      <c r="F511" t="s">
        <v>130</v>
      </c>
      <c r="G511">
        <v>0</v>
      </c>
      <c r="H511">
        <v>100</v>
      </c>
      <c r="K511">
        <v>10</v>
      </c>
      <c r="L511" t="s">
        <v>131</v>
      </c>
      <c r="M511" s="50">
        <v>44875</v>
      </c>
      <c r="N511" s="50">
        <v>2958465</v>
      </c>
      <c r="P511">
        <v>0</v>
      </c>
      <c r="U511">
        <v>4</v>
      </c>
      <c r="V511">
        <v>1</v>
      </c>
      <c r="W511" t="s">
        <v>132</v>
      </c>
      <c r="X511">
        <v>0</v>
      </c>
    </row>
    <row r="512" spans="1:24" x14ac:dyDescent="0.25">
      <c r="A512">
        <v>1</v>
      </c>
      <c r="B512" s="13">
        <v>590920300052</v>
      </c>
      <c r="C512">
        <v>70</v>
      </c>
      <c r="D512" s="13">
        <v>1022213</v>
      </c>
      <c r="F512" t="s">
        <v>130</v>
      </c>
      <c r="G512">
        <v>0</v>
      </c>
      <c r="H512">
        <v>100</v>
      </c>
      <c r="K512">
        <v>5.5919999999999996</v>
      </c>
      <c r="L512" t="s">
        <v>131</v>
      </c>
      <c r="M512" s="50">
        <v>44875</v>
      </c>
      <c r="N512" s="50">
        <v>2958465</v>
      </c>
      <c r="P512">
        <v>0</v>
      </c>
      <c r="U512">
        <v>4</v>
      </c>
      <c r="V512">
        <v>1</v>
      </c>
      <c r="W512" t="s">
        <v>132</v>
      </c>
      <c r="X512">
        <v>0</v>
      </c>
    </row>
    <row r="513" spans="1:24" x14ac:dyDescent="0.25">
      <c r="A513">
        <v>1</v>
      </c>
      <c r="B513" s="13">
        <v>590920300052</v>
      </c>
      <c r="C513">
        <v>80</v>
      </c>
      <c r="D513" s="13">
        <v>12165652</v>
      </c>
      <c r="F513" t="s">
        <v>130</v>
      </c>
      <c r="G513">
        <v>0</v>
      </c>
      <c r="H513">
        <v>100</v>
      </c>
      <c r="K513">
        <v>1</v>
      </c>
      <c r="L513" t="s">
        <v>131</v>
      </c>
      <c r="M513" s="50">
        <v>44875</v>
      </c>
      <c r="N513" s="50">
        <v>2958465</v>
      </c>
      <c r="P513">
        <v>0</v>
      </c>
      <c r="U513">
        <v>4</v>
      </c>
      <c r="V513">
        <v>1</v>
      </c>
      <c r="W513" t="s">
        <v>132</v>
      </c>
      <c r="X513">
        <v>0</v>
      </c>
    </row>
    <row r="514" spans="1:24" x14ac:dyDescent="0.25">
      <c r="A514">
        <v>1</v>
      </c>
      <c r="B514" s="13">
        <v>590920300152</v>
      </c>
      <c r="C514">
        <v>10</v>
      </c>
      <c r="D514" s="13">
        <v>5957163001</v>
      </c>
      <c r="F514" t="s">
        <v>130</v>
      </c>
      <c r="G514">
        <v>0</v>
      </c>
      <c r="H514">
        <v>100</v>
      </c>
      <c r="K514">
        <v>2</v>
      </c>
      <c r="L514" t="s">
        <v>131</v>
      </c>
      <c r="M514" s="50">
        <v>44875</v>
      </c>
      <c r="N514" s="50">
        <v>2958465</v>
      </c>
      <c r="P514">
        <v>0</v>
      </c>
      <c r="U514">
        <v>4</v>
      </c>
      <c r="V514">
        <v>1</v>
      </c>
      <c r="W514" t="s">
        <v>132</v>
      </c>
      <c r="X514">
        <v>0</v>
      </c>
    </row>
    <row r="515" spans="1:24" x14ac:dyDescent="0.25">
      <c r="A515">
        <v>1</v>
      </c>
      <c r="B515" s="13">
        <v>590920300152</v>
      </c>
      <c r="C515">
        <v>20</v>
      </c>
      <c r="D515" s="13">
        <v>5957333001</v>
      </c>
      <c r="F515" t="s">
        <v>130</v>
      </c>
      <c r="G515">
        <v>0</v>
      </c>
      <c r="H515">
        <v>100</v>
      </c>
      <c r="K515">
        <v>1</v>
      </c>
      <c r="L515" t="s">
        <v>131</v>
      </c>
      <c r="M515" s="50">
        <v>44875</v>
      </c>
      <c r="N515" s="50">
        <v>2958465</v>
      </c>
      <c r="P515">
        <v>0</v>
      </c>
      <c r="U515">
        <v>4</v>
      </c>
      <c r="V515">
        <v>1</v>
      </c>
      <c r="W515" t="s">
        <v>132</v>
      </c>
      <c r="X515">
        <v>0</v>
      </c>
    </row>
    <row r="516" spans="1:24" x14ac:dyDescent="0.25">
      <c r="A516">
        <v>1</v>
      </c>
      <c r="B516" s="13">
        <v>590920300152</v>
      </c>
      <c r="C516">
        <v>30</v>
      </c>
      <c r="D516" s="13">
        <v>5957303001</v>
      </c>
      <c r="F516" t="s">
        <v>130</v>
      </c>
      <c r="G516">
        <v>0</v>
      </c>
      <c r="H516">
        <v>100</v>
      </c>
      <c r="K516">
        <v>1</v>
      </c>
      <c r="L516" t="s">
        <v>131</v>
      </c>
      <c r="M516" s="50">
        <v>44875</v>
      </c>
      <c r="N516" s="50">
        <v>2958465</v>
      </c>
      <c r="P516">
        <v>0</v>
      </c>
      <c r="U516">
        <v>4</v>
      </c>
      <c r="V516">
        <v>1</v>
      </c>
      <c r="W516" t="s">
        <v>132</v>
      </c>
      <c r="X516">
        <v>0</v>
      </c>
    </row>
    <row r="517" spans="1:24" x14ac:dyDescent="0.25">
      <c r="A517">
        <v>1</v>
      </c>
      <c r="B517" s="13">
        <v>590920300152</v>
      </c>
      <c r="C517">
        <v>40</v>
      </c>
      <c r="D517" s="13">
        <v>5957093001</v>
      </c>
      <c r="F517" t="s">
        <v>130</v>
      </c>
      <c r="G517">
        <v>0</v>
      </c>
      <c r="H517">
        <v>100</v>
      </c>
      <c r="K517">
        <v>1</v>
      </c>
      <c r="L517" t="s">
        <v>131</v>
      </c>
      <c r="M517" s="50">
        <v>44875</v>
      </c>
      <c r="N517" s="50">
        <v>2958465</v>
      </c>
      <c r="P517">
        <v>0</v>
      </c>
      <c r="U517">
        <v>4</v>
      </c>
      <c r="V517">
        <v>1</v>
      </c>
      <c r="W517" t="s">
        <v>132</v>
      </c>
      <c r="X517">
        <v>0</v>
      </c>
    </row>
    <row r="518" spans="1:24" x14ac:dyDescent="0.25">
      <c r="A518">
        <v>1</v>
      </c>
      <c r="B518" s="13">
        <v>590920300152</v>
      </c>
      <c r="C518">
        <v>50</v>
      </c>
      <c r="D518" s="13">
        <v>1018034</v>
      </c>
      <c r="F518" t="s">
        <v>130</v>
      </c>
      <c r="G518">
        <v>0</v>
      </c>
      <c r="H518">
        <v>100</v>
      </c>
      <c r="K518">
        <v>4</v>
      </c>
      <c r="L518" t="s">
        <v>131</v>
      </c>
      <c r="M518" s="50">
        <v>44875</v>
      </c>
      <c r="N518" s="50">
        <v>2958465</v>
      </c>
      <c r="P518">
        <v>0</v>
      </c>
      <c r="U518">
        <v>4</v>
      </c>
      <c r="V518">
        <v>1</v>
      </c>
      <c r="W518" t="s">
        <v>132</v>
      </c>
      <c r="X518">
        <v>0</v>
      </c>
    </row>
    <row r="519" spans="1:24" x14ac:dyDescent="0.25">
      <c r="A519">
        <v>1</v>
      </c>
      <c r="B519" s="13">
        <v>590920300152</v>
      </c>
      <c r="C519">
        <v>60</v>
      </c>
      <c r="D519" s="13">
        <v>1018359</v>
      </c>
      <c r="F519" t="s">
        <v>130</v>
      </c>
      <c r="G519">
        <v>0</v>
      </c>
      <c r="H519">
        <v>100</v>
      </c>
      <c r="K519">
        <v>10</v>
      </c>
      <c r="L519" t="s">
        <v>131</v>
      </c>
      <c r="M519" s="50">
        <v>44875</v>
      </c>
      <c r="N519" s="50">
        <v>2958465</v>
      </c>
      <c r="P519">
        <v>0</v>
      </c>
      <c r="U519">
        <v>4</v>
      </c>
      <c r="V519">
        <v>1</v>
      </c>
      <c r="W519" t="s">
        <v>132</v>
      </c>
      <c r="X519">
        <v>0</v>
      </c>
    </row>
    <row r="520" spans="1:24" x14ac:dyDescent="0.25">
      <c r="A520">
        <v>1</v>
      </c>
      <c r="B520" s="13">
        <v>590920300152</v>
      </c>
      <c r="C520">
        <v>70</v>
      </c>
      <c r="D520" s="13">
        <v>1022213</v>
      </c>
      <c r="F520" t="s">
        <v>130</v>
      </c>
      <c r="G520">
        <v>0</v>
      </c>
      <c r="H520">
        <v>100</v>
      </c>
      <c r="K520">
        <v>5.5919999999999996</v>
      </c>
      <c r="L520" t="s">
        <v>131</v>
      </c>
      <c r="M520" s="50">
        <v>44875</v>
      </c>
      <c r="N520" s="50">
        <v>2958465</v>
      </c>
      <c r="P520">
        <v>0</v>
      </c>
      <c r="U520">
        <v>4</v>
      </c>
      <c r="V520">
        <v>1</v>
      </c>
      <c r="W520" t="s">
        <v>132</v>
      </c>
      <c r="X520">
        <v>0</v>
      </c>
    </row>
    <row r="521" spans="1:24" x14ac:dyDescent="0.25">
      <c r="A521">
        <v>1</v>
      </c>
      <c r="B521" s="13">
        <v>590920300152</v>
      </c>
      <c r="C521">
        <v>80</v>
      </c>
      <c r="D521" s="13">
        <v>12165652</v>
      </c>
      <c r="F521" t="s">
        <v>130</v>
      </c>
      <c r="G521">
        <v>0</v>
      </c>
      <c r="H521">
        <v>100</v>
      </c>
      <c r="K521">
        <v>1</v>
      </c>
      <c r="L521" t="s">
        <v>131</v>
      </c>
      <c r="M521" s="50">
        <v>44875</v>
      </c>
      <c r="N521" s="50">
        <v>2958465</v>
      </c>
      <c r="P521">
        <v>0</v>
      </c>
      <c r="U521">
        <v>4</v>
      </c>
      <c r="V521">
        <v>1</v>
      </c>
      <c r="W521" t="s">
        <v>132</v>
      </c>
      <c r="X521">
        <v>0</v>
      </c>
    </row>
    <row r="522" spans="1:24" x14ac:dyDescent="0.25">
      <c r="A522">
        <v>1</v>
      </c>
      <c r="B522" s="13">
        <v>590920300352</v>
      </c>
      <c r="C522">
        <v>10</v>
      </c>
      <c r="D522" s="13">
        <v>5957163003</v>
      </c>
      <c r="F522" t="s">
        <v>130</v>
      </c>
      <c r="G522">
        <v>0</v>
      </c>
      <c r="H522">
        <v>100</v>
      </c>
      <c r="K522">
        <v>2</v>
      </c>
      <c r="L522" t="s">
        <v>131</v>
      </c>
      <c r="M522" s="50">
        <v>44875</v>
      </c>
      <c r="N522" s="50">
        <v>2958465</v>
      </c>
      <c r="P522">
        <v>0</v>
      </c>
      <c r="U522">
        <v>4</v>
      </c>
      <c r="V522">
        <v>1</v>
      </c>
      <c r="W522" t="s">
        <v>132</v>
      </c>
      <c r="X522">
        <v>0</v>
      </c>
    </row>
    <row r="523" spans="1:24" x14ac:dyDescent="0.25">
      <c r="A523">
        <v>1</v>
      </c>
      <c r="B523" s="13">
        <v>590920300352</v>
      </c>
      <c r="C523">
        <v>20</v>
      </c>
      <c r="D523" s="13">
        <v>5957333003</v>
      </c>
      <c r="F523" t="s">
        <v>130</v>
      </c>
      <c r="G523">
        <v>0</v>
      </c>
      <c r="H523">
        <v>100</v>
      </c>
      <c r="K523">
        <v>1</v>
      </c>
      <c r="L523" t="s">
        <v>131</v>
      </c>
      <c r="M523" s="50">
        <v>44875</v>
      </c>
      <c r="N523" s="50">
        <v>2958465</v>
      </c>
      <c r="P523">
        <v>0</v>
      </c>
      <c r="U523">
        <v>4</v>
      </c>
      <c r="V523">
        <v>1</v>
      </c>
      <c r="W523" t="s">
        <v>132</v>
      </c>
      <c r="X523">
        <v>0</v>
      </c>
    </row>
    <row r="524" spans="1:24" x14ac:dyDescent="0.25">
      <c r="A524">
        <v>1</v>
      </c>
      <c r="B524" s="13">
        <v>590920300352</v>
      </c>
      <c r="C524">
        <v>30</v>
      </c>
      <c r="D524" s="13">
        <v>5957303003</v>
      </c>
      <c r="F524" t="s">
        <v>130</v>
      </c>
      <c r="G524">
        <v>0</v>
      </c>
      <c r="H524">
        <v>100</v>
      </c>
      <c r="K524">
        <v>1</v>
      </c>
      <c r="L524" t="s">
        <v>131</v>
      </c>
      <c r="M524" s="50">
        <v>44875</v>
      </c>
      <c r="N524" s="50">
        <v>2958465</v>
      </c>
      <c r="P524">
        <v>0</v>
      </c>
      <c r="U524">
        <v>4</v>
      </c>
      <c r="V524">
        <v>1</v>
      </c>
      <c r="W524" t="s">
        <v>132</v>
      </c>
      <c r="X524">
        <v>0</v>
      </c>
    </row>
    <row r="525" spans="1:24" x14ac:dyDescent="0.25">
      <c r="A525">
        <v>1</v>
      </c>
      <c r="B525" s="13">
        <v>590920300352</v>
      </c>
      <c r="C525">
        <v>40</v>
      </c>
      <c r="D525" s="13">
        <v>5957093003</v>
      </c>
      <c r="F525" t="s">
        <v>130</v>
      </c>
      <c r="G525">
        <v>0</v>
      </c>
      <c r="H525">
        <v>100</v>
      </c>
      <c r="K525">
        <v>1</v>
      </c>
      <c r="L525" t="s">
        <v>131</v>
      </c>
      <c r="M525" s="50">
        <v>44875</v>
      </c>
      <c r="N525" s="50">
        <v>2958465</v>
      </c>
      <c r="P525">
        <v>0</v>
      </c>
      <c r="U525">
        <v>4</v>
      </c>
      <c r="V525">
        <v>1</v>
      </c>
      <c r="W525" t="s">
        <v>132</v>
      </c>
      <c r="X525">
        <v>0</v>
      </c>
    </row>
    <row r="526" spans="1:24" x14ac:dyDescent="0.25">
      <c r="A526">
        <v>1</v>
      </c>
      <c r="B526" s="13">
        <v>590920300352</v>
      </c>
      <c r="C526">
        <v>50</v>
      </c>
      <c r="D526" s="13">
        <v>1018034</v>
      </c>
      <c r="F526" t="s">
        <v>130</v>
      </c>
      <c r="G526">
        <v>0</v>
      </c>
      <c r="H526">
        <v>100</v>
      </c>
      <c r="K526">
        <v>4</v>
      </c>
      <c r="L526" t="s">
        <v>131</v>
      </c>
      <c r="M526" s="50">
        <v>44875</v>
      </c>
      <c r="N526" s="50">
        <v>2958465</v>
      </c>
      <c r="P526">
        <v>0</v>
      </c>
      <c r="U526">
        <v>4</v>
      </c>
      <c r="V526">
        <v>1</v>
      </c>
      <c r="W526" t="s">
        <v>132</v>
      </c>
      <c r="X526">
        <v>0</v>
      </c>
    </row>
    <row r="527" spans="1:24" x14ac:dyDescent="0.25">
      <c r="A527">
        <v>1</v>
      </c>
      <c r="B527" s="13">
        <v>590920300352</v>
      </c>
      <c r="C527">
        <v>60</v>
      </c>
      <c r="D527" s="13">
        <v>1018359</v>
      </c>
      <c r="F527" t="s">
        <v>130</v>
      </c>
      <c r="G527">
        <v>0</v>
      </c>
      <c r="H527">
        <v>100</v>
      </c>
      <c r="K527">
        <v>10</v>
      </c>
      <c r="L527" t="s">
        <v>131</v>
      </c>
      <c r="M527" s="50">
        <v>44875</v>
      </c>
      <c r="N527" s="50">
        <v>2958465</v>
      </c>
      <c r="P527">
        <v>0</v>
      </c>
      <c r="U527">
        <v>4</v>
      </c>
      <c r="V527">
        <v>1</v>
      </c>
      <c r="W527" t="s">
        <v>132</v>
      </c>
      <c r="X527">
        <v>0</v>
      </c>
    </row>
    <row r="528" spans="1:24" x14ac:dyDescent="0.25">
      <c r="A528">
        <v>1</v>
      </c>
      <c r="B528" s="13">
        <v>590920300352</v>
      </c>
      <c r="C528">
        <v>70</v>
      </c>
      <c r="D528" s="13">
        <v>1022213</v>
      </c>
      <c r="F528" t="s">
        <v>130</v>
      </c>
      <c r="G528">
        <v>0</v>
      </c>
      <c r="H528">
        <v>100</v>
      </c>
      <c r="K528">
        <v>5.5919999999999996</v>
      </c>
      <c r="L528" t="s">
        <v>131</v>
      </c>
      <c r="M528" s="50">
        <v>44875</v>
      </c>
      <c r="N528" s="50">
        <v>2958465</v>
      </c>
      <c r="P528">
        <v>0</v>
      </c>
      <c r="U528">
        <v>4</v>
      </c>
      <c r="V528">
        <v>1</v>
      </c>
      <c r="W528" t="s">
        <v>132</v>
      </c>
      <c r="X528">
        <v>0</v>
      </c>
    </row>
    <row r="529" spans="1:24" x14ac:dyDescent="0.25">
      <c r="A529">
        <v>1</v>
      </c>
      <c r="B529" s="13">
        <v>590920300352</v>
      </c>
      <c r="C529">
        <v>80</v>
      </c>
      <c r="D529" s="13">
        <v>12165652</v>
      </c>
      <c r="F529" t="s">
        <v>130</v>
      </c>
      <c r="G529">
        <v>0</v>
      </c>
      <c r="H529">
        <v>100</v>
      </c>
      <c r="K529">
        <v>1</v>
      </c>
      <c r="L529" t="s">
        <v>131</v>
      </c>
      <c r="M529" s="50">
        <v>44875</v>
      </c>
      <c r="N529" s="50">
        <v>2958465</v>
      </c>
      <c r="P529">
        <v>0</v>
      </c>
      <c r="U529">
        <v>4</v>
      </c>
      <c r="V529">
        <v>1</v>
      </c>
      <c r="W529" t="s">
        <v>132</v>
      </c>
      <c r="X529">
        <v>0</v>
      </c>
    </row>
    <row r="530" spans="1:24" x14ac:dyDescent="0.25">
      <c r="A530">
        <v>1</v>
      </c>
      <c r="B530" s="13">
        <v>590920300752</v>
      </c>
      <c r="C530">
        <v>10</v>
      </c>
      <c r="D530" s="13">
        <v>5957163007</v>
      </c>
      <c r="F530" t="s">
        <v>130</v>
      </c>
      <c r="G530">
        <v>0</v>
      </c>
      <c r="H530">
        <v>100</v>
      </c>
      <c r="K530">
        <v>2</v>
      </c>
      <c r="L530" t="s">
        <v>131</v>
      </c>
      <c r="M530" s="50">
        <v>44875</v>
      </c>
      <c r="N530" s="50">
        <v>2958465</v>
      </c>
      <c r="P530">
        <v>0</v>
      </c>
      <c r="U530">
        <v>4</v>
      </c>
      <c r="V530">
        <v>1</v>
      </c>
      <c r="W530" t="s">
        <v>132</v>
      </c>
      <c r="X530">
        <v>0</v>
      </c>
    </row>
    <row r="531" spans="1:24" x14ac:dyDescent="0.25">
      <c r="A531">
        <v>1</v>
      </c>
      <c r="B531" s="13">
        <v>590920300752</v>
      </c>
      <c r="C531">
        <v>20</v>
      </c>
      <c r="D531" s="13">
        <v>5957333007</v>
      </c>
      <c r="F531" t="s">
        <v>130</v>
      </c>
      <c r="G531">
        <v>0</v>
      </c>
      <c r="H531">
        <v>100</v>
      </c>
      <c r="K531">
        <v>1</v>
      </c>
      <c r="L531" t="s">
        <v>131</v>
      </c>
      <c r="M531" s="50">
        <v>44875</v>
      </c>
      <c r="N531" s="50">
        <v>2958465</v>
      </c>
      <c r="P531">
        <v>0</v>
      </c>
      <c r="U531">
        <v>4</v>
      </c>
      <c r="V531">
        <v>1</v>
      </c>
      <c r="W531" t="s">
        <v>132</v>
      </c>
      <c r="X531">
        <v>0</v>
      </c>
    </row>
    <row r="532" spans="1:24" x14ac:dyDescent="0.25">
      <c r="A532">
        <v>1</v>
      </c>
      <c r="B532" s="13">
        <v>590920300752</v>
      </c>
      <c r="C532">
        <v>30</v>
      </c>
      <c r="D532" s="13">
        <v>5957303007</v>
      </c>
      <c r="F532" t="s">
        <v>130</v>
      </c>
      <c r="G532">
        <v>0</v>
      </c>
      <c r="H532">
        <v>100</v>
      </c>
      <c r="K532">
        <v>1</v>
      </c>
      <c r="L532" t="s">
        <v>131</v>
      </c>
      <c r="M532" s="50">
        <v>44875</v>
      </c>
      <c r="N532" s="50">
        <v>2958465</v>
      </c>
      <c r="P532">
        <v>0</v>
      </c>
      <c r="U532">
        <v>4</v>
      </c>
      <c r="V532">
        <v>1</v>
      </c>
      <c r="W532" t="s">
        <v>132</v>
      </c>
      <c r="X532">
        <v>0</v>
      </c>
    </row>
    <row r="533" spans="1:24" x14ac:dyDescent="0.25">
      <c r="A533">
        <v>1</v>
      </c>
      <c r="B533" s="13">
        <v>590920300752</v>
      </c>
      <c r="C533">
        <v>40</v>
      </c>
      <c r="D533" s="13">
        <v>5957093007</v>
      </c>
      <c r="F533" t="s">
        <v>130</v>
      </c>
      <c r="G533">
        <v>0</v>
      </c>
      <c r="H533">
        <v>100</v>
      </c>
      <c r="K533">
        <v>1</v>
      </c>
      <c r="L533" t="s">
        <v>131</v>
      </c>
      <c r="M533" s="50">
        <v>44875</v>
      </c>
      <c r="N533" s="50">
        <v>2958465</v>
      </c>
      <c r="P533">
        <v>0</v>
      </c>
      <c r="U533">
        <v>4</v>
      </c>
      <c r="V533">
        <v>1</v>
      </c>
      <c r="W533" t="s">
        <v>132</v>
      </c>
      <c r="X533">
        <v>0</v>
      </c>
    </row>
    <row r="534" spans="1:24" x14ac:dyDescent="0.25">
      <c r="A534">
        <v>1</v>
      </c>
      <c r="B534" s="13">
        <v>590920300752</v>
      </c>
      <c r="C534">
        <v>50</v>
      </c>
      <c r="D534" s="13">
        <v>1018034</v>
      </c>
      <c r="F534" t="s">
        <v>130</v>
      </c>
      <c r="G534">
        <v>0</v>
      </c>
      <c r="H534">
        <v>100</v>
      </c>
      <c r="K534">
        <v>4</v>
      </c>
      <c r="L534" t="s">
        <v>131</v>
      </c>
      <c r="M534" s="50">
        <v>44875</v>
      </c>
      <c r="N534" s="50">
        <v>2958465</v>
      </c>
      <c r="P534">
        <v>0</v>
      </c>
      <c r="U534">
        <v>4</v>
      </c>
      <c r="V534">
        <v>1</v>
      </c>
      <c r="W534" t="s">
        <v>132</v>
      </c>
      <c r="X534">
        <v>0</v>
      </c>
    </row>
    <row r="535" spans="1:24" x14ac:dyDescent="0.25">
      <c r="A535">
        <v>1</v>
      </c>
      <c r="B535" s="13">
        <v>590920300752</v>
      </c>
      <c r="C535">
        <v>60</v>
      </c>
      <c r="D535" s="13">
        <v>1018359</v>
      </c>
      <c r="F535" t="s">
        <v>130</v>
      </c>
      <c r="G535">
        <v>0</v>
      </c>
      <c r="H535">
        <v>100</v>
      </c>
      <c r="K535">
        <v>10</v>
      </c>
      <c r="L535" t="s">
        <v>131</v>
      </c>
      <c r="M535" s="50">
        <v>44875</v>
      </c>
      <c r="N535" s="50">
        <v>2958465</v>
      </c>
      <c r="P535">
        <v>0</v>
      </c>
      <c r="U535">
        <v>4</v>
      </c>
      <c r="V535">
        <v>1</v>
      </c>
      <c r="W535" t="s">
        <v>132</v>
      </c>
      <c r="X535">
        <v>0</v>
      </c>
    </row>
    <row r="536" spans="1:24" x14ac:dyDescent="0.25">
      <c r="A536">
        <v>1</v>
      </c>
      <c r="B536" s="13">
        <v>590920300752</v>
      </c>
      <c r="C536">
        <v>70</v>
      </c>
      <c r="D536" s="13">
        <v>1022213</v>
      </c>
      <c r="F536" t="s">
        <v>130</v>
      </c>
      <c r="G536">
        <v>0</v>
      </c>
      <c r="H536">
        <v>100</v>
      </c>
      <c r="K536">
        <v>5.5919999999999996</v>
      </c>
      <c r="L536" t="s">
        <v>131</v>
      </c>
      <c r="M536" s="50">
        <v>44875</v>
      </c>
      <c r="N536" s="50">
        <v>2958465</v>
      </c>
      <c r="P536">
        <v>0</v>
      </c>
      <c r="U536">
        <v>4</v>
      </c>
      <c r="V536">
        <v>1</v>
      </c>
      <c r="W536" t="s">
        <v>132</v>
      </c>
      <c r="X536">
        <v>0</v>
      </c>
    </row>
    <row r="537" spans="1:24" x14ac:dyDescent="0.25">
      <c r="A537">
        <v>1</v>
      </c>
      <c r="B537" s="13">
        <v>590920300752</v>
      </c>
      <c r="C537">
        <v>80</v>
      </c>
      <c r="D537" s="13">
        <v>12165652</v>
      </c>
      <c r="F537" t="s">
        <v>130</v>
      </c>
      <c r="G537">
        <v>0</v>
      </c>
      <c r="H537">
        <v>100</v>
      </c>
      <c r="K537">
        <v>1</v>
      </c>
      <c r="L537" t="s">
        <v>131</v>
      </c>
      <c r="M537" s="50">
        <v>44875</v>
      </c>
      <c r="N537" s="50">
        <v>2958465</v>
      </c>
      <c r="P537">
        <v>0</v>
      </c>
      <c r="U537">
        <v>4</v>
      </c>
      <c r="V537">
        <v>1</v>
      </c>
      <c r="W537" t="s">
        <v>132</v>
      </c>
      <c r="X537">
        <v>0</v>
      </c>
    </row>
    <row r="538" spans="1:24" x14ac:dyDescent="0.25">
      <c r="A538">
        <v>1</v>
      </c>
      <c r="B538" s="13">
        <v>590920300058</v>
      </c>
      <c r="C538">
        <v>10</v>
      </c>
      <c r="D538" s="13">
        <v>5957163099</v>
      </c>
      <c r="F538" t="s">
        <v>130</v>
      </c>
      <c r="G538">
        <v>0</v>
      </c>
      <c r="H538">
        <v>100</v>
      </c>
      <c r="K538">
        <v>2</v>
      </c>
      <c r="L538" t="s">
        <v>131</v>
      </c>
      <c r="M538" s="50">
        <v>44875</v>
      </c>
      <c r="N538" s="50">
        <v>2958465</v>
      </c>
      <c r="P538">
        <v>0</v>
      </c>
      <c r="U538">
        <v>4</v>
      </c>
      <c r="V538">
        <v>1</v>
      </c>
      <c r="W538" t="s">
        <v>132</v>
      </c>
      <c r="X538">
        <v>0</v>
      </c>
    </row>
    <row r="539" spans="1:24" x14ac:dyDescent="0.25">
      <c r="A539">
        <v>1</v>
      </c>
      <c r="B539" s="13">
        <v>590920300058</v>
      </c>
      <c r="C539">
        <v>20</v>
      </c>
      <c r="D539" s="13">
        <v>5957333099</v>
      </c>
      <c r="F539" t="s">
        <v>130</v>
      </c>
      <c r="G539">
        <v>0</v>
      </c>
      <c r="H539">
        <v>100</v>
      </c>
      <c r="K539">
        <v>1</v>
      </c>
      <c r="L539" t="s">
        <v>131</v>
      </c>
      <c r="M539" s="50">
        <v>44875</v>
      </c>
      <c r="N539" s="50">
        <v>2958465</v>
      </c>
      <c r="P539">
        <v>0</v>
      </c>
      <c r="U539">
        <v>4</v>
      </c>
      <c r="V539">
        <v>1</v>
      </c>
      <c r="W539" t="s">
        <v>132</v>
      </c>
      <c r="X539">
        <v>0</v>
      </c>
    </row>
    <row r="540" spans="1:24" x14ac:dyDescent="0.25">
      <c r="A540">
        <v>1</v>
      </c>
      <c r="B540" s="13">
        <v>590920300058</v>
      </c>
      <c r="C540">
        <v>30</v>
      </c>
      <c r="D540" s="13">
        <v>5957303099</v>
      </c>
      <c r="F540" t="s">
        <v>130</v>
      </c>
      <c r="G540">
        <v>0</v>
      </c>
      <c r="H540">
        <v>100</v>
      </c>
      <c r="K540">
        <v>1</v>
      </c>
      <c r="L540" t="s">
        <v>131</v>
      </c>
      <c r="M540" s="50">
        <v>44875</v>
      </c>
      <c r="N540" s="50">
        <v>2958465</v>
      </c>
      <c r="P540">
        <v>0</v>
      </c>
      <c r="U540">
        <v>4</v>
      </c>
      <c r="V540">
        <v>1</v>
      </c>
      <c r="W540" t="s">
        <v>132</v>
      </c>
      <c r="X540">
        <v>0</v>
      </c>
    </row>
    <row r="541" spans="1:24" x14ac:dyDescent="0.25">
      <c r="A541">
        <v>1</v>
      </c>
      <c r="B541" s="13">
        <v>590920300058</v>
      </c>
      <c r="C541">
        <v>40</v>
      </c>
      <c r="D541" s="13">
        <v>1022219</v>
      </c>
      <c r="F541" t="s">
        <v>130</v>
      </c>
      <c r="G541">
        <v>0</v>
      </c>
      <c r="H541">
        <v>100</v>
      </c>
      <c r="K541">
        <v>1</v>
      </c>
      <c r="L541" t="s">
        <v>131</v>
      </c>
      <c r="M541" s="50">
        <v>44875</v>
      </c>
      <c r="N541" s="50">
        <v>2958465</v>
      </c>
      <c r="P541">
        <v>0</v>
      </c>
      <c r="U541">
        <v>4</v>
      </c>
      <c r="V541">
        <v>1</v>
      </c>
      <c r="W541" t="s">
        <v>132</v>
      </c>
      <c r="X541">
        <v>0</v>
      </c>
    </row>
    <row r="542" spans="1:24" x14ac:dyDescent="0.25">
      <c r="A542">
        <v>1</v>
      </c>
      <c r="B542" s="13">
        <v>590920300058</v>
      </c>
      <c r="C542">
        <v>50</v>
      </c>
      <c r="D542" s="13">
        <v>1018034</v>
      </c>
      <c r="F542" t="s">
        <v>130</v>
      </c>
      <c r="G542">
        <v>0</v>
      </c>
      <c r="H542">
        <v>100</v>
      </c>
      <c r="K542">
        <v>4</v>
      </c>
      <c r="L542" t="s">
        <v>131</v>
      </c>
      <c r="M542" s="50">
        <v>44875</v>
      </c>
      <c r="N542" s="50">
        <v>2958465</v>
      </c>
      <c r="P542">
        <v>0</v>
      </c>
      <c r="U542">
        <v>4</v>
      </c>
      <c r="V542">
        <v>1</v>
      </c>
      <c r="W542" t="s">
        <v>132</v>
      </c>
      <c r="X542">
        <v>0</v>
      </c>
    </row>
    <row r="543" spans="1:24" x14ac:dyDescent="0.25">
      <c r="A543">
        <v>1</v>
      </c>
      <c r="B543" s="13">
        <v>590920300058</v>
      </c>
      <c r="C543">
        <v>60</v>
      </c>
      <c r="D543" s="13">
        <v>1018359</v>
      </c>
      <c r="F543" t="s">
        <v>130</v>
      </c>
      <c r="G543">
        <v>0</v>
      </c>
      <c r="H543">
        <v>100</v>
      </c>
      <c r="K543">
        <v>10</v>
      </c>
      <c r="L543" t="s">
        <v>131</v>
      </c>
      <c r="M543" s="50">
        <v>44875</v>
      </c>
      <c r="N543" s="50">
        <v>2958465</v>
      </c>
      <c r="P543">
        <v>0</v>
      </c>
      <c r="U543">
        <v>4</v>
      </c>
      <c r="V543">
        <v>1</v>
      </c>
      <c r="W543" t="s">
        <v>132</v>
      </c>
      <c r="X543">
        <v>0</v>
      </c>
    </row>
    <row r="544" spans="1:24" x14ac:dyDescent="0.25">
      <c r="A544">
        <v>1</v>
      </c>
      <c r="B544" s="13">
        <v>590920300058</v>
      </c>
      <c r="C544">
        <v>70</v>
      </c>
      <c r="D544" s="13">
        <v>1022213</v>
      </c>
      <c r="F544" t="s">
        <v>130</v>
      </c>
      <c r="G544">
        <v>0</v>
      </c>
      <c r="H544">
        <v>100</v>
      </c>
      <c r="K544">
        <v>5.5919999999999996</v>
      </c>
      <c r="L544" t="s">
        <v>131</v>
      </c>
      <c r="M544" s="50">
        <v>44875</v>
      </c>
      <c r="N544" s="50">
        <v>2958465</v>
      </c>
      <c r="P544">
        <v>0</v>
      </c>
      <c r="U544">
        <v>4</v>
      </c>
      <c r="V544">
        <v>1</v>
      </c>
      <c r="W544" t="s">
        <v>132</v>
      </c>
      <c r="X544">
        <v>0</v>
      </c>
    </row>
    <row r="545" spans="1:24" x14ac:dyDescent="0.25">
      <c r="A545">
        <v>1</v>
      </c>
      <c r="B545" s="13">
        <v>590920300058</v>
      </c>
      <c r="C545">
        <v>80</v>
      </c>
      <c r="D545" s="13">
        <v>18102165658</v>
      </c>
      <c r="F545" t="s">
        <v>130</v>
      </c>
      <c r="G545">
        <v>0</v>
      </c>
      <c r="H545">
        <v>100</v>
      </c>
      <c r="K545">
        <v>1</v>
      </c>
      <c r="L545" t="s">
        <v>131</v>
      </c>
      <c r="M545" s="50">
        <v>44875</v>
      </c>
      <c r="N545" s="50">
        <v>2958465</v>
      </c>
      <c r="P545">
        <v>0</v>
      </c>
      <c r="U545">
        <v>4</v>
      </c>
      <c r="V545">
        <v>1</v>
      </c>
      <c r="W545" t="s">
        <v>132</v>
      </c>
      <c r="X545">
        <v>0</v>
      </c>
    </row>
    <row r="546" spans="1:24" x14ac:dyDescent="0.25">
      <c r="A546">
        <v>1</v>
      </c>
      <c r="B546" s="13">
        <v>590920300258</v>
      </c>
      <c r="C546">
        <v>10</v>
      </c>
      <c r="D546" s="13">
        <v>5957163002</v>
      </c>
      <c r="F546" t="s">
        <v>130</v>
      </c>
      <c r="G546">
        <v>0</v>
      </c>
      <c r="H546">
        <v>100</v>
      </c>
      <c r="K546">
        <v>2</v>
      </c>
      <c r="L546" t="s">
        <v>131</v>
      </c>
      <c r="M546" s="50">
        <v>44875</v>
      </c>
      <c r="N546" s="50">
        <v>2958465</v>
      </c>
      <c r="P546">
        <v>0</v>
      </c>
      <c r="U546">
        <v>4</v>
      </c>
      <c r="V546">
        <v>1</v>
      </c>
      <c r="W546" t="s">
        <v>132</v>
      </c>
      <c r="X546">
        <v>0</v>
      </c>
    </row>
    <row r="547" spans="1:24" x14ac:dyDescent="0.25">
      <c r="A547">
        <v>1</v>
      </c>
      <c r="B547" s="13">
        <v>590920300258</v>
      </c>
      <c r="C547">
        <v>20</v>
      </c>
      <c r="D547" s="13">
        <v>5957333002</v>
      </c>
      <c r="F547" t="s">
        <v>130</v>
      </c>
      <c r="G547">
        <v>0</v>
      </c>
      <c r="H547">
        <v>100</v>
      </c>
      <c r="K547">
        <v>1</v>
      </c>
      <c r="L547" t="s">
        <v>131</v>
      </c>
      <c r="M547" s="50">
        <v>44875</v>
      </c>
      <c r="N547" s="50">
        <v>2958465</v>
      </c>
      <c r="P547">
        <v>0</v>
      </c>
      <c r="U547">
        <v>4</v>
      </c>
      <c r="V547">
        <v>1</v>
      </c>
      <c r="W547" t="s">
        <v>132</v>
      </c>
      <c r="X547">
        <v>0</v>
      </c>
    </row>
    <row r="548" spans="1:24" x14ac:dyDescent="0.25">
      <c r="A548">
        <v>1</v>
      </c>
      <c r="B548" s="13">
        <v>590920300258</v>
      </c>
      <c r="C548">
        <v>30</v>
      </c>
      <c r="D548" s="13">
        <v>5957303002</v>
      </c>
      <c r="F548" t="s">
        <v>130</v>
      </c>
      <c r="G548">
        <v>0</v>
      </c>
      <c r="H548">
        <v>100</v>
      </c>
      <c r="K548">
        <v>1</v>
      </c>
      <c r="L548" t="s">
        <v>131</v>
      </c>
      <c r="M548" s="50">
        <v>44875</v>
      </c>
      <c r="N548" s="50">
        <v>2958465</v>
      </c>
      <c r="P548">
        <v>0</v>
      </c>
      <c r="U548">
        <v>4</v>
      </c>
      <c r="V548">
        <v>1</v>
      </c>
      <c r="W548" t="s">
        <v>132</v>
      </c>
      <c r="X548">
        <v>0</v>
      </c>
    </row>
    <row r="549" spans="1:24" x14ac:dyDescent="0.25">
      <c r="A549">
        <v>1</v>
      </c>
      <c r="B549" s="13">
        <v>590920300258</v>
      </c>
      <c r="C549">
        <v>40</v>
      </c>
      <c r="D549" s="13">
        <v>5957093002</v>
      </c>
      <c r="F549" t="s">
        <v>130</v>
      </c>
      <c r="G549">
        <v>0</v>
      </c>
      <c r="H549">
        <v>100</v>
      </c>
      <c r="K549">
        <v>1</v>
      </c>
      <c r="L549" t="s">
        <v>131</v>
      </c>
      <c r="M549" s="50">
        <v>44875</v>
      </c>
      <c r="N549" s="50">
        <v>2958465</v>
      </c>
      <c r="P549">
        <v>0</v>
      </c>
      <c r="U549">
        <v>4</v>
      </c>
      <c r="V549">
        <v>1</v>
      </c>
      <c r="W549" t="s">
        <v>132</v>
      </c>
      <c r="X549">
        <v>0</v>
      </c>
    </row>
    <row r="550" spans="1:24" x14ac:dyDescent="0.25">
      <c r="A550">
        <v>1</v>
      </c>
      <c r="B550" s="13">
        <v>590920300258</v>
      </c>
      <c r="C550">
        <v>50</v>
      </c>
      <c r="D550" s="13">
        <v>1018034</v>
      </c>
      <c r="F550" t="s">
        <v>130</v>
      </c>
      <c r="G550">
        <v>0</v>
      </c>
      <c r="H550">
        <v>100</v>
      </c>
      <c r="K550">
        <v>4</v>
      </c>
      <c r="L550" t="s">
        <v>131</v>
      </c>
      <c r="M550" s="50">
        <v>44875</v>
      </c>
      <c r="N550" s="50">
        <v>2958465</v>
      </c>
      <c r="P550">
        <v>0</v>
      </c>
      <c r="U550">
        <v>4</v>
      </c>
      <c r="V550">
        <v>1</v>
      </c>
      <c r="W550" t="s">
        <v>132</v>
      </c>
      <c r="X550">
        <v>0</v>
      </c>
    </row>
    <row r="551" spans="1:24" x14ac:dyDescent="0.25">
      <c r="A551">
        <v>1</v>
      </c>
      <c r="B551" s="13">
        <v>590920300258</v>
      </c>
      <c r="C551">
        <v>60</v>
      </c>
      <c r="D551" s="13">
        <v>1022356</v>
      </c>
      <c r="F551" t="s">
        <v>130</v>
      </c>
      <c r="G551">
        <v>0</v>
      </c>
      <c r="H551">
        <v>100</v>
      </c>
      <c r="K551">
        <v>10</v>
      </c>
      <c r="L551" t="s">
        <v>131</v>
      </c>
      <c r="M551" s="50">
        <v>44875</v>
      </c>
      <c r="N551" s="50">
        <v>2958465</v>
      </c>
      <c r="P551">
        <v>0</v>
      </c>
      <c r="U551">
        <v>4</v>
      </c>
      <c r="V551">
        <v>1</v>
      </c>
      <c r="W551" t="s">
        <v>132</v>
      </c>
      <c r="X551">
        <v>0</v>
      </c>
    </row>
    <row r="552" spans="1:24" x14ac:dyDescent="0.25">
      <c r="A552">
        <v>1</v>
      </c>
      <c r="B552" s="13">
        <v>590920300258</v>
      </c>
      <c r="C552">
        <v>70</v>
      </c>
      <c r="D552" s="13">
        <v>1022213</v>
      </c>
      <c r="F552" t="s">
        <v>130</v>
      </c>
      <c r="G552">
        <v>0</v>
      </c>
      <c r="H552">
        <v>100</v>
      </c>
      <c r="K552">
        <v>5.5919999999999996</v>
      </c>
      <c r="L552" t="s">
        <v>131</v>
      </c>
      <c r="M552" s="50">
        <v>44875</v>
      </c>
      <c r="N552" s="50">
        <v>2958465</v>
      </c>
      <c r="P552">
        <v>0</v>
      </c>
      <c r="U552">
        <v>4</v>
      </c>
      <c r="V552">
        <v>1</v>
      </c>
      <c r="W552" t="s">
        <v>132</v>
      </c>
      <c r="X552">
        <v>0</v>
      </c>
    </row>
    <row r="553" spans="1:24" x14ac:dyDescent="0.25">
      <c r="A553">
        <v>1</v>
      </c>
      <c r="B553" s="13">
        <v>590920300258</v>
      </c>
      <c r="C553">
        <v>80</v>
      </c>
      <c r="D553" s="13">
        <v>18102165658</v>
      </c>
      <c r="F553" t="s">
        <v>130</v>
      </c>
      <c r="G553">
        <v>0</v>
      </c>
      <c r="H553">
        <v>100</v>
      </c>
      <c r="K553">
        <v>1</v>
      </c>
      <c r="L553" t="s">
        <v>131</v>
      </c>
      <c r="M553" s="50">
        <v>44875</v>
      </c>
      <c r="N553" s="50">
        <v>2958465</v>
      </c>
      <c r="P553">
        <v>0</v>
      </c>
      <c r="U553">
        <v>4</v>
      </c>
      <c r="V553">
        <v>1</v>
      </c>
      <c r="W553" t="s">
        <v>132</v>
      </c>
      <c r="X553">
        <v>0</v>
      </c>
    </row>
    <row r="554" spans="1:24" x14ac:dyDescent="0.25">
      <c r="A554">
        <v>1</v>
      </c>
      <c r="B554" s="13">
        <v>590920300458</v>
      </c>
      <c r="C554">
        <v>10</v>
      </c>
      <c r="D554" s="13">
        <v>5957163004</v>
      </c>
      <c r="F554" t="s">
        <v>130</v>
      </c>
      <c r="G554">
        <v>0</v>
      </c>
      <c r="H554">
        <v>100</v>
      </c>
      <c r="K554">
        <v>2</v>
      </c>
      <c r="L554" t="s">
        <v>131</v>
      </c>
      <c r="M554" s="50">
        <v>44875</v>
      </c>
      <c r="N554" s="50">
        <v>2958465</v>
      </c>
      <c r="P554">
        <v>0</v>
      </c>
      <c r="U554">
        <v>4</v>
      </c>
      <c r="V554">
        <v>1</v>
      </c>
      <c r="W554" t="s">
        <v>132</v>
      </c>
      <c r="X554">
        <v>0</v>
      </c>
    </row>
    <row r="555" spans="1:24" x14ac:dyDescent="0.25">
      <c r="A555">
        <v>1</v>
      </c>
      <c r="B555" s="13">
        <v>590920300458</v>
      </c>
      <c r="C555">
        <v>20</v>
      </c>
      <c r="D555" s="13">
        <v>5957333004</v>
      </c>
      <c r="F555" t="s">
        <v>130</v>
      </c>
      <c r="G555">
        <v>0</v>
      </c>
      <c r="H555">
        <v>100</v>
      </c>
      <c r="K555">
        <v>1</v>
      </c>
      <c r="L555" t="s">
        <v>131</v>
      </c>
      <c r="M555" s="50">
        <v>44875</v>
      </c>
      <c r="N555" s="50">
        <v>2958465</v>
      </c>
      <c r="P555">
        <v>0</v>
      </c>
      <c r="U555">
        <v>4</v>
      </c>
      <c r="V555">
        <v>1</v>
      </c>
      <c r="W555" t="s">
        <v>132</v>
      </c>
      <c r="X555">
        <v>0</v>
      </c>
    </row>
    <row r="556" spans="1:24" x14ac:dyDescent="0.25">
      <c r="A556">
        <v>1</v>
      </c>
      <c r="B556" s="13">
        <v>590920300458</v>
      </c>
      <c r="C556">
        <v>30</v>
      </c>
      <c r="D556" s="13">
        <v>5957303004</v>
      </c>
      <c r="F556" t="s">
        <v>130</v>
      </c>
      <c r="G556">
        <v>0</v>
      </c>
      <c r="H556">
        <v>100</v>
      </c>
      <c r="K556">
        <v>1</v>
      </c>
      <c r="L556" t="s">
        <v>131</v>
      </c>
      <c r="M556" s="50">
        <v>44875</v>
      </c>
      <c r="N556" s="50">
        <v>2958465</v>
      </c>
      <c r="P556">
        <v>0</v>
      </c>
      <c r="U556">
        <v>4</v>
      </c>
      <c r="V556">
        <v>1</v>
      </c>
      <c r="W556" t="s">
        <v>132</v>
      </c>
      <c r="X556">
        <v>0</v>
      </c>
    </row>
    <row r="557" spans="1:24" x14ac:dyDescent="0.25">
      <c r="A557">
        <v>1</v>
      </c>
      <c r="B557" s="13">
        <v>590920300458</v>
      </c>
      <c r="C557">
        <v>40</v>
      </c>
      <c r="D557" s="13">
        <v>5957093004</v>
      </c>
      <c r="F557" t="s">
        <v>130</v>
      </c>
      <c r="G557">
        <v>0</v>
      </c>
      <c r="H557">
        <v>100</v>
      </c>
      <c r="K557">
        <v>1</v>
      </c>
      <c r="L557" t="s">
        <v>131</v>
      </c>
      <c r="M557" s="50">
        <v>44875</v>
      </c>
      <c r="N557" s="50">
        <v>2958465</v>
      </c>
      <c r="P557">
        <v>0</v>
      </c>
      <c r="U557">
        <v>4</v>
      </c>
      <c r="V557">
        <v>1</v>
      </c>
      <c r="W557" t="s">
        <v>132</v>
      </c>
      <c r="X557">
        <v>0</v>
      </c>
    </row>
    <row r="558" spans="1:24" x14ac:dyDescent="0.25">
      <c r="A558">
        <v>1</v>
      </c>
      <c r="B558" s="13">
        <v>590920300458</v>
      </c>
      <c r="C558">
        <v>50</v>
      </c>
      <c r="D558" s="13">
        <v>1018034</v>
      </c>
      <c r="F558" t="s">
        <v>130</v>
      </c>
      <c r="G558">
        <v>0</v>
      </c>
      <c r="H558">
        <v>100</v>
      </c>
      <c r="K558">
        <v>4</v>
      </c>
      <c r="L558" t="s">
        <v>131</v>
      </c>
      <c r="M558" s="50">
        <v>44875</v>
      </c>
      <c r="N558" s="50">
        <v>2958465</v>
      </c>
      <c r="P558">
        <v>0</v>
      </c>
      <c r="U558">
        <v>4</v>
      </c>
      <c r="V558">
        <v>1</v>
      </c>
      <c r="W558" t="s">
        <v>132</v>
      </c>
      <c r="X558">
        <v>0</v>
      </c>
    </row>
    <row r="559" spans="1:24" x14ac:dyDescent="0.25">
      <c r="A559">
        <v>1</v>
      </c>
      <c r="B559" s="13">
        <v>590920300458</v>
      </c>
      <c r="C559">
        <v>60</v>
      </c>
      <c r="D559" s="13">
        <v>1022356</v>
      </c>
      <c r="F559" t="s">
        <v>130</v>
      </c>
      <c r="G559">
        <v>0</v>
      </c>
      <c r="H559">
        <v>100</v>
      </c>
      <c r="K559">
        <v>10</v>
      </c>
      <c r="L559" t="s">
        <v>131</v>
      </c>
      <c r="M559" s="50">
        <v>44875</v>
      </c>
      <c r="N559" s="50">
        <v>2958465</v>
      </c>
      <c r="P559">
        <v>0</v>
      </c>
      <c r="U559">
        <v>4</v>
      </c>
      <c r="V559">
        <v>1</v>
      </c>
      <c r="W559" t="s">
        <v>132</v>
      </c>
      <c r="X559">
        <v>0</v>
      </c>
    </row>
    <row r="560" spans="1:24" x14ac:dyDescent="0.25">
      <c r="A560">
        <v>1</v>
      </c>
      <c r="B560" s="13">
        <v>590920300458</v>
      </c>
      <c r="C560">
        <v>70</v>
      </c>
      <c r="D560" s="13">
        <v>1022213</v>
      </c>
      <c r="F560" t="s">
        <v>130</v>
      </c>
      <c r="G560">
        <v>0</v>
      </c>
      <c r="H560">
        <v>100</v>
      </c>
      <c r="K560">
        <v>5.5919999999999996</v>
      </c>
      <c r="L560" t="s">
        <v>131</v>
      </c>
      <c r="M560" s="50">
        <v>44875</v>
      </c>
      <c r="N560" s="50">
        <v>2958465</v>
      </c>
      <c r="P560">
        <v>0</v>
      </c>
      <c r="U560">
        <v>4</v>
      </c>
      <c r="V560">
        <v>1</v>
      </c>
      <c r="W560" t="s">
        <v>132</v>
      </c>
      <c r="X560">
        <v>0</v>
      </c>
    </row>
    <row r="561" spans="1:24" x14ac:dyDescent="0.25">
      <c r="A561">
        <v>1</v>
      </c>
      <c r="B561" s="13">
        <v>590920300458</v>
      </c>
      <c r="C561">
        <v>80</v>
      </c>
      <c r="D561" s="13">
        <v>18102165658</v>
      </c>
      <c r="F561" t="s">
        <v>130</v>
      </c>
      <c r="G561">
        <v>0</v>
      </c>
      <c r="H561">
        <v>100</v>
      </c>
      <c r="K561">
        <v>1</v>
      </c>
      <c r="L561" t="s">
        <v>131</v>
      </c>
      <c r="M561" s="50">
        <v>44875</v>
      </c>
      <c r="N561" s="50">
        <v>2958465</v>
      </c>
      <c r="P561">
        <v>0</v>
      </c>
      <c r="U561">
        <v>4</v>
      </c>
      <c r="V561">
        <v>1</v>
      </c>
      <c r="W561" t="s">
        <v>132</v>
      </c>
      <c r="X561">
        <v>0</v>
      </c>
    </row>
    <row r="562" spans="1:24" x14ac:dyDescent="0.25">
      <c r="A562">
        <v>1</v>
      </c>
      <c r="B562" s="13">
        <v>590920300558</v>
      </c>
      <c r="C562">
        <v>10</v>
      </c>
      <c r="D562" s="13">
        <v>5957163005</v>
      </c>
      <c r="F562" t="s">
        <v>130</v>
      </c>
      <c r="G562">
        <v>0</v>
      </c>
      <c r="H562">
        <v>100</v>
      </c>
      <c r="K562">
        <v>2</v>
      </c>
      <c r="L562" t="s">
        <v>131</v>
      </c>
      <c r="M562" s="50">
        <v>44875</v>
      </c>
      <c r="N562" s="50">
        <v>2958465</v>
      </c>
      <c r="P562">
        <v>0</v>
      </c>
      <c r="U562">
        <v>4</v>
      </c>
      <c r="V562">
        <v>1</v>
      </c>
      <c r="W562" t="s">
        <v>132</v>
      </c>
      <c r="X562">
        <v>0</v>
      </c>
    </row>
    <row r="563" spans="1:24" x14ac:dyDescent="0.25">
      <c r="A563">
        <v>1</v>
      </c>
      <c r="B563" s="13">
        <v>590920300558</v>
      </c>
      <c r="C563">
        <v>20</v>
      </c>
      <c r="D563" s="13">
        <v>5957333005</v>
      </c>
      <c r="F563" t="s">
        <v>130</v>
      </c>
      <c r="G563">
        <v>0</v>
      </c>
      <c r="H563">
        <v>100</v>
      </c>
      <c r="K563">
        <v>1</v>
      </c>
      <c r="L563" t="s">
        <v>131</v>
      </c>
      <c r="M563" s="50">
        <v>44875</v>
      </c>
      <c r="N563" s="50">
        <v>2958465</v>
      </c>
      <c r="P563">
        <v>0</v>
      </c>
      <c r="U563">
        <v>4</v>
      </c>
      <c r="V563">
        <v>1</v>
      </c>
      <c r="W563" t="s">
        <v>132</v>
      </c>
      <c r="X563">
        <v>0</v>
      </c>
    </row>
    <row r="564" spans="1:24" x14ac:dyDescent="0.25">
      <c r="A564">
        <v>1</v>
      </c>
      <c r="B564" s="13">
        <v>590920300558</v>
      </c>
      <c r="C564">
        <v>30</v>
      </c>
      <c r="D564" s="13">
        <v>5957303005</v>
      </c>
      <c r="F564" t="s">
        <v>130</v>
      </c>
      <c r="G564">
        <v>0</v>
      </c>
      <c r="H564">
        <v>100</v>
      </c>
      <c r="K564">
        <v>1</v>
      </c>
      <c r="L564" t="s">
        <v>131</v>
      </c>
      <c r="M564" s="50">
        <v>44875</v>
      </c>
      <c r="N564" s="50">
        <v>2958465</v>
      </c>
      <c r="P564">
        <v>0</v>
      </c>
      <c r="U564">
        <v>4</v>
      </c>
      <c r="V564">
        <v>1</v>
      </c>
      <c r="W564" t="s">
        <v>132</v>
      </c>
      <c r="X564">
        <v>0</v>
      </c>
    </row>
    <row r="565" spans="1:24" x14ac:dyDescent="0.25">
      <c r="A565">
        <v>1</v>
      </c>
      <c r="B565" s="13">
        <v>590920300558</v>
      </c>
      <c r="C565">
        <v>40</v>
      </c>
      <c r="D565" s="13">
        <v>5957093005</v>
      </c>
      <c r="F565" t="s">
        <v>130</v>
      </c>
      <c r="G565">
        <v>0</v>
      </c>
      <c r="H565">
        <v>100</v>
      </c>
      <c r="K565">
        <v>1</v>
      </c>
      <c r="L565" t="s">
        <v>131</v>
      </c>
      <c r="M565" s="50">
        <v>44875</v>
      </c>
      <c r="N565" s="50">
        <v>2958465</v>
      </c>
      <c r="P565">
        <v>0</v>
      </c>
      <c r="U565">
        <v>4</v>
      </c>
      <c r="V565">
        <v>1</v>
      </c>
      <c r="W565" t="s">
        <v>132</v>
      </c>
      <c r="X565">
        <v>0</v>
      </c>
    </row>
    <row r="566" spans="1:24" x14ac:dyDescent="0.25">
      <c r="A566">
        <v>1</v>
      </c>
      <c r="B566" s="13">
        <v>590920300558</v>
      </c>
      <c r="C566">
        <v>50</v>
      </c>
      <c r="D566" s="13">
        <v>1018034</v>
      </c>
      <c r="F566" t="s">
        <v>130</v>
      </c>
      <c r="G566">
        <v>0</v>
      </c>
      <c r="H566">
        <v>100</v>
      </c>
      <c r="K566">
        <v>4</v>
      </c>
      <c r="L566" t="s">
        <v>131</v>
      </c>
      <c r="M566" s="50">
        <v>44875</v>
      </c>
      <c r="N566" s="50">
        <v>2958465</v>
      </c>
      <c r="P566">
        <v>0</v>
      </c>
      <c r="U566">
        <v>4</v>
      </c>
      <c r="V566">
        <v>1</v>
      </c>
      <c r="W566" t="s">
        <v>132</v>
      </c>
      <c r="X566">
        <v>0</v>
      </c>
    </row>
    <row r="567" spans="1:24" x14ac:dyDescent="0.25">
      <c r="A567">
        <v>1</v>
      </c>
      <c r="B567" s="13">
        <v>590920300558</v>
      </c>
      <c r="C567">
        <v>60</v>
      </c>
      <c r="D567" s="13">
        <v>1022356</v>
      </c>
      <c r="F567" t="s">
        <v>130</v>
      </c>
      <c r="G567">
        <v>0</v>
      </c>
      <c r="H567">
        <v>100</v>
      </c>
      <c r="K567">
        <v>10</v>
      </c>
      <c r="L567" t="s">
        <v>131</v>
      </c>
      <c r="M567" s="50">
        <v>44875</v>
      </c>
      <c r="N567" s="50">
        <v>2958465</v>
      </c>
      <c r="P567">
        <v>0</v>
      </c>
      <c r="U567">
        <v>4</v>
      </c>
      <c r="V567">
        <v>1</v>
      </c>
      <c r="W567" t="s">
        <v>132</v>
      </c>
      <c r="X567">
        <v>0</v>
      </c>
    </row>
    <row r="568" spans="1:24" x14ac:dyDescent="0.25">
      <c r="A568">
        <v>1</v>
      </c>
      <c r="B568" s="13">
        <v>590920300558</v>
      </c>
      <c r="C568">
        <v>70</v>
      </c>
      <c r="D568" s="13">
        <v>1022213</v>
      </c>
      <c r="F568" t="s">
        <v>130</v>
      </c>
      <c r="G568">
        <v>0</v>
      </c>
      <c r="H568">
        <v>100</v>
      </c>
      <c r="K568">
        <v>5.5919999999999996</v>
      </c>
      <c r="L568" t="s">
        <v>131</v>
      </c>
      <c r="M568" s="50">
        <v>44875</v>
      </c>
      <c r="N568" s="50">
        <v>2958465</v>
      </c>
      <c r="P568">
        <v>0</v>
      </c>
      <c r="U568">
        <v>4</v>
      </c>
      <c r="V568">
        <v>1</v>
      </c>
      <c r="W568" t="s">
        <v>132</v>
      </c>
      <c r="X568">
        <v>0</v>
      </c>
    </row>
    <row r="569" spans="1:24" x14ac:dyDescent="0.25">
      <c r="A569">
        <v>1</v>
      </c>
      <c r="B569" s="13">
        <v>590920300558</v>
      </c>
      <c r="C569">
        <v>80</v>
      </c>
      <c r="D569" s="13">
        <v>18102165658</v>
      </c>
      <c r="F569" t="s">
        <v>130</v>
      </c>
      <c r="G569">
        <v>0</v>
      </c>
      <c r="H569">
        <v>100</v>
      </c>
      <c r="K569">
        <v>1</v>
      </c>
      <c r="L569" t="s">
        <v>131</v>
      </c>
      <c r="M569" s="50">
        <v>44875</v>
      </c>
      <c r="N569" s="50">
        <v>2958465</v>
      </c>
      <c r="P569">
        <v>0</v>
      </c>
      <c r="U569">
        <v>4</v>
      </c>
      <c r="V569">
        <v>1</v>
      </c>
      <c r="W569" t="s">
        <v>132</v>
      </c>
      <c r="X569">
        <v>0</v>
      </c>
    </row>
    <row r="570" spans="1:24" x14ac:dyDescent="0.25">
      <c r="A570">
        <v>1</v>
      </c>
      <c r="B570" s="13">
        <v>590920300858</v>
      </c>
      <c r="C570">
        <v>10</v>
      </c>
      <c r="D570" s="13">
        <v>5957163008</v>
      </c>
      <c r="F570" t="s">
        <v>130</v>
      </c>
      <c r="G570">
        <v>0</v>
      </c>
      <c r="H570">
        <v>100</v>
      </c>
      <c r="K570">
        <v>2</v>
      </c>
      <c r="L570" t="s">
        <v>131</v>
      </c>
      <c r="M570" s="50">
        <v>44875</v>
      </c>
      <c r="N570" s="50">
        <v>2958465</v>
      </c>
      <c r="P570">
        <v>0</v>
      </c>
      <c r="U570">
        <v>4</v>
      </c>
      <c r="V570">
        <v>1</v>
      </c>
      <c r="W570" t="s">
        <v>132</v>
      </c>
      <c r="X570">
        <v>0</v>
      </c>
    </row>
    <row r="571" spans="1:24" x14ac:dyDescent="0.25">
      <c r="A571">
        <v>1</v>
      </c>
      <c r="B571" s="13">
        <v>590920300858</v>
      </c>
      <c r="C571">
        <v>20</v>
      </c>
      <c r="D571" s="13">
        <v>5957333008</v>
      </c>
      <c r="F571" t="s">
        <v>130</v>
      </c>
      <c r="G571">
        <v>0</v>
      </c>
      <c r="H571">
        <v>100</v>
      </c>
      <c r="K571">
        <v>1</v>
      </c>
      <c r="L571" t="s">
        <v>131</v>
      </c>
      <c r="M571" s="50">
        <v>44875</v>
      </c>
      <c r="N571" s="50">
        <v>2958465</v>
      </c>
      <c r="P571">
        <v>0</v>
      </c>
      <c r="U571">
        <v>4</v>
      </c>
      <c r="V571">
        <v>1</v>
      </c>
      <c r="W571" t="s">
        <v>132</v>
      </c>
      <c r="X571">
        <v>0</v>
      </c>
    </row>
    <row r="572" spans="1:24" x14ac:dyDescent="0.25">
      <c r="A572">
        <v>1</v>
      </c>
      <c r="B572" s="13">
        <v>590920300858</v>
      </c>
      <c r="C572">
        <v>30</v>
      </c>
      <c r="D572" s="13">
        <v>5957303008</v>
      </c>
      <c r="F572" t="s">
        <v>130</v>
      </c>
      <c r="G572">
        <v>0</v>
      </c>
      <c r="H572">
        <v>100</v>
      </c>
      <c r="K572">
        <v>1</v>
      </c>
      <c r="L572" t="s">
        <v>131</v>
      </c>
      <c r="M572" s="50">
        <v>44875</v>
      </c>
      <c r="N572" s="50">
        <v>2958465</v>
      </c>
      <c r="P572">
        <v>0</v>
      </c>
      <c r="U572">
        <v>4</v>
      </c>
      <c r="V572">
        <v>1</v>
      </c>
      <c r="W572" t="s">
        <v>132</v>
      </c>
      <c r="X572">
        <v>0</v>
      </c>
    </row>
    <row r="573" spans="1:24" x14ac:dyDescent="0.25">
      <c r="A573">
        <v>1</v>
      </c>
      <c r="B573" s="13">
        <v>590920300858</v>
      </c>
      <c r="C573">
        <v>40</v>
      </c>
      <c r="D573" s="13">
        <v>5957093008</v>
      </c>
      <c r="F573" t="s">
        <v>130</v>
      </c>
      <c r="G573">
        <v>0</v>
      </c>
      <c r="H573">
        <v>100</v>
      </c>
      <c r="K573">
        <v>1</v>
      </c>
      <c r="L573" t="s">
        <v>131</v>
      </c>
      <c r="M573" s="50">
        <v>44875</v>
      </c>
      <c r="N573" s="50">
        <v>2958465</v>
      </c>
      <c r="P573">
        <v>0</v>
      </c>
      <c r="U573">
        <v>4</v>
      </c>
      <c r="V573">
        <v>1</v>
      </c>
      <c r="W573" t="s">
        <v>132</v>
      </c>
      <c r="X573">
        <v>0</v>
      </c>
    </row>
    <row r="574" spans="1:24" x14ac:dyDescent="0.25">
      <c r="A574">
        <v>1</v>
      </c>
      <c r="B574" s="13">
        <v>590920300858</v>
      </c>
      <c r="C574">
        <v>50</v>
      </c>
      <c r="D574" s="13">
        <v>1018034</v>
      </c>
      <c r="F574" t="s">
        <v>130</v>
      </c>
      <c r="G574">
        <v>0</v>
      </c>
      <c r="H574">
        <v>100</v>
      </c>
      <c r="K574">
        <v>4</v>
      </c>
      <c r="L574" t="s">
        <v>131</v>
      </c>
      <c r="M574" s="50">
        <v>44875</v>
      </c>
      <c r="N574" s="50">
        <v>2958465</v>
      </c>
      <c r="P574">
        <v>0</v>
      </c>
      <c r="U574">
        <v>4</v>
      </c>
      <c r="V574">
        <v>1</v>
      </c>
      <c r="W574" t="s">
        <v>132</v>
      </c>
      <c r="X574">
        <v>0</v>
      </c>
    </row>
    <row r="575" spans="1:24" x14ac:dyDescent="0.25">
      <c r="A575">
        <v>1</v>
      </c>
      <c r="B575" s="13">
        <v>590920300858</v>
      </c>
      <c r="C575">
        <v>60</v>
      </c>
      <c r="D575" s="13">
        <v>1022356</v>
      </c>
      <c r="F575" t="s">
        <v>130</v>
      </c>
      <c r="G575">
        <v>0</v>
      </c>
      <c r="H575">
        <v>100</v>
      </c>
      <c r="K575">
        <v>10</v>
      </c>
      <c r="L575" t="s">
        <v>131</v>
      </c>
      <c r="M575" s="50">
        <v>44875</v>
      </c>
      <c r="N575" s="50">
        <v>2958465</v>
      </c>
      <c r="P575">
        <v>0</v>
      </c>
      <c r="U575">
        <v>4</v>
      </c>
      <c r="V575">
        <v>1</v>
      </c>
      <c r="W575" t="s">
        <v>132</v>
      </c>
      <c r="X575">
        <v>0</v>
      </c>
    </row>
    <row r="576" spans="1:24" x14ac:dyDescent="0.25">
      <c r="A576">
        <v>1</v>
      </c>
      <c r="B576" s="13">
        <v>590920300858</v>
      </c>
      <c r="C576">
        <v>70</v>
      </c>
      <c r="D576" s="13">
        <v>1022213</v>
      </c>
      <c r="F576" t="s">
        <v>130</v>
      </c>
      <c r="G576">
        <v>0</v>
      </c>
      <c r="H576">
        <v>100</v>
      </c>
      <c r="K576">
        <v>5.5919999999999996</v>
      </c>
      <c r="L576" t="s">
        <v>131</v>
      </c>
      <c r="M576" s="50">
        <v>44875</v>
      </c>
      <c r="N576" s="50">
        <v>2958465</v>
      </c>
      <c r="P576">
        <v>0</v>
      </c>
      <c r="U576">
        <v>4</v>
      </c>
      <c r="V576">
        <v>1</v>
      </c>
      <c r="W576" t="s">
        <v>132</v>
      </c>
      <c r="X576">
        <v>0</v>
      </c>
    </row>
    <row r="577" spans="1:24" x14ac:dyDescent="0.25">
      <c r="A577">
        <v>1</v>
      </c>
      <c r="B577" s="13">
        <v>590920300858</v>
      </c>
      <c r="C577">
        <v>80</v>
      </c>
      <c r="D577" s="13">
        <v>18102165658</v>
      </c>
      <c r="F577" t="s">
        <v>130</v>
      </c>
      <c r="G577">
        <v>0</v>
      </c>
      <c r="H577">
        <v>100</v>
      </c>
      <c r="K577">
        <v>1</v>
      </c>
      <c r="L577" t="s">
        <v>131</v>
      </c>
      <c r="M577" s="50">
        <v>44875</v>
      </c>
      <c r="N577" s="50">
        <v>2958465</v>
      </c>
      <c r="P577">
        <v>0</v>
      </c>
      <c r="U577">
        <v>4</v>
      </c>
      <c r="V577">
        <v>1</v>
      </c>
      <c r="W577" t="s">
        <v>132</v>
      </c>
      <c r="X577">
        <v>0</v>
      </c>
    </row>
    <row r="578" spans="1:24" x14ac:dyDescent="0.25">
      <c r="A578">
        <v>1</v>
      </c>
      <c r="B578" s="13">
        <v>590920300958</v>
      </c>
      <c r="C578">
        <v>10</v>
      </c>
      <c r="D578" s="13">
        <v>5957163009</v>
      </c>
      <c r="F578" t="s">
        <v>130</v>
      </c>
      <c r="G578">
        <v>0</v>
      </c>
      <c r="H578">
        <v>100</v>
      </c>
      <c r="K578">
        <v>2</v>
      </c>
      <c r="L578" t="s">
        <v>131</v>
      </c>
      <c r="M578" s="50">
        <v>44875</v>
      </c>
      <c r="N578" s="50">
        <v>2958465</v>
      </c>
      <c r="P578">
        <v>0</v>
      </c>
      <c r="U578">
        <v>4</v>
      </c>
      <c r="V578">
        <v>1</v>
      </c>
      <c r="W578" t="s">
        <v>132</v>
      </c>
      <c r="X578">
        <v>0</v>
      </c>
    </row>
    <row r="579" spans="1:24" x14ac:dyDescent="0.25">
      <c r="A579">
        <v>1</v>
      </c>
      <c r="B579" s="13">
        <v>590920300958</v>
      </c>
      <c r="C579">
        <v>20</v>
      </c>
      <c r="D579" s="13">
        <v>5957333009</v>
      </c>
      <c r="F579" t="s">
        <v>130</v>
      </c>
      <c r="G579">
        <v>0</v>
      </c>
      <c r="H579">
        <v>100</v>
      </c>
      <c r="K579">
        <v>1</v>
      </c>
      <c r="L579" t="s">
        <v>131</v>
      </c>
      <c r="M579" s="50">
        <v>44875</v>
      </c>
      <c r="N579" s="50">
        <v>2958465</v>
      </c>
      <c r="P579">
        <v>0</v>
      </c>
      <c r="U579">
        <v>4</v>
      </c>
      <c r="V579">
        <v>1</v>
      </c>
      <c r="W579" t="s">
        <v>132</v>
      </c>
      <c r="X579">
        <v>0</v>
      </c>
    </row>
    <row r="580" spans="1:24" x14ac:dyDescent="0.25">
      <c r="A580">
        <v>1</v>
      </c>
      <c r="B580" s="13">
        <v>590920300958</v>
      </c>
      <c r="C580">
        <v>30</v>
      </c>
      <c r="D580" s="13">
        <v>5957303009</v>
      </c>
      <c r="F580" t="s">
        <v>130</v>
      </c>
      <c r="G580">
        <v>0</v>
      </c>
      <c r="H580">
        <v>100</v>
      </c>
      <c r="K580">
        <v>1</v>
      </c>
      <c r="L580" t="s">
        <v>131</v>
      </c>
      <c r="M580" s="50">
        <v>44875</v>
      </c>
      <c r="N580" s="50">
        <v>2958465</v>
      </c>
      <c r="P580">
        <v>0</v>
      </c>
      <c r="U580">
        <v>4</v>
      </c>
      <c r="V580">
        <v>1</v>
      </c>
      <c r="W580" t="s">
        <v>132</v>
      </c>
      <c r="X580">
        <v>0</v>
      </c>
    </row>
    <row r="581" spans="1:24" x14ac:dyDescent="0.25">
      <c r="A581">
        <v>1</v>
      </c>
      <c r="B581" s="13">
        <v>590920300958</v>
      </c>
      <c r="C581">
        <v>40</v>
      </c>
      <c r="D581" s="13">
        <v>5957093009</v>
      </c>
      <c r="F581" t="s">
        <v>130</v>
      </c>
      <c r="G581">
        <v>0</v>
      </c>
      <c r="H581">
        <v>100</v>
      </c>
      <c r="K581">
        <v>1</v>
      </c>
      <c r="L581" t="s">
        <v>131</v>
      </c>
      <c r="M581" s="50">
        <v>44875</v>
      </c>
      <c r="N581" s="50">
        <v>2958465</v>
      </c>
      <c r="P581">
        <v>0</v>
      </c>
      <c r="U581">
        <v>4</v>
      </c>
      <c r="V581">
        <v>1</v>
      </c>
      <c r="W581" t="s">
        <v>132</v>
      </c>
      <c r="X581">
        <v>0</v>
      </c>
    </row>
    <row r="582" spans="1:24" x14ac:dyDescent="0.25">
      <c r="A582">
        <v>1</v>
      </c>
      <c r="B582" s="13">
        <v>590920300958</v>
      </c>
      <c r="C582">
        <v>50</v>
      </c>
      <c r="D582" s="13">
        <v>1018034</v>
      </c>
      <c r="F582" t="s">
        <v>130</v>
      </c>
      <c r="G582">
        <v>0</v>
      </c>
      <c r="H582">
        <v>100</v>
      </c>
      <c r="K582">
        <v>4</v>
      </c>
      <c r="L582" t="s">
        <v>131</v>
      </c>
      <c r="M582" s="50">
        <v>44875</v>
      </c>
      <c r="N582" s="50">
        <v>2958465</v>
      </c>
      <c r="P582">
        <v>0</v>
      </c>
      <c r="U582">
        <v>4</v>
      </c>
      <c r="V582">
        <v>1</v>
      </c>
      <c r="W582" t="s">
        <v>132</v>
      </c>
      <c r="X582">
        <v>0</v>
      </c>
    </row>
    <row r="583" spans="1:24" x14ac:dyDescent="0.25">
      <c r="A583">
        <v>1</v>
      </c>
      <c r="B583" s="13">
        <v>590920300958</v>
      </c>
      <c r="C583">
        <v>60</v>
      </c>
      <c r="D583" s="13">
        <v>1018359</v>
      </c>
      <c r="F583" t="s">
        <v>130</v>
      </c>
      <c r="G583">
        <v>0</v>
      </c>
      <c r="H583">
        <v>100</v>
      </c>
      <c r="K583">
        <v>10</v>
      </c>
      <c r="L583" t="s">
        <v>131</v>
      </c>
      <c r="M583" s="50">
        <v>44875</v>
      </c>
      <c r="N583" s="50">
        <v>2958465</v>
      </c>
      <c r="P583">
        <v>0</v>
      </c>
      <c r="U583">
        <v>4</v>
      </c>
      <c r="V583">
        <v>1</v>
      </c>
      <c r="W583" t="s">
        <v>132</v>
      </c>
      <c r="X583">
        <v>0</v>
      </c>
    </row>
    <row r="584" spans="1:24" x14ac:dyDescent="0.25">
      <c r="A584">
        <v>1</v>
      </c>
      <c r="B584" s="13">
        <v>590920300958</v>
      </c>
      <c r="C584">
        <v>70</v>
      </c>
      <c r="D584" s="13">
        <v>1022213</v>
      </c>
      <c r="F584" t="s">
        <v>130</v>
      </c>
      <c r="G584">
        <v>0</v>
      </c>
      <c r="H584">
        <v>100</v>
      </c>
      <c r="K584">
        <v>5.5919999999999996</v>
      </c>
      <c r="L584" t="s">
        <v>131</v>
      </c>
      <c r="M584" s="50">
        <v>44875</v>
      </c>
      <c r="N584" s="50">
        <v>2958465</v>
      </c>
      <c r="P584">
        <v>0</v>
      </c>
      <c r="U584">
        <v>4</v>
      </c>
      <c r="V584">
        <v>1</v>
      </c>
      <c r="W584" t="s">
        <v>132</v>
      </c>
      <c r="X584">
        <v>0</v>
      </c>
    </row>
    <row r="585" spans="1:24" x14ac:dyDescent="0.25">
      <c r="A585">
        <v>1</v>
      </c>
      <c r="B585" s="13">
        <v>590920300958</v>
      </c>
      <c r="C585">
        <v>80</v>
      </c>
      <c r="D585" s="13">
        <v>18102165658</v>
      </c>
      <c r="F585" t="s">
        <v>130</v>
      </c>
      <c r="G585">
        <v>0</v>
      </c>
      <c r="H585">
        <v>100</v>
      </c>
      <c r="K585">
        <v>1</v>
      </c>
      <c r="L585" t="s">
        <v>131</v>
      </c>
      <c r="M585" s="50">
        <v>44875</v>
      </c>
      <c r="N585" s="50">
        <v>2958465</v>
      </c>
      <c r="P585">
        <v>0</v>
      </c>
      <c r="U585">
        <v>4</v>
      </c>
      <c r="V585">
        <v>1</v>
      </c>
      <c r="W585" t="s">
        <v>132</v>
      </c>
      <c r="X585">
        <v>0</v>
      </c>
    </row>
    <row r="586" spans="1:24" x14ac:dyDescent="0.25">
      <c r="A586">
        <v>1</v>
      </c>
      <c r="B586" s="13">
        <v>590920301058</v>
      </c>
      <c r="C586">
        <v>10</v>
      </c>
      <c r="D586" s="13">
        <v>5957163010</v>
      </c>
      <c r="F586" t="s">
        <v>130</v>
      </c>
      <c r="G586">
        <v>0</v>
      </c>
      <c r="H586">
        <v>100</v>
      </c>
      <c r="K586">
        <v>2</v>
      </c>
      <c r="L586" t="s">
        <v>131</v>
      </c>
      <c r="M586" s="50">
        <v>44875</v>
      </c>
      <c r="N586" s="50">
        <v>2958465</v>
      </c>
      <c r="P586">
        <v>0</v>
      </c>
      <c r="U586">
        <v>4</v>
      </c>
      <c r="V586">
        <v>1</v>
      </c>
      <c r="W586" t="s">
        <v>132</v>
      </c>
      <c r="X586">
        <v>0</v>
      </c>
    </row>
    <row r="587" spans="1:24" x14ac:dyDescent="0.25">
      <c r="A587">
        <v>1</v>
      </c>
      <c r="B587" s="13">
        <v>590920301058</v>
      </c>
      <c r="C587">
        <v>20</v>
      </c>
      <c r="D587" s="13">
        <v>5957333010</v>
      </c>
      <c r="F587" t="s">
        <v>130</v>
      </c>
      <c r="G587">
        <v>0</v>
      </c>
      <c r="H587">
        <v>100</v>
      </c>
      <c r="K587">
        <v>1</v>
      </c>
      <c r="L587" t="s">
        <v>131</v>
      </c>
      <c r="M587" s="50">
        <v>44875</v>
      </c>
      <c r="N587" s="50">
        <v>2958465</v>
      </c>
      <c r="P587">
        <v>0</v>
      </c>
      <c r="U587">
        <v>4</v>
      </c>
      <c r="V587">
        <v>1</v>
      </c>
      <c r="W587" t="s">
        <v>132</v>
      </c>
      <c r="X587">
        <v>0</v>
      </c>
    </row>
    <row r="588" spans="1:24" x14ac:dyDescent="0.25">
      <c r="A588">
        <v>1</v>
      </c>
      <c r="B588" s="13">
        <v>590920301058</v>
      </c>
      <c r="C588">
        <v>30</v>
      </c>
      <c r="D588" s="13">
        <v>5957303010</v>
      </c>
      <c r="F588" t="s">
        <v>130</v>
      </c>
      <c r="G588">
        <v>0</v>
      </c>
      <c r="H588">
        <v>100</v>
      </c>
      <c r="K588">
        <v>1</v>
      </c>
      <c r="L588" t="s">
        <v>131</v>
      </c>
      <c r="M588" s="50">
        <v>44875</v>
      </c>
      <c r="N588" s="50">
        <v>2958465</v>
      </c>
      <c r="P588">
        <v>0</v>
      </c>
      <c r="U588">
        <v>4</v>
      </c>
      <c r="V588">
        <v>1</v>
      </c>
      <c r="W588" t="s">
        <v>132</v>
      </c>
      <c r="X588">
        <v>0</v>
      </c>
    </row>
    <row r="589" spans="1:24" x14ac:dyDescent="0.25">
      <c r="A589">
        <v>1</v>
      </c>
      <c r="B589" s="13">
        <v>590920301058</v>
      </c>
      <c r="C589">
        <v>40</v>
      </c>
      <c r="D589" s="13">
        <v>5957093010</v>
      </c>
      <c r="F589" t="s">
        <v>130</v>
      </c>
      <c r="G589">
        <v>0</v>
      </c>
      <c r="H589">
        <v>100</v>
      </c>
      <c r="K589">
        <v>1</v>
      </c>
      <c r="L589" t="s">
        <v>131</v>
      </c>
      <c r="M589" s="50">
        <v>44875</v>
      </c>
      <c r="N589" s="50">
        <v>2958465</v>
      </c>
      <c r="P589">
        <v>0</v>
      </c>
      <c r="U589">
        <v>4</v>
      </c>
      <c r="V589">
        <v>1</v>
      </c>
      <c r="W589" t="s">
        <v>132</v>
      </c>
      <c r="X589">
        <v>0</v>
      </c>
    </row>
    <row r="590" spans="1:24" x14ac:dyDescent="0.25">
      <c r="A590">
        <v>1</v>
      </c>
      <c r="B590" s="13">
        <v>590920301058</v>
      </c>
      <c r="C590">
        <v>50</v>
      </c>
      <c r="D590" s="13">
        <v>1018034</v>
      </c>
      <c r="F590" t="s">
        <v>130</v>
      </c>
      <c r="G590">
        <v>0</v>
      </c>
      <c r="H590">
        <v>100</v>
      </c>
      <c r="K590">
        <v>4</v>
      </c>
      <c r="L590" t="s">
        <v>131</v>
      </c>
      <c r="M590" s="50">
        <v>44875</v>
      </c>
      <c r="N590" s="50">
        <v>2958465</v>
      </c>
      <c r="P590">
        <v>0</v>
      </c>
      <c r="U590">
        <v>4</v>
      </c>
      <c r="V590">
        <v>1</v>
      </c>
      <c r="W590" t="s">
        <v>132</v>
      </c>
      <c r="X590">
        <v>0</v>
      </c>
    </row>
    <row r="591" spans="1:24" x14ac:dyDescent="0.25">
      <c r="A591">
        <v>1</v>
      </c>
      <c r="B591" s="13">
        <v>590920301058</v>
      </c>
      <c r="C591">
        <v>60</v>
      </c>
      <c r="D591" s="13">
        <v>1018359</v>
      </c>
      <c r="F591" t="s">
        <v>130</v>
      </c>
      <c r="G591">
        <v>0</v>
      </c>
      <c r="H591">
        <v>100</v>
      </c>
      <c r="K591">
        <v>10</v>
      </c>
      <c r="L591" t="s">
        <v>131</v>
      </c>
      <c r="M591" s="50">
        <v>44875</v>
      </c>
      <c r="N591" s="50">
        <v>2958465</v>
      </c>
      <c r="P591">
        <v>0</v>
      </c>
      <c r="U591">
        <v>4</v>
      </c>
      <c r="V591">
        <v>1</v>
      </c>
      <c r="W591" t="s">
        <v>132</v>
      </c>
      <c r="X591">
        <v>0</v>
      </c>
    </row>
    <row r="592" spans="1:24" x14ac:dyDescent="0.25">
      <c r="A592">
        <v>1</v>
      </c>
      <c r="B592" s="13">
        <v>590920301058</v>
      </c>
      <c r="C592">
        <v>70</v>
      </c>
      <c r="D592" s="13">
        <v>1022213</v>
      </c>
      <c r="F592" t="s">
        <v>130</v>
      </c>
      <c r="G592">
        <v>0</v>
      </c>
      <c r="H592">
        <v>100</v>
      </c>
      <c r="K592">
        <v>5.5919999999999996</v>
      </c>
      <c r="L592" t="s">
        <v>131</v>
      </c>
      <c r="M592" s="50">
        <v>44875</v>
      </c>
      <c r="N592" s="50">
        <v>2958465</v>
      </c>
      <c r="P592">
        <v>0</v>
      </c>
      <c r="U592">
        <v>4</v>
      </c>
      <c r="V592">
        <v>1</v>
      </c>
      <c r="W592" t="s">
        <v>132</v>
      </c>
      <c r="X592">
        <v>0</v>
      </c>
    </row>
    <row r="593" spans="1:24" x14ac:dyDescent="0.25">
      <c r="A593">
        <v>1</v>
      </c>
      <c r="B593" s="13">
        <v>590920301058</v>
      </c>
      <c r="C593">
        <v>80</v>
      </c>
      <c r="D593" s="13">
        <v>18102165658</v>
      </c>
      <c r="F593" t="s">
        <v>130</v>
      </c>
      <c r="G593">
        <v>0</v>
      </c>
      <c r="H593">
        <v>100</v>
      </c>
      <c r="K593">
        <v>1</v>
      </c>
      <c r="L593" t="s">
        <v>131</v>
      </c>
      <c r="M593" s="50">
        <v>44875</v>
      </c>
      <c r="N593" s="50">
        <v>2958465</v>
      </c>
      <c r="P593">
        <v>0</v>
      </c>
      <c r="U593">
        <v>4</v>
      </c>
      <c r="V593">
        <v>1</v>
      </c>
      <c r="W593" t="s">
        <v>132</v>
      </c>
      <c r="X593">
        <v>0</v>
      </c>
    </row>
    <row r="594" spans="1:24" x14ac:dyDescent="0.25">
      <c r="A594">
        <v>1</v>
      </c>
      <c r="B594" s="13">
        <v>590920300059</v>
      </c>
      <c r="C594">
        <v>10</v>
      </c>
      <c r="D594" s="13">
        <v>5957163099</v>
      </c>
      <c r="F594" t="s">
        <v>130</v>
      </c>
      <c r="G594">
        <v>0</v>
      </c>
      <c r="H594">
        <v>100</v>
      </c>
      <c r="K594">
        <v>2</v>
      </c>
      <c r="L594" t="s">
        <v>131</v>
      </c>
      <c r="M594" s="50">
        <v>44875</v>
      </c>
      <c r="N594" s="50">
        <v>2958465</v>
      </c>
      <c r="P594">
        <v>0</v>
      </c>
      <c r="U594">
        <v>4</v>
      </c>
      <c r="V594">
        <v>1</v>
      </c>
      <c r="W594" t="s">
        <v>132</v>
      </c>
      <c r="X594">
        <v>0</v>
      </c>
    </row>
    <row r="595" spans="1:24" x14ac:dyDescent="0.25">
      <c r="A595">
        <v>1</v>
      </c>
      <c r="B595" s="13">
        <v>590920300059</v>
      </c>
      <c r="C595">
        <v>20</v>
      </c>
      <c r="D595" s="13">
        <v>5957333099</v>
      </c>
      <c r="F595" t="s">
        <v>130</v>
      </c>
      <c r="G595">
        <v>0</v>
      </c>
      <c r="H595">
        <v>100</v>
      </c>
      <c r="K595">
        <v>1</v>
      </c>
      <c r="L595" t="s">
        <v>131</v>
      </c>
      <c r="M595" s="50">
        <v>44875</v>
      </c>
      <c r="N595" s="50">
        <v>2958465</v>
      </c>
      <c r="P595">
        <v>0</v>
      </c>
      <c r="U595">
        <v>4</v>
      </c>
      <c r="V595">
        <v>1</v>
      </c>
      <c r="W595" t="s">
        <v>132</v>
      </c>
      <c r="X595">
        <v>0</v>
      </c>
    </row>
    <row r="596" spans="1:24" x14ac:dyDescent="0.25">
      <c r="A596">
        <v>1</v>
      </c>
      <c r="B596" s="13">
        <v>590920300059</v>
      </c>
      <c r="C596">
        <v>30</v>
      </c>
      <c r="D596" s="13">
        <v>5957303099</v>
      </c>
      <c r="F596" t="s">
        <v>130</v>
      </c>
      <c r="G596">
        <v>0</v>
      </c>
      <c r="H596">
        <v>100</v>
      </c>
      <c r="K596">
        <v>1</v>
      </c>
      <c r="L596" t="s">
        <v>131</v>
      </c>
      <c r="M596" s="50">
        <v>44875</v>
      </c>
      <c r="N596" s="50">
        <v>2958465</v>
      </c>
      <c r="P596">
        <v>0</v>
      </c>
      <c r="U596">
        <v>4</v>
      </c>
      <c r="V596">
        <v>1</v>
      </c>
      <c r="W596" t="s">
        <v>132</v>
      </c>
      <c r="X596">
        <v>0</v>
      </c>
    </row>
    <row r="597" spans="1:24" x14ac:dyDescent="0.25">
      <c r="A597">
        <v>1</v>
      </c>
      <c r="B597" s="13">
        <v>590920300059</v>
      </c>
      <c r="C597">
        <v>40</v>
      </c>
      <c r="D597" s="13">
        <v>1022219</v>
      </c>
      <c r="F597" t="s">
        <v>130</v>
      </c>
      <c r="G597">
        <v>0</v>
      </c>
      <c r="H597">
        <v>100</v>
      </c>
      <c r="K597">
        <v>1</v>
      </c>
      <c r="L597" t="s">
        <v>131</v>
      </c>
      <c r="M597" s="50">
        <v>44875</v>
      </c>
      <c r="N597" s="50">
        <v>2958465</v>
      </c>
      <c r="P597">
        <v>0</v>
      </c>
      <c r="U597">
        <v>4</v>
      </c>
      <c r="V597">
        <v>1</v>
      </c>
      <c r="W597" t="s">
        <v>132</v>
      </c>
      <c r="X597">
        <v>0</v>
      </c>
    </row>
    <row r="598" spans="1:24" x14ac:dyDescent="0.25">
      <c r="A598">
        <v>1</v>
      </c>
      <c r="B598" s="13">
        <v>590920300059</v>
      </c>
      <c r="C598">
        <v>50</v>
      </c>
      <c r="D598" s="13">
        <v>1018034</v>
      </c>
      <c r="F598" t="s">
        <v>130</v>
      </c>
      <c r="G598">
        <v>0</v>
      </c>
      <c r="H598">
        <v>100</v>
      </c>
      <c r="K598">
        <v>4</v>
      </c>
      <c r="L598" t="s">
        <v>131</v>
      </c>
      <c r="M598" s="50">
        <v>44875</v>
      </c>
      <c r="N598" s="50">
        <v>2958465</v>
      </c>
      <c r="P598">
        <v>0</v>
      </c>
      <c r="U598">
        <v>4</v>
      </c>
      <c r="V598">
        <v>1</v>
      </c>
      <c r="W598" t="s">
        <v>132</v>
      </c>
      <c r="X598">
        <v>0</v>
      </c>
    </row>
    <row r="599" spans="1:24" x14ac:dyDescent="0.25">
      <c r="A599">
        <v>1</v>
      </c>
      <c r="B599" s="13">
        <v>590920300059</v>
      </c>
      <c r="C599">
        <v>60</v>
      </c>
      <c r="D599" s="13">
        <v>1018359</v>
      </c>
      <c r="F599" t="s">
        <v>130</v>
      </c>
      <c r="G599">
        <v>0</v>
      </c>
      <c r="H599">
        <v>100</v>
      </c>
      <c r="K599">
        <v>10</v>
      </c>
      <c r="L599" t="s">
        <v>131</v>
      </c>
      <c r="M599" s="50">
        <v>44875</v>
      </c>
      <c r="N599" s="50">
        <v>2958465</v>
      </c>
      <c r="P599">
        <v>0</v>
      </c>
      <c r="U599">
        <v>4</v>
      </c>
      <c r="V599">
        <v>1</v>
      </c>
      <c r="W599" t="s">
        <v>132</v>
      </c>
      <c r="X599">
        <v>0</v>
      </c>
    </row>
    <row r="600" spans="1:24" x14ac:dyDescent="0.25">
      <c r="A600">
        <v>1</v>
      </c>
      <c r="B600" s="13">
        <v>590920300059</v>
      </c>
      <c r="C600">
        <v>70</v>
      </c>
      <c r="D600" s="13">
        <v>1022213</v>
      </c>
      <c r="F600" t="s">
        <v>130</v>
      </c>
      <c r="G600">
        <v>0</v>
      </c>
      <c r="H600">
        <v>100</v>
      </c>
      <c r="K600">
        <v>5.5919999999999996</v>
      </c>
      <c r="L600" t="s">
        <v>131</v>
      </c>
      <c r="M600" s="50">
        <v>44875</v>
      </c>
      <c r="N600" s="50">
        <v>2958465</v>
      </c>
      <c r="P600">
        <v>0</v>
      </c>
      <c r="U600">
        <v>4</v>
      </c>
      <c r="V600">
        <v>1</v>
      </c>
      <c r="W600" t="s">
        <v>132</v>
      </c>
      <c r="X600">
        <v>0</v>
      </c>
    </row>
    <row r="601" spans="1:24" x14ac:dyDescent="0.25">
      <c r="A601">
        <v>1</v>
      </c>
      <c r="B601" s="13">
        <v>590920300059</v>
      </c>
      <c r="C601">
        <v>80</v>
      </c>
      <c r="D601" s="13">
        <v>18102165659</v>
      </c>
      <c r="F601" t="s">
        <v>130</v>
      </c>
      <c r="G601">
        <v>0</v>
      </c>
      <c r="H601">
        <v>100</v>
      </c>
      <c r="K601">
        <v>1</v>
      </c>
      <c r="L601" t="s">
        <v>131</v>
      </c>
      <c r="M601" s="50">
        <v>44875</v>
      </c>
      <c r="N601" s="50">
        <v>2958465</v>
      </c>
      <c r="P601">
        <v>0</v>
      </c>
      <c r="U601">
        <v>4</v>
      </c>
      <c r="V601">
        <v>1</v>
      </c>
      <c r="W601" t="s">
        <v>132</v>
      </c>
      <c r="X601">
        <v>0</v>
      </c>
    </row>
    <row r="602" spans="1:24" x14ac:dyDescent="0.25">
      <c r="A602">
        <v>1</v>
      </c>
      <c r="B602" s="13">
        <v>590920300259</v>
      </c>
      <c r="C602">
        <v>10</v>
      </c>
      <c r="D602" s="13">
        <v>5957163002</v>
      </c>
      <c r="F602" t="s">
        <v>130</v>
      </c>
      <c r="G602">
        <v>0</v>
      </c>
      <c r="H602">
        <v>100</v>
      </c>
      <c r="K602">
        <v>2</v>
      </c>
      <c r="L602" t="s">
        <v>131</v>
      </c>
      <c r="M602" s="50">
        <v>44875</v>
      </c>
      <c r="N602" s="50">
        <v>2958465</v>
      </c>
      <c r="P602">
        <v>0</v>
      </c>
      <c r="U602">
        <v>4</v>
      </c>
      <c r="V602">
        <v>1</v>
      </c>
      <c r="W602" t="s">
        <v>132</v>
      </c>
      <c r="X602">
        <v>0</v>
      </c>
    </row>
    <row r="603" spans="1:24" x14ac:dyDescent="0.25">
      <c r="A603">
        <v>1</v>
      </c>
      <c r="B603" s="13">
        <v>590920300259</v>
      </c>
      <c r="C603">
        <v>20</v>
      </c>
      <c r="D603" s="13">
        <v>5957333002</v>
      </c>
      <c r="F603" t="s">
        <v>130</v>
      </c>
      <c r="G603">
        <v>0</v>
      </c>
      <c r="H603">
        <v>100</v>
      </c>
      <c r="K603">
        <v>1</v>
      </c>
      <c r="L603" t="s">
        <v>131</v>
      </c>
      <c r="M603" s="50">
        <v>44875</v>
      </c>
      <c r="N603" s="50">
        <v>2958465</v>
      </c>
      <c r="P603">
        <v>0</v>
      </c>
      <c r="U603">
        <v>4</v>
      </c>
      <c r="V603">
        <v>1</v>
      </c>
      <c r="W603" t="s">
        <v>132</v>
      </c>
      <c r="X603">
        <v>0</v>
      </c>
    </row>
    <row r="604" spans="1:24" x14ac:dyDescent="0.25">
      <c r="A604">
        <v>1</v>
      </c>
      <c r="B604" s="13">
        <v>590920300259</v>
      </c>
      <c r="C604">
        <v>30</v>
      </c>
      <c r="D604" s="13">
        <v>5957303002</v>
      </c>
      <c r="F604" t="s">
        <v>130</v>
      </c>
      <c r="G604">
        <v>0</v>
      </c>
      <c r="H604">
        <v>100</v>
      </c>
      <c r="K604">
        <v>1</v>
      </c>
      <c r="L604" t="s">
        <v>131</v>
      </c>
      <c r="M604" s="50">
        <v>44875</v>
      </c>
      <c r="N604" s="50">
        <v>2958465</v>
      </c>
      <c r="P604">
        <v>0</v>
      </c>
      <c r="U604">
        <v>4</v>
      </c>
      <c r="V604">
        <v>1</v>
      </c>
      <c r="W604" t="s">
        <v>132</v>
      </c>
      <c r="X604">
        <v>0</v>
      </c>
    </row>
    <row r="605" spans="1:24" x14ac:dyDescent="0.25">
      <c r="A605">
        <v>1</v>
      </c>
      <c r="B605" s="13">
        <v>590920300259</v>
      </c>
      <c r="C605">
        <v>40</v>
      </c>
      <c r="D605" s="13">
        <v>5957093002</v>
      </c>
      <c r="F605" t="s">
        <v>130</v>
      </c>
      <c r="G605">
        <v>0</v>
      </c>
      <c r="H605">
        <v>100</v>
      </c>
      <c r="K605">
        <v>1</v>
      </c>
      <c r="L605" t="s">
        <v>131</v>
      </c>
      <c r="M605" s="50">
        <v>44875</v>
      </c>
      <c r="N605" s="50">
        <v>2958465</v>
      </c>
      <c r="P605">
        <v>0</v>
      </c>
      <c r="U605">
        <v>4</v>
      </c>
      <c r="V605">
        <v>1</v>
      </c>
      <c r="W605" t="s">
        <v>132</v>
      </c>
      <c r="X605">
        <v>0</v>
      </c>
    </row>
    <row r="606" spans="1:24" x14ac:dyDescent="0.25">
      <c r="A606">
        <v>1</v>
      </c>
      <c r="B606" s="13">
        <v>590920300259</v>
      </c>
      <c r="C606">
        <v>50</v>
      </c>
      <c r="D606" s="13">
        <v>1018034</v>
      </c>
      <c r="F606" t="s">
        <v>130</v>
      </c>
      <c r="G606">
        <v>0</v>
      </c>
      <c r="H606">
        <v>100</v>
      </c>
      <c r="K606">
        <v>4</v>
      </c>
      <c r="L606" t="s">
        <v>131</v>
      </c>
      <c r="M606" s="50">
        <v>44875</v>
      </c>
      <c r="N606" s="50">
        <v>2958465</v>
      </c>
      <c r="P606">
        <v>0</v>
      </c>
      <c r="U606">
        <v>4</v>
      </c>
      <c r="V606">
        <v>1</v>
      </c>
      <c r="W606" t="s">
        <v>132</v>
      </c>
      <c r="X606">
        <v>0</v>
      </c>
    </row>
    <row r="607" spans="1:24" x14ac:dyDescent="0.25">
      <c r="A607">
        <v>1</v>
      </c>
      <c r="B607" s="13">
        <v>590920300259</v>
      </c>
      <c r="C607">
        <v>60</v>
      </c>
      <c r="D607" s="13">
        <v>1022356</v>
      </c>
      <c r="F607" t="s">
        <v>130</v>
      </c>
      <c r="G607">
        <v>0</v>
      </c>
      <c r="H607">
        <v>100</v>
      </c>
      <c r="K607">
        <v>10</v>
      </c>
      <c r="L607" t="s">
        <v>131</v>
      </c>
      <c r="M607" s="50">
        <v>44875</v>
      </c>
      <c r="N607" s="50">
        <v>2958465</v>
      </c>
      <c r="P607">
        <v>0</v>
      </c>
      <c r="U607">
        <v>4</v>
      </c>
      <c r="V607">
        <v>1</v>
      </c>
      <c r="W607" t="s">
        <v>132</v>
      </c>
      <c r="X607">
        <v>0</v>
      </c>
    </row>
    <row r="608" spans="1:24" x14ac:dyDescent="0.25">
      <c r="A608">
        <v>1</v>
      </c>
      <c r="B608" s="13">
        <v>590920300259</v>
      </c>
      <c r="C608">
        <v>70</v>
      </c>
      <c r="D608" s="13">
        <v>1022213</v>
      </c>
      <c r="F608" t="s">
        <v>130</v>
      </c>
      <c r="G608">
        <v>0</v>
      </c>
      <c r="H608">
        <v>100</v>
      </c>
      <c r="K608">
        <v>5.5919999999999996</v>
      </c>
      <c r="L608" t="s">
        <v>131</v>
      </c>
      <c r="M608" s="50">
        <v>44875</v>
      </c>
      <c r="N608" s="50">
        <v>2958465</v>
      </c>
      <c r="P608">
        <v>0</v>
      </c>
      <c r="U608">
        <v>4</v>
      </c>
      <c r="V608">
        <v>1</v>
      </c>
      <c r="W608" t="s">
        <v>132</v>
      </c>
      <c r="X608">
        <v>0</v>
      </c>
    </row>
    <row r="609" spans="1:24" x14ac:dyDescent="0.25">
      <c r="A609">
        <v>1</v>
      </c>
      <c r="B609" s="13">
        <v>590920300259</v>
      </c>
      <c r="C609">
        <v>80</v>
      </c>
      <c r="D609" s="13">
        <v>18102165659</v>
      </c>
      <c r="F609" t="s">
        <v>130</v>
      </c>
      <c r="G609">
        <v>0</v>
      </c>
      <c r="H609">
        <v>100</v>
      </c>
      <c r="K609">
        <v>1</v>
      </c>
      <c r="L609" t="s">
        <v>131</v>
      </c>
      <c r="M609" s="50">
        <v>44875</v>
      </c>
      <c r="N609" s="50">
        <v>2958465</v>
      </c>
      <c r="P609">
        <v>0</v>
      </c>
      <c r="U609">
        <v>4</v>
      </c>
      <c r="V609">
        <v>1</v>
      </c>
      <c r="W609" t="s">
        <v>132</v>
      </c>
      <c r="X609">
        <v>0</v>
      </c>
    </row>
    <row r="610" spans="1:24" x14ac:dyDescent="0.25">
      <c r="A610">
        <v>1</v>
      </c>
      <c r="B610" s="13">
        <v>590920300359</v>
      </c>
      <c r="C610">
        <v>10</v>
      </c>
      <c r="D610" s="13">
        <v>5957163003</v>
      </c>
      <c r="F610" t="s">
        <v>130</v>
      </c>
      <c r="G610">
        <v>0</v>
      </c>
      <c r="H610">
        <v>100</v>
      </c>
      <c r="K610">
        <v>2</v>
      </c>
      <c r="L610" t="s">
        <v>131</v>
      </c>
      <c r="M610" s="50">
        <v>44875</v>
      </c>
      <c r="N610" s="50">
        <v>2958465</v>
      </c>
      <c r="P610">
        <v>0</v>
      </c>
      <c r="U610">
        <v>4</v>
      </c>
      <c r="V610">
        <v>1</v>
      </c>
      <c r="W610" t="s">
        <v>132</v>
      </c>
      <c r="X610">
        <v>0</v>
      </c>
    </row>
    <row r="611" spans="1:24" x14ac:dyDescent="0.25">
      <c r="A611">
        <v>1</v>
      </c>
      <c r="B611" s="13">
        <v>590920300359</v>
      </c>
      <c r="C611">
        <v>20</v>
      </c>
      <c r="D611" s="13">
        <v>5957333003</v>
      </c>
      <c r="F611" t="s">
        <v>130</v>
      </c>
      <c r="G611">
        <v>0</v>
      </c>
      <c r="H611">
        <v>100</v>
      </c>
      <c r="K611">
        <v>1</v>
      </c>
      <c r="L611" t="s">
        <v>131</v>
      </c>
      <c r="M611" s="50">
        <v>44875</v>
      </c>
      <c r="N611" s="50">
        <v>2958465</v>
      </c>
      <c r="P611">
        <v>0</v>
      </c>
      <c r="U611">
        <v>4</v>
      </c>
      <c r="V611">
        <v>1</v>
      </c>
      <c r="W611" t="s">
        <v>132</v>
      </c>
      <c r="X611">
        <v>0</v>
      </c>
    </row>
    <row r="612" spans="1:24" x14ac:dyDescent="0.25">
      <c r="A612">
        <v>1</v>
      </c>
      <c r="B612" s="13">
        <v>590920300359</v>
      </c>
      <c r="C612">
        <v>30</v>
      </c>
      <c r="D612" s="13">
        <v>5957303003</v>
      </c>
      <c r="F612" t="s">
        <v>130</v>
      </c>
      <c r="G612">
        <v>0</v>
      </c>
      <c r="H612">
        <v>100</v>
      </c>
      <c r="K612">
        <v>1</v>
      </c>
      <c r="L612" t="s">
        <v>131</v>
      </c>
      <c r="M612" s="50">
        <v>44875</v>
      </c>
      <c r="N612" s="50">
        <v>2958465</v>
      </c>
      <c r="P612">
        <v>0</v>
      </c>
      <c r="U612">
        <v>4</v>
      </c>
      <c r="V612">
        <v>1</v>
      </c>
      <c r="W612" t="s">
        <v>132</v>
      </c>
      <c r="X612">
        <v>0</v>
      </c>
    </row>
    <row r="613" spans="1:24" x14ac:dyDescent="0.25">
      <c r="A613">
        <v>1</v>
      </c>
      <c r="B613" s="13">
        <v>590920300359</v>
      </c>
      <c r="C613">
        <v>40</v>
      </c>
      <c r="D613" s="13">
        <v>5957093003</v>
      </c>
      <c r="F613" t="s">
        <v>130</v>
      </c>
      <c r="G613">
        <v>0</v>
      </c>
      <c r="H613">
        <v>100</v>
      </c>
      <c r="K613">
        <v>1</v>
      </c>
      <c r="L613" t="s">
        <v>131</v>
      </c>
      <c r="M613" s="50">
        <v>44875</v>
      </c>
      <c r="N613" s="50">
        <v>2958465</v>
      </c>
      <c r="P613">
        <v>0</v>
      </c>
      <c r="U613">
        <v>4</v>
      </c>
      <c r="V613">
        <v>1</v>
      </c>
      <c r="W613" t="s">
        <v>132</v>
      </c>
      <c r="X613">
        <v>0</v>
      </c>
    </row>
    <row r="614" spans="1:24" x14ac:dyDescent="0.25">
      <c r="A614">
        <v>1</v>
      </c>
      <c r="B614" s="13">
        <v>590920300359</v>
      </c>
      <c r="C614">
        <v>50</v>
      </c>
      <c r="D614" s="13">
        <v>1018034</v>
      </c>
      <c r="F614" t="s">
        <v>130</v>
      </c>
      <c r="G614">
        <v>0</v>
      </c>
      <c r="H614">
        <v>100</v>
      </c>
      <c r="K614">
        <v>4</v>
      </c>
      <c r="L614" t="s">
        <v>131</v>
      </c>
      <c r="M614" s="50">
        <v>44875</v>
      </c>
      <c r="N614" s="50">
        <v>2958465</v>
      </c>
      <c r="P614">
        <v>0</v>
      </c>
      <c r="U614">
        <v>4</v>
      </c>
      <c r="V614">
        <v>1</v>
      </c>
      <c r="W614" t="s">
        <v>132</v>
      </c>
      <c r="X614">
        <v>0</v>
      </c>
    </row>
    <row r="615" spans="1:24" x14ac:dyDescent="0.25">
      <c r="A615">
        <v>1</v>
      </c>
      <c r="B615" s="13">
        <v>590920300359</v>
      </c>
      <c r="C615">
        <v>60</v>
      </c>
      <c r="D615" s="13">
        <v>1018359</v>
      </c>
      <c r="F615" t="s">
        <v>130</v>
      </c>
      <c r="G615">
        <v>0</v>
      </c>
      <c r="H615">
        <v>100</v>
      </c>
      <c r="K615">
        <v>10</v>
      </c>
      <c r="L615" t="s">
        <v>131</v>
      </c>
      <c r="M615" s="50">
        <v>44875</v>
      </c>
      <c r="N615" s="50">
        <v>2958465</v>
      </c>
      <c r="P615">
        <v>0</v>
      </c>
      <c r="U615">
        <v>4</v>
      </c>
      <c r="V615">
        <v>1</v>
      </c>
      <c r="W615" t="s">
        <v>132</v>
      </c>
      <c r="X615">
        <v>0</v>
      </c>
    </row>
    <row r="616" spans="1:24" x14ac:dyDescent="0.25">
      <c r="A616">
        <v>1</v>
      </c>
      <c r="B616" s="13">
        <v>590920300359</v>
      </c>
      <c r="C616">
        <v>70</v>
      </c>
      <c r="D616" s="13">
        <v>1022213</v>
      </c>
      <c r="F616" t="s">
        <v>130</v>
      </c>
      <c r="G616">
        <v>0</v>
      </c>
      <c r="H616">
        <v>100</v>
      </c>
      <c r="K616">
        <v>5.5919999999999996</v>
      </c>
      <c r="L616" t="s">
        <v>131</v>
      </c>
      <c r="M616" s="50">
        <v>44875</v>
      </c>
      <c r="N616" s="50">
        <v>2958465</v>
      </c>
      <c r="P616">
        <v>0</v>
      </c>
      <c r="U616">
        <v>4</v>
      </c>
      <c r="V616">
        <v>1</v>
      </c>
      <c r="W616" t="s">
        <v>132</v>
      </c>
      <c r="X616">
        <v>0</v>
      </c>
    </row>
    <row r="617" spans="1:24" x14ac:dyDescent="0.25">
      <c r="A617">
        <v>1</v>
      </c>
      <c r="B617" s="13">
        <v>590920300359</v>
      </c>
      <c r="C617">
        <v>80</v>
      </c>
      <c r="D617" s="13">
        <v>18102165659</v>
      </c>
      <c r="F617" t="s">
        <v>130</v>
      </c>
      <c r="G617">
        <v>0</v>
      </c>
      <c r="H617">
        <v>100</v>
      </c>
      <c r="K617">
        <v>1</v>
      </c>
      <c r="L617" t="s">
        <v>131</v>
      </c>
      <c r="M617" s="50">
        <v>44875</v>
      </c>
      <c r="N617" s="50">
        <v>2958465</v>
      </c>
      <c r="P617">
        <v>0</v>
      </c>
      <c r="U617">
        <v>4</v>
      </c>
      <c r="V617">
        <v>1</v>
      </c>
      <c r="W617" t="s">
        <v>132</v>
      </c>
      <c r="X617">
        <v>0</v>
      </c>
    </row>
    <row r="618" spans="1:24" x14ac:dyDescent="0.25">
      <c r="A618">
        <v>1</v>
      </c>
      <c r="B618" s="13">
        <v>590920300459</v>
      </c>
      <c r="C618">
        <v>10</v>
      </c>
      <c r="D618" s="13">
        <v>5957163004</v>
      </c>
      <c r="F618" t="s">
        <v>130</v>
      </c>
      <c r="G618">
        <v>0</v>
      </c>
      <c r="H618">
        <v>100</v>
      </c>
      <c r="K618">
        <v>2</v>
      </c>
      <c r="L618" t="s">
        <v>131</v>
      </c>
      <c r="M618" s="50">
        <v>44875</v>
      </c>
      <c r="N618" s="50">
        <v>2958465</v>
      </c>
      <c r="P618">
        <v>0</v>
      </c>
      <c r="U618">
        <v>4</v>
      </c>
      <c r="V618">
        <v>1</v>
      </c>
      <c r="W618" t="s">
        <v>132</v>
      </c>
      <c r="X618">
        <v>0</v>
      </c>
    </row>
    <row r="619" spans="1:24" x14ac:dyDescent="0.25">
      <c r="A619">
        <v>1</v>
      </c>
      <c r="B619" s="13">
        <v>590920300459</v>
      </c>
      <c r="C619">
        <v>20</v>
      </c>
      <c r="D619" s="13">
        <v>5957333004</v>
      </c>
      <c r="F619" t="s">
        <v>130</v>
      </c>
      <c r="G619">
        <v>0</v>
      </c>
      <c r="H619">
        <v>100</v>
      </c>
      <c r="K619">
        <v>1</v>
      </c>
      <c r="L619" t="s">
        <v>131</v>
      </c>
      <c r="M619" s="50">
        <v>44875</v>
      </c>
      <c r="N619" s="50">
        <v>2958465</v>
      </c>
      <c r="P619">
        <v>0</v>
      </c>
      <c r="U619">
        <v>4</v>
      </c>
      <c r="V619">
        <v>1</v>
      </c>
      <c r="W619" t="s">
        <v>132</v>
      </c>
      <c r="X619">
        <v>0</v>
      </c>
    </row>
    <row r="620" spans="1:24" x14ac:dyDescent="0.25">
      <c r="A620">
        <v>1</v>
      </c>
      <c r="B620" s="13">
        <v>590920300459</v>
      </c>
      <c r="C620">
        <v>30</v>
      </c>
      <c r="D620" s="13">
        <v>5957303004</v>
      </c>
      <c r="F620" t="s">
        <v>130</v>
      </c>
      <c r="G620">
        <v>0</v>
      </c>
      <c r="H620">
        <v>100</v>
      </c>
      <c r="K620">
        <v>1</v>
      </c>
      <c r="L620" t="s">
        <v>131</v>
      </c>
      <c r="M620" s="50">
        <v>44875</v>
      </c>
      <c r="N620" s="50">
        <v>2958465</v>
      </c>
      <c r="P620">
        <v>0</v>
      </c>
      <c r="U620">
        <v>4</v>
      </c>
      <c r="V620">
        <v>1</v>
      </c>
      <c r="W620" t="s">
        <v>132</v>
      </c>
      <c r="X620">
        <v>0</v>
      </c>
    </row>
    <row r="621" spans="1:24" x14ac:dyDescent="0.25">
      <c r="A621">
        <v>1</v>
      </c>
      <c r="B621" s="13">
        <v>590920300459</v>
      </c>
      <c r="C621">
        <v>40</v>
      </c>
      <c r="D621" s="13">
        <v>5957093004</v>
      </c>
      <c r="F621" t="s">
        <v>130</v>
      </c>
      <c r="G621">
        <v>0</v>
      </c>
      <c r="H621">
        <v>100</v>
      </c>
      <c r="K621">
        <v>1</v>
      </c>
      <c r="L621" t="s">
        <v>131</v>
      </c>
      <c r="M621" s="50">
        <v>44875</v>
      </c>
      <c r="N621" s="50">
        <v>2958465</v>
      </c>
      <c r="P621">
        <v>0</v>
      </c>
      <c r="U621">
        <v>4</v>
      </c>
      <c r="V621">
        <v>1</v>
      </c>
      <c r="W621" t="s">
        <v>132</v>
      </c>
      <c r="X621">
        <v>0</v>
      </c>
    </row>
    <row r="622" spans="1:24" x14ac:dyDescent="0.25">
      <c r="A622">
        <v>1</v>
      </c>
      <c r="B622" s="13">
        <v>590920300459</v>
      </c>
      <c r="C622">
        <v>50</v>
      </c>
      <c r="D622" s="13">
        <v>1018034</v>
      </c>
      <c r="F622" t="s">
        <v>130</v>
      </c>
      <c r="G622">
        <v>0</v>
      </c>
      <c r="H622">
        <v>100</v>
      </c>
      <c r="K622">
        <v>4</v>
      </c>
      <c r="L622" t="s">
        <v>131</v>
      </c>
      <c r="M622" s="50">
        <v>44875</v>
      </c>
      <c r="N622" s="50">
        <v>2958465</v>
      </c>
      <c r="P622">
        <v>0</v>
      </c>
      <c r="U622">
        <v>4</v>
      </c>
      <c r="V622">
        <v>1</v>
      </c>
      <c r="W622" t="s">
        <v>132</v>
      </c>
      <c r="X622">
        <v>0</v>
      </c>
    </row>
    <row r="623" spans="1:24" x14ac:dyDescent="0.25">
      <c r="A623">
        <v>1</v>
      </c>
      <c r="B623" s="13">
        <v>590920300459</v>
      </c>
      <c r="C623">
        <v>60</v>
      </c>
      <c r="D623" s="13">
        <v>1022356</v>
      </c>
      <c r="F623" t="s">
        <v>130</v>
      </c>
      <c r="G623">
        <v>0</v>
      </c>
      <c r="H623">
        <v>100</v>
      </c>
      <c r="K623">
        <v>10</v>
      </c>
      <c r="L623" t="s">
        <v>131</v>
      </c>
      <c r="M623" s="50">
        <v>44875</v>
      </c>
      <c r="N623" s="50">
        <v>2958465</v>
      </c>
      <c r="P623">
        <v>0</v>
      </c>
      <c r="U623">
        <v>4</v>
      </c>
      <c r="V623">
        <v>1</v>
      </c>
      <c r="W623" t="s">
        <v>132</v>
      </c>
      <c r="X623">
        <v>0</v>
      </c>
    </row>
    <row r="624" spans="1:24" x14ac:dyDescent="0.25">
      <c r="A624">
        <v>1</v>
      </c>
      <c r="B624" s="13">
        <v>590920300459</v>
      </c>
      <c r="C624">
        <v>70</v>
      </c>
      <c r="D624" s="13">
        <v>1022213</v>
      </c>
      <c r="F624" t="s">
        <v>130</v>
      </c>
      <c r="G624">
        <v>0</v>
      </c>
      <c r="H624">
        <v>100</v>
      </c>
      <c r="K624">
        <v>5.5919999999999996</v>
      </c>
      <c r="L624" t="s">
        <v>131</v>
      </c>
      <c r="M624" s="50">
        <v>44875</v>
      </c>
      <c r="N624" s="50">
        <v>2958465</v>
      </c>
      <c r="P624">
        <v>0</v>
      </c>
      <c r="U624">
        <v>4</v>
      </c>
      <c r="V624">
        <v>1</v>
      </c>
      <c r="W624" t="s">
        <v>132</v>
      </c>
      <c r="X624">
        <v>0</v>
      </c>
    </row>
    <row r="625" spans="1:24" x14ac:dyDescent="0.25">
      <c r="A625">
        <v>1</v>
      </c>
      <c r="B625" s="13">
        <v>590920300459</v>
      </c>
      <c r="C625">
        <v>80</v>
      </c>
      <c r="D625" s="13">
        <v>18102165659</v>
      </c>
      <c r="F625" t="s">
        <v>130</v>
      </c>
      <c r="G625">
        <v>0</v>
      </c>
      <c r="H625">
        <v>100</v>
      </c>
      <c r="K625">
        <v>1</v>
      </c>
      <c r="L625" t="s">
        <v>131</v>
      </c>
      <c r="M625" s="50">
        <v>44875</v>
      </c>
      <c r="N625" s="50">
        <v>2958465</v>
      </c>
      <c r="P625">
        <v>0</v>
      </c>
      <c r="U625">
        <v>4</v>
      </c>
      <c r="V625">
        <v>1</v>
      </c>
      <c r="W625" t="s">
        <v>132</v>
      </c>
      <c r="X625">
        <v>0</v>
      </c>
    </row>
    <row r="626" spans="1:24" x14ac:dyDescent="0.25">
      <c r="A626">
        <v>1</v>
      </c>
      <c r="B626" s="13">
        <v>590920300559</v>
      </c>
      <c r="C626">
        <v>10</v>
      </c>
      <c r="D626" s="13">
        <v>5957163005</v>
      </c>
      <c r="F626" t="s">
        <v>130</v>
      </c>
      <c r="G626">
        <v>0</v>
      </c>
      <c r="H626">
        <v>100</v>
      </c>
      <c r="K626">
        <v>2</v>
      </c>
      <c r="L626" t="s">
        <v>131</v>
      </c>
      <c r="M626" s="50">
        <v>44875</v>
      </c>
      <c r="N626" s="50">
        <v>2958465</v>
      </c>
      <c r="P626">
        <v>0</v>
      </c>
      <c r="U626">
        <v>4</v>
      </c>
      <c r="V626">
        <v>1</v>
      </c>
      <c r="W626" t="s">
        <v>132</v>
      </c>
      <c r="X626">
        <v>0</v>
      </c>
    </row>
    <row r="627" spans="1:24" x14ac:dyDescent="0.25">
      <c r="A627">
        <v>1</v>
      </c>
      <c r="B627" s="13">
        <v>590920300559</v>
      </c>
      <c r="C627">
        <v>20</v>
      </c>
      <c r="D627" s="13">
        <v>5957333005</v>
      </c>
      <c r="F627" t="s">
        <v>130</v>
      </c>
      <c r="G627">
        <v>0</v>
      </c>
      <c r="H627">
        <v>100</v>
      </c>
      <c r="K627">
        <v>1</v>
      </c>
      <c r="L627" t="s">
        <v>131</v>
      </c>
      <c r="M627" s="50">
        <v>44875</v>
      </c>
      <c r="N627" s="50">
        <v>2958465</v>
      </c>
      <c r="P627">
        <v>0</v>
      </c>
      <c r="U627">
        <v>4</v>
      </c>
      <c r="V627">
        <v>1</v>
      </c>
      <c r="W627" t="s">
        <v>132</v>
      </c>
      <c r="X627">
        <v>0</v>
      </c>
    </row>
    <row r="628" spans="1:24" x14ac:dyDescent="0.25">
      <c r="A628">
        <v>1</v>
      </c>
      <c r="B628" s="13">
        <v>590920300559</v>
      </c>
      <c r="C628">
        <v>30</v>
      </c>
      <c r="D628" s="13">
        <v>5957303005</v>
      </c>
      <c r="F628" t="s">
        <v>130</v>
      </c>
      <c r="G628">
        <v>0</v>
      </c>
      <c r="H628">
        <v>100</v>
      </c>
      <c r="K628">
        <v>1</v>
      </c>
      <c r="L628" t="s">
        <v>131</v>
      </c>
      <c r="M628" s="50">
        <v>44875</v>
      </c>
      <c r="N628" s="50">
        <v>2958465</v>
      </c>
      <c r="P628">
        <v>0</v>
      </c>
      <c r="U628">
        <v>4</v>
      </c>
      <c r="V628">
        <v>1</v>
      </c>
      <c r="W628" t="s">
        <v>132</v>
      </c>
      <c r="X628">
        <v>0</v>
      </c>
    </row>
    <row r="629" spans="1:24" x14ac:dyDescent="0.25">
      <c r="A629">
        <v>1</v>
      </c>
      <c r="B629" s="13">
        <v>590920300559</v>
      </c>
      <c r="C629">
        <v>40</v>
      </c>
      <c r="D629" s="13">
        <v>5957093005</v>
      </c>
      <c r="F629" t="s">
        <v>130</v>
      </c>
      <c r="G629">
        <v>0</v>
      </c>
      <c r="H629">
        <v>100</v>
      </c>
      <c r="K629">
        <v>1</v>
      </c>
      <c r="L629" t="s">
        <v>131</v>
      </c>
      <c r="M629" s="50">
        <v>44875</v>
      </c>
      <c r="N629" s="50">
        <v>2958465</v>
      </c>
      <c r="P629">
        <v>0</v>
      </c>
      <c r="U629">
        <v>4</v>
      </c>
      <c r="V629">
        <v>1</v>
      </c>
      <c r="W629" t="s">
        <v>132</v>
      </c>
      <c r="X629">
        <v>0</v>
      </c>
    </row>
    <row r="630" spans="1:24" x14ac:dyDescent="0.25">
      <c r="A630">
        <v>1</v>
      </c>
      <c r="B630" s="13">
        <v>590920300559</v>
      </c>
      <c r="C630">
        <v>50</v>
      </c>
      <c r="D630" s="13">
        <v>1018034</v>
      </c>
      <c r="F630" t="s">
        <v>130</v>
      </c>
      <c r="G630">
        <v>0</v>
      </c>
      <c r="H630">
        <v>100</v>
      </c>
      <c r="K630">
        <v>4</v>
      </c>
      <c r="L630" t="s">
        <v>131</v>
      </c>
      <c r="M630" s="50">
        <v>44875</v>
      </c>
      <c r="N630" s="50">
        <v>2958465</v>
      </c>
      <c r="P630">
        <v>0</v>
      </c>
      <c r="U630">
        <v>4</v>
      </c>
      <c r="V630">
        <v>1</v>
      </c>
      <c r="W630" t="s">
        <v>132</v>
      </c>
      <c r="X630">
        <v>0</v>
      </c>
    </row>
    <row r="631" spans="1:24" x14ac:dyDescent="0.25">
      <c r="A631">
        <v>1</v>
      </c>
      <c r="B631" s="13">
        <v>590920300559</v>
      </c>
      <c r="C631">
        <v>60</v>
      </c>
      <c r="D631" s="13">
        <v>1022356</v>
      </c>
      <c r="F631" t="s">
        <v>130</v>
      </c>
      <c r="G631">
        <v>0</v>
      </c>
      <c r="H631">
        <v>100</v>
      </c>
      <c r="K631">
        <v>10</v>
      </c>
      <c r="L631" t="s">
        <v>131</v>
      </c>
      <c r="M631" s="50">
        <v>44875</v>
      </c>
      <c r="N631" s="50">
        <v>2958465</v>
      </c>
      <c r="P631">
        <v>0</v>
      </c>
      <c r="U631">
        <v>4</v>
      </c>
      <c r="V631">
        <v>1</v>
      </c>
      <c r="W631" t="s">
        <v>132</v>
      </c>
      <c r="X631">
        <v>0</v>
      </c>
    </row>
    <row r="632" spans="1:24" x14ac:dyDescent="0.25">
      <c r="A632">
        <v>1</v>
      </c>
      <c r="B632" s="13">
        <v>590920300559</v>
      </c>
      <c r="C632">
        <v>70</v>
      </c>
      <c r="D632" s="13">
        <v>1022213</v>
      </c>
      <c r="F632" t="s">
        <v>130</v>
      </c>
      <c r="G632">
        <v>0</v>
      </c>
      <c r="H632">
        <v>100</v>
      </c>
      <c r="K632">
        <v>5.5919999999999996</v>
      </c>
      <c r="L632" t="s">
        <v>131</v>
      </c>
      <c r="M632" s="50">
        <v>44875</v>
      </c>
      <c r="N632" s="50">
        <v>2958465</v>
      </c>
      <c r="P632">
        <v>0</v>
      </c>
      <c r="U632">
        <v>4</v>
      </c>
      <c r="V632">
        <v>1</v>
      </c>
      <c r="W632" t="s">
        <v>132</v>
      </c>
      <c r="X632">
        <v>0</v>
      </c>
    </row>
    <row r="633" spans="1:24" x14ac:dyDescent="0.25">
      <c r="A633">
        <v>1</v>
      </c>
      <c r="B633" s="13">
        <v>590920300559</v>
      </c>
      <c r="C633">
        <v>80</v>
      </c>
      <c r="D633" s="13">
        <v>18102165659</v>
      </c>
      <c r="F633" t="s">
        <v>130</v>
      </c>
      <c r="G633">
        <v>0</v>
      </c>
      <c r="H633">
        <v>100</v>
      </c>
      <c r="K633">
        <v>1</v>
      </c>
      <c r="L633" t="s">
        <v>131</v>
      </c>
      <c r="M633" s="50">
        <v>44875</v>
      </c>
      <c r="N633" s="50">
        <v>2958465</v>
      </c>
      <c r="P633">
        <v>0</v>
      </c>
      <c r="U633">
        <v>4</v>
      </c>
      <c r="V633">
        <v>1</v>
      </c>
      <c r="W633" t="s">
        <v>132</v>
      </c>
      <c r="X633">
        <v>0</v>
      </c>
    </row>
    <row r="634" spans="1:24" x14ac:dyDescent="0.25">
      <c r="A634">
        <v>1</v>
      </c>
      <c r="B634" s="13">
        <v>590920300759</v>
      </c>
      <c r="C634">
        <v>10</v>
      </c>
      <c r="D634" s="13">
        <v>5957163007</v>
      </c>
      <c r="F634" t="s">
        <v>130</v>
      </c>
      <c r="G634">
        <v>0</v>
      </c>
      <c r="H634">
        <v>100</v>
      </c>
      <c r="K634">
        <v>2</v>
      </c>
      <c r="L634" t="s">
        <v>131</v>
      </c>
      <c r="M634" s="50">
        <v>44875</v>
      </c>
      <c r="N634" s="50">
        <v>2958465</v>
      </c>
      <c r="P634">
        <v>0</v>
      </c>
      <c r="U634">
        <v>4</v>
      </c>
      <c r="V634">
        <v>1</v>
      </c>
      <c r="W634" t="s">
        <v>132</v>
      </c>
      <c r="X634">
        <v>0</v>
      </c>
    </row>
    <row r="635" spans="1:24" x14ac:dyDescent="0.25">
      <c r="A635">
        <v>1</v>
      </c>
      <c r="B635" s="13">
        <v>590920300759</v>
      </c>
      <c r="C635">
        <v>20</v>
      </c>
      <c r="D635" s="13">
        <v>5957333007</v>
      </c>
      <c r="F635" t="s">
        <v>130</v>
      </c>
      <c r="G635">
        <v>0</v>
      </c>
      <c r="H635">
        <v>100</v>
      </c>
      <c r="K635">
        <v>1</v>
      </c>
      <c r="L635" t="s">
        <v>131</v>
      </c>
      <c r="M635" s="50">
        <v>44875</v>
      </c>
      <c r="N635" s="50">
        <v>2958465</v>
      </c>
      <c r="P635">
        <v>0</v>
      </c>
      <c r="U635">
        <v>4</v>
      </c>
      <c r="V635">
        <v>1</v>
      </c>
      <c r="W635" t="s">
        <v>132</v>
      </c>
      <c r="X635">
        <v>0</v>
      </c>
    </row>
    <row r="636" spans="1:24" x14ac:dyDescent="0.25">
      <c r="A636">
        <v>1</v>
      </c>
      <c r="B636" s="13">
        <v>590920300759</v>
      </c>
      <c r="C636">
        <v>30</v>
      </c>
      <c r="D636" s="13">
        <v>5957303007</v>
      </c>
      <c r="F636" t="s">
        <v>130</v>
      </c>
      <c r="G636">
        <v>0</v>
      </c>
      <c r="H636">
        <v>100</v>
      </c>
      <c r="K636">
        <v>1</v>
      </c>
      <c r="L636" t="s">
        <v>131</v>
      </c>
      <c r="M636" s="50">
        <v>44875</v>
      </c>
      <c r="N636" s="50">
        <v>2958465</v>
      </c>
      <c r="P636">
        <v>0</v>
      </c>
      <c r="U636">
        <v>4</v>
      </c>
      <c r="V636">
        <v>1</v>
      </c>
      <c r="W636" t="s">
        <v>132</v>
      </c>
      <c r="X636">
        <v>0</v>
      </c>
    </row>
    <row r="637" spans="1:24" x14ac:dyDescent="0.25">
      <c r="A637">
        <v>1</v>
      </c>
      <c r="B637" s="13">
        <v>590920300759</v>
      </c>
      <c r="C637">
        <v>40</v>
      </c>
      <c r="D637" s="13">
        <v>5957093007</v>
      </c>
      <c r="F637" t="s">
        <v>130</v>
      </c>
      <c r="G637">
        <v>0</v>
      </c>
      <c r="H637">
        <v>100</v>
      </c>
      <c r="K637">
        <v>1</v>
      </c>
      <c r="L637" t="s">
        <v>131</v>
      </c>
      <c r="M637" s="50">
        <v>44875</v>
      </c>
      <c r="N637" s="50">
        <v>2958465</v>
      </c>
      <c r="P637">
        <v>0</v>
      </c>
      <c r="U637">
        <v>4</v>
      </c>
      <c r="V637">
        <v>1</v>
      </c>
      <c r="W637" t="s">
        <v>132</v>
      </c>
      <c r="X637">
        <v>0</v>
      </c>
    </row>
    <row r="638" spans="1:24" x14ac:dyDescent="0.25">
      <c r="A638">
        <v>1</v>
      </c>
      <c r="B638" s="13">
        <v>590920300759</v>
      </c>
      <c r="C638">
        <v>50</v>
      </c>
      <c r="D638" s="13">
        <v>1018034</v>
      </c>
      <c r="F638" t="s">
        <v>130</v>
      </c>
      <c r="G638">
        <v>0</v>
      </c>
      <c r="H638">
        <v>100</v>
      </c>
      <c r="K638">
        <v>4</v>
      </c>
      <c r="L638" t="s">
        <v>131</v>
      </c>
      <c r="M638" s="50">
        <v>44875</v>
      </c>
      <c r="N638" s="50">
        <v>2958465</v>
      </c>
      <c r="P638">
        <v>0</v>
      </c>
      <c r="U638">
        <v>4</v>
      </c>
      <c r="V638">
        <v>1</v>
      </c>
      <c r="W638" t="s">
        <v>132</v>
      </c>
      <c r="X638">
        <v>0</v>
      </c>
    </row>
    <row r="639" spans="1:24" x14ac:dyDescent="0.25">
      <c r="A639">
        <v>1</v>
      </c>
      <c r="B639" s="13">
        <v>590920300759</v>
      </c>
      <c r="C639">
        <v>60</v>
      </c>
      <c r="D639" s="13">
        <v>1018359</v>
      </c>
      <c r="F639" t="s">
        <v>130</v>
      </c>
      <c r="G639">
        <v>0</v>
      </c>
      <c r="H639">
        <v>100</v>
      </c>
      <c r="K639">
        <v>10</v>
      </c>
      <c r="L639" t="s">
        <v>131</v>
      </c>
      <c r="M639" s="50">
        <v>44875</v>
      </c>
      <c r="N639" s="50">
        <v>2958465</v>
      </c>
      <c r="P639">
        <v>0</v>
      </c>
      <c r="U639">
        <v>4</v>
      </c>
      <c r="V639">
        <v>1</v>
      </c>
      <c r="W639" t="s">
        <v>132</v>
      </c>
      <c r="X639">
        <v>0</v>
      </c>
    </row>
    <row r="640" spans="1:24" x14ac:dyDescent="0.25">
      <c r="A640">
        <v>1</v>
      </c>
      <c r="B640" s="13">
        <v>590920300759</v>
      </c>
      <c r="C640">
        <v>70</v>
      </c>
      <c r="D640" s="13">
        <v>1022213</v>
      </c>
      <c r="F640" t="s">
        <v>130</v>
      </c>
      <c r="G640">
        <v>0</v>
      </c>
      <c r="H640">
        <v>100</v>
      </c>
      <c r="K640">
        <v>5.5919999999999996</v>
      </c>
      <c r="L640" t="s">
        <v>131</v>
      </c>
      <c r="M640" s="50">
        <v>44875</v>
      </c>
      <c r="N640" s="50">
        <v>2958465</v>
      </c>
      <c r="P640">
        <v>0</v>
      </c>
      <c r="U640">
        <v>4</v>
      </c>
      <c r="V640">
        <v>1</v>
      </c>
      <c r="W640" t="s">
        <v>132</v>
      </c>
      <c r="X640">
        <v>0</v>
      </c>
    </row>
    <row r="641" spans="1:24" x14ac:dyDescent="0.25">
      <c r="A641">
        <v>1</v>
      </c>
      <c r="B641" s="13">
        <v>590920300759</v>
      </c>
      <c r="C641">
        <v>80</v>
      </c>
      <c r="D641" s="13">
        <v>18102165659</v>
      </c>
      <c r="F641" t="s">
        <v>130</v>
      </c>
      <c r="G641">
        <v>0</v>
      </c>
      <c r="H641">
        <v>100</v>
      </c>
      <c r="K641">
        <v>1</v>
      </c>
      <c r="L641" t="s">
        <v>131</v>
      </c>
      <c r="M641" s="50">
        <v>44875</v>
      </c>
      <c r="N641" s="50">
        <v>2958465</v>
      </c>
      <c r="P641">
        <v>0</v>
      </c>
      <c r="U641">
        <v>4</v>
      </c>
      <c r="V641">
        <v>1</v>
      </c>
      <c r="W641" t="s">
        <v>132</v>
      </c>
      <c r="X641">
        <v>0</v>
      </c>
    </row>
    <row r="642" spans="1:24" x14ac:dyDescent="0.25">
      <c r="A642">
        <v>1</v>
      </c>
      <c r="B642" s="13">
        <v>590920300859</v>
      </c>
      <c r="C642">
        <v>10</v>
      </c>
      <c r="D642" s="13">
        <v>5957163008</v>
      </c>
      <c r="F642" t="s">
        <v>130</v>
      </c>
      <c r="G642">
        <v>0</v>
      </c>
      <c r="H642">
        <v>100</v>
      </c>
      <c r="K642">
        <v>2</v>
      </c>
      <c r="L642" t="s">
        <v>131</v>
      </c>
      <c r="M642" s="50">
        <v>44875</v>
      </c>
      <c r="N642" s="50">
        <v>2958465</v>
      </c>
      <c r="P642">
        <v>0</v>
      </c>
      <c r="U642">
        <v>4</v>
      </c>
      <c r="V642">
        <v>1</v>
      </c>
      <c r="W642" t="s">
        <v>132</v>
      </c>
      <c r="X642">
        <v>0</v>
      </c>
    </row>
    <row r="643" spans="1:24" x14ac:dyDescent="0.25">
      <c r="A643">
        <v>1</v>
      </c>
      <c r="B643" s="13">
        <v>590920300859</v>
      </c>
      <c r="C643">
        <v>20</v>
      </c>
      <c r="D643" s="13">
        <v>5957333008</v>
      </c>
      <c r="F643" t="s">
        <v>130</v>
      </c>
      <c r="G643">
        <v>0</v>
      </c>
      <c r="H643">
        <v>100</v>
      </c>
      <c r="K643">
        <v>1</v>
      </c>
      <c r="L643" t="s">
        <v>131</v>
      </c>
      <c r="M643" s="50">
        <v>44875</v>
      </c>
      <c r="N643" s="50">
        <v>2958465</v>
      </c>
      <c r="P643">
        <v>0</v>
      </c>
      <c r="U643">
        <v>4</v>
      </c>
      <c r="V643">
        <v>1</v>
      </c>
      <c r="W643" t="s">
        <v>132</v>
      </c>
      <c r="X643">
        <v>0</v>
      </c>
    </row>
    <row r="644" spans="1:24" x14ac:dyDescent="0.25">
      <c r="A644">
        <v>1</v>
      </c>
      <c r="B644" s="13">
        <v>590920300859</v>
      </c>
      <c r="C644">
        <v>30</v>
      </c>
      <c r="D644" s="13">
        <v>5957303008</v>
      </c>
      <c r="F644" t="s">
        <v>130</v>
      </c>
      <c r="G644">
        <v>0</v>
      </c>
      <c r="H644">
        <v>100</v>
      </c>
      <c r="K644">
        <v>1</v>
      </c>
      <c r="L644" t="s">
        <v>131</v>
      </c>
      <c r="M644" s="50">
        <v>44875</v>
      </c>
      <c r="N644" s="50">
        <v>2958465</v>
      </c>
      <c r="P644">
        <v>0</v>
      </c>
      <c r="U644">
        <v>4</v>
      </c>
      <c r="V644">
        <v>1</v>
      </c>
      <c r="W644" t="s">
        <v>132</v>
      </c>
      <c r="X644">
        <v>0</v>
      </c>
    </row>
    <row r="645" spans="1:24" x14ac:dyDescent="0.25">
      <c r="A645">
        <v>1</v>
      </c>
      <c r="B645" s="13">
        <v>590920300859</v>
      </c>
      <c r="C645">
        <v>40</v>
      </c>
      <c r="D645" s="13">
        <v>5957093008</v>
      </c>
      <c r="F645" t="s">
        <v>130</v>
      </c>
      <c r="G645">
        <v>0</v>
      </c>
      <c r="H645">
        <v>100</v>
      </c>
      <c r="K645">
        <v>1</v>
      </c>
      <c r="L645" t="s">
        <v>131</v>
      </c>
      <c r="M645" s="50">
        <v>44875</v>
      </c>
      <c r="N645" s="50">
        <v>2958465</v>
      </c>
      <c r="P645">
        <v>0</v>
      </c>
      <c r="U645">
        <v>4</v>
      </c>
      <c r="V645">
        <v>1</v>
      </c>
      <c r="W645" t="s">
        <v>132</v>
      </c>
      <c r="X645">
        <v>0</v>
      </c>
    </row>
    <row r="646" spans="1:24" x14ac:dyDescent="0.25">
      <c r="A646">
        <v>1</v>
      </c>
      <c r="B646" s="13">
        <v>590920300859</v>
      </c>
      <c r="C646">
        <v>50</v>
      </c>
      <c r="D646" s="13">
        <v>1018034</v>
      </c>
      <c r="F646" t="s">
        <v>130</v>
      </c>
      <c r="G646">
        <v>0</v>
      </c>
      <c r="H646">
        <v>100</v>
      </c>
      <c r="K646">
        <v>4</v>
      </c>
      <c r="L646" t="s">
        <v>131</v>
      </c>
      <c r="M646" s="50">
        <v>44875</v>
      </c>
      <c r="N646" s="50">
        <v>2958465</v>
      </c>
      <c r="P646">
        <v>0</v>
      </c>
      <c r="U646">
        <v>4</v>
      </c>
      <c r="V646">
        <v>1</v>
      </c>
      <c r="W646" t="s">
        <v>132</v>
      </c>
      <c r="X646">
        <v>0</v>
      </c>
    </row>
    <row r="647" spans="1:24" x14ac:dyDescent="0.25">
      <c r="A647">
        <v>1</v>
      </c>
      <c r="B647" s="13">
        <v>590920300859</v>
      </c>
      <c r="C647">
        <v>60</v>
      </c>
      <c r="D647" s="13">
        <v>1022356</v>
      </c>
      <c r="F647" t="s">
        <v>130</v>
      </c>
      <c r="G647">
        <v>0</v>
      </c>
      <c r="H647">
        <v>100</v>
      </c>
      <c r="K647">
        <v>10</v>
      </c>
      <c r="L647" t="s">
        <v>131</v>
      </c>
      <c r="M647" s="50">
        <v>44875</v>
      </c>
      <c r="N647" s="50">
        <v>2958465</v>
      </c>
      <c r="P647">
        <v>0</v>
      </c>
      <c r="U647">
        <v>4</v>
      </c>
      <c r="V647">
        <v>1</v>
      </c>
      <c r="W647" t="s">
        <v>132</v>
      </c>
      <c r="X647">
        <v>0</v>
      </c>
    </row>
    <row r="648" spans="1:24" x14ac:dyDescent="0.25">
      <c r="A648">
        <v>1</v>
      </c>
      <c r="B648" s="13">
        <v>590920300859</v>
      </c>
      <c r="C648">
        <v>70</v>
      </c>
      <c r="D648" s="13">
        <v>1022213</v>
      </c>
      <c r="F648" t="s">
        <v>130</v>
      </c>
      <c r="G648">
        <v>0</v>
      </c>
      <c r="H648">
        <v>100</v>
      </c>
      <c r="K648">
        <v>5.5919999999999996</v>
      </c>
      <c r="L648" t="s">
        <v>131</v>
      </c>
      <c r="M648" s="50">
        <v>44875</v>
      </c>
      <c r="N648" s="50">
        <v>2958465</v>
      </c>
      <c r="P648">
        <v>0</v>
      </c>
      <c r="U648">
        <v>4</v>
      </c>
      <c r="V648">
        <v>1</v>
      </c>
      <c r="W648" t="s">
        <v>132</v>
      </c>
      <c r="X648">
        <v>0</v>
      </c>
    </row>
    <row r="649" spans="1:24" x14ac:dyDescent="0.25">
      <c r="A649">
        <v>1</v>
      </c>
      <c r="B649" s="13">
        <v>590920300859</v>
      </c>
      <c r="C649">
        <v>80</v>
      </c>
      <c r="D649" s="13">
        <v>18102165659</v>
      </c>
      <c r="F649" t="s">
        <v>130</v>
      </c>
      <c r="G649">
        <v>0</v>
      </c>
      <c r="H649">
        <v>100</v>
      </c>
      <c r="K649">
        <v>1</v>
      </c>
      <c r="L649" t="s">
        <v>131</v>
      </c>
      <c r="M649" s="50">
        <v>44875</v>
      </c>
      <c r="N649" s="50">
        <v>2958465</v>
      </c>
      <c r="P649">
        <v>0</v>
      </c>
      <c r="U649">
        <v>4</v>
      </c>
      <c r="V649">
        <v>1</v>
      </c>
      <c r="W649" t="s">
        <v>132</v>
      </c>
      <c r="X649">
        <v>0</v>
      </c>
    </row>
    <row r="650" spans="1:24" x14ac:dyDescent="0.25">
      <c r="A650">
        <v>1</v>
      </c>
      <c r="B650" s="13">
        <v>590920301059</v>
      </c>
      <c r="C650">
        <v>10</v>
      </c>
      <c r="D650" s="13">
        <v>5957163010</v>
      </c>
      <c r="F650" t="s">
        <v>130</v>
      </c>
      <c r="G650">
        <v>0</v>
      </c>
      <c r="H650">
        <v>100</v>
      </c>
      <c r="K650">
        <v>2</v>
      </c>
      <c r="L650" t="s">
        <v>131</v>
      </c>
      <c r="M650" s="50">
        <v>44875</v>
      </c>
      <c r="N650" s="50">
        <v>2958465</v>
      </c>
      <c r="P650">
        <v>0</v>
      </c>
      <c r="U650">
        <v>4</v>
      </c>
      <c r="V650">
        <v>1</v>
      </c>
      <c r="W650" t="s">
        <v>132</v>
      </c>
      <c r="X650">
        <v>0</v>
      </c>
    </row>
    <row r="651" spans="1:24" x14ac:dyDescent="0.25">
      <c r="A651">
        <v>1</v>
      </c>
      <c r="B651" s="13">
        <v>590920301059</v>
      </c>
      <c r="C651">
        <v>20</v>
      </c>
      <c r="D651" s="13">
        <v>5957333010</v>
      </c>
      <c r="F651" t="s">
        <v>130</v>
      </c>
      <c r="G651">
        <v>0</v>
      </c>
      <c r="H651">
        <v>100</v>
      </c>
      <c r="K651">
        <v>1</v>
      </c>
      <c r="L651" t="s">
        <v>131</v>
      </c>
      <c r="M651" s="50">
        <v>44875</v>
      </c>
      <c r="N651" s="50">
        <v>2958465</v>
      </c>
      <c r="P651">
        <v>0</v>
      </c>
      <c r="U651">
        <v>4</v>
      </c>
      <c r="V651">
        <v>1</v>
      </c>
      <c r="W651" t="s">
        <v>132</v>
      </c>
      <c r="X651">
        <v>0</v>
      </c>
    </row>
    <row r="652" spans="1:24" x14ac:dyDescent="0.25">
      <c r="A652">
        <v>1</v>
      </c>
      <c r="B652" s="13">
        <v>590920301059</v>
      </c>
      <c r="C652">
        <v>30</v>
      </c>
      <c r="D652" s="13">
        <v>5957303010</v>
      </c>
      <c r="F652" t="s">
        <v>130</v>
      </c>
      <c r="G652">
        <v>0</v>
      </c>
      <c r="H652">
        <v>100</v>
      </c>
      <c r="K652">
        <v>1</v>
      </c>
      <c r="L652" t="s">
        <v>131</v>
      </c>
      <c r="M652" s="50">
        <v>44875</v>
      </c>
      <c r="N652" s="50">
        <v>2958465</v>
      </c>
      <c r="P652">
        <v>0</v>
      </c>
      <c r="U652">
        <v>4</v>
      </c>
      <c r="V652">
        <v>1</v>
      </c>
      <c r="W652" t="s">
        <v>132</v>
      </c>
      <c r="X652">
        <v>0</v>
      </c>
    </row>
    <row r="653" spans="1:24" x14ac:dyDescent="0.25">
      <c r="A653">
        <v>1</v>
      </c>
      <c r="B653" s="13">
        <v>590920301059</v>
      </c>
      <c r="C653">
        <v>40</v>
      </c>
      <c r="D653" s="13">
        <v>5957093010</v>
      </c>
      <c r="F653" t="s">
        <v>130</v>
      </c>
      <c r="G653">
        <v>0</v>
      </c>
      <c r="H653">
        <v>100</v>
      </c>
      <c r="K653">
        <v>1</v>
      </c>
      <c r="L653" t="s">
        <v>131</v>
      </c>
      <c r="M653" s="50">
        <v>44875</v>
      </c>
      <c r="N653" s="50">
        <v>2958465</v>
      </c>
      <c r="P653">
        <v>0</v>
      </c>
      <c r="U653">
        <v>4</v>
      </c>
      <c r="V653">
        <v>1</v>
      </c>
      <c r="W653" t="s">
        <v>132</v>
      </c>
      <c r="X653">
        <v>0</v>
      </c>
    </row>
    <row r="654" spans="1:24" x14ac:dyDescent="0.25">
      <c r="A654">
        <v>1</v>
      </c>
      <c r="B654" s="13">
        <v>590920301059</v>
      </c>
      <c r="C654">
        <v>50</v>
      </c>
      <c r="D654" s="13">
        <v>1018034</v>
      </c>
      <c r="F654" t="s">
        <v>130</v>
      </c>
      <c r="G654">
        <v>0</v>
      </c>
      <c r="H654">
        <v>100</v>
      </c>
      <c r="K654">
        <v>4</v>
      </c>
      <c r="L654" t="s">
        <v>131</v>
      </c>
      <c r="M654" s="50">
        <v>44875</v>
      </c>
      <c r="N654" s="50">
        <v>2958465</v>
      </c>
      <c r="P654">
        <v>0</v>
      </c>
      <c r="U654">
        <v>4</v>
      </c>
      <c r="V654">
        <v>1</v>
      </c>
      <c r="W654" t="s">
        <v>132</v>
      </c>
      <c r="X654">
        <v>0</v>
      </c>
    </row>
    <row r="655" spans="1:24" x14ac:dyDescent="0.25">
      <c r="A655">
        <v>1</v>
      </c>
      <c r="B655" s="13">
        <v>590920301059</v>
      </c>
      <c r="C655">
        <v>60</v>
      </c>
      <c r="D655" s="13">
        <v>1018359</v>
      </c>
      <c r="F655" t="s">
        <v>130</v>
      </c>
      <c r="G655">
        <v>0</v>
      </c>
      <c r="H655">
        <v>100</v>
      </c>
      <c r="K655">
        <v>10</v>
      </c>
      <c r="L655" t="s">
        <v>131</v>
      </c>
      <c r="M655" s="50">
        <v>44875</v>
      </c>
      <c r="N655" s="50">
        <v>2958465</v>
      </c>
      <c r="P655">
        <v>0</v>
      </c>
      <c r="U655">
        <v>4</v>
      </c>
      <c r="V655">
        <v>1</v>
      </c>
      <c r="W655" t="s">
        <v>132</v>
      </c>
      <c r="X655">
        <v>0</v>
      </c>
    </row>
    <row r="656" spans="1:24" x14ac:dyDescent="0.25">
      <c r="A656">
        <v>1</v>
      </c>
      <c r="B656" s="13">
        <v>590920301059</v>
      </c>
      <c r="C656">
        <v>70</v>
      </c>
      <c r="D656" s="13">
        <v>1022213</v>
      </c>
      <c r="F656" t="s">
        <v>130</v>
      </c>
      <c r="G656">
        <v>0</v>
      </c>
      <c r="H656">
        <v>100</v>
      </c>
      <c r="K656">
        <v>5.5919999999999996</v>
      </c>
      <c r="L656" t="s">
        <v>131</v>
      </c>
      <c r="M656" s="50">
        <v>44875</v>
      </c>
      <c r="N656" s="50">
        <v>2958465</v>
      </c>
      <c r="P656">
        <v>0</v>
      </c>
      <c r="U656">
        <v>4</v>
      </c>
      <c r="V656">
        <v>1</v>
      </c>
      <c r="W656" t="s">
        <v>132</v>
      </c>
      <c r="X656">
        <v>0</v>
      </c>
    </row>
    <row r="657" spans="1:24" x14ac:dyDescent="0.25">
      <c r="A657">
        <v>1</v>
      </c>
      <c r="B657" s="13">
        <v>590920301059</v>
      </c>
      <c r="C657">
        <v>80</v>
      </c>
      <c r="D657" s="13">
        <v>18102165659</v>
      </c>
      <c r="F657" t="s">
        <v>130</v>
      </c>
      <c r="G657">
        <v>0</v>
      </c>
      <c r="H657">
        <v>100</v>
      </c>
      <c r="K657">
        <v>1</v>
      </c>
      <c r="L657" t="s">
        <v>131</v>
      </c>
      <c r="M657" s="50">
        <v>44875</v>
      </c>
      <c r="N657" s="50">
        <v>2958465</v>
      </c>
      <c r="P657">
        <v>0</v>
      </c>
      <c r="U657">
        <v>4</v>
      </c>
      <c r="V657">
        <v>1</v>
      </c>
      <c r="W657" t="s">
        <v>132</v>
      </c>
      <c r="X657">
        <v>0</v>
      </c>
    </row>
    <row r="658" spans="1:24" x14ac:dyDescent="0.25">
      <c r="A658">
        <v>1</v>
      </c>
      <c r="B658" s="13">
        <v>590920300060</v>
      </c>
      <c r="C658">
        <v>10</v>
      </c>
      <c r="D658" s="13">
        <v>5957163099</v>
      </c>
      <c r="F658" t="s">
        <v>130</v>
      </c>
      <c r="G658">
        <v>0</v>
      </c>
      <c r="H658">
        <v>100</v>
      </c>
      <c r="K658">
        <v>2</v>
      </c>
      <c r="L658" t="s">
        <v>131</v>
      </c>
      <c r="M658" s="50">
        <v>44875</v>
      </c>
      <c r="N658" s="50">
        <v>2958465</v>
      </c>
      <c r="P658">
        <v>0</v>
      </c>
      <c r="U658">
        <v>4</v>
      </c>
      <c r="V658">
        <v>1</v>
      </c>
      <c r="W658" t="s">
        <v>132</v>
      </c>
      <c r="X658">
        <v>0</v>
      </c>
    </row>
    <row r="659" spans="1:24" x14ac:dyDescent="0.25">
      <c r="A659">
        <v>1</v>
      </c>
      <c r="B659" s="13">
        <v>590920300060</v>
      </c>
      <c r="C659">
        <v>20</v>
      </c>
      <c r="D659" s="13">
        <v>5957333099</v>
      </c>
      <c r="F659" t="s">
        <v>130</v>
      </c>
      <c r="G659">
        <v>0</v>
      </c>
      <c r="H659">
        <v>100</v>
      </c>
      <c r="K659">
        <v>1</v>
      </c>
      <c r="L659" t="s">
        <v>131</v>
      </c>
      <c r="M659" s="50">
        <v>44875</v>
      </c>
      <c r="N659" s="50">
        <v>2958465</v>
      </c>
      <c r="P659">
        <v>0</v>
      </c>
      <c r="U659">
        <v>4</v>
      </c>
      <c r="V659">
        <v>1</v>
      </c>
      <c r="W659" t="s">
        <v>132</v>
      </c>
      <c r="X659">
        <v>0</v>
      </c>
    </row>
    <row r="660" spans="1:24" x14ac:dyDescent="0.25">
      <c r="A660">
        <v>1</v>
      </c>
      <c r="B660" s="13">
        <v>590920300060</v>
      </c>
      <c r="C660">
        <v>30</v>
      </c>
      <c r="D660" s="13">
        <v>5957303099</v>
      </c>
      <c r="F660" t="s">
        <v>130</v>
      </c>
      <c r="G660">
        <v>0</v>
      </c>
      <c r="H660">
        <v>100</v>
      </c>
      <c r="K660">
        <v>1</v>
      </c>
      <c r="L660" t="s">
        <v>131</v>
      </c>
      <c r="M660" s="50">
        <v>44875</v>
      </c>
      <c r="N660" s="50">
        <v>2958465</v>
      </c>
      <c r="P660">
        <v>0</v>
      </c>
      <c r="U660">
        <v>4</v>
      </c>
      <c r="V660">
        <v>1</v>
      </c>
      <c r="W660" t="s">
        <v>132</v>
      </c>
      <c r="X660">
        <v>0</v>
      </c>
    </row>
    <row r="661" spans="1:24" x14ac:dyDescent="0.25">
      <c r="A661">
        <v>1</v>
      </c>
      <c r="B661" s="13">
        <v>590920300060</v>
      </c>
      <c r="C661">
        <v>40</v>
      </c>
      <c r="D661" s="13">
        <v>1022219</v>
      </c>
      <c r="F661" t="s">
        <v>130</v>
      </c>
      <c r="G661">
        <v>0</v>
      </c>
      <c r="H661">
        <v>100</v>
      </c>
      <c r="K661">
        <v>1</v>
      </c>
      <c r="L661" t="s">
        <v>131</v>
      </c>
      <c r="M661" s="50">
        <v>44875</v>
      </c>
      <c r="N661" s="50">
        <v>2958465</v>
      </c>
      <c r="P661">
        <v>0</v>
      </c>
      <c r="U661">
        <v>4</v>
      </c>
      <c r="V661">
        <v>1</v>
      </c>
      <c r="W661" t="s">
        <v>132</v>
      </c>
      <c r="X661">
        <v>0</v>
      </c>
    </row>
    <row r="662" spans="1:24" x14ac:dyDescent="0.25">
      <c r="A662">
        <v>1</v>
      </c>
      <c r="B662" s="13">
        <v>590920300060</v>
      </c>
      <c r="C662">
        <v>50</v>
      </c>
      <c r="D662" s="13">
        <v>1018034</v>
      </c>
      <c r="F662" t="s">
        <v>130</v>
      </c>
      <c r="G662">
        <v>0</v>
      </c>
      <c r="H662">
        <v>100</v>
      </c>
      <c r="K662">
        <v>4</v>
      </c>
      <c r="L662" t="s">
        <v>131</v>
      </c>
      <c r="M662" s="50">
        <v>44875</v>
      </c>
      <c r="N662" s="50">
        <v>2958465</v>
      </c>
      <c r="P662">
        <v>0</v>
      </c>
      <c r="U662">
        <v>4</v>
      </c>
      <c r="V662">
        <v>1</v>
      </c>
      <c r="W662" t="s">
        <v>132</v>
      </c>
      <c r="X662">
        <v>0</v>
      </c>
    </row>
    <row r="663" spans="1:24" x14ac:dyDescent="0.25">
      <c r="A663">
        <v>1</v>
      </c>
      <c r="B663" s="13">
        <v>590920300060</v>
      </c>
      <c r="C663">
        <v>60</v>
      </c>
      <c r="D663" s="13">
        <v>1018359</v>
      </c>
      <c r="F663" t="s">
        <v>130</v>
      </c>
      <c r="G663">
        <v>0</v>
      </c>
      <c r="H663">
        <v>100</v>
      </c>
      <c r="K663">
        <v>10</v>
      </c>
      <c r="L663" t="s">
        <v>131</v>
      </c>
      <c r="M663" s="50">
        <v>44875</v>
      </c>
      <c r="N663" s="50">
        <v>2958465</v>
      </c>
      <c r="P663">
        <v>0</v>
      </c>
      <c r="U663">
        <v>4</v>
      </c>
      <c r="V663">
        <v>1</v>
      </c>
      <c r="W663" t="s">
        <v>132</v>
      </c>
      <c r="X663">
        <v>0</v>
      </c>
    </row>
    <row r="664" spans="1:24" x14ac:dyDescent="0.25">
      <c r="A664">
        <v>1</v>
      </c>
      <c r="B664" s="13">
        <v>590920300060</v>
      </c>
      <c r="C664">
        <v>70</v>
      </c>
      <c r="D664" s="13">
        <v>1022213</v>
      </c>
      <c r="F664" t="s">
        <v>130</v>
      </c>
      <c r="G664">
        <v>0</v>
      </c>
      <c r="H664">
        <v>100</v>
      </c>
      <c r="K664">
        <v>5.5919999999999996</v>
      </c>
      <c r="L664" t="s">
        <v>131</v>
      </c>
      <c r="M664" s="50">
        <v>44875</v>
      </c>
      <c r="N664" s="50">
        <v>2958465</v>
      </c>
      <c r="P664">
        <v>0</v>
      </c>
      <c r="U664">
        <v>4</v>
      </c>
      <c r="V664">
        <v>1</v>
      </c>
      <c r="W664" t="s">
        <v>132</v>
      </c>
      <c r="X664">
        <v>0</v>
      </c>
    </row>
    <row r="665" spans="1:24" x14ac:dyDescent="0.25">
      <c r="A665">
        <v>1</v>
      </c>
      <c r="B665" s="13">
        <v>590920300060</v>
      </c>
      <c r="C665">
        <v>80</v>
      </c>
      <c r="D665" s="13">
        <v>12165660</v>
      </c>
      <c r="F665" t="s">
        <v>130</v>
      </c>
      <c r="G665">
        <v>0</v>
      </c>
      <c r="H665">
        <v>100</v>
      </c>
      <c r="K665">
        <v>1</v>
      </c>
      <c r="L665" t="s">
        <v>131</v>
      </c>
      <c r="M665" s="50">
        <v>44875</v>
      </c>
      <c r="N665" s="50">
        <v>2958465</v>
      </c>
      <c r="P665">
        <v>0</v>
      </c>
      <c r="U665">
        <v>4</v>
      </c>
      <c r="V665">
        <v>1</v>
      </c>
      <c r="W665" t="s">
        <v>132</v>
      </c>
      <c r="X665">
        <v>0</v>
      </c>
    </row>
    <row r="666" spans="1:24" x14ac:dyDescent="0.25">
      <c r="A666">
        <v>1</v>
      </c>
      <c r="B666" s="13">
        <v>590920300260</v>
      </c>
      <c r="C666">
        <v>10</v>
      </c>
      <c r="D666" s="13">
        <v>5957163002</v>
      </c>
      <c r="F666" t="s">
        <v>130</v>
      </c>
      <c r="G666">
        <v>0</v>
      </c>
      <c r="H666">
        <v>100</v>
      </c>
      <c r="K666">
        <v>2</v>
      </c>
      <c r="L666" t="s">
        <v>131</v>
      </c>
      <c r="M666" s="50">
        <v>44875</v>
      </c>
      <c r="N666" s="50">
        <v>2958465</v>
      </c>
      <c r="P666">
        <v>0</v>
      </c>
      <c r="U666">
        <v>4</v>
      </c>
      <c r="V666">
        <v>1</v>
      </c>
      <c r="W666" t="s">
        <v>132</v>
      </c>
      <c r="X666">
        <v>0</v>
      </c>
    </row>
    <row r="667" spans="1:24" x14ac:dyDescent="0.25">
      <c r="A667">
        <v>1</v>
      </c>
      <c r="B667" s="13">
        <v>590920300260</v>
      </c>
      <c r="C667">
        <v>20</v>
      </c>
      <c r="D667" s="13">
        <v>5957333002</v>
      </c>
      <c r="F667" t="s">
        <v>130</v>
      </c>
      <c r="G667">
        <v>0</v>
      </c>
      <c r="H667">
        <v>100</v>
      </c>
      <c r="K667">
        <v>1</v>
      </c>
      <c r="L667" t="s">
        <v>131</v>
      </c>
      <c r="M667" s="50">
        <v>44875</v>
      </c>
      <c r="N667" s="50">
        <v>2958465</v>
      </c>
      <c r="P667">
        <v>0</v>
      </c>
      <c r="U667">
        <v>4</v>
      </c>
      <c r="V667">
        <v>1</v>
      </c>
      <c r="W667" t="s">
        <v>132</v>
      </c>
      <c r="X667">
        <v>0</v>
      </c>
    </row>
    <row r="668" spans="1:24" x14ac:dyDescent="0.25">
      <c r="A668">
        <v>1</v>
      </c>
      <c r="B668" s="13">
        <v>590920300260</v>
      </c>
      <c r="C668">
        <v>30</v>
      </c>
      <c r="D668" s="13">
        <v>5957303002</v>
      </c>
      <c r="F668" t="s">
        <v>130</v>
      </c>
      <c r="G668">
        <v>0</v>
      </c>
      <c r="H668">
        <v>100</v>
      </c>
      <c r="K668">
        <v>1</v>
      </c>
      <c r="L668" t="s">
        <v>131</v>
      </c>
      <c r="M668" s="50">
        <v>44875</v>
      </c>
      <c r="N668" s="50">
        <v>2958465</v>
      </c>
      <c r="P668">
        <v>0</v>
      </c>
      <c r="U668">
        <v>4</v>
      </c>
      <c r="V668">
        <v>1</v>
      </c>
      <c r="W668" t="s">
        <v>132</v>
      </c>
      <c r="X668">
        <v>0</v>
      </c>
    </row>
    <row r="669" spans="1:24" x14ac:dyDescent="0.25">
      <c r="A669">
        <v>1</v>
      </c>
      <c r="B669" s="13">
        <v>590920300260</v>
      </c>
      <c r="C669">
        <v>40</v>
      </c>
      <c r="D669" s="13">
        <v>5957093002</v>
      </c>
      <c r="F669" t="s">
        <v>130</v>
      </c>
      <c r="G669">
        <v>0</v>
      </c>
      <c r="H669">
        <v>100</v>
      </c>
      <c r="K669">
        <v>1</v>
      </c>
      <c r="L669" t="s">
        <v>131</v>
      </c>
      <c r="M669" s="50">
        <v>44875</v>
      </c>
      <c r="N669" s="50">
        <v>2958465</v>
      </c>
      <c r="P669">
        <v>0</v>
      </c>
      <c r="U669">
        <v>4</v>
      </c>
      <c r="V669">
        <v>1</v>
      </c>
      <c r="W669" t="s">
        <v>132</v>
      </c>
      <c r="X669">
        <v>0</v>
      </c>
    </row>
    <row r="670" spans="1:24" x14ac:dyDescent="0.25">
      <c r="A670">
        <v>1</v>
      </c>
      <c r="B670" s="13">
        <v>590920300260</v>
      </c>
      <c r="C670">
        <v>50</v>
      </c>
      <c r="D670" s="13">
        <v>1018034</v>
      </c>
      <c r="F670" t="s">
        <v>130</v>
      </c>
      <c r="G670">
        <v>0</v>
      </c>
      <c r="H670">
        <v>100</v>
      </c>
      <c r="K670">
        <v>4</v>
      </c>
      <c r="L670" t="s">
        <v>131</v>
      </c>
      <c r="M670" s="50">
        <v>44875</v>
      </c>
      <c r="N670" s="50">
        <v>2958465</v>
      </c>
      <c r="P670">
        <v>0</v>
      </c>
      <c r="U670">
        <v>4</v>
      </c>
      <c r="V670">
        <v>1</v>
      </c>
      <c r="W670" t="s">
        <v>132</v>
      </c>
      <c r="X670">
        <v>0</v>
      </c>
    </row>
    <row r="671" spans="1:24" x14ac:dyDescent="0.25">
      <c r="A671">
        <v>1</v>
      </c>
      <c r="B671" s="13">
        <v>590920300260</v>
      </c>
      <c r="C671">
        <v>60</v>
      </c>
      <c r="D671" s="13">
        <v>1022356</v>
      </c>
      <c r="F671" t="s">
        <v>130</v>
      </c>
      <c r="G671">
        <v>0</v>
      </c>
      <c r="H671">
        <v>100</v>
      </c>
      <c r="K671">
        <v>10</v>
      </c>
      <c r="L671" t="s">
        <v>131</v>
      </c>
      <c r="M671" s="50">
        <v>44875</v>
      </c>
      <c r="N671" s="50">
        <v>2958465</v>
      </c>
      <c r="P671">
        <v>0</v>
      </c>
      <c r="U671">
        <v>4</v>
      </c>
      <c r="V671">
        <v>1</v>
      </c>
      <c r="W671" t="s">
        <v>132</v>
      </c>
      <c r="X671">
        <v>0</v>
      </c>
    </row>
    <row r="672" spans="1:24" x14ac:dyDescent="0.25">
      <c r="A672">
        <v>1</v>
      </c>
      <c r="B672" s="13">
        <v>590920300260</v>
      </c>
      <c r="C672">
        <v>70</v>
      </c>
      <c r="D672" s="13">
        <v>1022213</v>
      </c>
      <c r="F672" t="s">
        <v>130</v>
      </c>
      <c r="G672">
        <v>0</v>
      </c>
      <c r="H672">
        <v>100</v>
      </c>
      <c r="K672">
        <v>5.5919999999999996</v>
      </c>
      <c r="L672" t="s">
        <v>131</v>
      </c>
      <c r="M672" s="50">
        <v>44875</v>
      </c>
      <c r="N672" s="50">
        <v>2958465</v>
      </c>
      <c r="P672">
        <v>0</v>
      </c>
      <c r="U672">
        <v>4</v>
      </c>
      <c r="V672">
        <v>1</v>
      </c>
      <c r="W672" t="s">
        <v>132</v>
      </c>
      <c r="X672">
        <v>0</v>
      </c>
    </row>
    <row r="673" spans="1:24" x14ac:dyDescent="0.25">
      <c r="A673">
        <v>1</v>
      </c>
      <c r="B673" s="13">
        <v>590920300260</v>
      </c>
      <c r="C673">
        <v>80</v>
      </c>
      <c r="D673" s="13">
        <v>12165660</v>
      </c>
      <c r="F673" t="s">
        <v>130</v>
      </c>
      <c r="G673">
        <v>0</v>
      </c>
      <c r="H673">
        <v>100</v>
      </c>
      <c r="K673">
        <v>1</v>
      </c>
      <c r="L673" t="s">
        <v>131</v>
      </c>
      <c r="M673" s="50">
        <v>44875</v>
      </c>
      <c r="N673" s="50">
        <v>2958465</v>
      </c>
      <c r="P673">
        <v>0</v>
      </c>
      <c r="U673">
        <v>4</v>
      </c>
      <c r="V673">
        <v>1</v>
      </c>
      <c r="W673" t="s">
        <v>132</v>
      </c>
      <c r="X673">
        <v>0</v>
      </c>
    </row>
    <row r="674" spans="1:24" x14ac:dyDescent="0.25">
      <c r="A674">
        <v>1</v>
      </c>
      <c r="B674" s="13">
        <v>590920300460</v>
      </c>
      <c r="C674">
        <v>10</v>
      </c>
      <c r="D674" s="13">
        <v>5957163004</v>
      </c>
      <c r="F674" t="s">
        <v>130</v>
      </c>
      <c r="G674">
        <v>0</v>
      </c>
      <c r="H674">
        <v>100</v>
      </c>
      <c r="K674">
        <v>2</v>
      </c>
      <c r="L674" t="s">
        <v>131</v>
      </c>
      <c r="M674" s="50">
        <v>44875</v>
      </c>
      <c r="N674" s="50">
        <v>2958465</v>
      </c>
      <c r="P674">
        <v>0</v>
      </c>
      <c r="U674">
        <v>4</v>
      </c>
      <c r="V674">
        <v>1</v>
      </c>
      <c r="W674" t="s">
        <v>132</v>
      </c>
      <c r="X674">
        <v>0</v>
      </c>
    </row>
    <row r="675" spans="1:24" x14ac:dyDescent="0.25">
      <c r="A675">
        <v>1</v>
      </c>
      <c r="B675" s="13">
        <v>590920300460</v>
      </c>
      <c r="C675">
        <v>20</v>
      </c>
      <c r="D675" s="13">
        <v>5957333004</v>
      </c>
      <c r="F675" t="s">
        <v>130</v>
      </c>
      <c r="G675">
        <v>0</v>
      </c>
      <c r="H675">
        <v>100</v>
      </c>
      <c r="K675">
        <v>1</v>
      </c>
      <c r="L675" t="s">
        <v>131</v>
      </c>
      <c r="M675" s="50">
        <v>44875</v>
      </c>
      <c r="N675" s="50">
        <v>2958465</v>
      </c>
      <c r="P675">
        <v>0</v>
      </c>
      <c r="U675">
        <v>4</v>
      </c>
      <c r="V675">
        <v>1</v>
      </c>
      <c r="W675" t="s">
        <v>132</v>
      </c>
      <c r="X675">
        <v>0</v>
      </c>
    </row>
    <row r="676" spans="1:24" x14ac:dyDescent="0.25">
      <c r="A676">
        <v>1</v>
      </c>
      <c r="B676" s="13">
        <v>590920300460</v>
      </c>
      <c r="C676">
        <v>30</v>
      </c>
      <c r="D676" s="13">
        <v>5957303004</v>
      </c>
      <c r="F676" t="s">
        <v>130</v>
      </c>
      <c r="G676">
        <v>0</v>
      </c>
      <c r="H676">
        <v>100</v>
      </c>
      <c r="K676">
        <v>1</v>
      </c>
      <c r="L676" t="s">
        <v>131</v>
      </c>
      <c r="M676" s="50">
        <v>44875</v>
      </c>
      <c r="N676" s="50">
        <v>2958465</v>
      </c>
      <c r="P676">
        <v>0</v>
      </c>
      <c r="U676">
        <v>4</v>
      </c>
      <c r="V676">
        <v>1</v>
      </c>
      <c r="W676" t="s">
        <v>132</v>
      </c>
      <c r="X676">
        <v>0</v>
      </c>
    </row>
    <row r="677" spans="1:24" x14ac:dyDescent="0.25">
      <c r="A677">
        <v>1</v>
      </c>
      <c r="B677" s="13">
        <v>590920300460</v>
      </c>
      <c r="C677">
        <v>40</v>
      </c>
      <c r="D677" s="13">
        <v>5957093004</v>
      </c>
      <c r="F677" t="s">
        <v>130</v>
      </c>
      <c r="G677">
        <v>0</v>
      </c>
      <c r="H677">
        <v>100</v>
      </c>
      <c r="K677">
        <v>1</v>
      </c>
      <c r="L677" t="s">
        <v>131</v>
      </c>
      <c r="M677" s="50">
        <v>44875</v>
      </c>
      <c r="N677" s="50">
        <v>2958465</v>
      </c>
      <c r="P677">
        <v>0</v>
      </c>
      <c r="U677">
        <v>4</v>
      </c>
      <c r="V677">
        <v>1</v>
      </c>
      <c r="W677" t="s">
        <v>132</v>
      </c>
      <c r="X677">
        <v>0</v>
      </c>
    </row>
    <row r="678" spans="1:24" x14ac:dyDescent="0.25">
      <c r="A678">
        <v>1</v>
      </c>
      <c r="B678" s="13">
        <v>590920300460</v>
      </c>
      <c r="C678">
        <v>50</v>
      </c>
      <c r="D678" s="13">
        <v>1018034</v>
      </c>
      <c r="F678" t="s">
        <v>130</v>
      </c>
      <c r="G678">
        <v>0</v>
      </c>
      <c r="H678">
        <v>100</v>
      </c>
      <c r="K678">
        <v>4</v>
      </c>
      <c r="L678" t="s">
        <v>131</v>
      </c>
      <c r="M678" s="50">
        <v>44875</v>
      </c>
      <c r="N678" s="50">
        <v>2958465</v>
      </c>
      <c r="P678">
        <v>0</v>
      </c>
      <c r="U678">
        <v>4</v>
      </c>
      <c r="V678">
        <v>1</v>
      </c>
      <c r="W678" t="s">
        <v>132</v>
      </c>
      <c r="X678">
        <v>0</v>
      </c>
    </row>
    <row r="679" spans="1:24" x14ac:dyDescent="0.25">
      <c r="A679">
        <v>1</v>
      </c>
      <c r="B679" s="13">
        <v>590920300460</v>
      </c>
      <c r="C679">
        <v>60</v>
      </c>
      <c r="D679" s="13">
        <v>1022356</v>
      </c>
      <c r="F679" t="s">
        <v>130</v>
      </c>
      <c r="G679">
        <v>0</v>
      </c>
      <c r="H679">
        <v>100</v>
      </c>
      <c r="K679">
        <v>10</v>
      </c>
      <c r="L679" t="s">
        <v>131</v>
      </c>
      <c r="M679" s="50">
        <v>44875</v>
      </c>
      <c r="N679" s="50">
        <v>2958465</v>
      </c>
      <c r="P679">
        <v>0</v>
      </c>
      <c r="U679">
        <v>4</v>
      </c>
      <c r="V679">
        <v>1</v>
      </c>
      <c r="W679" t="s">
        <v>132</v>
      </c>
      <c r="X679">
        <v>0</v>
      </c>
    </row>
    <row r="680" spans="1:24" x14ac:dyDescent="0.25">
      <c r="A680">
        <v>1</v>
      </c>
      <c r="B680" s="13">
        <v>590920300460</v>
      </c>
      <c r="C680">
        <v>70</v>
      </c>
      <c r="D680" s="13">
        <v>1022213</v>
      </c>
      <c r="F680" t="s">
        <v>130</v>
      </c>
      <c r="G680">
        <v>0</v>
      </c>
      <c r="H680">
        <v>100</v>
      </c>
      <c r="K680">
        <v>5.5919999999999996</v>
      </c>
      <c r="L680" t="s">
        <v>131</v>
      </c>
      <c r="M680" s="50">
        <v>44875</v>
      </c>
      <c r="N680" s="50">
        <v>2958465</v>
      </c>
      <c r="P680">
        <v>0</v>
      </c>
      <c r="U680">
        <v>4</v>
      </c>
      <c r="V680">
        <v>1</v>
      </c>
      <c r="W680" t="s">
        <v>132</v>
      </c>
      <c r="X680">
        <v>0</v>
      </c>
    </row>
    <row r="681" spans="1:24" x14ac:dyDescent="0.25">
      <c r="A681">
        <v>1</v>
      </c>
      <c r="B681" s="13">
        <v>590920300460</v>
      </c>
      <c r="C681">
        <v>80</v>
      </c>
      <c r="D681" s="13">
        <v>12165660</v>
      </c>
      <c r="F681" t="s">
        <v>130</v>
      </c>
      <c r="G681">
        <v>0</v>
      </c>
      <c r="H681">
        <v>100</v>
      </c>
      <c r="K681">
        <v>1</v>
      </c>
      <c r="L681" t="s">
        <v>131</v>
      </c>
      <c r="M681" s="50">
        <v>44875</v>
      </c>
      <c r="N681" s="50">
        <v>2958465</v>
      </c>
      <c r="P681">
        <v>0</v>
      </c>
      <c r="U681">
        <v>4</v>
      </c>
      <c r="V681">
        <v>1</v>
      </c>
      <c r="W681" t="s">
        <v>132</v>
      </c>
      <c r="X681">
        <v>0</v>
      </c>
    </row>
    <row r="682" spans="1:24" x14ac:dyDescent="0.25">
      <c r="A682">
        <v>1</v>
      </c>
      <c r="B682" s="13">
        <v>590920300560</v>
      </c>
      <c r="C682">
        <v>10</v>
      </c>
      <c r="D682" s="13">
        <v>5957163005</v>
      </c>
      <c r="F682" t="s">
        <v>130</v>
      </c>
      <c r="G682">
        <v>0</v>
      </c>
      <c r="H682">
        <v>100</v>
      </c>
      <c r="K682">
        <v>2</v>
      </c>
      <c r="L682" t="s">
        <v>131</v>
      </c>
      <c r="M682" s="50">
        <v>44875</v>
      </c>
      <c r="N682" s="50">
        <v>2958465</v>
      </c>
      <c r="P682">
        <v>0</v>
      </c>
      <c r="U682">
        <v>4</v>
      </c>
      <c r="V682">
        <v>1</v>
      </c>
      <c r="W682" t="s">
        <v>132</v>
      </c>
      <c r="X682">
        <v>0</v>
      </c>
    </row>
    <row r="683" spans="1:24" x14ac:dyDescent="0.25">
      <c r="A683">
        <v>1</v>
      </c>
      <c r="B683" s="13">
        <v>590920300560</v>
      </c>
      <c r="C683">
        <v>20</v>
      </c>
      <c r="D683" s="13">
        <v>5957333005</v>
      </c>
      <c r="F683" t="s">
        <v>130</v>
      </c>
      <c r="G683">
        <v>0</v>
      </c>
      <c r="H683">
        <v>100</v>
      </c>
      <c r="K683">
        <v>1</v>
      </c>
      <c r="L683" t="s">
        <v>131</v>
      </c>
      <c r="M683" s="50">
        <v>44875</v>
      </c>
      <c r="N683" s="50">
        <v>2958465</v>
      </c>
      <c r="P683">
        <v>0</v>
      </c>
      <c r="U683">
        <v>4</v>
      </c>
      <c r="V683">
        <v>1</v>
      </c>
      <c r="W683" t="s">
        <v>132</v>
      </c>
      <c r="X683">
        <v>0</v>
      </c>
    </row>
    <row r="684" spans="1:24" x14ac:dyDescent="0.25">
      <c r="A684">
        <v>1</v>
      </c>
      <c r="B684" s="13">
        <v>590920300560</v>
      </c>
      <c r="C684">
        <v>30</v>
      </c>
      <c r="D684" s="13">
        <v>5957303005</v>
      </c>
      <c r="F684" t="s">
        <v>130</v>
      </c>
      <c r="G684">
        <v>0</v>
      </c>
      <c r="H684">
        <v>100</v>
      </c>
      <c r="K684">
        <v>1</v>
      </c>
      <c r="L684" t="s">
        <v>131</v>
      </c>
      <c r="M684" s="50">
        <v>44875</v>
      </c>
      <c r="N684" s="50">
        <v>2958465</v>
      </c>
      <c r="P684">
        <v>0</v>
      </c>
      <c r="U684">
        <v>4</v>
      </c>
      <c r="V684">
        <v>1</v>
      </c>
      <c r="W684" t="s">
        <v>132</v>
      </c>
      <c r="X684">
        <v>0</v>
      </c>
    </row>
    <row r="685" spans="1:24" x14ac:dyDescent="0.25">
      <c r="A685">
        <v>1</v>
      </c>
      <c r="B685" s="13">
        <v>590920300560</v>
      </c>
      <c r="C685">
        <v>40</v>
      </c>
      <c r="D685" s="13">
        <v>5957093005</v>
      </c>
      <c r="F685" t="s">
        <v>130</v>
      </c>
      <c r="G685">
        <v>0</v>
      </c>
      <c r="H685">
        <v>100</v>
      </c>
      <c r="K685">
        <v>1</v>
      </c>
      <c r="L685" t="s">
        <v>131</v>
      </c>
      <c r="M685" s="50">
        <v>44875</v>
      </c>
      <c r="N685" s="50">
        <v>2958465</v>
      </c>
      <c r="P685">
        <v>0</v>
      </c>
      <c r="U685">
        <v>4</v>
      </c>
      <c r="V685">
        <v>1</v>
      </c>
      <c r="W685" t="s">
        <v>132</v>
      </c>
      <c r="X685">
        <v>0</v>
      </c>
    </row>
    <row r="686" spans="1:24" x14ac:dyDescent="0.25">
      <c r="A686">
        <v>1</v>
      </c>
      <c r="B686" s="13">
        <v>590920300560</v>
      </c>
      <c r="C686">
        <v>50</v>
      </c>
      <c r="D686" s="13">
        <v>1018034</v>
      </c>
      <c r="F686" t="s">
        <v>130</v>
      </c>
      <c r="G686">
        <v>0</v>
      </c>
      <c r="H686">
        <v>100</v>
      </c>
      <c r="K686">
        <v>4</v>
      </c>
      <c r="L686" t="s">
        <v>131</v>
      </c>
      <c r="M686" s="50">
        <v>44875</v>
      </c>
      <c r="N686" s="50">
        <v>2958465</v>
      </c>
      <c r="P686">
        <v>0</v>
      </c>
      <c r="U686">
        <v>4</v>
      </c>
      <c r="V686">
        <v>1</v>
      </c>
      <c r="W686" t="s">
        <v>132</v>
      </c>
      <c r="X686">
        <v>0</v>
      </c>
    </row>
    <row r="687" spans="1:24" x14ac:dyDescent="0.25">
      <c r="A687">
        <v>1</v>
      </c>
      <c r="B687" s="13">
        <v>590920300560</v>
      </c>
      <c r="C687">
        <v>60</v>
      </c>
      <c r="D687" s="13">
        <v>1022356</v>
      </c>
      <c r="F687" t="s">
        <v>130</v>
      </c>
      <c r="G687">
        <v>0</v>
      </c>
      <c r="H687">
        <v>100</v>
      </c>
      <c r="K687">
        <v>10</v>
      </c>
      <c r="L687" t="s">
        <v>131</v>
      </c>
      <c r="M687" s="50">
        <v>44875</v>
      </c>
      <c r="N687" s="50">
        <v>2958465</v>
      </c>
      <c r="P687">
        <v>0</v>
      </c>
      <c r="U687">
        <v>4</v>
      </c>
      <c r="V687">
        <v>1</v>
      </c>
      <c r="W687" t="s">
        <v>132</v>
      </c>
      <c r="X687">
        <v>0</v>
      </c>
    </row>
    <row r="688" spans="1:24" x14ac:dyDescent="0.25">
      <c r="A688">
        <v>1</v>
      </c>
      <c r="B688" s="13">
        <v>590920300560</v>
      </c>
      <c r="C688">
        <v>70</v>
      </c>
      <c r="D688" s="13">
        <v>1022213</v>
      </c>
      <c r="F688" t="s">
        <v>130</v>
      </c>
      <c r="G688">
        <v>0</v>
      </c>
      <c r="H688">
        <v>100</v>
      </c>
      <c r="K688">
        <v>5.5919999999999996</v>
      </c>
      <c r="L688" t="s">
        <v>131</v>
      </c>
      <c r="M688" s="50">
        <v>44875</v>
      </c>
      <c r="N688" s="50">
        <v>2958465</v>
      </c>
      <c r="P688">
        <v>0</v>
      </c>
      <c r="U688">
        <v>4</v>
      </c>
      <c r="V688">
        <v>1</v>
      </c>
      <c r="W688" t="s">
        <v>132</v>
      </c>
      <c r="X688">
        <v>0</v>
      </c>
    </row>
    <row r="689" spans="1:24" x14ac:dyDescent="0.25">
      <c r="A689">
        <v>1</v>
      </c>
      <c r="B689" s="13">
        <v>590920300560</v>
      </c>
      <c r="C689">
        <v>80</v>
      </c>
      <c r="D689" s="13">
        <v>12165660</v>
      </c>
      <c r="F689" t="s">
        <v>130</v>
      </c>
      <c r="G689">
        <v>0</v>
      </c>
      <c r="H689">
        <v>100</v>
      </c>
      <c r="K689">
        <v>1</v>
      </c>
      <c r="L689" t="s">
        <v>131</v>
      </c>
      <c r="M689" s="50">
        <v>44875</v>
      </c>
      <c r="N689" s="50">
        <v>2958465</v>
      </c>
      <c r="P689">
        <v>0</v>
      </c>
      <c r="U689">
        <v>4</v>
      </c>
      <c r="V689">
        <v>1</v>
      </c>
      <c r="W689" t="s">
        <v>132</v>
      </c>
      <c r="X689">
        <v>0</v>
      </c>
    </row>
    <row r="690" spans="1:24" x14ac:dyDescent="0.25">
      <c r="A690">
        <v>1</v>
      </c>
      <c r="B690" s="13">
        <v>590920300660</v>
      </c>
      <c r="C690">
        <v>10</v>
      </c>
      <c r="D690" s="13">
        <v>5957163006</v>
      </c>
      <c r="F690" t="s">
        <v>130</v>
      </c>
      <c r="G690">
        <v>0</v>
      </c>
      <c r="H690">
        <v>100</v>
      </c>
      <c r="K690">
        <v>2</v>
      </c>
      <c r="L690" t="s">
        <v>131</v>
      </c>
      <c r="M690" s="50">
        <v>44875</v>
      </c>
      <c r="N690" s="50">
        <v>2958465</v>
      </c>
      <c r="P690">
        <v>0</v>
      </c>
      <c r="U690">
        <v>4</v>
      </c>
      <c r="V690">
        <v>1</v>
      </c>
      <c r="W690" t="s">
        <v>132</v>
      </c>
      <c r="X690">
        <v>0</v>
      </c>
    </row>
    <row r="691" spans="1:24" x14ac:dyDescent="0.25">
      <c r="A691">
        <v>1</v>
      </c>
      <c r="B691" s="13">
        <v>590920300660</v>
      </c>
      <c r="C691">
        <v>20</v>
      </c>
      <c r="D691" s="13">
        <v>5957333006</v>
      </c>
      <c r="F691" t="s">
        <v>130</v>
      </c>
      <c r="G691">
        <v>0</v>
      </c>
      <c r="H691">
        <v>100</v>
      </c>
      <c r="K691">
        <v>1</v>
      </c>
      <c r="L691" t="s">
        <v>131</v>
      </c>
      <c r="M691" s="50">
        <v>44875</v>
      </c>
      <c r="N691" s="50">
        <v>2958465</v>
      </c>
      <c r="P691">
        <v>0</v>
      </c>
      <c r="U691">
        <v>4</v>
      </c>
      <c r="V691">
        <v>1</v>
      </c>
      <c r="W691" t="s">
        <v>132</v>
      </c>
      <c r="X691">
        <v>0</v>
      </c>
    </row>
    <row r="692" spans="1:24" x14ac:dyDescent="0.25">
      <c r="A692">
        <v>1</v>
      </c>
      <c r="B692" s="13">
        <v>590920300660</v>
      </c>
      <c r="C692">
        <v>30</v>
      </c>
      <c r="D692" s="13">
        <v>5957303006</v>
      </c>
      <c r="F692" t="s">
        <v>130</v>
      </c>
      <c r="G692">
        <v>0</v>
      </c>
      <c r="H692">
        <v>100</v>
      </c>
      <c r="K692">
        <v>1</v>
      </c>
      <c r="L692" t="s">
        <v>131</v>
      </c>
      <c r="M692" s="50">
        <v>44875</v>
      </c>
      <c r="N692" s="50">
        <v>2958465</v>
      </c>
      <c r="P692">
        <v>0</v>
      </c>
      <c r="U692">
        <v>4</v>
      </c>
      <c r="V692">
        <v>1</v>
      </c>
      <c r="W692" t="s">
        <v>132</v>
      </c>
      <c r="X692">
        <v>0</v>
      </c>
    </row>
    <row r="693" spans="1:24" x14ac:dyDescent="0.25">
      <c r="A693">
        <v>1</v>
      </c>
      <c r="B693" s="13">
        <v>590920300660</v>
      </c>
      <c r="C693">
        <v>40</v>
      </c>
      <c r="D693" s="13">
        <v>5957093006</v>
      </c>
      <c r="F693" t="s">
        <v>130</v>
      </c>
      <c r="G693">
        <v>0</v>
      </c>
      <c r="H693">
        <v>100</v>
      </c>
      <c r="K693">
        <v>1</v>
      </c>
      <c r="L693" t="s">
        <v>131</v>
      </c>
      <c r="M693" s="50">
        <v>44875</v>
      </c>
      <c r="N693" s="50">
        <v>2958465</v>
      </c>
      <c r="P693">
        <v>0</v>
      </c>
      <c r="U693">
        <v>4</v>
      </c>
      <c r="V693">
        <v>1</v>
      </c>
      <c r="W693" t="s">
        <v>132</v>
      </c>
      <c r="X693">
        <v>0</v>
      </c>
    </row>
    <row r="694" spans="1:24" x14ac:dyDescent="0.25">
      <c r="A694">
        <v>1</v>
      </c>
      <c r="B694" s="13">
        <v>590920300660</v>
      </c>
      <c r="C694">
        <v>50</v>
      </c>
      <c r="D694" s="13">
        <v>1018034</v>
      </c>
      <c r="F694" t="s">
        <v>130</v>
      </c>
      <c r="G694">
        <v>0</v>
      </c>
      <c r="H694">
        <v>100</v>
      </c>
      <c r="K694">
        <v>4</v>
      </c>
      <c r="L694" t="s">
        <v>131</v>
      </c>
      <c r="M694" s="50">
        <v>44875</v>
      </c>
      <c r="N694" s="50">
        <v>2958465</v>
      </c>
      <c r="P694">
        <v>0</v>
      </c>
      <c r="U694">
        <v>4</v>
      </c>
      <c r="V694">
        <v>1</v>
      </c>
      <c r="W694" t="s">
        <v>132</v>
      </c>
      <c r="X694">
        <v>0</v>
      </c>
    </row>
    <row r="695" spans="1:24" x14ac:dyDescent="0.25">
      <c r="A695">
        <v>1</v>
      </c>
      <c r="B695" s="13">
        <v>590920300660</v>
      </c>
      <c r="C695">
        <v>60</v>
      </c>
      <c r="D695" s="13">
        <v>1018359</v>
      </c>
      <c r="F695" t="s">
        <v>130</v>
      </c>
      <c r="G695">
        <v>0</v>
      </c>
      <c r="H695">
        <v>100</v>
      </c>
      <c r="K695">
        <v>10</v>
      </c>
      <c r="L695" t="s">
        <v>131</v>
      </c>
      <c r="M695" s="50">
        <v>44875</v>
      </c>
      <c r="N695" s="50">
        <v>2958465</v>
      </c>
      <c r="P695">
        <v>0</v>
      </c>
      <c r="U695">
        <v>4</v>
      </c>
      <c r="V695">
        <v>1</v>
      </c>
      <c r="W695" t="s">
        <v>132</v>
      </c>
      <c r="X695">
        <v>0</v>
      </c>
    </row>
    <row r="696" spans="1:24" x14ac:dyDescent="0.25">
      <c r="A696">
        <v>1</v>
      </c>
      <c r="B696" s="13">
        <v>590920300660</v>
      </c>
      <c r="C696">
        <v>70</v>
      </c>
      <c r="D696" s="13">
        <v>1022213</v>
      </c>
      <c r="F696" t="s">
        <v>130</v>
      </c>
      <c r="G696">
        <v>0</v>
      </c>
      <c r="H696">
        <v>100</v>
      </c>
      <c r="K696">
        <v>5.5919999999999996</v>
      </c>
      <c r="L696" t="s">
        <v>131</v>
      </c>
      <c r="M696" s="50">
        <v>44875</v>
      </c>
      <c r="N696" s="50">
        <v>2958465</v>
      </c>
      <c r="P696">
        <v>0</v>
      </c>
      <c r="U696">
        <v>4</v>
      </c>
      <c r="V696">
        <v>1</v>
      </c>
      <c r="W696" t="s">
        <v>132</v>
      </c>
      <c r="X696">
        <v>0</v>
      </c>
    </row>
    <row r="697" spans="1:24" x14ac:dyDescent="0.25">
      <c r="A697">
        <v>1</v>
      </c>
      <c r="B697" s="13">
        <v>590920300660</v>
      </c>
      <c r="C697">
        <v>80</v>
      </c>
      <c r="D697" s="13">
        <v>12165660</v>
      </c>
      <c r="F697" t="s">
        <v>130</v>
      </c>
      <c r="G697">
        <v>0</v>
      </c>
      <c r="H697">
        <v>100</v>
      </c>
      <c r="K697">
        <v>1</v>
      </c>
      <c r="L697" t="s">
        <v>131</v>
      </c>
      <c r="M697" s="50">
        <v>44875</v>
      </c>
      <c r="N697" s="50">
        <v>2958465</v>
      </c>
      <c r="P697">
        <v>0</v>
      </c>
      <c r="U697">
        <v>4</v>
      </c>
      <c r="V697">
        <v>1</v>
      </c>
      <c r="W697" t="s">
        <v>132</v>
      </c>
      <c r="X697">
        <v>0</v>
      </c>
    </row>
    <row r="698" spans="1:24" x14ac:dyDescent="0.25">
      <c r="A698">
        <v>1</v>
      </c>
      <c r="B698" s="13">
        <v>590920300860</v>
      </c>
      <c r="C698">
        <v>10</v>
      </c>
      <c r="D698" s="13">
        <v>5957163008</v>
      </c>
      <c r="F698" t="s">
        <v>130</v>
      </c>
      <c r="G698">
        <v>0</v>
      </c>
      <c r="H698">
        <v>100</v>
      </c>
      <c r="K698">
        <v>2</v>
      </c>
      <c r="L698" t="s">
        <v>131</v>
      </c>
      <c r="M698" s="50">
        <v>44875</v>
      </c>
      <c r="N698" s="50">
        <v>2958465</v>
      </c>
      <c r="P698">
        <v>0</v>
      </c>
      <c r="U698">
        <v>4</v>
      </c>
      <c r="V698">
        <v>1</v>
      </c>
      <c r="W698" t="s">
        <v>132</v>
      </c>
      <c r="X698">
        <v>0</v>
      </c>
    </row>
    <row r="699" spans="1:24" x14ac:dyDescent="0.25">
      <c r="A699">
        <v>1</v>
      </c>
      <c r="B699" s="13">
        <v>590920300860</v>
      </c>
      <c r="C699">
        <v>20</v>
      </c>
      <c r="D699" s="13">
        <v>5957333008</v>
      </c>
      <c r="F699" t="s">
        <v>130</v>
      </c>
      <c r="G699">
        <v>0</v>
      </c>
      <c r="H699">
        <v>100</v>
      </c>
      <c r="K699">
        <v>1</v>
      </c>
      <c r="L699" t="s">
        <v>131</v>
      </c>
      <c r="M699" s="50">
        <v>44875</v>
      </c>
      <c r="N699" s="50">
        <v>2958465</v>
      </c>
      <c r="P699">
        <v>0</v>
      </c>
      <c r="U699">
        <v>4</v>
      </c>
      <c r="V699">
        <v>1</v>
      </c>
      <c r="W699" t="s">
        <v>132</v>
      </c>
      <c r="X699">
        <v>0</v>
      </c>
    </row>
    <row r="700" spans="1:24" x14ac:dyDescent="0.25">
      <c r="A700">
        <v>1</v>
      </c>
      <c r="B700" s="13">
        <v>590920300860</v>
      </c>
      <c r="C700">
        <v>30</v>
      </c>
      <c r="D700" s="13">
        <v>5957303008</v>
      </c>
      <c r="F700" t="s">
        <v>130</v>
      </c>
      <c r="G700">
        <v>0</v>
      </c>
      <c r="H700">
        <v>100</v>
      </c>
      <c r="K700">
        <v>1</v>
      </c>
      <c r="L700" t="s">
        <v>131</v>
      </c>
      <c r="M700" s="50">
        <v>44875</v>
      </c>
      <c r="N700" s="50">
        <v>2958465</v>
      </c>
      <c r="P700">
        <v>0</v>
      </c>
      <c r="U700">
        <v>4</v>
      </c>
      <c r="V700">
        <v>1</v>
      </c>
      <c r="W700" t="s">
        <v>132</v>
      </c>
      <c r="X700">
        <v>0</v>
      </c>
    </row>
    <row r="701" spans="1:24" x14ac:dyDescent="0.25">
      <c r="A701">
        <v>1</v>
      </c>
      <c r="B701" s="13">
        <v>590920300860</v>
      </c>
      <c r="C701">
        <v>40</v>
      </c>
      <c r="D701" s="13">
        <v>5957093008</v>
      </c>
      <c r="F701" t="s">
        <v>130</v>
      </c>
      <c r="G701">
        <v>0</v>
      </c>
      <c r="H701">
        <v>100</v>
      </c>
      <c r="K701">
        <v>1</v>
      </c>
      <c r="L701" t="s">
        <v>131</v>
      </c>
      <c r="M701" s="50">
        <v>44875</v>
      </c>
      <c r="N701" s="50">
        <v>2958465</v>
      </c>
      <c r="P701">
        <v>0</v>
      </c>
      <c r="U701">
        <v>4</v>
      </c>
      <c r="V701">
        <v>1</v>
      </c>
      <c r="W701" t="s">
        <v>132</v>
      </c>
      <c r="X701">
        <v>0</v>
      </c>
    </row>
    <row r="702" spans="1:24" x14ac:dyDescent="0.25">
      <c r="A702">
        <v>1</v>
      </c>
      <c r="B702" s="13">
        <v>590920300860</v>
      </c>
      <c r="C702">
        <v>50</v>
      </c>
      <c r="D702" s="13">
        <v>1018034</v>
      </c>
      <c r="F702" t="s">
        <v>130</v>
      </c>
      <c r="G702">
        <v>0</v>
      </c>
      <c r="H702">
        <v>100</v>
      </c>
      <c r="K702">
        <v>4</v>
      </c>
      <c r="L702" t="s">
        <v>131</v>
      </c>
      <c r="M702" s="50">
        <v>44875</v>
      </c>
      <c r="N702" s="50">
        <v>2958465</v>
      </c>
      <c r="P702">
        <v>0</v>
      </c>
      <c r="U702">
        <v>4</v>
      </c>
      <c r="V702">
        <v>1</v>
      </c>
      <c r="W702" t="s">
        <v>132</v>
      </c>
      <c r="X702">
        <v>0</v>
      </c>
    </row>
    <row r="703" spans="1:24" x14ac:dyDescent="0.25">
      <c r="A703">
        <v>1</v>
      </c>
      <c r="B703" s="13">
        <v>590920300860</v>
      </c>
      <c r="C703">
        <v>60</v>
      </c>
      <c r="D703" s="13">
        <v>1022356</v>
      </c>
      <c r="F703" t="s">
        <v>130</v>
      </c>
      <c r="G703">
        <v>0</v>
      </c>
      <c r="H703">
        <v>100</v>
      </c>
      <c r="K703">
        <v>10</v>
      </c>
      <c r="L703" t="s">
        <v>131</v>
      </c>
      <c r="M703" s="50">
        <v>44875</v>
      </c>
      <c r="N703" s="50">
        <v>2958465</v>
      </c>
      <c r="P703">
        <v>0</v>
      </c>
      <c r="U703">
        <v>4</v>
      </c>
      <c r="V703">
        <v>1</v>
      </c>
      <c r="W703" t="s">
        <v>132</v>
      </c>
      <c r="X703">
        <v>0</v>
      </c>
    </row>
    <row r="704" spans="1:24" x14ac:dyDescent="0.25">
      <c r="A704">
        <v>1</v>
      </c>
      <c r="B704" s="13">
        <v>590920300860</v>
      </c>
      <c r="C704">
        <v>70</v>
      </c>
      <c r="D704" s="13">
        <v>1022213</v>
      </c>
      <c r="F704" t="s">
        <v>130</v>
      </c>
      <c r="G704">
        <v>0</v>
      </c>
      <c r="H704">
        <v>100</v>
      </c>
      <c r="K704">
        <v>5.5919999999999996</v>
      </c>
      <c r="L704" t="s">
        <v>131</v>
      </c>
      <c r="M704" s="50">
        <v>44875</v>
      </c>
      <c r="N704" s="50">
        <v>2958465</v>
      </c>
      <c r="P704">
        <v>0</v>
      </c>
      <c r="U704">
        <v>4</v>
      </c>
      <c r="V704">
        <v>1</v>
      </c>
      <c r="W704" t="s">
        <v>132</v>
      </c>
      <c r="X704">
        <v>0</v>
      </c>
    </row>
    <row r="705" spans="1:24" x14ac:dyDescent="0.25">
      <c r="A705">
        <v>1</v>
      </c>
      <c r="B705" s="13">
        <v>590920300860</v>
      </c>
      <c r="C705">
        <v>80</v>
      </c>
      <c r="D705" s="13">
        <v>12165660</v>
      </c>
      <c r="F705" t="s">
        <v>130</v>
      </c>
      <c r="G705">
        <v>0</v>
      </c>
      <c r="H705">
        <v>100</v>
      </c>
      <c r="K705">
        <v>1</v>
      </c>
      <c r="L705" t="s">
        <v>131</v>
      </c>
      <c r="M705" s="50">
        <v>44875</v>
      </c>
      <c r="N705" s="50">
        <v>2958465</v>
      </c>
      <c r="P705">
        <v>0</v>
      </c>
      <c r="U705">
        <v>4</v>
      </c>
      <c r="V705">
        <v>1</v>
      </c>
      <c r="W705" t="s">
        <v>132</v>
      </c>
      <c r="X705">
        <v>0</v>
      </c>
    </row>
    <row r="706" spans="1:24" x14ac:dyDescent="0.25">
      <c r="A706">
        <v>1</v>
      </c>
      <c r="B706" s="13">
        <v>590920301060</v>
      </c>
      <c r="C706">
        <v>10</v>
      </c>
      <c r="D706" s="13">
        <v>5957163010</v>
      </c>
      <c r="F706" t="s">
        <v>130</v>
      </c>
      <c r="G706">
        <v>0</v>
      </c>
      <c r="H706">
        <v>100</v>
      </c>
      <c r="K706">
        <v>2</v>
      </c>
      <c r="L706" t="s">
        <v>131</v>
      </c>
      <c r="M706" s="50">
        <v>44875</v>
      </c>
      <c r="N706" s="50">
        <v>2958465</v>
      </c>
      <c r="P706">
        <v>0</v>
      </c>
      <c r="U706">
        <v>4</v>
      </c>
      <c r="V706">
        <v>1</v>
      </c>
      <c r="W706" t="s">
        <v>132</v>
      </c>
      <c r="X706">
        <v>0</v>
      </c>
    </row>
    <row r="707" spans="1:24" x14ac:dyDescent="0.25">
      <c r="A707">
        <v>1</v>
      </c>
      <c r="B707" s="13">
        <v>590920301060</v>
      </c>
      <c r="C707">
        <v>20</v>
      </c>
      <c r="D707" s="13">
        <v>5957333010</v>
      </c>
      <c r="F707" t="s">
        <v>130</v>
      </c>
      <c r="G707">
        <v>0</v>
      </c>
      <c r="H707">
        <v>100</v>
      </c>
      <c r="K707">
        <v>1</v>
      </c>
      <c r="L707" t="s">
        <v>131</v>
      </c>
      <c r="M707" s="50">
        <v>44875</v>
      </c>
      <c r="N707" s="50">
        <v>2958465</v>
      </c>
      <c r="P707">
        <v>0</v>
      </c>
      <c r="U707">
        <v>4</v>
      </c>
      <c r="V707">
        <v>1</v>
      </c>
      <c r="W707" t="s">
        <v>132</v>
      </c>
      <c r="X707">
        <v>0</v>
      </c>
    </row>
    <row r="708" spans="1:24" x14ac:dyDescent="0.25">
      <c r="A708">
        <v>1</v>
      </c>
      <c r="B708" s="13">
        <v>590920301060</v>
      </c>
      <c r="C708">
        <v>30</v>
      </c>
      <c r="D708" s="13">
        <v>5957303010</v>
      </c>
      <c r="F708" t="s">
        <v>130</v>
      </c>
      <c r="G708">
        <v>0</v>
      </c>
      <c r="H708">
        <v>100</v>
      </c>
      <c r="K708">
        <v>1</v>
      </c>
      <c r="L708" t="s">
        <v>131</v>
      </c>
      <c r="M708" s="50">
        <v>44875</v>
      </c>
      <c r="N708" s="50">
        <v>2958465</v>
      </c>
      <c r="P708">
        <v>0</v>
      </c>
      <c r="U708">
        <v>4</v>
      </c>
      <c r="V708">
        <v>1</v>
      </c>
      <c r="W708" t="s">
        <v>132</v>
      </c>
      <c r="X708">
        <v>0</v>
      </c>
    </row>
    <row r="709" spans="1:24" x14ac:dyDescent="0.25">
      <c r="A709">
        <v>1</v>
      </c>
      <c r="B709" s="13">
        <v>590920301060</v>
      </c>
      <c r="C709">
        <v>40</v>
      </c>
      <c r="D709" s="13">
        <v>5957093010</v>
      </c>
      <c r="F709" t="s">
        <v>130</v>
      </c>
      <c r="G709">
        <v>0</v>
      </c>
      <c r="H709">
        <v>100</v>
      </c>
      <c r="K709">
        <v>1</v>
      </c>
      <c r="L709" t="s">
        <v>131</v>
      </c>
      <c r="M709" s="50">
        <v>44875</v>
      </c>
      <c r="N709" s="50">
        <v>2958465</v>
      </c>
      <c r="P709">
        <v>0</v>
      </c>
      <c r="U709">
        <v>4</v>
      </c>
      <c r="V709">
        <v>1</v>
      </c>
      <c r="W709" t="s">
        <v>132</v>
      </c>
      <c r="X709">
        <v>0</v>
      </c>
    </row>
    <row r="710" spans="1:24" x14ac:dyDescent="0.25">
      <c r="A710">
        <v>1</v>
      </c>
      <c r="B710" s="13">
        <v>590920301060</v>
      </c>
      <c r="C710">
        <v>50</v>
      </c>
      <c r="D710" s="13">
        <v>1018034</v>
      </c>
      <c r="F710" t="s">
        <v>130</v>
      </c>
      <c r="G710">
        <v>0</v>
      </c>
      <c r="H710">
        <v>100</v>
      </c>
      <c r="K710">
        <v>4</v>
      </c>
      <c r="L710" t="s">
        <v>131</v>
      </c>
      <c r="M710" s="50">
        <v>44875</v>
      </c>
      <c r="N710" s="50">
        <v>2958465</v>
      </c>
      <c r="P710">
        <v>0</v>
      </c>
      <c r="U710">
        <v>4</v>
      </c>
      <c r="V710">
        <v>1</v>
      </c>
      <c r="W710" t="s">
        <v>132</v>
      </c>
      <c r="X710">
        <v>0</v>
      </c>
    </row>
    <row r="711" spans="1:24" x14ac:dyDescent="0.25">
      <c r="A711">
        <v>1</v>
      </c>
      <c r="B711" s="13">
        <v>590920301060</v>
      </c>
      <c r="C711">
        <v>60</v>
      </c>
      <c r="D711" s="13">
        <v>1018359</v>
      </c>
      <c r="F711" t="s">
        <v>130</v>
      </c>
      <c r="G711">
        <v>0</v>
      </c>
      <c r="H711">
        <v>100</v>
      </c>
      <c r="K711">
        <v>10</v>
      </c>
      <c r="L711" t="s">
        <v>131</v>
      </c>
      <c r="M711" s="50">
        <v>44875</v>
      </c>
      <c r="N711" s="50">
        <v>2958465</v>
      </c>
      <c r="P711">
        <v>0</v>
      </c>
      <c r="U711">
        <v>4</v>
      </c>
      <c r="V711">
        <v>1</v>
      </c>
      <c r="W711" t="s">
        <v>132</v>
      </c>
      <c r="X711">
        <v>0</v>
      </c>
    </row>
    <row r="712" spans="1:24" x14ac:dyDescent="0.25">
      <c r="A712">
        <v>1</v>
      </c>
      <c r="B712" s="13">
        <v>590920301060</v>
      </c>
      <c r="C712">
        <v>70</v>
      </c>
      <c r="D712" s="13">
        <v>1022213</v>
      </c>
      <c r="F712" t="s">
        <v>130</v>
      </c>
      <c r="G712">
        <v>0</v>
      </c>
      <c r="H712">
        <v>100</v>
      </c>
      <c r="K712">
        <v>5.5919999999999996</v>
      </c>
      <c r="L712" t="s">
        <v>131</v>
      </c>
      <c r="M712" s="50">
        <v>44875</v>
      </c>
      <c r="N712" s="50">
        <v>2958465</v>
      </c>
      <c r="P712">
        <v>0</v>
      </c>
      <c r="U712">
        <v>4</v>
      </c>
      <c r="V712">
        <v>1</v>
      </c>
      <c r="W712" t="s">
        <v>132</v>
      </c>
      <c r="X712">
        <v>0</v>
      </c>
    </row>
    <row r="713" spans="1:24" x14ac:dyDescent="0.25">
      <c r="A713">
        <v>1</v>
      </c>
      <c r="B713" s="13">
        <v>590920301060</v>
      </c>
      <c r="C713">
        <v>80</v>
      </c>
      <c r="D713" s="13">
        <v>12165660</v>
      </c>
      <c r="F713" t="s">
        <v>130</v>
      </c>
      <c r="G713">
        <v>0</v>
      </c>
      <c r="H713">
        <v>100</v>
      </c>
      <c r="K713">
        <v>1</v>
      </c>
      <c r="L713" t="s">
        <v>131</v>
      </c>
      <c r="M713" s="50">
        <v>44875</v>
      </c>
      <c r="N713" s="50">
        <v>2958465</v>
      </c>
      <c r="P713">
        <v>0</v>
      </c>
      <c r="U713">
        <v>4</v>
      </c>
      <c r="V713">
        <v>1</v>
      </c>
      <c r="W713" t="s">
        <v>132</v>
      </c>
      <c r="X713">
        <v>0</v>
      </c>
    </row>
    <row r="714" spans="1:24" x14ac:dyDescent="0.25">
      <c r="A714">
        <v>1</v>
      </c>
      <c r="B714" s="13">
        <v>590920300061</v>
      </c>
      <c r="C714">
        <v>10</v>
      </c>
      <c r="D714" s="13">
        <v>5957163099</v>
      </c>
      <c r="F714" t="s">
        <v>130</v>
      </c>
      <c r="G714">
        <v>0</v>
      </c>
      <c r="H714">
        <v>100</v>
      </c>
      <c r="K714">
        <v>2</v>
      </c>
      <c r="L714" t="s">
        <v>131</v>
      </c>
      <c r="M714" s="50">
        <v>44875</v>
      </c>
      <c r="N714" s="50">
        <v>2958465</v>
      </c>
      <c r="P714">
        <v>0</v>
      </c>
      <c r="U714">
        <v>4</v>
      </c>
      <c r="V714">
        <v>1</v>
      </c>
      <c r="W714" t="s">
        <v>132</v>
      </c>
      <c r="X714">
        <v>0</v>
      </c>
    </row>
    <row r="715" spans="1:24" x14ac:dyDescent="0.25">
      <c r="A715">
        <v>1</v>
      </c>
      <c r="B715" s="13">
        <v>590920300061</v>
      </c>
      <c r="C715">
        <v>20</v>
      </c>
      <c r="D715" s="13">
        <v>5957333099</v>
      </c>
      <c r="F715" t="s">
        <v>130</v>
      </c>
      <c r="G715">
        <v>0</v>
      </c>
      <c r="H715">
        <v>100</v>
      </c>
      <c r="K715">
        <v>1</v>
      </c>
      <c r="L715" t="s">
        <v>131</v>
      </c>
      <c r="M715" s="50">
        <v>44875</v>
      </c>
      <c r="N715" s="50">
        <v>2958465</v>
      </c>
      <c r="P715">
        <v>0</v>
      </c>
      <c r="U715">
        <v>4</v>
      </c>
      <c r="V715">
        <v>1</v>
      </c>
      <c r="W715" t="s">
        <v>132</v>
      </c>
      <c r="X715">
        <v>0</v>
      </c>
    </row>
    <row r="716" spans="1:24" x14ac:dyDescent="0.25">
      <c r="A716">
        <v>1</v>
      </c>
      <c r="B716" s="13">
        <v>590920300061</v>
      </c>
      <c r="C716">
        <v>30</v>
      </c>
      <c r="D716" s="13">
        <v>5957303099</v>
      </c>
      <c r="F716" t="s">
        <v>130</v>
      </c>
      <c r="G716">
        <v>0</v>
      </c>
      <c r="H716">
        <v>100</v>
      </c>
      <c r="K716">
        <v>1</v>
      </c>
      <c r="L716" t="s">
        <v>131</v>
      </c>
      <c r="M716" s="50">
        <v>44875</v>
      </c>
      <c r="N716" s="50">
        <v>2958465</v>
      </c>
      <c r="P716">
        <v>0</v>
      </c>
      <c r="U716">
        <v>4</v>
      </c>
      <c r="V716">
        <v>1</v>
      </c>
      <c r="W716" t="s">
        <v>132</v>
      </c>
      <c r="X716">
        <v>0</v>
      </c>
    </row>
    <row r="717" spans="1:24" x14ac:dyDescent="0.25">
      <c r="A717">
        <v>1</v>
      </c>
      <c r="B717" s="13">
        <v>590920300061</v>
      </c>
      <c r="C717">
        <v>40</v>
      </c>
      <c r="D717" s="13">
        <v>1022219</v>
      </c>
      <c r="F717" t="s">
        <v>130</v>
      </c>
      <c r="G717">
        <v>0</v>
      </c>
      <c r="H717">
        <v>100</v>
      </c>
      <c r="K717">
        <v>1</v>
      </c>
      <c r="L717" t="s">
        <v>131</v>
      </c>
      <c r="M717" s="50">
        <v>44875</v>
      </c>
      <c r="N717" s="50">
        <v>2958465</v>
      </c>
      <c r="P717">
        <v>0</v>
      </c>
      <c r="U717">
        <v>4</v>
      </c>
      <c r="V717">
        <v>1</v>
      </c>
      <c r="W717" t="s">
        <v>132</v>
      </c>
      <c r="X717">
        <v>0</v>
      </c>
    </row>
    <row r="718" spans="1:24" x14ac:dyDescent="0.25">
      <c r="A718">
        <v>1</v>
      </c>
      <c r="B718" s="13">
        <v>590920300061</v>
      </c>
      <c r="C718">
        <v>50</v>
      </c>
      <c r="D718" s="13">
        <v>1018034</v>
      </c>
      <c r="F718" t="s">
        <v>130</v>
      </c>
      <c r="G718">
        <v>0</v>
      </c>
      <c r="H718">
        <v>100</v>
      </c>
      <c r="K718">
        <v>4</v>
      </c>
      <c r="L718" t="s">
        <v>131</v>
      </c>
      <c r="M718" s="50">
        <v>44875</v>
      </c>
      <c r="N718" s="50">
        <v>2958465</v>
      </c>
      <c r="P718">
        <v>0</v>
      </c>
      <c r="U718">
        <v>4</v>
      </c>
      <c r="V718">
        <v>1</v>
      </c>
      <c r="W718" t="s">
        <v>132</v>
      </c>
      <c r="X718">
        <v>0</v>
      </c>
    </row>
    <row r="719" spans="1:24" x14ac:dyDescent="0.25">
      <c r="A719">
        <v>1</v>
      </c>
      <c r="B719" s="13">
        <v>590920300061</v>
      </c>
      <c r="C719">
        <v>60</v>
      </c>
      <c r="D719" s="13">
        <v>1018359</v>
      </c>
      <c r="F719" t="s">
        <v>130</v>
      </c>
      <c r="G719">
        <v>0</v>
      </c>
      <c r="H719">
        <v>100</v>
      </c>
      <c r="K719">
        <v>10</v>
      </c>
      <c r="L719" t="s">
        <v>131</v>
      </c>
      <c r="M719" s="50">
        <v>44875</v>
      </c>
      <c r="N719" s="50">
        <v>2958465</v>
      </c>
      <c r="P719">
        <v>0</v>
      </c>
      <c r="U719">
        <v>4</v>
      </c>
      <c r="V719">
        <v>1</v>
      </c>
      <c r="W719" t="s">
        <v>132</v>
      </c>
      <c r="X719">
        <v>0</v>
      </c>
    </row>
    <row r="720" spans="1:24" x14ac:dyDescent="0.25">
      <c r="A720">
        <v>1</v>
      </c>
      <c r="B720" s="13">
        <v>590920300061</v>
      </c>
      <c r="C720">
        <v>70</v>
      </c>
      <c r="D720" s="13">
        <v>1022213</v>
      </c>
      <c r="F720" t="s">
        <v>130</v>
      </c>
      <c r="G720">
        <v>0</v>
      </c>
      <c r="H720">
        <v>100</v>
      </c>
      <c r="K720">
        <v>5.5919999999999996</v>
      </c>
      <c r="L720" t="s">
        <v>131</v>
      </c>
      <c r="M720" s="50">
        <v>44875</v>
      </c>
      <c r="N720" s="50">
        <v>2958465</v>
      </c>
      <c r="P720">
        <v>0</v>
      </c>
      <c r="U720">
        <v>4</v>
      </c>
      <c r="V720">
        <v>1</v>
      </c>
      <c r="W720" t="s">
        <v>132</v>
      </c>
      <c r="X720">
        <v>0</v>
      </c>
    </row>
    <row r="721" spans="1:24" x14ac:dyDescent="0.25">
      <c r="A721">
        <v>1</v>
      </c>
      <c r="B721" s="13">
        <v>590920300061</v>
      </c>
      <c r="C721">
        <v>80</v>
      </c>
      <c r="D721" s="13">
        <v>12165661</v>
      </c>
      <c r="F721" t="s">
        <v>130</v>
      </c>
      <c r="G721">
        <v>0</v>
      </c>
      <c r="H721">
        <v>100</v>
      </c>
      <c r="K721">
        <v>1</v>
      </c>
      <c r="L721" t="s">
        <v>131</v>
      </c>
      <c r="M721" s="50">
        <v>44875</v>
      </c>
      <c r="N721" s="50">
        <v>2958465</v>
      </c>
      <c r="P721">
        <v>0</v>
      </c>
      <c r="U721">
        <v>4</v>
      </c>
      <c r="V721">
        <v>1</v>
      </c>
      <c r="W721" t="s">
        <v>132</v>
      </c>
      <c r="X721">
        <v>0</v>
      </c>
    </row>
    <row r="722" spans="1:24" x14ac:dyDescent="0.25">
      <c r="A722">
        <v>1</v>
      </c>
      <c r="B722" s="13">
        <v>590920300461</v>
      </c>
      <c r="C722">
        <v>10</v>
      </c>
      <c r="D722" s="13">
        <v>5957163004</v>
      </c>
      <c r="F722" t="s">
        <v>130</v>
      </c>
      <c r="G722">
        <v>0</v>
      </c>
      <c r="H722">
        <v>100</v>
      </c>
      <c r="K722">
        <v>2</v>
      </c>
      <c r="L722" t="s">
        <v>131</v>
      </c>
      <c r="M722" s="50">
        <v>44875</v>
      </c>
      <c r="N722" s="50">
        <v>2958465</v>
      </c>
      <c r="P722">
        <v>0</v>
      </c>
      <c r="U722">
        <v>4</v>
      </c>
      <c r="V722">
        <v>1</v>
      </c>
      <c r="W722" t="s">
        <v>132</v>
      </c>
      <c r="X722">
        <v>0</v>
      </c>
    </row>
    <row r="723" spans="1:24" x14ac:dyDescent="0.25">
      <c r="A723">
        <v>1</v>
      </c>
      <c r="B723" s="13">
        <v>590920300461</v>
      </c>
      <c r="C723">
        <v>20</v>
      </c>
      <c r="D723" s="13">
        <v>5957333004</v>
      </c>
      <c r="F723" t="s">
        <v>130</v>
      </c>
      <c r="G723">
        <v>0</v>
      </c>
      <c r="H723">
        <v>100</v>
      </c>
      <c r="K723">
        <v>1</v>
      </c>
      <c r="L723" t="s">
        <v>131</v>
      </c>
      <c r="M723" s="50">
        <v>44875</v>
      </c>
      <c r="N723" s="50">
        <v>2958465</v>
      </c>
      <c r="P723">
        <v>0</v>
      </c>
      <c r="U723">
        <v>4</v>
      </c>
      <c r="V723">
        <v>1</v>
      </c>
      <c r="W723" t="s">
        <v>132</v>
      </c>
      <c r="X723">
        <v>0</v>
      </c>
    </row>
    <row r="724" spans="1:24" x14ac:dyDescent="0.25">
      <c r="A724">
        <v>1</v>
      </c>
      <c r="B724" s="13">
        <v>590920300461</v>
      </c>
      <c r="C724">
        <v>30</v>
      </c>
      <c r="D724" s="13">
        <v>5957303004</v>
      </c>
      <c r="F724" t="s">
        <v>130</v>
      </c>
      <c r="G724">
        <v>0</v>
      </c>
      <c r="H724">
        <v>100</v>
      </c>
      <c r="K724">
        <v>1</v>
      </c>
      <c r="L724" t="s">
        <v>131</v>
      </c>
      <c r="M724" s="50">
        <v>44875</v>
      </c>
      <c r="N724" s="50">
        <v>2958465</v>
      </c>
      <c r="P724">
        <v>0</v>
      </c>
      <c r="U724">
        <v>4</v>
      </c>
      <c r="V724">
        <v>1</v>
      </c>
      <c r="W724" t="s">
        <v>132</v>
      </c>
      <c r="X724">
        <v>0</v>
      </c>
    </row>
    <row r="725" spans="1:24" x14ac:dyDescent="0.25">
      <c r="A725">
        <v>1</v>
      </c>
      <c r="B725" s="13">
        <v>590920300461</v>
      </c>
      <c r="C725">
        <v>40</v>
      </c>
      <c r="D725" s="13">
        <v>5957093004</v>
      </c>
      <c r="F725" t="s">
        <v>130</v>
      </c>
      <c r="G725">
        <v>0</v>
      </c>
      <c r="H725">
        <v>100</v>
      </c>
      <c r="K725">
        <v>1</v>
      </c>
      <c r="L725" t="s">
        <v>131</v>
      </c>
      <c r="M725" s="50">
        <v>44875</v>
      </c>
      <c r="N725" s="50">
        <v>2958465</v>
      </c>
      <c r="P725">
        <v>0</v>
      </c>
      <c r="U725">
        <v>4</v>
      </c>
      <c r="V725">
        <v>1</v>
      </c>
      <c r="W725" t="s">
        <v>132</v>
      </c>
      <c r="X725">
        <v>0</v>
      </c>
    </row>
    <row r="726" spans="1:24" x14ac:dyDescent="0.25">
      <c r="A726">
        <v>1</v>
      </c>
      <c r="B726" s="13">
        <v>590920300461</v>
      </c>
      <c r="C726">
        <v>50</v>
      </c>
      <c r="D726" s="13">
        <v>1018034</v>
      </c>
      <c r="F726" t="s">
        <v>130</v>
      </c>
      <c r="G726">
        <v>0</v>
      </c>
      <c r="H726">
        <v>100</v>
      </c>
      <c r="K726">
        <v>4</v>
      </c>
      <c r="L726" t="s">
        <v>131</v>
      </c>
      <c r="M726" s="50">
        <v>44875</v>
      </c>
      <c r="N726" s="50">
        <v>2958465</v>
      </c>
      <c r="P726">
        <v>0</v>
      </c>
      <c r="U726">
        <v>4</v>
      </c>
      <c r="V726">
        <v>1</v>
      </c>
      <c r="W726" t="s">
        <v>132</v>
      </c>
      <c r="X726">
        <v>0</v>
      </c>
    </row>
    <row r="727" spans="1:24" x14ac:dyDescent="0.25">
      <c r="A727">
        <v>1</v>
      </c>
      <c r="B727" s="13">
        <v>590920300461</v>
      </c>
      <c r="C727">
        <v>60</v>
      </c>
      <c r="D727" s="13">
        <v>1022356</v>
      </c>
      <c r="F727" t="s">
        <v>130</v>
      </c>
      <c r="G727">
        <v>0</v>
      </c>
      <c r="H727">
        <v>100</v>
      </c>
      <c r="K727">
        <v>10</v>
      </c>
      <c r="L727" t="s">
        <v>131</v>
      </c>
      <c r="M727" s="50">
        <v>44875</v>
      </c>
      <c r="N727" s="50">
        <v>2958465</v>
      </c>
      <c r="P727">
        <v>0</v>
      </c>
      <c r="U727">
        <v>4</v>
      </c>
      <c r="V727">
        <v>1</v>
      </c>
      <c r="W727" t="s">
        <v>132</v>
      </c>
      <c r="X727">
        <v>0</v>
      </c>
    </row>
    <row r="728" spans="1:24" x14ac:dyDescent="0.25">
      <c r="A728">
        <v>1</v>
      </c>
      <c r="B728" s="13">
        <v>590920300461</v>
      </c>
      <c r="C728">
        <v>70</v>
      </c>
      <c r="D728" s="13">
        <v>1022213</v>
      </c>
      <c r="F728" t="s">
        <v>130</v>
      </c>
      <c r="G728">
        <v>0</v>
      </c>
      <c r="H728">
        <v>100</v>
      </c>
      <c r="K728">
        <v>5.5919999999999996</v>
      </c>
      <c r="L728" t="s">
        <v>131</v>
      </c>
      <c r="M728" s="50">
        <v>44875</v>
      </c>
      <c r="N728" s="50">
        <v>2958465</v>
      </c>
      <c r="P728">
        <v>0</v>
      </c>
      <c r="U728">
        <v>4</v>
      </c>
      <c r="V728">
        <v>1</v>
      </c>
      <c r="W728" t="s">
        <v>132</v>
      </c>
      <c r="X728">
        <v>0</v>
      </c>
    </row>
    <row r="729" spans="1:24" x14ac:dyDescent="0.25">
      <c r="A729">
        <v>1</v>
      </c>
      <c r="B729" s="13">
        <v>590920300461</v>
      </c>
      <c r="C729">
        <v>80</v>
      </c>
      <c r="D729" s="13">
        <v>12165661</v>
      </c>
      <c r="F729" t="s">
        <v>130</v>
      </c>
      <c r="G729">
        <v>0</v>
      </c>
      <c r="H729">
        <v>100</v>
      </c>
      <c r="K729">
        <v>1</v>
      </c>
      <c r="L729" t="s">
        <v>131</v>
      </c>
      <c r="M729" s="50">
        <v>44875</v>
      </c>
      <c r="N729" s="50">
        <v>2958465</v>
      </c>
      <c r="P729">
        <v>0</v>
      </c>
      <c r="U729">
        <v>4</v>
      </c>
      <c r="V729">
        <v>1</v>
      </c>
      <c r="W729" t="s">
        <v>132</v>
      </c>
      <c r="X729">
        <v>0</v>
      </c>
    </row>
    <row r="730" spans="1:24" x14ac:dyDescent="0.25">
      <c r="A730">
        <v>1</v>
      </c>
      <c r="B730" s="13">
        <v>590920300561</v>
      </c>
      <c r="C730">
        <v>10</v>
      </c>
      <c r="D730" s="13">
        <v>5957163005</v>
      </c>
      <c r="F730" t="s">
        <v>130</v>
      </c>
      <c r="G730">
        <v>0</v>
      </c>
      <c r="H730">
        <v>100</v>
      </c>
      <c r="K730">
        <v>2</v>
      </c>
      <c r="L730" t="s">
        <v>131</v>
      </c>
      <c r="M730" s="50">
        <v>44875</v>
      </c>
      <c r="N730" s="50">
        <v>2958465</v>
      </c>
      <c r="P730">
        <v>0</v>
      </c>
      <c r="U730">
        <v>4</v>
      </c>
      <c r="V730">
        <v>1</v>
      </c>
      <c r="W730" t="s">
        <v>132</v>
      </c>
      <c r="X730">
        <v>0</v>
      </c>
    </row>
    <row r="731" spans="1:24" x14ac:dyDescent="0.25">
      <c r="A731">
        <v>1</v>
      </c>
      <c r="B731" s="13">
        <v>590920300561</v>
      </c>
      <c r="C731">
        <v>20</v>
      </c>
      <c r="D731" s="13">
        <v>5957333005</v>
      </c>
      <c r="F731" t="s">
        <v>130</v>
      </c>
      <c r="G731">
        <v>0</v>
      </c>
      <c r="H731">
        <v>100</v>
      </c>
      <c r="K731">
        <v>1</v>
      </c>
      <c r="L731" t="s">
        <v>131</v>
      </c>
      <c r="M731" s="50">
        <v>44875</v>
      </c>
      <c r="N731" s="50">
        <v>2958465</v>
      </c>
      <c r="P731">
        <v>0</v>
      </c>
      <c r="U731">
        <v>4</v>
      </c>
      <c r="V731">
        <v>1</v>
      </c>
      <c r="W731" t="s">
        <v>132</v>
      </c>
      <c r="X731">
        <v>0</v>
      </c>
    </row>
    <row r="732" spans="1:24" x14ac:dyDescent="0.25">
      <c r="A732">
        <v>1</v>
      </c>
      <c r="B732" s="13">
        <v>590920300561</v>
      </c>
      <c r="C732">
        <v>30</v>
      </c>
      <c r="D732" s="13">
        <v>5957303005</v>
      </c>
      <c r="F732" t="s">
        <v>130</v>
      </c>
      <c r="G732">
        <v>0</v>
      </c>
      <c r="H732">
        <v>100</v>
      </c>
      <c r="K732">
        <v>1</v>
      </c>
      <c r="L732" t="s">
        <v>131</v>
      </c>
      <c r="M732" s="50">
        <v>44875</v>
      </c>
      <c r="N732" s="50">
        <v>2958465</v>
      </c>
      <c r="P732">
        <v>0</v>
      </c>
      <c r="U732">
        <v>4</v>
      </c>
      <c r="V732">
        <v>1</v>
      </c>
      <c r="W732" t="s">
        <v>132</v>
      </c>
      <c r="X732">
        <v>0</v>
      </c>
    </row>
    <row r="733" spans="1:24" x14ac:dyDescent="0.25">
      <c r="A733">
        <v>1</v>
      </c>
      <c r="B733" s="13">
        <v>590920300561</v>
      </c>
      <c r="C733">
        <v>40</v>
      </c>
      <c r="D733" s="13">
        <v>5957093005</v>
      </c>
      <c r="F733" t="s">
        <v>130</v>
      </c>
      <c r="G733">
        <v>0</v>
      </c>
      <c r="H733">
        <v>100</v>
      </c>
      <c r="K733">
        <v>1</v>
      </c>
      <c r="L733" t="s">
        <v>131</v>
      </c>
      <c r="M733" s="50">
        <v>44875</v>
      </c>
      <c r="N733" s="50">
        <v>2958465</v>
      </c>
      <c r="P733">
        <v>0</v>
      </c>
      <c r="U733">
        <v>4</v>
      </c>
      <c r="V733">
        <v>1</v>
      </c>
      <c r="W733" t="s">
        <v>132</v>
      </c>
      <c r="X733">
        <v>0</v>
      </c>
    </row>
    <row r="734" spans="1:24" x14ac:dyDescent="0.25">
      <c r="A734">
        <v>1</v>
      </c>
      <c r="B734" s="13">
        <v>590920300561</v>
      </c>
      <c r="C734">
        <v>50</v>
      </c>
      <c r="D734" s="13">
        <v>1018034</v>
      </c>
      <c r="F734" t="s">
        <v>130</v>
      </c>
      <c r="G734">
        <v>0</v>
      </c>
      <c r="H734">
        <v>100</v>
      </c>
      <c r="K734">
        <v>4</v>
      </c>
      <c r="L734" t="s">
        <v>131</v>
      </c>
      <c r="M734" s="50">
        <v>44875</v>
      </c>
      <c r="N734" s="50">
        <v>2958465</v>
      </c>
      <c r="P734">
        <v>0</v>
      </c>
      <c r="U734">
        <v>4</v>
      </c>
      <c r="V734">
        <v>1</v>
      </c>
      <c r="W734" t="s">
        <v>132</v>
      </c>
      <c r="X734">
        <v>0</v>
      </c>
    </row>
    <row r="735" spans="1:24" x14ac:dyDescent="0.25">
      <c r="A735">
        <v>1</v>
      </c>
      <c r="B735" s="13">
        <v>590920300561</v>
      </c>
      <c r="C735">
        <v>60</v>
      </c>
      <c r="D735" s="13">
        <v>1022356</v>
      </c>
      <c r="F735" t="s">
        <v>130</v>
      </c>
      <c r="G735">
        <v>0</v>
      </c>
      <c r="H735">
        <v>100</v>
      </c>
      <c r="K735">
        <v>10</v>
      </c>
      <c r="L735" t="s">
        <v>131</v>
      </c>
      <c r="M735" s="50">
        <v>44875</v>
      </c>
      <c r="N735" s="50">
        <v>2958465</v>
      </c>
      <c r="P735">
        <v>0</v>
      </c>
      <c r="U735">
        <v>4</v>
      </c>
      <c r="V735">
        <v>1</v>
      </c>
      <c r="W735" t="s">
        <v>132</v>
      </c>
      <c r="X735">
        <v>0</v>
      </c>
    </row>
    <row r="736" spans="1:24" x14ac:dyDescent="0.25">
      <c r="A736">
        <v>1</v>
      </c>
      <c r="B736" s="13">
        <v>590920300561</v>
      </c>
      <c r="C736">
        <v>70</v>
      </c>
      <c r="D736" s="13">
        <v>1022213</v>
      </c>
      <c r="F736" t="s">
        <v>130</v>
      </c>
      <c r="G736">
        <v>0</v>
      </c>
      <c r="H736">
        <v>100</v>
      </c>
      <c r="K736">
        <v>5.5919999999999996</v>
      </c>
      <c r="L736" t="s">
        <v>131</v>
      </c>
      <c r="M736" s="50">
        <v>44875</v>
      </c>
      <c r="N736" s="50">
        <v>2958465</v>
      </c>
      <c r="P736">
        <v>0</v>
      </c>
      <c r="U736">
        <v>4</v>
      </c>
      <c r="V736">
        <v>1</v>
      </c>
      <c r="W736" t="s">
        <v>132</v>
      </c>
      <c r="X736">
        <v>0</v>
      </c>
    </row>
    <row r="737" spans="1:24" x14ac:dyDescent="0.25">
      <c r="A737">
        <v>1</v>
      </c>
      <c r="B737" s="13">
        <v>590920300561</v>
      </c>
      <c r="C737">
        <v>80</v>
      </c>
      <c r="D737" s="13">
        <v>12165661</v>
      </c>
      <c r="F737" t="s">
        <v>130</v>
      </c>
      <c r="G737">
        <v>0</v>
      </c>
      <c r="H737">
        <v>100</v>
      </c>
      <c r="K737">
        <v>1</v>
      </c>
      <c r="L737" t="s">
        <v>131</v>
      </c>
      <c r="M737" s="50">
        <v>44875</v>
      </c>
      <c r="N737" s="50">
        <v>2958465</v>
      </c>
      <c r="P737">
        <v>0</v>
      </c>
      <c r="U737">
        <v>4</v>
      </c>
      <c r="V737">
        <v>1</v>
      </c>
      <c r="W737" t="s">
        <v>132</v>
      </c>
      <c r="X737">
        <v>0</v>
      </c>
    </row>
    <row r="738" spans="1:24" x14ac:dyDescent="0.25">
      <c r="A738">
        <v>1</v>
      </c>
      <c r="B738" s="13">
        <v>590920300861</v>
      </c>
      <c r="C738">
        <v>10</v>
      </c>
      <c r="D738" s="13">
        <v>5957163008</v>
      </c>
      <c r="F738" t="s">
        <v>130</v>
      </c>
      <c r="G738">
        <v>0</v>
      </c>
      <c r="H738">
        <v>100</v>
      </c>
      <c r="K738">
        <v>2</v>
      </c>
      <c r="L738" t="s">
        <v>131</v>
      </c>
      <c r="M738" s="50">
        <v>44875</v>
      </c>
      <c r="N738" s="50">
        <v>2958465</v>
      </c>
      <c r="P738">
        <v>0</v>
      </c>
      <c r="U738">
        <v>4</v>
      </c>
      <c r="V738">
        <v>1</v>
      </c>
      <c r="W738" t="s">
        <v>132</v>
      </c>
      <c r="X738">
        <v>0</v>
      </c>
    </row>
    <row r="739" spans="1:24" x14ac:dyDescent="0.25">
      <c r="A739">
        <v>1</v>
      </c>
      <c r="B739" s="13">
        <v>590920300861</v>
      </c>
      <c r="C739">
        <v>20</v>
      </c>
      <c r="D739" s="13">
        <v>5957333008</v>
      </c>
      <c r="F739" t="s">
        <v>130</v>
      </c>
      <c r="G739">
        <v>0</v>
      </c>
      <c r="H739">
        <v>100</v>
      </c>
      <c r="K739">
        <v>1</v>
      </c>
      <c r="L739" t="s">
        <v>131</v>
      </c>
      <c r="M739" s="50">
        <v>44875</v>
      </c>
      <c r="N739" s="50">
        <v>2958465</v>
      </c>
      <c r="P739">
        <v>0</v>
      </c>
      <c r="U739">
        <v>4</v>
      </c>
      <c r="V739">
        <v>1</v>
      </c>
      <c r="W739" t="s">
        <v>132</v>
      </c>
      <c r="X739">
        <v>0</v>
      </c>
    </row>
    <row r="740" spans="1:24" x14ac:dyDescent="0.25">
      <c r="A740">
        <v>1</v>
      </c>
      <c r="B740" s="13">
        <v>590920300861</v>
      </c>
      <c r="C740">
        <v>30</v>
      </c>
      <c r="D740" s="13">
        <v>5957303008</v>
      </c>
      <c r="F740" t="s">
        <v>130</v>
      </c>
      <c r="G740">
        <v>0</v>
      </c>
      <c r="H740">
        <v>100</v>
      </c>
      <c r="K740">
        <v>1</v>
      </c>
      <c r="L740" t="s">
        <v>131</v>
      </c>
      <c r="M740" s="50">
        <v>44875</v>
      </c>
      <c r="N740" s="50">
        <v>2958465</v>
      </c>
      <c r="P740">
        <v>0</v>
      </c>
      <c r="U740">
        <v>4</v>
      </c>
      <c r="V740">
        <v>1</v>
      </c>
      <c r="W740" t="s">
        <v>132</v>
      </c>
      <c r="X740">
        <v>0</v>
      </c>
    </row>
    <row r="741" spans="1:24" x14ac:dyDescent="0.25">
      <c r="A741">
        <v>1</v>
      </c>
      <c r="B741" s="13">
        <v>590920300861</v>
      </c>
      <c r="C741">
        <v>40</v>
      </c>
      <c r="D741" s="13">
        <v>5957093008</v>
      </c>
      <c r="F741" t="s">
        <v>130</v>
      </c>
      <c r="G741">
        <v>0</v>
      </c>
      <c r="H741">
        <v>100</v>
      </c>
      <c r="K741">
        <v>1</v>
      </c>
      <c r="L741" t="s">
        <v>131</v>
      </c>
      <c r="M741" s="50">
        <v>44875</v>
      </c>
      <c r="N741" s="50">
        <v>2958465</v>
      </c>
      <c r="P741">
        <v>0</v>
      </c>
      <c r="U741">
        <v>4</v>
      </c>
      <c r="V741">
        <v>1</v>
      </c>
      <c r="W741" t="s">
        <v>132</v>
      </c>
      <c r="X741">
        <v>0</v>
      </c>
    </row>
    <row r="742" spans="1:24" x14ac:dyDescent="0.25">
      <c r="A742">
        <v>1</v>
      </c>
      <c r="B742" s="13">
        <v>590920300861</v>
      </c>
      <c r="C742">
        <v>50</v>
      </c>
      <c r="D742" s="13">
        <v>1018034</v>
      </c>
      <c r="F742" t="s">
        <v>130</v>
      </c>
      <c r="G742">
        <v>0</v>
      </c>
      <c r="H742">
        <v>100</v>
      </c>
      <c r="K742">
        <v>4</v>
      </c>
      <c r="L742" t="s">
        <v>131</v>
      </c>
      <c r="M742" s="50">
        <v>44875</v>
      </c>
      <c r="N742" s="50">
        <v>2958465</v>
      </c>
      <c r="P742">
        <v>0</v>
      </c>
      <c r="U742">
        <v>4</v>
      </c>
      <c r="V742">
        <v>1</v>
      </c>
      <c r="W742" t="s">
        <v>132</v>
      </c>
      <c r="X742">
        <v>0</v>
      </c>
    </row>
    <row r="743" spans="1:24" x14ac:dyDescent="0.25">
      <c r="A743">
        <v>1</v>
      </c>
      <c r="B743" s="13">
        <v>590920300861</v>
      </c>
      <c r="C743">
        <v>60</v>
      </c>
      <c r="D743" s="13">
        <v>1022356</v>
      </c>
      <c r="F743" t="s">
        <v>130</v>
      </c>
      <c r="G743">
        <v>0</v>
      </c>
      <c r="H743">
        <v>100</v>
      </c>
      <c r="K743">
        <v>10</v>
      </c>
      <c r="L743" t="s">
        <v>131</v>
      </c>
      <c r="M743" s="50">
        <v>44875</v>
      </c>
      <c r="N743" s="50">
        <v>2958465</v>
      </c>
      <c r="P743">
        <v>0</v>
      </c>
      <c r="U743">
        <v>4</v>
      </c>
      <c r="V743">
        <v>1</v>
      </c>
      <c r="W743" t="s">
        <v>132</v>
      </c>
      <c r="X743">
        <v>0</v>
      </c>
    </row>
    <row r="744" spans="1:24" x14ac:dyDescent="0.25">
      <c r="A744">
        <v>1</v>
      </c>
      <c r="B744" s="13">
        <v>590920300861</v>
      </c>
      <c r="C744">
        <v>70</v>
      </c>
      <c r="D744" s="13">
        <v>1022213</v>
      </c>
      <c r="F744" t="s">
        <v>130</v>
      </c>
      <c r="G744">
        <v>0</v>
      </c>
      <c r="H744">
        <v>100</v>
      </c>
      <c r="K744">
        <v>5.5919999999999996</v>
      </c>
      <c r="L744" t="s">
        <v>131</v>
      </c>
      <c r="M744" s="50">
        <v>44875</v>
      </c>
      <c r="N744" s="50">
        <v>2958465</v>
      </c>
      <c r="P744">
        <v>0</v>
      </c>
      <c r="U744">
        <v>4</v>
      </c>
      <c r="V744">
        <v>1</v>
      </c>
      <c r="W744" t="s">
        <v>132</v>
      </c>
      <c r="X744">
        <v>0</v>
      </c>
    </row>
    <row r="745" spans="1:24" x14ac:dyDescent="0.25">
      <c r="A745">
        <v>1</v>
      </c>
      <c r="B745" s="13">
        <v>590920300861</v>
      </c>
      <c r="C745">
        <v>80</v>
      </c>
      <c r="D745" s="13">
        <v>12165661</v>
      </c>
      <c r="F745" t="s">
        <v>130</v>
      </c>
      <c r="G745">
        <v>0</v>
      </c>
      <c r="H745">
        <v>100</v>
      </c>
      <c r="K745">
        <v>1</v>
      </c>
      <c r="L745" t="s">
        <v>131</v>
      </c>
      <c r="M745" s="50">
        <v>44875</v>
      </c>
      <c r="N745" s="50">
        <v>2958465</v>
      </c>
      <c r="P745">
        <v>0</v>
      </c>
      <c r="U745">
        <v>4</v>
      </c>
      <c r="V745">
        <v>1</v>
      </c>
      <c r="W745" t="s">
        <v>132</v>
      </c>
      <c r="X745">
        <v>0</v>
      </c>
    </row>
    <row r="746" spans="1:24" x14ac:dyDescent="0.25">
      <c r="A746">
        <v>1</v>
      </c>
      <c r="B746" s="13">
        <v>590920300961</v>
      </c>
      <c r="C746">
        <v>10</v>
      </c>
      <c r="D746" s="13">
        <v>5957163009</v>
      </c>
      <c r="F746" t="s">
        <v>130</v>
      </c>
      <c r="G746">
        <v>0</v>
      </c>
      <c r="H746">
        <v>100</v>
      </c>
      <c r="K746">
        <v>2</v>
      </c>
      <c r="L746" t="s">
        <v>131</v>
      </c>
      <c r="M746" s="50">
        <v>44875</v>
      </c>
      <c r="N746" s="50">
        <v>2958465</v>
      </c>
      <c r="P746">
        <v>0</v>
      </c>
      <c r="U746">
        <v>4</v>
      </c>
      <c r="V746">
        <v>1</v>
      </c>
      <c r="W746" t="s">
        <v>132</v>
      </c>
      <c r="X746">
        <v>0</v>
      </c>
    </row>
    <row r="747" spans="1:24" x14ac:dyDescent="0.25">
      <c r="A747">
        <v>1</v>
      </c>
      <c r="B747" s="13">
        <v>590920300961</v>
      </c>
      <c r="C747">
        <v>20</v>
      </c>
      <c r="D747" s="13">
        <v>5957333009</v>
      </c>
      <c r="F747" t="s">
        <v>130</v>
      </c>
      <c r="G747">
        <v>0</v>
      </c>
      <c r="H747">
        <v>100</v>
      </c>
      <c r="K747">
        <v>1</v>
      </c>
      <c r="L747" t="s">
        <v>131</v>
      </c>
      <c r="M747" s="50">
        <v>44875</v>
      </c>
      <c r="N747" s="50">
        <v>2958465</v>
      </c>
      <c r="P747">
        <v>0</v>
      </c>
      <c r="U747">
        <v>4</v>
      </c>
      <c r="V747">
        <v>1</v>
      </c>
      <c r="W747" t="s">
        <v>132</v>
      </c>
      <c r="X747">
        <v>0</v>
      </c>
    </row>
    <row r="748" spans="1:24" x14ac:dyDescent="0.25">
      <c r="A748">
        <v>1</v>
      </c>
      <c r="B748" s="13">
        <v>590920300961</v>
      </c>
      <c r="C748">
        <v>30</v>
      </c>
      <c r="D748" s="13">
        <v>5957303009</v>
      </c>
      <c r="F748" t="s">
        <v>130</v>
      </c>
      <c r="G748">
        <v>0</v>
      </c>
      <c r="H748">
        <v>100</v>
      </c>
      <c r="K748">
        <v>1</v>
      </c>
      <c r="L748" t="s">
        <v>131</v>
      </c>
      <c r="M748" s="50">
        <v>44875</v>
      </c>
      <c r="N748" s="50">
        <v>2958465</v>
      </c>
      <c r="P748">
        <v>0</v>
      </c>
      <c r="U748">
        <v>4</v>
      </c>
      <c r="V748">
        <v>1</v>
      </c>
      <c r="W748" t="s">
        <v>132</v>
      </c>
      <c r="X748">
        <v>0</v>
      </c>
    </row>
    <row r="749" spans="1:24" x14ac:dyDescent="0.25">
      <c r="A749">
        <v>1</v>
      </c>
      <c r="B749" s="13">
        <v>590920300961</v>
      </c>
      <c r="C749">
        <v>40</v>
      </c>
      <c r="D749" s="13">
        <v>5957093009</v>
      </c>
      <c r="F749" t="s">
        <v>130</v>
      </c>
      <c r="G749">
        <v>0</v>
      </c>
      <c r="H749">
        <v>100</v>
      </c>
      <c r="K749">
        <v>1</v>
      </c>
      <c r="L749" t="s">
        <v>131</v>
      </c>
      <c r="M749" s="50">
        <v>44875</v>
      </c>
      <c r="N749" s="50">
        <v>2958465</v>
      </c>
      <c r="P749">
        <v>0</v>
      </c>
      <c r="U749">
        <v>4</v>
      </c>
      <c r="V749">
        <v>1</v>
      </c>
      <c r="W749" t="s">
        <v>132</v>
      </c>
      <c r="X749">
        <v>0</v>
      </c>
    </row>
    <row r="750" spans="1:24" x14ac:dyDescent="0.25">
      <c r="A750">
        <v>1</v>
      </c>
      <c r="B750" s="13">
        <v>590920300961</v>
      </c>
      <c r="C750">
        <v>50</v>
      </c>
      <c r="D750" s="13">
        <v>1018034</v>
      </c>
      <c r="F750" t="s">
        <v>130</v>
      </c>
      <c r="G750">
        <v>0</v>
      </c>
      <c r="H750">
        <v>100</v>
      </c>
      <c r="K750">
        <v>4</v>
      </c>
      <c r="L750" t="s">
        <v>131</v>
      </c>
      <c r="M750" s="50">
        <v>44875</v>
      </c>
      <c r="N750" s="50">
        <v>2958465</v>
      </c>
      <c r="P750">
        <v>0</v>
      </c>
      <c r="U750">
        <v>4</v>
      </c>
      <c r="V750">
        <v>1</v>
      </c>
      <c r="W750" t="s">
        <v>132</v>
      </c>
      <c r="X750">
        <v>0</v>
      </c>
    </row>
    <row r="751" spans="1:24" x14ac:dyDescent="0.25">
      <c r="A751">
        <v>1</v>
      </c>
      <c r="B751" s="13">
        <v>590920300961</v>
      </c>
      <c r="C751">
        <v>60</v>
      </c>
      <c r="D751" s="13">
        <v>1018359</v>
      </c>
      <c r="F751" t="s">
        <v>130</v>
      </c>
      <c r="G751">
        <v>0</v>
      </c>
      <c r="H751">
        <v>100</v>
      </c>
      <c r="K751">
        <v>10</v>
      </c>
      <c r="L751" t="s">
        <v>131</v>
      </c>
      <c r="M751" s="50">
        <v>44875</v>
      </c>
      <c r="N751" s="50">
        <v>2958465</v>
      </c>
      <c r="P751">
        <v>0</v>
      </c>
      <c r="U751">
        <v>4</v>
      </c>
      <c r="V751">
        <v>1</v>
      </c>
      <c r="W751" t="s">
        <v>132</v>
      </c>
      <c r="X751">
        <v>0</v>
      </c>
    </row>
    <row r="752" spans="1:24" x14ac:dyDescent="0.25">
      <c r="A752">
        <v>1</v>
      </c>
      <c r="B752" s="13">
        <v>590920300961</v>
      </c>
      <c r="C752">
        <v>70</v>
      </c>
      <c r="D752" s="13">
        <v>1022213</v>
      </c>
      <c r="F752" t="s">
        <v>130</v>
      </c>
      <c r="G752">
        <v>0</v>
      </c>
      <c r="H752">
        <v>100</v>
      </c>
      <c r="K752">
        <v>5.5919999999999996</v>
      </c>
      <c r="L752" t="s">
        <v>131</v>
      </c>
      <c r="M752" s="50">
        <v>44875</v>
      </c>
      <c r="N752" s="50">
        <v>2958465</v>
      </c>
      <c r="P752">
        <v>0</v>
      </c>
      <c r="U752">
        <v>4</v>
      </c>
      <c r="V752">
        <v>1</v>
      </c>
      <c r="W752" t="s">
        <v>132</v>
      </c>
      <c r="X752">
        <v>0</v>
      </c>
    </row>
    <row r="753" spans="1:24" x14ac:dyDescent="0.25">
      <c r="A753">
        <v>1</v>
      </c>
      <c r="B753" s="13">
        <v>590920300961</v>
      </c>
      <c r="C753">
        <v>80</v>
      </c>
      <c r="D753" s="13">
        <v>12165661</v>
      </c>
      <c r="F753" t="s">
        <v>130</v>
      </c>
      <c r="G753">
        <v>0</v>
      </c>
      <c r="H753">
        <v>100</v>
      </c>
      <c r="K753">
        <v>1</v>
      </c>
      <c r="L753" t="s">
        <v>131</v>
      </c>
      <c r="M753" s="50">
        <v>44875</v>
      </c>
      <c r="N753" s="50">
        <v>2958465</v>
      </c>
      <c r="P753">
        <v>0</v>
      </c>
      <c r="U753">
        <v>4</v>
      </c>
      <c r="V753">
        <v>1</v>
      </c>
      <c r="W753" t="s">
        <v>132</v>
      </c>
      <c r="X753">
        <v>0</v>
      </c>
    </row>
    <row r="754" spans="1:24" x14ac:dyDescent="0.25">
      <c r="A754">
        <v>1</v>
      </c>
      <c r="B754" s="13">
        <v>590920300063</v>
      </c>
      <c r="C754">
        <v>10</v>
      </c>
      <c r="D754" s="13">
        <v>5957163099</v>
      </c>
      <c r="F754" t="s">
        <v>130</v>
      </c>
      <c r="G754">
        <v>0</v>
      </c>
      <c r="H754">
        <v>100</v>
      </c>
      <c r="K754">
        <v>2</v>
      </c>
      <c r="L754" t="s">
        <v>131</v>
      </c>
      <c r="M754" s="50">
        <v>44875</v>
      </c>
      <c r="N754" s="50">
        <v>2958465</v>
      </c>
      <c r="P754">
        <v>0</v>
      </c>
      <c r="U754">
        <v>4</v>
      </c>
      <c r="V754">
        <v>1</v>
      </c>
      <c r="W754" t="s">
        <v>132</v>
      </c>
      <c r="X754">
        <v>0</v>
      </c>
    </row>
    <row r="755" spans="1:24" x14ac:dyDescent="0.25">
      <c r="A755">
        <v>1</v>
      </c>
      <c r="B755" s="13">
        <v>590920300063</v>
      </c>
      <c r="C755">
        <v>20</v>
      </c>
      <c r="D755" s="13">
        <v>5957333099</v>
      </c>
      <c r="F755" t="s">
        <v>130</v>
      </c>
      <c r="G755">
        <v>0</v>
      </c>
      <c r="H755">
        <v>100</v>
      </c>
      <c r="K755">
        <v>1</v>
      </c>
      <c r="L755" t="s">
        <v>131</v>
      </c>
      <c r="M755" s="50">
        <v>44875</v>
      </c>
      <c r="N755" s="50">
        <v>2958465</v>
      </c>
      <c r="P755">
        <v>0</v>
      </c>
      <c r="U755">
        <v>4</v>
      </c>
      <c r="V755">
        <v>1</v>
      </c>
      <c r="W755" t="s">
        <v>132</v>
      </c>
      <c r="X755">
        <v>0</v>
      </c>
    </row>
    <row r="756" spans="1:24" x14ac:dyDescent="0.25">
      <c r="A756">
        <v>1</v>
      </c>
      <c r="B756" s="13">
        <v>590920300063</v>
      </c>
      <c r="C756">
        <v>30</v>
      </c>
      <c r="D756" s="13">
        <v>5957303099</v>
      </c>
      <c r="F756" t="s">
        <v>130</v>
      </c>
      <c r="G756">
        <v>0</v>
      </c>
      <c r="H756">
        <v>100</v>
      </c>
      <c r="K756">
        <v>1</v>
      </c>
      <c r="L756" t="s">
        <v>131</v>
      </c>
      <c r="M756" s="50">
        <v>44875</v>
      </c>
      <c r="N756" s="50">
        <v>2958465</v>
      </c>
      <c r="P756">
        <v>0</v>
      </c>
      <c r="U756">
        <v>4</v>
      </c>
      <c r="V756">
        <v>1</v>
      </c>
      <c r="W756" t="s">
        <v>132</v>
      </c>
      <c r="X756">
        <v>0</v>
      </c>
    </row>
    <row r="757" spans="1:24" x14ac:dyDescent="0.25">
      <c r="A757">
        <v>1</v>
      </c>
      <c r="B757" s="13">
        <v>590920300063</v>
      </c>
      <c r="C757">
        <v>40</v>
      </c>
      <c r="D757" s="13">
        <v>1022219</v>
      </c>
      <c r="F757" t="s">
        <v>130</v>
      </c>
      <c r="G757">
        <v>0</v>
      </c>
      <c r="H757">
        <v>100</v>
      </c>
      <c r="K757">
        <v>1</v>
      </c>
      <c r="L757" t="s">
        <v>131</v>
      </c>
      <c r="M757" s="50">
        <v>44875</v>
      </c>
      <c r="N757" s="50">
        <v>2958465</v>
      </c>
      <c r="P757">
        <v>0</v>
      </c>
      <c r="U757">
        <v>4</v>
      </c>
      <c r="V757">
        <v>1</v>
      </c>
      <c r="W757" t="s">
        <v>132</v>
      </c>
      <c r="X757">
        <v>0</v>
      </c>
    </row>
    <row r="758" spans="1:24" x14ac:dyDescent="0.25">
      <c r="A758">
        <v>1</v>
      </c>
      <c r="B758" s="13">
        <v>590920300063</v>
      </c>
      <c r="C758">
        <v>50</v>
      </c>
      <c r="D758" s="13">
        <v>1018034</v>
      </c>
      <c r="F758" t="s">
        <v>130</v>
      </c>
      <c r="G758">
        <v>0</v>
      </c>
      <c r="H758">
        <v>100</v>
      </c>
      <c r="K758">
        <v>4</v>
      </c>
      <c r="L758" t="s">
        <v>131</v>
      </c>
      <c r="M758" s="50">
        <v>44875</v>
      </c>
      <c r="N758" s="50">
        <v>2958465</v>
      </c>
      <c r="P758">
        <v>0</v>
      </c>
      <c r="U758">
        <v>4</v>
      </c>
      <c r="V758">
        <v>1</v>
      </c>
      <c r="W758" t="s">
        <v>132</v>
      </c>
      <c r="X758">
        <v>0</v>
      </c>
    </row>
    <row r="759" spans="1:24" x14ac:dyDescent="0.25">
      <c r="A759">
        <v>1</v>
      </c>
      <c r="B759" s="13">
        <v>590920300063</v>
      </c>
      <c r="C759">
        <v>60</v>
      </c>
      <c r="D759" s="13">
        <v>1018359</v>
      </c>
      <c r="F759" t="s">
        <v>130</v>
      </c>
      <c r="G759">
        <v>0</v>
      </c>
      <c r="H759">
        <v>100</v>
      </c>
      <c r="K759">
        <v>10</v>
      </c>
      <c r="L759" t="s">
        <v>131</v>
      </c>
      <c r="M759" s="50">
        <v>44875</v>
      </c>
      <c r="N759" s="50">
        <v>2958465</v>
      </c>
      <c r="P759">
        <v>0</v>
      </c>
      <c r="U759">
        <v>4</v>
      </c>
      <c r="V759">
        <v>1</v>
      </c>
      <c r="W759" t="s">
        <v>132</v>
      </c>
      <c r="X759">
        <v>0</v>
      </c>
    </row>
    <row r="760" spans="1:24" x14ac:dyDescent="0.25">
      <c r="A760">
        <v>1</v>
      </c>
      <c r="B760" s="13">
        <v>590920300063</v>
      </c>
      <c r="C760">
        <v>70</v>
      </c>
      <c r="D760" s="13">
        <v>1022213</v>
      </c>
      <c r="F760" t="s">
        <v>130</v>
      </c>
      <c r="G760">
        <v>0</v>
      </c>
      <c r="H760">
        <v>100</v>
      </c>
      <c r="K760">
        <v>5.5919999999999996</v>
      </c>
      <c r="L760" t="s">
        <v>131</v>
      </c>
      <c r="M760" s="50">
        <v>44875</v>
      </c>
      <c r="N760" s="50">
        <v>2958465</v>
      </c>
      <c r="P760">
        <v>0</v>
      </c>
      <c r="U760">
        <v>4</v>
      </c>
      <c r="V760">
        <v>1</v>
      </c>
      <c r="W760" t="s">
        <v>132</v>
      </c>
      <c r="X760">
        <v>0</v>
      </c>
    </row>
    <row r="761" spans="1:24" x14ac:dyDescent="0.25">
      <c r="A761">
        <v>1</v>
      </c>
      <c r="B761" s="13">
        <v>590920300063</v>
      </c>
      <c r="C761">
        <v>80</v>
      </c>
      <c r="D761" s="13">
        <v>12165663</v>
      </c>
      <c r="F761" t="s">
        <v>130</v>
      </c>
      <c r="G761">
        <v>0</v>
      </c>
      <c r="H761">
        <v>100</v>
      </c>
      <c r="K761">
        <v>1</v>
      </c>
      <c r="L761" t="s">
        <v>131</v>
      </c>
      <c r="M761" s="50">
        <v>44875</v>
      </c>
      <c r="N761" s="50">
        <v>2958465</v>
      </c>
      <c r="P761">
        <v>0</v>
      </c>
      <c r="U761">
        <v>4</v>
      </c>
      <c r="V761">
        <v>1</v>
      </c>
      <c r="W761" t="s">
        <v>132</v>
      </c>
      <c r="X761">
        <v>0</v>
      </c>
    </row>
    <row r="762" spans="1:24" x14ac:dyDescent="0.25">
      <c r="A762">
        <v>1</v>
      </c>
      <c r="B762" s="13">
        <v>590920300163</v>
      </c>
      <c r="C762">
        <v>10</v>
      </c>
      <c r="D762" s="13">
        <v>5957163001</v>
      </c>
      <c r="F762" t="s">
        <v>130</v>
      </c>
      <c r="G762">
        <v>0</v>
      </c>
      <c r="H762">
        <v>100</v>
      </c>
      <c r="K762">
        <v>2</v>
      </c>
      <c r="L762" t="s">
        <v>131</v>
      </c>
      <c r="M762" s="50">
        <v>44875</v>
      </c>
      <c r="N762" s="50">
        <v>2958465</v>
      </c>
      <c r="P762">
        <v>0</v>
      </c>
      <c r="U762">
        <v>4</v>
      </c>
      <c r="V762">
        <v>1</v>
      </c>
      <c r="W762" t="s">
        <v>132</v>
      </c>
      <c r="X762">
        <v>0</v>
      </c>
    </row>
    <row r="763" spans="1:24" x14ac:dyDescent="0.25">
      <c r="A763">
        <v>1</v>
      </c>
      <c r="B763" s="13">
        <v>590920300163</v>
      </c>
      <c r="C763">
        <v>20</v>
      </c>
      <c r="D763" s="13">
        <v>5957333001</v>
      </c>
      <c r="F763" t="s">
        <v>130</v>
      </c>
      <c r="G763">
        <v>0</v>
      </c>
      <c r="H763">
        <v>100</v>
      </c>
      <c r="K763">
        <v>1</v>
      </c>
      <c r="L763" t="s">
        <v>131</v>
      </c>
      <c r="M763" s="50">
        <v>44875</v>
      </c>
      <c r="N763" s="50">
        <v>2958465</v>
      </c>
      <c r="P763">
        <v>0</v>
      </c>
      <c r="U763">
        <v>4</v>
      </c>
      <c r="V763">
        <v>1</v>
      </c>
      <c r="W763" t="s">
        <v>132</v>
      </c>
      <c r="X763">
        <v>0</v>
      </c>
    </row>
    <row r="764" spans="1:24" x14ac:dyDescent="0.25">
      <c r="A764">
        <v>1</v>
      </c>
      <c r="B764" s="13">
        <v>590920300163</v>
      </c>
      <c r="C764">
        <v>30</v>
      </c>
      <c r="D764" s="13">
        <v>5957303001</v>
      </c>
      <c r="F764" t="s">
        <v>130</v>
      </c>
      <c r="G764">
        <v>0</v>
      </c>
      <c r="H764">
        <v>100</v>
      </c>
      <c r="K764">
        <v>1</v>
      </c>
      <c r="L764" t="s">
        <v>131</v>
      </c>
      <c r="M764" s="50">
        <v>44875</v>
      </c>
      <c r="N764" s="50">
        <v>2958465</v>
      </c>
      <c r="P764">
        <v>0</v>
      </c>
      <c r="U764">
        <v>4</v>
      </c>
      <c r="V764">
        <v>1</v>
      </c>
      <c r="W764" t="s">
        <v>132</v>
      </c>
      <c r="X764">
        <v>0</v>
      </c>
    </row>
    <row r="765" spans="1:24" x14ac:dyDescent="0.25">
      <c r="A765">
        <v>1</v>
      </c>
      <c r="B765" s="13">
        <v>590920300163</v>
      </c>
      <c r="C765">
        <v>40</v>
      </c>
      <c r="D765" s="13">
        <v>5957093001</v>
      </c>
      <c r="F765" t="s">
        <v>130</v>
      </c>
      <c r="G765">
        <v>0</v>
      </c>
      <c r="H765">
        <v>100</v>
      </c>
      <c r="K765">
        <v>1</v>
      </c>
      <c r="L765" t="s">
        <v>131</v>
      </c>
      <c r="M765" s="50">
        <v>44875</v>
      </c>
      <c r="N765" s="50">
        <v>2958465</v>
      </c>
      <c r="P765">
        <v>0</v>
      </c>
      <c r="U765">
        <v>4</v>
      </c>
      <c r="V765">
        <v>1</v>
      </c>
      <c r="W765" t="s">
        <v>132</v>
      </c>
      <c r="X765">
        <v>0</v>
      </c>
    </row>
    <row r="766" spans="1:24" x14ac:dyDescent="0.25">
      <c r="A766">
        <v>1</v>
      </c>
      <c r="B766" s="13">
        <v>590920300163</v>
      </c>
      <c r="C766">
        <v>50</v>
      </c>
      <c r="D766" s="13">
        <v>1018034</v>
      </c>
      <c r="F766" t="s">
        <v>130</v>
      </c>
      <c r="G766">
        <v>0</v>
      </c>
      <c r="H766">
        <v>100</v>
      </c>
      <c r="K766">
        <v>4</v>
      </c>
      <c r="L766" t="s">
        <v>131</v>
      </c>
      <c r="M766" s="50">
        <v>44875</v>
      </c>
      <c r="N766" s="50">
        <v>2958465</v>
      </c>
      <c r="P766">
        <v>0</v>
      </c>
      <c r="U766">
        <v>4</v>
      </c>
      <c r="V766">
        <v>1</v>
      </c>
      <c r="W766" t="s">
        <v>132</v>
      </c>
      <c r="X766">
        <v>0</v>
      </c>
    </row>
    <row r="767" spans="1:24" x14ac:dyDescent="0.25">
      <c r="A767">
        <v>1</v>
      </c>
      <c r="B767" s="13">
        <v>590920300163</v>
      </c>
      <c r="C767">
        <v>60</v>
      </c>
      <c r="D767" s="13">
        <v>1018359</v>
      </c>
      <c r="F767" t="s">
        <v>130</v>
      </c>
      <c r="G767">
        <v>0</v>
      </c>
      <c r="H767">
        <v>100</v>
      </c>
      <c r="K767">
        <v>10</v>
      </c>
      <c r="L767" t="s">
        <v>131</v>
      </c>
      <c r="M767" s="50">
        <v>44875</v>
      </c>
      <c r="N767" s="50">
        <v>2958465</v>
      </c>
      <c r="P767">
        <v>0</v>
      </c>
      <c r="U767">
        <v>4</v>
      </c>
      <c r="V767">
        <v>1</v>
      </c>
      <c r="W767" t="s">
        <v>132</v>
      </c>
      <c r="X767">
        <v>0</v>
      </c>
    </row>
    <row r="768" spans="1:24" x14ac:dyDescent="0.25">
      <c r="A768">
        <v>1</v>
      </c>
      <c r="B768" s="13">
        <v>590920300163</v>
      </c>
      <c r="C768">
        <v>70</v>
      </c>
      <c r="D768" s="13">
        <v>1022213</v>
      </c>
      <c r="F768" t="s">
        <v>130</v>
      </c>
      <c r="G768">
        <v>0</v>
      </c>
      <c r="H768">
        <v>100</v>
      </c>
      <c r="K768">
        <v>5.5919999999999996</v>
      </c>
      <c r="L768" t="s">
        <v>131</v>
      </c>
      <c r="M768" s="50">
        <v>44875</v>
      </c>
      <c r="N768" s="50">
        <v>2958465</v>
      </c>
      <c r="P768">
        <v>0</v>
      </c>
      <c r="U768">
        <v>4</v>
      </c>
      <c r="V768">
        <v>1</v>
      </c>
      <c r="W768" t="s">
        <v>132</v>
      </c>
      <c r="X768">
        <v>0</v>
      </c>
    </row>
    <row r="769" spans="1:24" x14ac:dyDescent="0.25">
      <c r="A769">
        <v>1</v>
      </c>
      <c r="B769" s="13">
        <v>590920300163</v>
      </c>
      <c r="C769">
        <v>80</v>
      </c>
      <c r="D769" s="13">
        <v>12165663</v>
      </c>
      <c r="F769" t="s">
        <v>130</v>
      </c>
      <c r="G769">
        <v>0</v>
      </c>
      <c r="H769">
        <v>100</v>
      </c>
      <c r="K769">
        <v>1</v>
      </c>
      <c r="L769" t="s">
        <v>131</v>
      </c>
      <c r="M769" s="50">
        <v>44875</v>
      </c>
      <c r="N769" s="50">
        <v>2958465</v>
      </c>
      <c r="P769">
        <v>0</v>
      </c>
      <c r="U769">
        <v>4</v>
      </c>
      <c r="V769">
        <v>1</v>
      </c>
      <c r="W769" t="s">
        <v>132</v>
      </c>
      <c r="X769">
        <v>0</v>
      </c>
    </row>
    <row r="770" spans="1:24" x14ac:dyDescent="0.25">
      <c r="A770">
        <v>1</v>
      </c>
      <c r="B770" s="13">
        <v>590920300263</v>
      </c>
      <c r="C770">
        <v>10</v>
      </c>
      <c r="D770" s="13">
        <v>5957163002</v>
      </c>
      <c r="F770" t="s">
        <v>130</v>
      </c>
      <c r="G770">
        <v>0</v>
      </c>
      <c r="H770">
        <v>100</v>
      </c>
      <c r="K770">
        <v>2</v>
      </c>
      <c r="L770" t="s">
        <v>131</v>
      </c>
      <c r="M770" s="50">
        <v>44875</v>
      </c>
      <c r="N770" s="50">
        <v>2958465</v>
      </c>
      <c r="P770">
        <v>0</v>
      </c>
      <c r="U770">
        <v>4</v>
      </c>
      <c r="V770">
        <v>1</v>
      </c>
      <c r="W770" t="s">
        <v>132</v>
      </c>
      <c r="X770">
        <v>0</v>
      </c>
    </row>
    <row r="771" spans="1:24" x14ac:dyDescent="0.25">
      <c r="A771">
        <v>1</v>
      </c>
      <c r="B771" s="13">
        <v>590920300263</v>
      </c>
      <c r="C771">
        <v>20</v>
      </c>
      <c r="D771" s="13">
        <v>5957333002</v>
      </c>
      <c r="F771" t="s">
        <v>130</v>
      </c>
      <c r="G771">
        <v>0</v>
      </c>
      <c r="H771">
        <v>100</v>
      </c>
      <c r="K771">
        <v>1</v>
      </c>
      <c r="L771" t="s">
        <v>131</v>
      </c>
      <c r="M771" s="50">
        <v>44875</v>
      </c>
      <c r="N771" s="50">
        <v>2958465</v>
      </c>
      <c r="P771">
        <v>0</v>
      </c>
      <c r="U771">
        <v>4</v>
      </c>
      <c r="V771">
        <v>1</v>
      </c>
      <c r="W771" t="s">
        <v>132</v>
      </c>
      <c r="X771">
        <v>0</v>
      </c>
    </row>
    <row r="772" spans="1:24" x14ac:dyDescent="0.25">
      <c r="A772">
        <v>1</v>
      </c>
      <c r="B772" s="13">
        <v>590920300263</v>
      </c>
      <c r="C772">
        <v>30</v>
      </c>
      <c r="D772" s="13">
        <v>5957303002</v>
      </c>
      <c r="F772" t="s">
        <v>130</v>
      </c>
      <c r="G772">
        <v>0</v>
      </c>
      <c r="H772">
        <v>100</v>
      </c>
      <c r="K772">
        <v>1</v>
      </c>
      <c r="L772" t="s">
        <v>131</v>
      </c>
      <c r="M772" s="50">
        <v>44875</v>
      </c>
      <c r="N772" s="50">
        <v>2958465</v>
      </c>
      <c r="P772">
        <v>0</v>
      </c>
      <c r="U772">
        <v>4</v>
      </c>
      <c r="V772">
        <v>1</v>
      </c>
      <c r="W772" t="s">
        <v>132</v>
      </c>
      <c r="X772">
        <v>0</v>
      </c>
    </row>
    <row r="773" spans="1:24" x14ac:dyDescent="0.25">
      <c r="A773">
        <v>1</v>
      </c>
      <c r="B773" s="13">
        <v>590920300263</v>
      </c>
      <c r="C773">
        <v>40</v>
      </c>
      <c r="D773" s="13">
        <v>5957093002</v>
      </c>
      <c r="F773" t="s">
        <v>130</v>
      </c>
      <c r="G773">
        <v>0</v>
      </c>
      <c r="H773">
        <v>100</v>
      </c>
      <c r="K773">
        <v>1</v>
      </c>
      <c r="L773" t="s">
        <v>131</v>
      </c>
      <c r="M773" s="50">
        <v>44875</v>
      </c>
      <c r="N773" s="50">
        <v>2958465</v>
      </c>
      <c r="P773">
        <v>0</v>
      </c>
      <c r="U773">
        <v>4</v>
      </c>
      <c r="V773">
        <v>1</v>
      </c>
      <c r="W773" t="s">
        <v>132</v>
      </c>
      <c r="X773">
        <v>0</v>
      </c>
    </row>
    <row r="774" spans="1:24" x14ac:dyDescent="0.25">
      <c r="A774">
        <v>1</v>
      </c>
      <c r="B774" s="13">
        <v>590920300263</v>
      </c>
      <c r="C774">
        <v>50</v>
      </c>
      <c r="D774" s="13">
        <v>1018034</v>
      </c>
      <c r="F774" t="s">
        <v>130</v>
      </c>
      <c r="G774">
        <v>0</v>
      </c>
      <c r="H774">
        <v>100</v>
      </c>
      <c r="K774">
        <v>4</v>
      </c>
      <c r="L774" t="s">
        <v>131</v>
      </c>
      <c r="M774" s="50">
        <v>44875</v>
      </c>
      <c r="N774" s="50">
        <v>2958465</v>
      </c>
      <c r="P774">
        <v>0</v>
      </c>
      <c r="U774">
        <v>4</v>
      </c>
      <c r="V774">
        <v>1</v>
      </c>
      <c r="W774" t="s">
        <v>132</v>
      </c>
      <c r="X774">
        <v>0</v>
      </c>
    </row>
    <row r="775" spans="1:24" x14ac:dyDescent="0.25">
      <c r="A775">
        <v>1</v>
      </c>
      <c r="B775" s="13">
        <v>590920300263</v>
      </c>
      <c r="C775">
        <v>60</v>
      </c>
      <c r="D775" s="13">
        <v>1022356</v>
      </c>
      <c r="F775" t="s">
        <v>130</v>
      </c>
      <c r="G775">
        <v>0</v>
      </c>
      <c r="H775">
        <v>100</v>
      </c>
      <c r="K775">
        <v>10</v>
      </c>
      <c r="L775" t="s">
        <v>131</v>
      </c>
      <c r="M775" s="50">
        <v>44875</v>
      </c>
      <c r="N775" s="50">
        <v>2958465</v>
      </c>
      <c r="P775">
        <v>0</v>
      </c>
      <c r="U775">
        <v>4</v>
      </c>
      <c r="V775">
        <v>1</v>
      </c>
      <c r="W775" t="s">
        <v>132</v>
      </c>
      <c r="X775">
        <v>0</v>
      </c>
    </row>
    <row r="776" spans="1:24" x14ac:dyDescent="0.25">
      <c r="A776">
        <v>1</v>
      </c>
      <c r="B776" s="13">
        <v>590920300263</v>
      </c>
      <c r="C776">
        <v>70</v>
      </c>
      <c r="D776" s="13">
        <v>1022213</v>
      </c>
      <c r="F776" t="s">
        <v>130</v>
      </c>
      <c r="G776">
        <v>0</v>
      </c>
      <c r="H776">
        <v>100</v>
      </c>
      <c r="K776">
        <v>5.5919999999999996</v>
      </c>
      <c r="L776" t="s">
        <v>131</v>
      </c>
      <c r="M776" s="50">
        <v>44875</v>
      </c>
      <c r="N776" s="50">
        <v>2958465</v>
      </c>
      <c r="P776">
        <v>0</v>
      </c>
      <c r="U776">
        <v>4</v>
      </c>
      <c r="V776">
        <v>1</v>
      </c>
      <c r="W776" t="s">
        <v>132</v>
      </c>
      <c r="X776">
        <v>0</v>
      </c>
    </row>
    <row r="777" spans="1:24" x14ac:dyDescent="0.25">
      <c r="A777">
        <v>1</v>
      </c>
      <c r="B777" s="13">
        <v>590920300263</v>
      </c>
      <c r="C777">
        <v>80</v>
      </c>
      <c r="D777" s="13">
        <v>12165663</v>
      </c>
      <c r="F777" t="s">
        <v>130</v>
      </c>
      <c r="G777">
        <v>0</v>
      </c>
      <c r="H777">
        <v>100</v>
      </c>
      <c r="K777">
        <v>1</v>
      </c>
      <c r="L777" t="s">
        <v>131</v>
      </c>
      <c r="M777" s="50">
        <v>44875</v>
      </c>
      <c r="N777" s="50">
        <v>2958465</v>
      </c>
      <c r="P777">
        <v>0</v>
      </c>
      <c r="U777">
        <v>4</v>
      </c>
      <c r="V777">
        <v>1</v>
      </c>
      <c r="W777" t="s">
        <v>132</v>
      </c>
      <c r="X777">
        <v>0</v>
      </c>
    </row>
    <row r="778" spans="1:24" x14ac:dyDescent="0.25">
      <c r="A778">
        <v>1</v>
      </c>
      <c r="B778" s="13">
        <v>590920300363</v>
      </c>
      <c r="C778">
        <v>10</v>
      </c>
      <c r="D778" s="13">
        <v>5957163003</v>
      </c>
      <c r="F778" t="s">
        <v>130</v>
      </c>
      <c r="G778">
        <v>0</v>
      </c>
      <c r="H778">
        <v>100</v>
      </c>
      <c r="K778">
        <v>2</v>
      </c>
      <c r="L778" t="s">
        <v>131</v>
      </c>
      <c r="M778" s="50">
        <v>44875</v>
      </c>
      <c r="N778" s="50">
        <v>2958465</v>
      </c>
      <c r="P778">
        <v>0</v>
      </c>
      <c r="U778">
        <v>4</v>
      </c>
      <c r="V778">
        <v>1</v>
      </c>
      <c r="W778" t="s">
        <v>132</v>
      </c>
      <c r="X778">
        <v>0</v>
      </c>
    </row>
    <row r="779" spans="1:24" x14ac:dyDescent="0.25">
      <c r="A779">
        <v>1</v>
      </c>
      <c r="B779" s="13">
        <v>590920300363</v>
      </c>
      <c r="C779">
        <v>20</v>
      </c>
      <c r="D779" s="13">
        <v>5957333003</v>
      </c>
      <c r="F779" t="s">
        <v>130</v>
      </c>
      <c r="G779">
        <v>0</v>
      </c>
      <c r="H779">
        <v>100</v>
      </c>
      <c r="K779">
        <v>1</v>
      </c>
      <c r="L779" t="s">
        <v>131</v>
      </c>
      <c r="M779" s="50">
        <v>44875</v>
      </c>
      <c r="N779" s="50">
        <v>2958465</v>
      </c>
      <c r="P779">
        <v>0</v>
      </c>
      <c r="U779">
        <v>4</v>
      </c>
      <c r="V779">
        <v>1</v>
      </c>
      <c r="W779" t="s">
        <v>132</v>
      </c>
      <c r="X779">
        <v>0</v>
      </c>
    </row>
    <row r="780" spans="1:24" x14ac:dyDescent="0.25">
      <c r="A780">
        <v>1</v>
      </c>
      <c r="B780" s="13">
        <v>590920300363</v>
      </c>
      <c r="C780">
        <v>30</v>
      </c>
      <c r="D780" s="13">
        <v>5957303003</v>
      </c>
      <c r="F780" t="s">
        <v>130</v>
      </c>
      <c r="G780">
        <v>0</v>
      </c>
      <c r="H780">
        <v>100</v>
      </c>
      <c r="K780">
        <v>1</v>
      </c>
      <c r="L780" t="s">
        <v>131</v>
      </c>
      <c r="M780" s="50">
        <v>44875</v>
      </c>
      <c r="N780" s="50">
        <v>2958465</v>
      </c>
      <c r="P780">
        <v>0</v>
      </c>
      <c r="U780">
        <v>4</v>
      </c>
      <c r="V780">
        <v>1</v>
      </c>
      <c r="W780" t="s">
        <v>132</v>
      </c>
      <c r="X780">
        <v>0</v>
      </c>
    </row>
    <row r="781" spans="1:24" x14ac:dyDescent="0.25">
      <c r="A781">
        <v>1</v>
      </c>
      <c r="B781" s="13">
        <v>590920300363</v>
      </c>
      <c r="C781">
        <v>40</v>
      </c>
      <c r="D781" s="13">
        <v>5957093003</v>
      </c>
      <c r="F781" t="s">
        <v>130</v>
      </c>
      <c r="G781">
        <v>0</v>
      </c>
      <c r="H781">
        <v>100</v>
      </c>
      <c r="K781">
        <v>1</v>
      </c>
      <c r="L781" t="s">
        <v>131</v>
      </c>
      <c r="M781" s="50">
        <v>44875</v>
      </c>
      <c r="N781" s="50">
        <v>2958465</v>
      </c>
      <c r="P781">
        <v>0</v>
      </c>
      <c r="U781">
        <v>4</v>
      </c>
      <c r="V781">
        <v>1</v>
      </c>
      <c r="W781" t="s">
        <v>132</v>
      </c>
      <c r="X781">
        <v>0</v>
      </c>
    </row>
    <row r="782" spans="1:24" x14ac:dyDescent="0.25">
      <c r="A782">
        <v>1</v>
      </c>
      <c r="B782" s="13">
        <v>590920300363</v>
      </c>
      <c r="C782">
        <v>50</v>
      </c>
      <c r="D782" s="13">
        <v>1018034</v>
      </c>
      <c r="F782" t="s">
        <v>130</v>
      </c>
      <c r="G782">
        <v>0</v>
      </c>
      <c r="H782">
        <v>100</v>
      </c>
      <c r="K782">
        <v>4</v>
      </c>
      <c r="L782" t="s">
        <v>131</v>
      </c>
      <c r="M782" s="50">
        <v>44875</v>
      </c>
      <c r="N782" s="50">
        <v>2958465</v>
      </c>
      <c r="P782">
        <v>0</v>
      </c>
      <c r="U782">
        <v>4</v>
      </c>
      <c r="V782">
        <v>1</v>
      </c>
      <c r="W782" t="s">
        <v>132</v>
      </c>
      <c r="X782">
        <v>0</v>
      </c>
    </row>
    <row r="783" spans="1:24" x14ac:dyDescent="0.25">
      <c r="A783">
        <v>1</v>
      </c>
      <c r="B783" s="13">
        <v>590920300363</v>
      </c>
      <c r="C783">
        <v>60</v>
      </c>
      <c r="D783" s="13">
        <v>1018359</v>
      </c>
      <c r="F783" t="s">
        <v>130</v>
      </c>
      <c r="G783">
        <v>0</v>
      </c>
      <c r="H783">
        <v>100</v>
      </c>
      <c r="K783">
        <v>10</v>
      </c>
      <c r="L783" t="s">
        <v>131</v>
      </c>
      <c r="M783" s="50">
        <v>44875</v>
      </c>
      <c r="N783" s="50">
        <v>2958465</v>
      </c>
      <c r="P783">
        <v>0</v>
      </c>
      <c r="U783">
        <v>4</v>
      </c>
      <c r="V783">
        <v>1</v>
      </c>
      <c r="W783" t="s">
        <v>132</v>
      </c>
      <c r="X783">
        <v>0</v>
      </c>
    </row>
    <row r="784" spans="1:24" x14ac:dyDescent="0.25">
      <c r="A784">
        <v>1</v>
      </c>
      <c r="B784" s="13">
        <v>590920300363</v>
      </c>
      <c r="C784">
        <v>70</v>
      </c>
      <c r="D784" s="13">
        <v>1022213</v>
      </c>
      <c r="F784" t="s">
        <v>130</v>
      </c>
      <c r="G784">
        <v>0</v>
      </c>
      <c r="H784">
        <v>100</v>
      </c>
      <c r="K784">
        <v>5.5919999999999996</v>
      </c>
      <c r="L784" t="s">
        <v>131</v>
      </c>
      <c r="M784" s="50">
        <v>44875</v>
      </c>
      <c r="N784" s="50">
        <v>2958465</v>
      </c>
      <c r="P784">
        <v>0</v>
      </c>
      <c r="U784">
        <v>4</v>
      </c>
      <c r="V784">
        <v>1</v>
      </c>
      <c r="W784" t="s">
        <v>132</v>
      </c>
      <c r="X784">
        <v>0</v>
      </c>
    </row>
    <row r="785" spans="1:24" x14ac:dyDescent="0.25">
      <c r="A785">
        <v>1</v>
      </c>
      <c r="B785" s="13">
        <v>590920300363</v>
      </c>
      <c r="C785">
        <v>80</v>
      </c>
      <c r="D785" s="13">
        <v>12165663</v>
      </c>
      <c r="F785" t="s">
        <v>130</v>
      </c>
      <c r="G785">
        <v>0</v>
      </c>
      <c r="H785">
        <v>100</v>
      </c>
      <c r="K785">
        <v>1</v>
      </c>
      <c r="L785" t="s">
        <v>131</v>
      </c>
      <c r="M785" s="50">
        <v>44875</v>
      </c>
      <c r="N785" s="50">
        <v>2958465</v>
      </c>
      <c r="P785">
        <v>0</v>
      </c>
      <c r="U785">
        <v>4</v>
      </c>
      <c r="V785">
        <v>1</v>
      </c>
      <c r="W785" t="s">
        <v>132</v>
      </c>
      <c r="X785">
        <v>0</v>
      </c>
    </row>
    <row r="786" spans="1:24" x14ac:dyDescent="0.25">
      <c r="A786">
        <v>1</v>
      </c>
      <c r="B786" s="13">
        <v>590920300463</v>
      </c>
      <c r="C786">
        <v>10</v>
      </c>
      <c r="D786" s="13">
        <v>5957163004</v>
      </c>
      <c r="F786" t="s">
        <v>130</v>
      </c>
      <c r="G786">
        <v>0</v>
      </c>
      <c r="H786">
        <v>100</v>
      </c>
      <c r="K786">
        <v>2</v>
      </c>
      <c r="L786" t="s">
        <v>131</v>
      </c>
      <c r="M786" s="50">
        <v>44875</v>
      </c>
      <c r="N786" s="50">
        <v>2958465</v>
      </c>
      <c r="P786">
        <v>0</v>
      </c>
      <c r="U786">
        <v>4</v>
      </c>
      <c r="V786">
        <v>1</v>
      </c>
      <c r="W786" t="s">
        <v>132</v>
      </c>
      <c r="X786">
        <v>0</v>
      </c>
    </row>
    <row r="787" spans="1:24" x14ac:dyDescent="0.25">
      <c r="A787">
        <v>1</v>
      </c>
      <c r="B787" s="13">
        <v>590920300463</v>
      </c>
      <c r="C787">
        <v>20</v>
      </c>
      <c r="D787" s="13">
        <v>5957333004</v>
      </c>
      <c r="F787" t="s">
        <v>130</v>
      </c>
      <c r="G787">
        <v>0</v>
      </c>
      <c r="H787">
        <v>100</v>
      </c>
      <c r="K787">
        <v>1</v>
      </c>
      <c r="L787" t="s">
        <v>131</v>
      </c>
      <c r="M787" s="50">
        <v>44875</v>
      </c>
      <c r="N787" s="50">
        <v>2958465</v>
      </c>
      <c r="P787">
        <v>0</v>
      </c>
      <c r="U787">
        <v>4</v>
      </c>
      <c r="V787">
        <v>1</v>
      </c>
      <c r="W787" t="s">
        <v>132</v>
      </c>
      <c r="X787">
        <v>0</v>
      </c>
    </row>
    <row r="788" spans="1:24" x14ac:dyDescent="0.25">
      <c r="A788">
        <v>1</v>
      </c>
      <c r="B788" s="13">
        <v>590920300463</v>
      </c>
      <c r="C788">
        <v>30</v>
      </c>
      <c r="D788" s="13">
        <v>5957303004</v>
      </c>
      <c r="F788" t="s">
        <v>130</v>
      </c>
      <c r="G788">
        <v>0</v>
      </c>
      <c r="H788">
        <v>100</v>
      </c>
      <c r="K788">
        <v>1</v>
      </c>
      <c r="L788" t="s">
        <v>131</v>
      </c>
      <c r="M788" s="50">
        <v>44875</v>
      </c>
      <c r="N788" s="50">
        <v>2958465</v>
      </c>
      <c r="P788">
        <v>0</v>
      </c>
      <c r="U788">
        <v>4</v>
      </c>
      <c r="V788">
        <v>1</v>
      </c>
      <c r="W788" t="s">
        <v>132</v>
      </c>
      <c r="X788">
        <v>0</v>
      </c>
    </row>
    <row r="789" spans="1:24" x14ac:dyDescent="0.25">
      <c r="A789">
        <v>1</v>
      </c>
      <c r="B789" s="13">
        <v>590920300463</v>
      </c>
      <c r="C789">
        <v>40</v>
      </c>
      <c r="D789" s="13">
        <v>5957093004</v>
      </c>
      <c r="F789" t="s">
        <v>130</v>
      </c>
      <c r="G789">
        <v>0</v>
      </c>
      <c r="H789">
        <v>100</v>
      </c>
      <c r="K789">
        <v>1</v>
      </c>
      <c r="L789" t="s">
        <v>131</v>
      </c>
      <c r="M789" s="50">
        <v>44875</v>
      </c>
      <c r="N789" s="50">
        <v>2958465</v>
      </c>
      <c r="P789">
        <v>0</v>
      </c>
      <c r="U789">
        <v>4</v>
      </c>
      <c r="V789">
        <v>1</v>
      </c>
      <c r="W789" t="s">
        <v>132</v>
      </c>
      <c r="X789">
        <v>0</v>
      </c>
    </row>
    <row r="790" spans="1:24" x14ac:dyDescent="0.25">
      <c r="A790">
        <v>1</v>
      </c>
      <c r="B790" s="13">
        <v>590920300463</v>
      </c>
      <c r="C790">
        <v>50</v>
      </c>
      <c r="D790" s="13">
        <v>1018034</v>
      </c>
      <c r="F790" t="s">
        <v>130</v>
      </c>
      <c r="G790">
        <v>0</v>
      </c>
      <c r="H790">
        <v>100</v>
      </c>
      <c r="K790">
        <v>4</v>
      </c>
      <c r="L790" t="s">
        <v>131</v>
      </c>
      <c r="M790" s="50">
        <v>44875</v>
      </c>
      <c r="N790" s="50">
        <v>2958465</v>
      </c>
      <c r="P790">
        <v>0</v>
      </c>
      <c r="U790">
        <v>4</v>
      </c>
      <c r="V790">
        <v>1</v>
      </c>
      <c r="W790" t="s">
        <v>132</v>
      </c>
      <c r="X790">
        <v>0</v>
      </c>
    </row>
    <row r="791" spans="1:24" x14ac:dyDescent="0.25">
      <c r="A791">
        <v>1</v>
      </c>
      <c r="B791" s="13">
        <v>590920300463</v>
      </c>
      <c r="C791">
        <v>60</v>
      </c>
      <c r="D791" s="13">
        <v>1022356</v>
      </c>
      <c r="F791" t="s">
        <v>130</v>
      </c>
      <c r="G791">
        <v>0</v>
      </c>
      <c r="H791">
        <v>100</v>
      </c>
      <c r="K791">
        <v>10</v>
      </c>
      <c r="L791" t="s">
        <v>131</v>
      </c>
      <c r="M791" s="50">
        <v>44875</v>
      </c>
      <c r="N791" s="50">
        <v>2958465</v>
      </c>
      <c r="P791">
        <v>0</v>
      </c>
      <c r="U791">
        <v>4</v>
      </c>
      <c r="V791">
        <v>1</v>
      </c>
      <c r="W791" t="s">
        <v>132</v>
      </c>
      <c r="X791">
        <v>0</v>
      </c>
    </row>
    <row r="792" spans="1:24" x14ac:dyDescent="0.25">
      <c r="A792">
        <v>1</v>
      </c>
      <c r="B792" s="13">
        <v>590920300463</v>
      </c>
      <c r="C792">
        <v>70</v>
      </c>
      <c r="D792" s="13">
        <v>1022213</v>
      </c>
      <c r="F792" t="s">
        <v>130</v>
      </c>
      <c r="G792">
        <v>0</v>
      </c>
      <c r="H792">
        <v>100</v>
      </c>
      <c r="K792">
        <v>5.5919999999999996</v>
      </c>
      <c r="L792" t="s">
        <v>131</v>
      </c>
      <c r="M792" s="50">
        <v>44875</v>
      </c>
      <c r="N792" s="50">
        <v>2958465</v>
      </c>
      <c r="P792">
        <v>0</v>
      </c>
      <c r="U792">
        <v>4</v>
      </c>
      <c r="V792">
        <v>1</v>
      </c>
      <c r="W792" t="s">
        <v>132</v>
      </c>
      <c r="X792">
        <v>0</v>
      </c>
    </row>
    <row r="793" spans="1:24" x14ac:dyDescent="0.25">
      <c r="A793">
        <v>1</v>
      </c>
      <c r="B793" s="13">
        <v>590920300463</v>
      </c>
      <c r="C793">
        <v>80</v>
      </c>
      <c r="D793" s="13">
        <v>12165663</v>
      </c>
      <c r="F793" t="s">
        <v>130</v>
      </c>
      <c r="G793">
        <v>0</v>
      </c>
      <c r="H793">
        <v>100</v>
      </c>
      <c r="K793">
        <v>1</v>
      </c>
      <c r="L793" t="s">
        <v>131</v>
      </c>
      <c r="M793" s="50">
        <v>44875</v>
      </c>
      <c r="N793" s="50">
        <v>2958465</v>
      </c>
      <c r="P793">
        <v>0</v>
      </c>
      <c r="U793">
        <v>4</v>
      </c>
      <c r="V793">
        <v>1</v>
      </c>
      <c r="W793" t="s">
        <v>132</v>
      </c>
      <c r="X793">
        <v>0</v>
      </c>
    </row>
    <row r="794" spans="1:24" x14ac:dyDescent="0.25">
      <c r="A794">
        <v>1</v>
      </c>
      <c r="B794" s="13">
        <v>590920300563</v>
      </c>
      <c r="C794">
        <v>10</v>
      </c>
      <c r="D794" s="13">
        <v>5957163005</v>
      </c>
      <c r="F794" t="s">
        <v>130</v>
      </c>
      <c r="G794">
        <v>0</v>
      </c>
      <c r="H794">
        <v>100</v>
      </c>
      <c r="K794">
        <v>2</v>
      </c>
      <c r="L794" t="s">
        <v>131</v>
      </c>
      <c r="M794" s="50">
        <v>44875</v>
      </c>
      <c r="N794" s="50">
        <v>2958465</v>
      </c>
      <c r="P794">
        <v>0</v>
      </c>
      <c r="U794">
        <v>4</v>
      </c>
      <c r="V794">
        <v>1</v>
      </c>
      <c r="W794" t="s">
        <v>132</v>
      </c>
      <c r="X794">
        <v>0</v>
      </c>
    </row>
    <row r="795" spans="1:24" x14ac:dyDescent="0.25">
      <c r="A795">
        <v>1</v>
      </c>
      <c r="B795" s="13">
        <v>590920300563</v>
      </c>
      <c r="C795">
        <v>20</v>
      </c>
      <c r="D795" s="13">
        <v>5957333005</v>
      </c>
      <c r="F795" t="s">
        <v>130</v>
      </c>
      <c r="G795">
        <v>0</v>
      </c>
      <c r="H795">
        <v>100</v>
      </c>
      <c r="K795">
        <v>1</v>
      </c>
      <c r="L795" t="s">
        <v>131</v>
      </c>
      <c r="M795" s="50">
        <v>44875</v>
      </c>
      <c r="N795" s="50">
        <v>2958465</v>
      </c>
      <c r="P795">
        <v>0</v>
      </c>
      <c r="U795">
        <v>4</v>
      </c>
      <c r="V795">
        <v>1</v>
      </c>
      <c r="W795" t="s">
        <v>132</v>
      </c>
      <c r="X795">
        <v>0</v>
      </c>
    </row>
    <row r="796" spans="1:24" x14ac:dyDescent="0.25">
      <c r="A796">
        <v>1</v>
      </c>
      <c r="B796" s="13">
        <v>590920300563</v>
      </c>
      <c r="C796">
        <v>30</v>
      </c>
      <c r="D796" s="13">
        <v>5957303005</v>
      </c>
      <c r="F796" t="s">
        <v>130</v>
      </c>
      <c r="G796">
        <v>0</v>
      </c>
      <c r="H796">
        <v>100</v>
      </c>
      <c r="K796">
        <v>1</v>
      </c>
      <c r="L796" t="s">
        <v>131</v>
      </c>
      <c r="M796" s="50">
        <v>44875</v>
      </c>
      <c r="N796" s="50">
        <v>2958465</v>
      </c>
      <c r="P796">
        <v>0</v>
      </c>
      <c r="U796">
        <v>4</v>
      </c>
      <c r="V796">
        <v>1</v>
      </c>
      <c r="W796" t="s">
        <v>132</v>
      </c>
      <c r="X796">
        <v>0</v>
      </c>
    </row>
    <row r="797" spans="1:24" x14ac:dyDescent="0.25">
      <c r="A797">
        <v>1</v>
      </c>
      <c r="B797" s="13">
        <v>590920300563</v>
      </c>
      <c r="C797">
        <v>40</v>
      </c>
      <c r="D797" s="13">
        <v>5957093005</v>
      </c>
      <c r="F797" t="s">
        <v>130</v>
      </c>
      <c r="G797">
        <v>0</v>
      </c>
      <c r="H797">
        <v>100</v>
      </c>
      <c r="K797">
        <v>1</v>
      </c>
      <c r="L797" t="s">
        <v>131</v>
      </c>
      <c r="M797" s="50">
        <v>44875</v>
      </c>
      <c r="N797" s="50">
        <v>2958465</v>
      </c>
      <c r="P797">
        <v>0</v>
      </c>
      <c r="U797">
        <v>4</v>
      </c>
      <c r="V797">
        <v>1</v>
      </c>
      <c r="W797" t="s">
        <v>132</v>
      </c>
      <c r="X797">
        <v>0</v>
      </c>
    </row>
    <row r="798" spans="1:24" x14ac:dyDescent="0.25">
      <c r="A798">
        <v>1</v>
      </c>
      <c r="B798" s="13">
        <v>590920300563</v>
      </c>
      <c r="C798">
        <v>50</v>
      </c>
      <c r="D798" s="13">
        <v>1018034</v>
      </c>
      <c r="F798" t="s">
        <v>130</v>
      </c>
      <c r="G798">
        <v>0</v>
      </c>
      <c r="H798">
        <v>100</v>
      </c>
      <c r="K798">
        <v>4</v>
      </c>
      <c r="L798" t="s">
        <v>131</v>
      </c>
      <c r="M798" s="50">
        <v>44875</v>
      </c>
      <c r="N798" s="50">
        <v>2958465</v>
      </c>
      <c r="P798">
        <v>0</v>
      </c>
      <c r="U798">
        <v>4</v>
      </c>
      <c r="V798">
        <v>1</v>
      </c>
      <c r="W798" t="s">
        <v>132</v>
      </c>
      <c r="X798">
        <v>0</v>
      </c>
    </row>
    <row r="799" spans="1:24" x14ac:dyDescent="0.25">
      <c r="A799">
        <v>1</v>
      </c>
      <c r="B799" s="13">
        <v>590920300563</v>
      </c>
      <c r="C799">
        <v>60</v>
      </c>
      <c r="D799" s="13">
        <v>1022356</v>
      </c>
      <c r="F799" t="s">
        <v>130</v>
      </c>
      <c r="G799">
        <v>0</v>
      </c>
      <c r="H799">
        <v>100</v>
      </c>
      <c r="K799">
        <v>10</v>
      </c>
      <c r="L799" t="s">
        <v>131</v>
      </c>
      <c r="M799" s="50">
        <v>44875</v>
      </c>
      <c r="N799" s="50">
        <v>2958465</v>
      </c>
      <c r="P799">
        <v>0</v>
      </c>
      <c r="U799">
        <v>4</v>
      </c>
      <c r="V799">
        <v>1</v>
      </c>
      <c r="W799" t="s">
        <v>132</v>
      </c>
      <c r="X799">
        <v>0</v>
      </c>
    </row>
    <row r="800" spans="1:24" x14ac:dyDescent="0.25">
      <c r="A800">
        <v>1</v>
      </c>
      <c r="B800" s="13">
        <v>590920300563</v>
      </c>
      <c r="C800">
        <v>70</v>
      </c>
      <c r="D800" s="13">
        <v>1022213</v>
      </c>
      <c r="F800" t="s">
        <v>130</v>
      </c>
      <c r="G800">
        <v>0</v>
      </c>
      <c r="H800">
        <v>100</v>
      </c>
      <c r="K800">
        <v>5.5919999999999996</v>
      </c>
      <c r="L800" t="s">
        <v>131</v>
      </c>
      <c r="M800" s="50">
        <v>44875</v>
      </c>
      <c r="N800" s="50">
        <v>2958465</v>
      </c>
      <c r="P800">
        <v>0</v>
      </c>
      <c r="U800">
        <v>4</v>
      </c>
      <c r="V800">
        <v>1</v>
      </c>
      <c r="W800" t="s">
        <v>132</v>
      </c>
      <c r="X800">
        <v>0</v>
      </c>
    </row>
    <row r="801" spans="1:24" x14ac:dyDescent="0.25">
      <c r="A801">
        <v>1</v>
      </c>
      <c r="B801" s="13">
        <v>590920300563</v>
      </c>
      <c r="C801">
        <v>80</v>
      </c>
      <c r="D801" s="13">
        <v>12165663</v>
      </c>
      <c r="F801" t="s">
        <v>130</v>
      </c>
      <c r="G801">
        <v>0</v>
      </c>
      <c r="H801">
        <v>100</v>
      </c>
      <c r="K801">
        <v>1</v>
      </c>
      <c r="L801" t="s">
        <v>131</v>
      </c>
      <c r="M801" s="50">
        <v>44875</v>
      </c>
      <c r="N801" s="50">
        <v>2958465</v>
      </c>
      <c r="P801">
        <v>0</v>
      </c>
      <c r="U801">
        <v>4</v>
      </c>
      <c r="V801">
        <v>1</v>
      </c>
      <c r="W801" t="s">
        <v>132</v>
      </c>
      <c r="X801">
        <v>0</v>
      </c>
    </row>
    <row r="802" spans="1:24" x14ac:dyDescent="0.25">
      <c r="A802">
        <v>1</v>
      </c>
      <c r="B802" s="13">
        <v>590920300663</v>
      </c>
      <c r="C802">
        <v>10</v>
      </c>
      <c r="D802" s="13">
        <v>5957163006</v>
      </c>
      <c r="F802" t="s">
        <v>130</v>
      </c>
      <c r="G802">
        <v>0</v>
      </c>
      <c r="H802">
        <v>100</v>
      </c>
      <c r="K802">
        <v>2</v>
      </c>
      <c r="L802" t="s">
        <v>131</v>
      </c>
      <c r="M802" s="50">
        <v>44875</v>
      </c>
      <c r="N802" s="50">
        <v>2958465</v>
      </c>
      <c r="P802">
        <v>0</v>
      </c>
      <c r="U802">
        <v>4</v>
      </c>
      <c r="V802">
        <v>1</v>
      </c>
      <c r="W802" t="s">
        <v>132</v>
      </c>
      <c r="X802">
        <v>0</v>
      </c>
    </row>
    <row r="803" spans="1:24" x14ac:dyDescent="0.25">
      <c r="A803">
        <v>1</v>
      </c>
      <c r="B803" s="13">
        <v>590920300663</v>
      </c>
      <c r="C803">
        <v>20</v>
      </c>
      <c r="D803" s="13">
        <v>5957333006</v>
      </c>
      <c r="F803" t="s">
        <v>130</v>
      </c>
      <c r="G803">
        <v>0</v>
      </c>
      <c r="H803">
        <v>100</v>
      </c>
      <c r="K803">
        <v>1</v>
      </c>
      <c r="L803" t="s">
        <v>131</v>
      </c>
      <c r="M803" s="50">
        <v>44875</v>
      </c>
      <c r="N803" s="50">
        <v>2958465</v>
      </c>
      <c r="P803">
        <v>0</v>
      </c>
      <c r="U803">
        <v>4</v>
      </c>
      <c r="V803">
        <v>1</v>
      </c>
      <c r="W803" t="s">
        <v>132</v>
      </c>
      <c r="X803">
        <v>0</v>
      </c>
    </row>
    <row r="804" spans="1:24" x14ac:dyDescent="0.25">
      <c r="A804">
        <v>1</v>
      </c>
      <c r="B804" s="13">
        <v>590920300663</v>
      </c>
      <c r="C804">
        <v>30</v>
      </c>
      <c r="D804" s="13">
        <v>5957303006</v>
      </c>
      <c r="F804" t="s">
        <v>130</v>
      </c>
      <c r="G804">
        <v>0</v>
      </c>
      <c r="H804">
        <v>100</v>
      </c>
      <c r="K804">
        <v>1</v>
      </c>
      <c r="L804" t="s">
        <v>131</v>
      </c>
      <c r="M804" s="50">
        <v>44875</v>
      </c>
      <c r="N804" s="50">
        <v>2958465</v>
      </c>
      <c r="P804">
        <v>0</v>
      </c>
      <c r="U804">
        <v>4</v>
      </c>
      <c r="V804">
        <v>1</v>
      </c>
      <c r="W804" t="s">
        <v>132</v>
      </c>
      <c r="X804">
        <v>0</v>
      </c>
    </row>
    <row r="805" spans="1:24" x14ac:dyDescent="0.25">
      <c r="A805">
        <v>1</v>
      </c>
      <c r="B805" s="13">
        <v>590920300663</v>
      </c>
      <c r="C805">
        <v>40</v>
      </c>
      <c r="D805" s="13">
        <v>5957093006</v>
      </c>
      <c r="F805" t="s">
        <v>130</v>
      </c>
      <c r="G805">
        <v>0</v>
      </c>
      <c r="H805">
        <v>100</v>
      </c>
      <c r="K805">
        <v>1</v>
      </c>
      <c r="L805" t="s">
        <v>131</v>
      </c>
      <c r="M805" s="50">
        <v>44875</v>
      </c>
      <c r="N805" s="50">
        <v>2958465</v>
      </c>
      <c r="P805">
        <v>0</v>
      </c>
      <c r="U805">
        <v>4</v>
      </c>
      <c r="V805">
        <v>1</v>
      </c>
      <c r="W805" t="s">
        <v>132</v>
      </c>
      <c r="X805">
        <v>0</v>
      </c>
    </row>
    <row r="806" spans="1:24" x14ac:dyDescent="0.25">
      <c r="A806">
        <v>1</v>
      </c>
      <c r="B806" s="13">
        <v>590920300663</v>
      </c>
      <c r="C806">
        <v>50</v>
      </c>
      <c r="D806" s="13">
        <v>1018034</v>
      </c>
      <c r="F806" t="s">
        <v>130</v>
      </c>
      <c r="G806">
        <v>0</v>
      </c>
      <c r="H806">
        <v>100</v>
      </c>
      <c r="K806">
        <v>4</v>
      </c>
      <c r="L806" t="s">
        <v>131</v>
      </c>
      <c r="M806" s="50">
        <v>44875</v>
      </c>
      <c r="N806" s="50">
        <v>2958465</v>
      </c>
      <c r="P806">
        <v>0</v>
      </c>
      <c r="U806">
        <v>4</v>
      </c>
      <c r="V806">
        <v>1</v>
      </c>
      <c r="W806" t="s">
        <v>132</v>
      </c>
      <c r="X806">
        <v>0</v>
      </c>
    </row>
    <row r="807" spans="1:24" x14ac:dyDescent="0.25">
      <c r="A807">
        <v>1</v>
      </c>
      <c r="B807" s="13">
        <v>590920300663</v>
      </c>
      <c r="C807">
        <v>60</v>
      </c>
      <c r="D807" s="13">
        <v>1018359</v>
      </c>
      <c r="F807" t="s">
        <v>130</v>
      </c>
      <c r="G807">
        <v>0</v>
      </c>
      <c r="H807">
        <v>100</v>
      </c>
      <c r="K807">
        <v>10</v>
      </c>
      <c r="L807" t="s">
        <v>131</v>
      </c>
      <c r="M807" s="50">
        <v>44875</v>
      </c>
      <c r="N807" s="50">
        <v>2958465</v>
      </c>
      <c r="P807">
        <v>0</v>
      </c>
      <c r="U807">
        <v>4</v>
      </c>
      <c r="V807">
        <v>1</v>
      </c>
      <c r="W807" t="s">
        <v>132</v>
      </c>
      <c r="X807">
        <v>0</v>
      </c>
    </row>
    <row r="808" spans="1:24" x14ac:dyDescent="0.25">
      <c r="A808">
        <v>1</v>
      </c>
      <c r="B808" s="13">
        <v>590920300663</v>
      </c>
      <c r="C808">
        <v>70</v>
      </c>
      <c r="D808" s="13">
        <v>1022213</v>
      </c>
      <c r="F808" t="s">
        <v>130</v>
      </c>
      <c r="G808">
        <v>0</v>
      </c>
      <c r="H808">
        <v>100</v>
      </c>
      <c r="K808">
        <v>5.5919999999999996</v>
      </c>
      <c r="L808" t="s">
        <v>131</v>
      </c>
      <c r="M808" s="50">
        <v>44875</v>
      </c>
      <c r="N808" s="50">
        <v>2958465</v>
      </c>
      <c r="P808">
        <v>0</v>
      </c>
      <c r="U808">
        <v>4</v>
      </c>
      <c r="V808">
        <v>1</v>
      </c>
      <c r="W808" t="s">
        <v>132</v>
      </c>
      <c r="X808">
        <v>0</v>
      </c>
    </row>
    <row r="809" spans="1:24" x14ac:dyDescent="0.25">
      <c r="A809">
        <v>1</v>
      </c>
      <c r="B809" s="13">
        <v>590920300663</v>
      </c>
      <c r="C809">
        <v>80</v>
      </c>
      <c r="D809" s="13">
        <v>12165663</v>
      </c>
      <c r="F809" t="s">
        <v>130</v>
      </c>
      <c r="G809">
        <v>0</v>
      </c>
      <c r="H809">
        <v>100</v>
      </c>
      <c r="K809">
        <v>1</v>
      </c>
      <c r="L809" t="s">
        <v>131</v>
      </c>
      <c r="M809" s="50">
        <v>44875</v>
      </c>
      <c r="N809" s="50">
        <v>2958465</v>
      </c>
      <c r="P809">
        <v>0</v>
      </c>
      <c r="U809">
        <v>4</v>
      </c>
      <c r="V809">
        <v>1</v>
      </c>
      <c r="W809" t="s">
        <v>132</v>
      </c>
      <c r="X809">
        <v>0</v>
      </c>
    </row>
    <row r="810" spans="1:24" x14ac:dyDescent="0.25">
      <c r="A810">
        <v>1</v>
      </c>
      <c r="B810" s="13">
        <v>590920300763</v>
      </c>
      <c r="C810">
        <v>10</v>
      </c>
      <c r="D810" s="13">
        <v>5957163007</v>
      </c>
      <c r="F810" t="s">
        <v>130</v>
      </c>
      <c r="G810">
        <v>0</v>
      </c>
      <c r="H810">
        <v>100</v>
      </c>
      <c r="K810">
        <v>2</v>
      </c>
      <c r="L810" t="s">
        <v>131</v>
      </c>
      <c r="M810" s="50">
        <v>44875</v>
      </c>
      <c r="N810" s="50">
        <v>2958465</v>
      </c>
      <c r="P810">
        <v>0</v>
      </c>
      <c r="U810">
        <v>4</v>
      </c>
      <c r="V810">
        <v>1</v>
      </c>
      <c r="W810" t="s">
        <v>132</v>
      </c>
      <c r="X810">
        <v>0</v>
      </c>
    </row>
    <row r="811" spans="1:24" x14ac:dyDescent="0.25">
      <c r="A811">
        <v>1</v>
      </c>
      <c r="B811" s="13">
        <v>590920300763</v>
      </c>
      <c r="C811">
        <v>20</v>
      </c>
      <c r="D811" s="13">
        <v>5957333007</v>
      </c>
      <c r="F811" t="s">
        <v>130</v>
      </c>
      <c r="G811">
        <v>0</v>
      </c>
      <c r="H811">
        <v>100</v>
      </c>
      <c r="K811">
        <v>1</v>
      </c>
      <c r="L811" t="s">
        <v>131</v>
      </c>
      <c r="M811" s="50">
        <v>44875</v>
      </c>
      <c r="N811" s="50">
        <v>2958465</v>
      </c>
      <c r="P811">
        <v>0</v>
      </c>
      <c r="U811">
        <v>4</v>
      </c>
      <c r="V811">
        <v>1</v>
      </c>
      <c r="W811" t="s">
        <v>132</v>
      </c>
      <c r="X811">
        <v>0</v>
      </c>
    </row>
    <row r="812" spans="1:24" x14ac:dyDescent="0.25">
      <c r="A812">
        <v>1</v>
      </c>
      <c r="B812" s="13">
        <v>590920300763</v>
      </c>
      <c r="C812">
        <v>30</v>
      </c>
      <c r="D812" s="13">
        <v>5957303007</v>
      </c>
      <c r="F812" t="s">
        <v>130</v>
      </c>
      <c r="G812">
        <v>0</v>
      </c>
      <c r="H812">
        <v>100</v>
      </c>
      <c r="K812">
        <v>1</v>
      </c>
      <c r="L812" t="s">
        <v>131</v>
      </c>
      <c r="M812" s="50">
        <v>44875</v>
      </c>
      <c r="N812" s="50">
        <v>2958465</v>
      </c>
      <c r="P812">
        <v>0</v>
      </c>
      <c r="U812">
        <v>4</v>
      </c>
      <c r="V812">
        <v>1</v>
      </c>
      <c r="W812" t="s">
        <v>132</v>
      </c>
      <c r="X812">
        <v>0</v>
      </c>
    </row>
    <row r="813" spans="1:24" x14ac:dyDescent="0.25">
      <c r="A813">
        <v>1</v>
      </c>
      <c r="B813" s="13">
        <v>590920300763</v>
      </c>
      <c r="C813">
        <v>40</v>
      </c>
      <c r="D813" s="13">
        <v>5957093007</v>
      </c>
      <c r="F813" t="s">
        <v>130</v>
      </c>
      <c r="G813">
        <v>0</v>
      </c>
      <c r="H813">
        <v>100</v>
      </c>
      <c r="K813">
        <v>1</v>
      </c>
      <c r="L813" t="s">
        <v>131</v>
      </c>
      <c r="M813" s="50">
        <v>44875</v>
      </c>
      <c r="N813" s="50">
        <v>2958465</v>
      </c>
      <c r="P813">
        <v>0</v>
      </c>
      <c r="U813">
        <v>4</v>
      </c>
      <c r="V813">
        <v>1</v>
      </c>
      <c r="W813" t="s">
        <v>132</v>
      </c>
      <c r="X813">
        <v>0</v>
      </c>
    </row>
    <row r="814" spans="1:24" x14ac:dyDescent="0.25">
      <c r="A814">
        <v>1</v>
      </c>
      <c r="B814" s="13">
        <v>590920300763</v>
      </c>
      <c r="C814">
        <v>50</v>
      </c>
      <c r="D814" s="13">
        <v>1018034</v>
      </c>
      <c r="F814" t="s">
        <v>130</v>
      </c>
      <c r="G814">
        <v>0</v>
      </c>
      <c r="H814">
        <v>100</v>
      </c>
      <c r="K814">
        <v>4</v>
      </c>
      <c r="L814" t="s">
        <v>131</v>
      </c>
      <c r="M814" s="50">
        <v>44875</v>
      </c>
      <c r="N814" s="50">
        <v>2958465</v>
      </c>
      <c r="P814">
        <v>0</v>
      </c>
      <c r="U814">
        <v>4</v>
      </c>
      <c r="V814">
        <v>1</v>
      </c>
      <c r="W814" t="s">
        <v>132</v>
      </c>
      <c r="X814">
        <v>0</v>
      </c>
    </row>
    <row r="815" spans="1:24" x14ac:dyDescent="0.25">
      <c r="A815">
        <v>1</v>
      </c>
      <c r="B815" s="13">
        <v>590920300763</v>
      </c>
      <c r="C815">
        <v>60</v>
      </c>
      <c r="D815" s="13">
        <v>1018359</v>
      </c>
      <c r="F815" t="s">
        <v>130</v>
      </c>
      <c r="G815">
        <v>0</v>
      </c>
      <c r="H815">
        <v>100</v>
      </c>
      <c r="K815">
        <v>10</v>
      </c>
      <c r="L815" t="s">
        <v>131</v>
      </c>
      <c r="M815" s="50">
        <v>44875</v>
      </c>
      <c r="N815" s="50">
        <v>2958465</v>
      </c>
      <c r="P815">
        <v>0</v>
      </c>
      <c r="U815">
        <v>4</v>
      </c>
      <c r="V815">
        <v>1</v>
      </c>
      <c r="W815" t="s">
        <v>132</v>
      </c>
      <c r="X815">
        <v>0</v>
      </c>
    </row>
    <row r="816" spans="1:24" x14ac:dyDescent="0.25">
      <c r="A816">
        <v>1</v>
      </c>
      <c r="B816" s="13">
        <v>590920300763</v>
      </c>
      <c r="C816">
        <v>70</v>
      </c>
      <c r="D816" s="13">
        <v>1022213</v>
      </c>
      <c r="F816" t="s">
        <v>130</v>
      </c>
      <c r="G816">
        <v>0</v>
      </c>
      <c r="H816">
        <v>100</v>
      </c>
      <c r="K816">
        <v>5.5919999999999996</v>
      </c>
      <c r="L816" t="s">
        <v>131</v>
      </c>
      <c r="M816" s="50">
        <v>44875</v>
      </c>
      <c r="N816" s="50">
        <v>2958465</v>
      </c>
      <c r="P816">
        <v>0</v>
      </c>
      <c r="U816">
        <v>4</v>
      </c>
      <c r="V816">
        <v>1</v>
      </c>
      <c r="W816" t="s">
        <v>132</v>
      </c>
      <c r="X816">
        <v>0</v>
      </c>
    </row>
    <row r="817" spans="1:24" x14ac:dyDescent="0.25">
      <c r="A817">
        <v>1</v>
      </c>
      <c r="B817" s="13">
        <v>590920300763</v>
      </c>
      <c r="C817">
        <v>80</v>
      </c>
      <c r="D817" s="13">
        <v>12165663</v>
      </c>
      <c r="F817" t="s">
        <v>130</v>
      </c>
      <c r="G817">
        <v>0</v>
      </c>
      <c r="H817">
        <v>100</v>
      </c>
      <c r="K817">
        <v>1</v>
      </c>
      <c r="L817" t="s">
        <v>131</v>
      </c>
      <c r="M817" s="50">
        <v>44875</v>
      </c>
      <c r="N817" s="50">
        <v>2958465</v>
      </c>
      <c r="P817">
        <v>0</v>
      </c>
      <c r="U817">
        <v>4</v>
      </c>
      <c r="V817">
        <v>1</v>
      </c>
      <c r="W817" t="s">
        <v>132</v>
      </c>
      <c r="X817">
        <v>0</v>
      </c>
    </row>
    <row r="818" spans="1:24" x14ac:dyDescent="0.25">
      <c r="A818">
        <v>1</v>
      </c>
      <c r="B818" s="13">
        <v>590920300863</v>
      </c>
      <c r="C818">
        <v>10</v>
      </c>
      <c r="D818" s="13">
        <v>5957163008</v>
      </c>
      <c r="F818" t="s">
        <v>130</v>
      </c>
      <c r="G818">
        <v>0</v>
      </c>
      <c r="H818">
        <v>100</v>
      </c>
      <c r="K818">
        <v>2</v>
      </c>
      <c r="L818" t="s">
        <v>131</v>
      </c>
      <c r="M818" s="50">
        <v>44875</v>
      </c>
      <c r="N818" s="50">
        <v>2958465</v>
      </c>
      <c r="P818">
        <v>0</v>
      </c>
      <c r="U818">
        <v>4</v>
      </c>
      <c r="V818">
        <v>1</v>
      </c>
      <c r="W818" t="s">
        <v>132</v>
      </c>
      <c r="X818">
        <v>0</v>
      </c>
    </row>
    <row r="819" spans="1:24" x14ac:dyDescent="0.25">
      <c r="A819">
        <v>1</v>
      </c>
      <c r="B819" s="13">
        <v>590920300863</v>
      </c>
      <c r="C819">
        <v>20</v>
      </c>
      <c r="D819" s="13">
        <v>5957333008</v>
      </c>
      <c r="F819" t="s">
        <v>130</v>
      </c>
      <c r="G819">
        <v>0</v>
      </c>
      <c r="H819">
        <v>100</v>
      </c>
      <c r="K819">
        <v>1</v>
      </c>
      <c r="L819" t="s">
        <v>131</v>
      </c>
      <c r="M819" s="50">
        <v>44875</v>
      </c>
      <c r="N819" s="50">
        <v>2958465</v>
      </c>
      <c r="P819">
        <v>0</v>
      </c>
      <c r="U819">
        <v>4</v>
      </c>
      <c r="V819">
        <v>1</v>
      </c>
      <c r="W819" t="s">
        <v>132</v>
      </c>
      <c r="X819">
        <v>0</v>
      </c>
    </row>
    <row r="820" spans="1:24" x14ac:dyDescent="0.25">
      <c r="A820">
        <v>1</v>
      </c>
      <c r="B820" s="13">
        <v>590920300863</v>
      </c>
      <c r="C820">
        <v>30</v>
      </c>
      <c r="D820" s="13">
        <v>5957303008</v>
      </c>
      <c r="F820" t="s">
        <v>130</v>
      </c>
      <c r="G820">
        <v>0</v>
      </c>
      <c r="H820">
        <v>100</v>
      </c>
      <c r="K820">
        <v>1</v>
      </c>
      <c r="L820" t="s">
        <v>131</v>
      </c>
      <c r="M820" s="50">
        <v>44875</v>
      </c>
      <c r="N820" s="50">
        <v>2958465</v>
      </c>
      <c r="P820">
        <v>0</v>
      </c>
      <c r="U820">
        <v>4</v>
      </c>
      <c r="V820">
        <v>1</v>
      </c>
      <c r="W820" t="s">
        <v>132</v>
      </c>
      <c r="X820">
        <v>0</v>
      </c>
    </row>
    <row r="821" spans="1:24" x14ac:dyDescent="0.25">
      <c r="A821">
        <v>1</v>
      </c>
      <c r="B821" s="13">
        <v>590920300863</v>
      </c>
      <c r="C821">
        <v>40</v>
      </c>
      <c r="D821" s="13">
        <v>5957093008</v>
      </c>
      <c r="F821" t="s">
        <v>130</v>
      </c>
      <c r="G821">
        <v>0</v>
      </c>
      <c r="H821">
        <v>100</v>
      </c>
      <c r="K821">
        <v>1</v>
      </c>
      <c r="L821" t="s">
        <v>131</v>
      </c>
      <c r="M821" s="50">
        <v>44875</v>
      </c>
      <c r="N821" s="50">
        <v>2958465</v>
      </c>
      <c r="P821">
        <v>0</v>
      </c>
      <c r="U821">
        <v>4</v>
      </c>
      <c r="V821">
        <v>1</v>
      </c>
      <c r="W821" t="s">
        <v>132</v>
      </c>
      <c r="X821">
        <v>0</v>
      </c>
    </row>
    <row r="822" spans="1:24" x14ac:dyDescent="0.25">
      <c r="A822">
        <v>1</v>
      </c>
      <c r="B822" s="13">
        <v>590920300863</v>
      </c>
      <c r="C822">
        <v>50</v>
      </c>
      <c r="D822" s="13">
        <v>1018034</v>
      </c>
      <c r="F822" t="s">
        <v>130</v>
      </c>
      <c r="G822">
        <v>0</v>
      </c>
      <c r="H822">
        <v>100</v>
      </c>
      <c r="K822">
        <v>4</v>
      </c>
      <c r="L822" t="s">
        <v>131</v>
      </c>
      <c r="M822" s="50">
        <v>44875</v>
      </c>
      <c r="N822" s="50">
        <v>2958465</v>
      </c>
      <c r="P822">
        <v>0</v>
      </c>
      <c r="U822">
        <v>4</v>
      </c>
      <c r="V822">
        <v>1</v>
      </c>
      <c r="W822" t="s">
        <v>132</v>
      </c>
      <c r="X822">
        <v>0</v>
      </c>
    </row>
    <row r="823" spans="1:24" x14ac:dyDescent="0.25">
      <c r="A823">
        <v>1</v>
      </c>
      <c r="B823" s="13">
        <v>590920300863</v>
      </c>
      <c r="C823">
        <v>60</v>
      </c>
      <c r="D823" s="13">
        <v>1022356</v>
      </c>
      <c r="F823" t="s">
        <v>130</v>
      </c>
      <c r="G823">
        <v>0</v>
      </c>
      <c r="H823">
        <v>100</v>
      </c>
      <c r="K823">
        <v>10</v>
      </c>
      <c r="L823" t="s">
        <v>131</v>
      </c>
      <c r="M823" s="50">
        <v>44875</v>
      </c>
      <c r="N823" s="50">
        <v>2958465</v>
      </c>
      <c r="P823">
        <v>0</v>
      </c>
      <c r="U823">
        <v>4</v>
      </c>
      <c r="V823">
        <v>1</v>
      </c>
      <c r="W823" t="s">
        <v>132</v>
      </c>
      <c r="X823">
        <v>0</v>
      </c>
    </row>
    <row r="824" spans="1:24" x14ac:dyDescent="0.25">
      <c r="A824">
        <v>1</v>
      </c>
      <c r="B824" s="13">
        <v>590920300863</v>
      </c>
      <c r="C824">
        <v>70</v>
      </c>
      <c r="D824" s="13">
        <v>1022213</v>
      </c>
      <c r="F824" t="s">
        <v>130</v>
      </c>
      <c r="G824">
        <v>0</v>
      </c>
      <c r="H824">
        <v>100</v>
      </c>
      <c r="K824">
        <v>5.5919999999999996</v>
      </c>
      <c r="L824" t="s">
        <v>131</v>
      </c>
      <c r="M824" s="50">
        <v>44875</v>
      </c>
      <c r="N824" s="50">
        <v>2958465</v>
      </c>
      <c r="P824">
        <v>0</v>
      </c>
      <c r="U824">
        <v>4</v>
      </c>
      <c r="V824">
        <v>1</v>
      </c>
      <c r="W824" t="s">
        <v>132</v>
      </c>
      <c r="X824">
        <v>0</v>
      </c>
    </row>
    <row r="825" spans="1:24" x14ac:dyDescent="0.25">
      <c r="A825">
        <v>1</v>
      </c>
      <c r="B825" s="13">
        <v>590920300863</v>
      </c>
      <c r="C825">
        <v>80</v>
      </c>
      <c r="D825" s="13">
        <v>12165663</v>
      </c>
      <c r="F825" t="s">
        <v>130</v>
      </c>
      <c r="G825">
        <v>0</v>
      </c>
      <c r="H825">
        <v>100</v>
      </c>
      <c r="K825">
        <v>1</v>
      </c>
      <c r="L825" t="s">
        <v>131</v>
      </c>
      <c r="M825" s="50">
        <v>44875</v>
      </c>
      <c r="N825" s="50">
        <v>2958465</v>
      </c>
      <c r="P825">
        <v>0</v>
      </c>
      <c r="U825">
        <v>4</v>
      </c>
      <c r="V825">
        <v>1</v>
      </c>
      <c r="W825" t="s">
        <v>132</v>
      </c>
      <c r="X825">
        <v>0</v>
      </c>
    </row>
    <row r="826" spans="1:24" x14ac:dyDescent="0.25">
      <c r="A826">
        <v>1</v>
      </c>
      <c r="B826" s="13">
        <v>590920300963</v>
      </c>
      <c r="C826">
        <v>10</v>
      </c>
      <c r="D826" s="13">
        <v>5957163009</v>
      </c>
      <c r="F826" t="s">
        <v>130</v>
      </c>
      <c r="G826">
        <v>0</v>
      </c>
      <c r="H826">
        <v>100</v>
      </c>
      <c r="K826">
        <v>2</v>
      </c>
      <c r="L826" t="s">
        <v>131</v>
      </c>
      <c r="M826" s="50">
        <v>44875</v>
      </c>
      <c r="N826" s="50">
        <v>2958465</v>
      </c>
      <c r="P826">
        <v>0</v>
      </c>
      <c r="U826">
        <v>4</v>
      </c>
      <c r="V826">
        <v>1</v>
      </c>
      <c r="W826" t="s">
        <v>132</v>
      </c>
      <c r="X826">
        <v>0</v>
      </c>
    </row>
    <row r="827" spans="1:24" x14ac:dyDescent="0.25">
      <c r="A827">
        <v>1</v>
      </c>
      <c r="B827" s="13">
        <v>590920300963</v>
      </c>
      <c r="C827">
        <v>20</v>
      </c>
      <c r="D827" s="13">
        <v>5957333009</v>
      </c>
      <c r="F827" t="s">
        <v>130</v>
      </c>
      <c r="G827">
        <v>0</v>
      </c>
      <c r="H827">
        <v>100</v>
      </c>
      <c r="K827">
        <v>1</v>
      </c>
      <c r="L827" t="s">
        <v>131</v>
      </c>
      <c r="M827" s="50">
        <v>44875</v>
      </c>
      <c r="N827" s="50">
        <v>2958465</v>
      </c>
      <c r="P827">
        <v>0</v>
      </c>
      <c r="U827">
        <v>4</v>
      </c>
      <c r="V827">
        <v>1</v>
      </c>
      <c r="W827" t="s">
        <v>132</v>
      </c>
      <c r="X827">
        <v>0</v>
      </c>
    </row>
    <row r="828" spans="1:24" x14ac:dyDescent="0.25">
      <c r="A828">
        <v>1</v>
      </c>
      <c r="B828" s="13">
        <v>590920300963</v>
      </c>
      <c r="C828">
        <v>30</v>
      </c>
      <c r="D828" s="13">
        <v>5957303009</v>
      </c>
      <c r="F828" t="s">
        <v>130</v>
      </c>
      <c r="G828">
        <v>0</v>
      </c>
      <c r="H828">
        <v>100</v>
      </c>
      <c r="K828">
        <v>1</v>
      </c>
      <c r="L828" t="s">
        <v>131</v>
      </c>
      <c r="M828" s="50">
        <v>44875</v>
      </c>
      <c r="N828" s="50">
        <v>2958465</v>
      </c>
      <c r="P828">
        <v>0</v>
      </c>
      <c r="U828">
        <v>4</v>
      </c>
      <c r="V828">
        <v>1</v>
      </c>
      <c r="W828" t="s">
        <v>132</v>
      </c>
      <c r="X828">
        <v>0</v>
      </c>
    </row>
    <row r="829" spans="1:24" x14ac:dyDescent="0.25">
      <c r="A829">
        <v>1</v>
      </c>
      <c r="B829" s="13">
        <v>590920300963</v>
      </c>
      <c r="C829">
        <v>40</v>
      </c>
      <c r="D829" s="13">
        <v>5957093009</v>
      </c>
      <c r="F829" t="s">
        <v>130</v>
      </c>
      <c r="G829">
        <v>0</v>
      </c>
      <c r="H829">
        <v>100</v>
      </c>
      <c r="K829">
        <v>1</v>
      </c>
      <c r="L829" t="s">
        <v>131</v>
      </c>
      <c r="M829" s="50">
        <v>44875</v>
      </c>
      <c r="N829" s="50">
        <v>2958465</v>
      </c>
      <c r="P829">
        <v>0</v>
      </c>
      <c r="U829">
        <v>4</v>
      </c>
      <c r="V829">
        <v>1</v>
      </c>
      <c r="W829" t="s">
        <v>132</v>
      </c>
      <c r="X829">
        <v>0</v>
      </c>
    </row>
    <row r="830" spans="1:24" x14ac:dyDescent="0.25">
      <c r="A830">
        <v>1</v>
      </c>
      <c r="B830" s="13">
        <v>590920300963</v>
      </c>
      <c r="C830">
        <v>50</v>
      </c>
      <c r="D830" s="13">
        <v>1018034</v>
      </c>
      <c r="F830" t="s">
        <v>130</v>
      </c>
      <c r="G830">
        <v>0</v>
      </c>
      <c r="H830">
        <v>100</v>
      </c>
      <c r="K830">
        <v>4</v>
      </c>
      <c r="L830" t="s">
        <v>131</v>
      </c>
      <c r="M830" s="50">
        <v>44875</v>
      </c>
      <c r="N830" s="50">
        <v>2958465</v>
      </c>
      <c r="P830">
        <v>0</v>
      </c>
      <c r="U830">
        <v>4</v>
      </c>
      <c r="V830">
        <v>1</v>
      </c>
      <c r="W830" t="s">
        <v>132</v>
      </c>
      <c r="X830">
        <v>0</v>
      </c>
    </row>
    <row r="831" spans="1:24" x14ac:dyDescent="0.25">
      <c r="A831">
        <v>1</v>
      </c>
      <c r="B831" s="13">
        <v>590920300963</v>
      </c>
      <c r="C831">
        <v>60</v>
      </c>
      <c r="D831" s="13">
        <v>1018359</v>
      </c>
      <c r="F831" t="s">
        <v>130</v>
      </c>
      <c r="G831">
        <v>0</v>
      </c>
      <c r="H831">
        <v>100</v>
      </c>
      <c r="K831">
        <v>10</v>
      </c>
      <c r="L831" t="s">
        <v>131</v>
      </c>
      <c r="M831" s="50">
        <v>44875</v>
      </c>
      <c r="N831" s="50">
        <v>2958465</v>
      </c>
      <c r="P831">
        <v>0</v>
      </c>
      <c r="U831">
        <v>4</v>
      </c>
      <c r="V831">
        <v>1</v>
      </c>
      <c r="W831" t="s">
        <v>132</v>
      </c>
      <c r="X831">
        <v>0</v>
      </c>
    </row>
    <row r="832" spans="1:24" x14ac:dyDescent="0.25">
      <c r="A832">
        <v>1</v>
      </c>
      <c r="B832" s="13">
        <v>590920300963</v>
      </c>
      <c r="C832">
        <v>70</v>
      </c>
      <c r="D832" s="13">
        <v>1022213</v>
      </c>
      <c r="F832" t="s">
        <v>130</v>
      </c>
      <c r="G832">
        <v>0</v>
      </c>
      <c r="H832">
        <v>100</v>
      </c>
      <c r="K832">
        <v>5.5919999999999996</v>
      </c>
      <c r="L832" t="s">
        <v>131</v>
      </c>
      <c r="M832" s="50">
        <v>44875</v>
      </c>
      <c r="N832" s="50">
        <v>2958465</v>
      </c>
      <c r="P832">
        <v>0</v>
      </c>
      <c r="U832">
        <v>4</v>
      </c>
      <c r="V832">
        <v>1</v>
      </c>
      <c r="W832" t="s">
        <v>132</v>
      </c>
      <c r="X832">
        <v>0</v>
      </c>
    </row>
    <row r="833" spans="1:24" x14ac:dyDescent="0.25">
      <c r="A833">
        <v>1</v>
      </c>
      <c r="B833" s="13">
        <v>590920300963</v>
      </c>
      <c r="C833">
        <v>80</v>
      </c>
      <c r="D833" s="13">
        <v>12165663</v>
      </c>
      <c r="F833" t="s">
        <v>130</v>
      </c>
      <c r="G833">
        <v>0</v>
      </c>
      <c r="H833">
        <v>100</v>
      </c>
      <c r="K833">
        <v>1</v>
      </c>
      <c r="L833" t="s">
        <v>131</v>
      </c>
      <c r="M833" s="50">
        <v>44875</v>
      </c>
      <c r="N833" s="50">
        <v>2958465</v>
      </c>
      <c r="P833">
        <v>0</v>
      </c>
      <c r="U833">
        <v>4</v>
      </c>
      <c r="V833">
        <v>1</v>
      </c>
      <c r="W833" t="s">
        <v>132</v>
      </c>
      <c r="X833">
        <v>0</v>
      </c>
    </row>
    <row r="834" spans="1:24" x14ac:dyDescent="0.25">
      <c r="A834">
        <v>1</v>
      </c>
      <c r="B834" s="13">
        <v>590920301063</v>
      </c>
      <c r="C834">
        <v>10</v>
      </c>
      <c r="D834" s="13">
        <v>5957163010</v>
      </c>
      <c r="F834" t="s">
        <v>130</v>
      </c>
      <c r="G834">
        <v>0</v>
      </c>
      <c r="H834">
        <v>100</v>
      </c>
      <c r="K834">
        <v>2</v>
      </c>
      <c r="L834" t="s">
        <v>131</v>
      </c>
      <c r="M834" s="50">
        <v>44875</v>
      </c>
      <c r="N834" s="50">
        <v>2958465</v>
      </c>
      <c r="P834">
        <v>0</v>
      </c>
      <c r="U834">
        <v>4</v>
      </c>
      <c r="V834">
        <v>1</v>
      </c>
      <c r="W834" t="s">
        <v>132</v>
      </c>
      <c r="X834">
        <v>0</v>
      </c>
    </row>
    <row r="835" spans="1:24" x14ac:dyDescent="0.25">
      <c r="A835">
        <v>1</v>
      </c>
      <c r="B835" s="13">
        <v>590920301063</v>
      </c>
      <c r="C835">
        <v>20</v>
      </c>
      <c r="D835" s="13">
        <v>5957333010</v>
      </c>
      <c r="F835" t="s">
        <v>130</v>
      </c>
      <c r="G835">
        <v>0</v>
      </c>
      <c r="H835">
        <v>100</v>
      </c>
      <c r="K835">
        <v>1</v>
      </c>
      <c r="L835" t="s">
        <v>131</v>
      </c>
      <c r="M835" s="50">
        <v>44875</v>
      </c>
      <c r="N835" s="50">
        <v>2958465</v>
      </c>
      <c r="P835">
        <v>0</v>
      </c>
      <c r="U835">
        <v>4</v>
      </c>
      <c r="V835">
        <v>1</v>
      </c>
      <c r="W835" t="s">
        <v>132</v>
      </c>
      <c r="X835">
        <v>0</v>
      </c>
    </row>
    <row r="836" spans="1:24" x14ac:dyDescent="0.25">
      <c r="A836">
        <v>1</v>
      </c>
      <c r="B836" s="13">
        <v>590920301063</v>
      </c>
      <c r="C836">
        <v>30</v>
      </c>
      <c r="D836" s="13">
        <v>5957303010</v>
      </c>
      <c r="F836" t="s">
        <v>130</v>
      </c>
      <c r="G836">
        <v>0</v>
      </c>
      <c r="H836">
        <v>100</v>
      </c>
      <c r="K836">
        <v>1</v>
      </c>
      <c r="L836" t="s">
        <v>131</v>
      </c>
      <c r="M836" s="50">
        <v>44875</v>
      </c>
      <c r="N836" s="50">
        <v>2958465</v>
      </c>
      <c r="P836">
        <v>0</v>
      </c>
      <c r="U836">
        <v>4</v>
      </c>
      <c r="V836">
        <v>1</v>
      </c>
      <c r="W836" t="s">
        <v>132</v>
      </c>
      <c r="X836">
        <v>0</v>
      </c>
    </row>
    <row r="837" spans="1:24" x14ac:dyDescent="0.25">
      <c r="A837">
        <v>1</v>
      </c>
      <c r="B837" s="13">
        <v>590920301063</v>
      </c>
      <c r="C837">
        <v>40</v>
      </c>
      <c r="D837" s="13">
        <v>5957093010</v>
      </c>
      <c r="F837" t="s">
        <v>130</v>
      </c>
      <c r="G837">
        <v>0</v>
      </c>
      <c r="H837">
        <v>100</v>
      </c>
      <c r="K837">
        <v>1</v>
      </c>
      <c r="L837" t="s">
        <v>131</v>
      </c>
      <c r="M837" s="50">
        <v>44875</v>
      </c>
      <c r="N837" s="50">
        <v>2958465</v>
      </c>
      <c r="P837">
        <v>0</v>
      </c>
      <c r="U837">
        <v>4</v>
      </c>
      <c r="V837">
        <v>1</v>
      </c>
      <c r="W837" t="s">
        <v>132</v>
      </c>
      <c r="X837">
        <v>0</v>
      </c>
    </row>
    <row r="838" spans="1:24" x14ac:dyDescent="0.25">
      <c r="A838">
        <v>1</v>
      </c>
      <c r="B838" s="13">
        <v>590920301063</v>
      </c>
      <c r="C838">
        <v>50</v>
      </c>
      <c r="D838" s="13">
        <v>1018034</v>
      </c>
      <c r="F838" t="s">
        <v>130</v>
      </c>
      <c r="G838">
        <v>0</v>
      </c>
      <c r="H838">
        <v>100</v>
      </c>
      <c r="K838">
        <v>4</v>
      </c>
      <c r="L838" t="s">
        <v>131</v>
      </c>
      <c r="M838" s="50">
        <v>44875</v>
      </c>
      <c r="N838" s="50">
        <v>2958465</v>
      </c>
      <c r="P838">
        <v>0</v>
      </c>
      <c r="U838">
        <v>4</v>
      </c>
      <c r="V838">
        <v>1</v>
      </c>
      <c r="W838" t="s">
        <v>132</v>
      </c>
      <c r="X838">
        <v>0</v>
      </c>
    </row>
    <row r="839" spans="1:24" x14ac:dyDescent="0.25">
      <c r="A839">
        <v>1</v>
      </c>
      <c r="B839" s="13">
        <v>590920301063</v>
      </c>
      <c r="C839">
        <v>60</v>
      </c>
      <c r="D839" s="13">
        <v>1018359</v>
      </c>
      <c r="F839" t="s">
        <v>130</v>
      </c>
      <c r="G839">
        <v>0</v>
      </c>
      <c r="H839">
        <v>100</v>
      </c>
      <c r="K839">
        <v>10</v>
      </c>
      <c r="L839" t="s">
        <v>131</v>
      </c>
      <c r="M839" s="50">
        <v>44875</v>
      </c>
      <c r="N839" s="50">
        <v>2958465</v>
      </c>
      <c r="P839">
        <v>0</v>
      </c>
      <c r="U839">
        <v>4</v>
      </c>
      <c r="V839">
        <v>1</v>
      </c>
      <c r="W839" t="s">
        <v>132</v>
      </c>
      <c r="X839">
        <v>0</v>
      </c>
    </row>
    <row r="840" spans="1:24" x14ac:dyDescent="0.25">
      <c r="A840">
        <v>1</v>
      </c>
      <c r="B840" s="13">
        <v>590920301063</v>
      </c>
      <c r="C840">
        <v>70</v>
      </c>
      <c r="D840" s="13">
        <v>1022213</v>
      </c>
      <c r="F840" t="s">
        <v>130</v>
      </c>
      <c r="G840">
        <v>0</v>
      </c>
      <c r="H840">
        <v>100</v>
      </c>
      <c r="K840">
        <v>5.5919999999999996</v>
      </c>
      <c r="L840" t="s">
        <v>131</v>
      </c>
      <c r="M840" s="50">
        <v>44875</v>
      </c>
      <c r="N840" s="50">
        <v>2958465</v>
      </c>
      <c r="P840">
        <v>0</v>
      </c>
      <c r="U840">
        <v>4</v>
      </c>
      <c r="V840">
        <v>1</v>
      </c>
      <c r="W840" t="s">
        <v>132</v>
      </c>
      <c r="X840">
        <v>0</v>
      </c>
    </row>
    <row r="841" spans="1:24" x14ac:dyDescent="0.25">
      <c r="A841">
        <v>1</v>
      </c>
      <c r="B841" s="13">
        <v>590920301063</v>
      </c>
      <c r="C841">
        <v>80</v>
      </c>
      <c r="D841" s="13">
        <v>12165663</v>
      </c>
      <c r="F841" t="s">
        <v>130</v>
      </c>
      <c r="G841">
        <v>0</v>
      </c>
      <c r="H841">
        <v>100</v>
      </c>
      <c r="K841">
        <v>1</v>
      </c>
      <c r="L841" t="s">
        <v>131</v>
      </c>
      <c r="M841" s="50">
        <v>44875</v>
      </c>
      <c r="N841" s="50">
        <v>2958465</v>
      </c>
      <c r="P841">
        <v>0</v>
      </c>
      <c r="U841">
        <v>4</v>
      </c>
      <c r="V841">
        <v>1</v>
      </c>
      <c r="W841" t="s">
        <v>132</v>
      </c>
      <c r="X841">
        <v>0</v>
      </c>
    </row>
    <row r="842" spans="1:24" x14ac:dyDescent="0.25">
      <c r="A842">
        <v>1</v>
      </c>
      <c r="B842" s="13">
        <v>590920300005</v>
      </c>
      <c r="C842">
        <v>10</v>
      </c>
      <c r="D842" s="13">
        <v>5957163099</v>
      </c>
      <c r="F842" t="s">
        <v>130</v>
      </c>
      <c r="G842">
        <v>0</v>
      </c>
      <c r="H842">
        <v>100</v>
      </c>
      <c r="K842">
        <v>2</v>
      </c>
      <c r="L842" t="s">
        <v>131</v>
      </c>
      <c r="M842" s="50">
        <v>44875</v>
      </c>
      <c r="N842" s="50">
        <v>2958465</v>
      </c>
      <c r="P842">
        <v>0</v>
      </c>
      <c r="U842">
        <v>4</v>
      </c>
      <c r="V842">
        <v>1</v>
      </c>
      <c r="W842" t="s">
        <v>132</v>
      </c>
      <c r="X842">
        <v>0</v>
      </c>
    </row>
    <row r="843" spans="1:24" x14ac:dyDescent="0.25">
      <c r="A843">
        <v>1</v>
      </c>
      <c r="B843" s="13">
        <v>590920300005</v>
      </c>
      <c r="C843">
        <v>20</v>
      </c>
      <c r="D843" s="13">
        <v>5957333099</v>
      </c>
      <c r="F843" t="s">
        <v>130</v>
      </c>
      <c r="G843">
        <v>0</v>
      </c>
      <c r="H843">
        <v>100</v>
      </c>
      <c r="K843">
        <v>1</v>
      </c>
      <c r="L843" t="s">
        <v>131</v>
      </c>
      <c r="M843" s="50">
        <v>44875</v>
      </c>
      <c r="N843" s="50">
        <v>2958465</v>
      </c>
      <c r="P843">
        <v>0</v>
      </c>
      <c r="U843">
        <v>4</v>
      </c>
      <c r="V843">
        <v>1</v>
      </c>
      <c r="W843" t="s">
        <v>132</v>
      </c>
      <c r="X843">
        <v>0</v>
      </c>
    </row>
    <row r="844" spans="1:24" x14ac:dyDescent="0.25">
      <c r="A844">
        <v>1</v>
      </c>
      <c r="B844" s="13">
        <v>590920300005</v>
      </c>
      <c r="C844">
        <v>30</v>
      </c>
      <c r="D844" s="13">
        <v>5957303099</v>
      </c>
      <c r="F844" t="s">
        <v>130</v>
      </c>
      <c r="G844">
        <v>0</v>
      </c>
      <c r="H844">
        <v>100</v>
      </c>
      <c r="K844">
        <v>1</v>
      </c>
      <c r="L844" t="s">
        <v>131</v>
      </c>
      <c r="M844" s="50">
        <v>44875</v>
      </c>
      <c r="N844" s="50">
        <v>2958465</v>
      </c>
      <c r="P844">
        <v>0</v>
      </c>
      <c r="U844">
        <v>4</v>
      </c>
      <c r="V844">
        <v>1</v>
      </c>
      <c r="W844" t="s">
        <v>132</v>
      </c>
      <c r="X844">
        <v>0</v>
      </c>
    </row>
    <row r="845" spans="1:24" x14ac:dyDescent="0.25">
      <c r="A845">
        <v>1</v>
      </c>
      <c r="B845" s="13">
        <v>590920300005</v>
      </c>
      <c r="C845">
        <v>40</v>
      </c>
      <c r="D845" s="13">
        <v>1022219</v>
      </c>
      <c r="F845" t="s">
        <v>130</v>
      </c>
      <c r="G845">
        <v>0</v>
      </c>
      <c r="H845">
        <v>100</v>
      </c>
      <c r="K845">
        <v>1</v>
      </c>
      <c r="L845" t="s">
        <v>131</v>
      </c>
      <c r="M845" s="50">
        <v>44875</v>
      </c>
      <c r="N845" s="50">
        <v>2958465</v>
      </c>
      <c r="P845">
        <v>0</v>
      </c>
      <c r="U845">
        <v>4</v>
      </c>
      <c r="V845">
        <v>1</v>
      </c>
      <c r="W845" t="s">
        <v>132</v>
      </c>
      <c r="X845">
        <v>0</v>
      </c>
    </row>
    <row r="846" spans="1:24" x14ac:dyDescent="0.25">
      <c r="A846">
        <v>1</v>
      </c>
      <c r="B846" s="13">
        <v>590920300005</v>
      </c>
      <c r="C846">
        <v>50</v>
      </c>
      <c r="D846" s="13">
        <v>1018034</v>
      </c>
      <c r="F846" t="s">
        <v>130</v>
      </c>
      <c r="G846">
        <v>0</v>
      </c>
      <c r="H846">
        <v>100</v>
      </c>
      <c r="K846">
        <v>4</v>
      </c>
      <c r="L846" t="s">
        <v>131</v>
      </c>
      <c r="M846" s="50">
        <v>44875</v>
      </c>
      <c r="N846" s="50">
        <v>2958465</v>
      </c>
      <c r="P846">
        <v>0</v>
      </c>
      <c r="U846">
        <v>4</v>
      </c>
      <c r="V846">
        <v>1</v>
      </c>
      <c r="W846" t="s">
        <v>132</v>
      </c>
      <c r="X846">
        <v>0</v>
      </c>
    </row>
    <row r="847" spans="1:24" x14ac:dyDescent="0.25">
      <c r="A847">
        <v>1</v>
      </c>
      <c r="B847" s="13">
        <v>590920300005</v>
      </c>
      <c r="C847">
        <v>60</v>
      </c>
      <c r="D847" s="13">
        <v>1018359</v>
      </c>
      <c r="F847" t="s">
        <v>130</v>
      </c>
      <c r="G847">
        <v>0</v>
      </c>
      <c r="H847">
        <v>100</v>
      </c>
      <c r="K847">
        <v>10</v>
      </c>
      <c r="L847" t="s">
        <v>131</v>
      </c>
      <c r="M847" s="50">
        <v>44875</v>
      </c>
      <c r="N847" s="50">
        <v>2958465</v>
      </c>
      <c r="P847">
        <v>0</v>
      </c>
      <c r="U847">
        <v>4</v>
      </c>
      <c r="V847">
        <v>1</v>
      </c>
      <c r="W847" t="s">
        <v>132</v>
      </c>
      <c r="X847">
        <v>0</v>
      </c>
    </row>
    <row r="848" spans="1:24" x14ac:dyDescent="0.25">
      <c r="A848">
        <v>1</v>
      </c>
      <c r="B848" s="13">
        <v>590920300005</v>
      </c>
      <c r="C848">
        <v>70</v>
      </c>
      <c r="D848" s="13">
        <v>1022213</v>
      </c>
      <c r="F848" t="s">
        <v>130</v>
      </c>
      <c r="G848">
        <v>0</v>
      </c>
      <c r="H848">
        <v>100</v>
      </c>
      <c r="K848">
        <v>5.5919999999999996</v>
      </c>
      <c r="L848" t="s">
        <v>131</v>
      </c>
      <c r="M848" s="50">
        <v>44875</v>
      </c>
      <c r="N848" s="50">
        <v>2958465</v>
      </c>
      <c r="P848">
        <v>0</v>
      </c>
      <c r="U848">
        <v>4</v>
      </c>
      <c r="V848">
        <v>1</v>
      </c>
      <c r="W848" t="s">
        <v>132</v>
      </c>
      <c r="X848">
        <v>0</v>
      </c>
    </row>
    <row r="849" spans="1:24" x14ac:dyDescent="0.25">
      <c r="A849">
        <v>1</v>
      </c>
      <c r="B849" s="13">
        <v>590920300005</v>
      </c>
      <c r="C849">
        <v>80</v>
      </c>
      <c r="D849" s="13">
        <v>18102165605</v>
      </c>
      <c r="F849" t="s">
        <v>130</v>
      </c>
      <c r="G849">
        <v>0</v>
      </c>
      <c r="H849">
        <v>100</v>
      </c>
      <c r="K849">
        <v>1</v>
      </c>
      <c r="L849" t="s">
        <v>131</v>
      </c>
      <c r="M849" s="50">
        <v>44875</v>
      </c>
      <c r="N849" s="50">
        <v>2958465</v>
      </c>
      <c r="P849">
        <v>0</v>
      </c>
      <c r="U849">
        <v>4</v>
      </c>
      <c r="V849">
        <v>1</v>
      </c>
      <c r="W849" t="s">
        <v>132</v>
      </c>
      <c r="X849">
        <v>0</v>
      </c>
    </row>
    <row r="850" spans="1:24" x14ac:dyDescent="0.25">
      <c r="A850">
        <v>1</v>
      </c>
      <c r="B850" s="13">
        <v>590920300105</v>
      </c>
      <c r="C850">
        <v>10</v>
      </c>
      <c r="D850" s="13">
        <v>5957163001</v>
      </c>
      <c r="F850" t="s">
        <v>130</v>
      </c>
      <c r="G850">
        <v>0</v>
      </c>
      <c r="H850">
        <v>100</v>
      </c>
      <c r="K850">
        <v>2</v>
      </c>
      <c r="L850" t="s">
        <v>131</v>
      </c>
      <c r="M850" s="50">
        <v>44875</v>
      </c>
      <c r="N850" s="50">
        <v>2958465</v>
      </c>
      <c r="P850">
        <v>0</v>
      </c>
      <c r="U850">
        <v>4</v>
      </c>
      <c r="V850">
        <v>1</v>
      </c>
      <c r="W850" t="s">
        <v>132</v>
      </c>
      <c r="X850">
        <v>0</v>
      </c>
    </row>
    <row r="851" spans="1:24" x14ac:dyDescent="0.25">
      <c r="A851">
        <v>1</v>
      </c>
      <c r="B851" s="13">
        <v>590920300105</v>
      </c>
      <c r="C851">
        <v>20</v>
      </c>
      <c r="D851" s="13">
        <v>5957333001</v>
      </c>
      <c r="F851" t="s">
        <v>130</v>
      </c>
      <c r="G851">
        <v>0</v>
      </c>
      <c r="H851">
        <v>100</v>
      </c>
      <c r="K851">
        <v>1</v>
      </c>
      <c r="L851" t="s">
        <v>131</v>
      </c>
      <c r="M851" s="50">
        <v>44875</v>
      </c>
      <c r="N851" s="50">
        <v>2958465</v>
      </c>
      <c r="P851">
        <v>0</v>
      </c>
      <c r="U851">
        <v>4</v>
      </c>
      <c r="V851">
        <v>1</v>
      </c>
      <c r="W851" t="s">
        <v>132</v>
      </c>
      <c r="X851">
        <v>0</v>
      </c>
    </row>
    <row r="852" spans="1:24" x14ac:dyDescent="0.25">
      <c r="A852">
        <v>1</v>
      </c>
      <c r="B852" s="13">
        <v>590920300105</v>
      </c>
      <c r="C852">
        <v>30</v>
      </c>
      <c r="D852" s="13">
        <v>5957303001</v>
      </c>
      <c r="F852" t="s">
        <v>130</v>
      </c>
      <c r="G852">
        <v>0</v>
      </c>
      <c r="H852">
        <v>100</v>
      </c>
      <c r="K852">
        <v>1</v>
      </c>
      <c r="L852" t="s">
        <v>131</v>
      </c>
      <c r="M852" s="50">
        <v>44875</v>
      </c>
      <c r="N852" s="50">
        <v>2958465</v>
      </c>
      <c r="P852">
        <v>0</v>
      </c>
      <c r="U852">
        <v>4</v>
      </c>
      <c r="V852">
        <v>1</v>
      </c>
      <c r="W852" t="s">
        <v>132</v>
      </c>
      <c r="X852">
        <v>0</v>
      </c>
    </row>
    <row r="853" spans="1:24" x14ac:dyDescent="0.25">
      <c r="A853">
        <v>1</v>
      </c>
      <c r="B853" s="13">
        <v>590920300105</v>
      </c>
      <c r="C853">
        <v>40</v>
      </c>
      <c r="D853" s="13">
        <v>5957093001</v>
      </c>
      <c r="F853" t="s">
        <v>130</v>
      </c>
      <c r="G853">
        <v>0</v>
      </c>
      <c r="H853">
        <v>100</v>
      </c>
      <c r="K853">
        <v>1</v>
      </c>
      <c r="L853" t="s">
        <v>131</v>
      </c>
      <c r="M853" s="50">
        <v>44875</v>
      </c>
      <c r="N853" s="50">
        <v>2958465</v>
      </c>
      <c r="P853">
        <v>0</v>
      </c>
      <c r="U853">
        <v>4</v>
      </c>
      <c r="V853">
        <v>1</v>
      </c>
      <c r="W853" t="s">
        <v>132</v>
      </c>
      <c r="X853">
        <v>0</v>
      </c>
    </row>
    <row r="854" spans="1:24" x14ac:dyDescent="0.25">
      <c r="A854">
        <v>1</v>
      </c>
      <c r="B854" s="13">
        <v>590920300105</v>
      </c>
      <c r="C854">
        <v>50</v>
      </c>
      <c r="D854" s="13">
        <v>1018034</v>
      </c>
      <c r="F854" t="s">
        <v>130</v>
      </c>
      <c r="G854">
        <v>0</v>
      </c>
      <c r="H854">
        <v>100</v>
      </c>
      <c r="K854">
        <v>4</v>
      </c>
      <c r="L854" t="s">
        <v>131</v>
      </c>
      <c r="M854" s="50">
        <v>44875</v>
      </c>
      <c r="N854" s="50">
        <v>2958465</v>
      </c>
      <c r="P854">
        <v>0</v>
      </c>
      <c r="U854">
        <v>4</v>
      </c>
      <c r="V854">
        <v>1</v>
      </c>
      <c r="W854" t="s">
        <v>132</v>
      </c>
      <c r="X854">
        <v>0</v>
      </c>
    </row>
    <row r="855" spans="1:24" x14ac:dyDescent="0.25">
      <c r="A855">
        <v>1</v>
      </c>
      <c r="B855" s="13">
        <v>590920300105</v>
      </c>
      <c r="C855">
        <v>60</v>
      </c>
      <c r="D855" s="13">
        <v>1018359</v>
      </c>
      <c r="F855" t="s">
        <v>130</v>
      </c>
      <c r="G855">
        <v>0</v>
      </c>
      <c r="H855">
        <v>100</v>
      </c>
      <c r="K855">
        <v>10</v>
      </c>
      <c r="L855" t="s">
        <v>131</v>
      </c>
      <c r="M855" s="50">
        <v>44875</v>
      </c>
      <c r="N855" s="50">
        <v>2958465</v>
      </c>
      <c r="P855">
        <v>0</v>
      </c>
      <c r="U855">
        <v>4</v>
      </c>
      <c r="V855">
        <v>1</v>
      </c>
      <c r="W855" t="s">
        <v>132</v>
      </c>
      <c r="X855">
        <v>0</v>
      </c>
    </row>
    <row r="856" spans="1:24" x14ac:dyDescent="0.25">
      <c r="A856">
        <v>1</v>
      </c>
      <c r="B856" s="13">
        <v>590920300105</v>
      </c>
      <c r="C856">
        <v>70</v>
      </c>
      <c r="D856" s="13">
        <v>1022213</v>
      </c>
      <c r="F856" t="s">
        <v>130</v>
      </c>
      <c r="G856">
        <v>0</v>
      </c>
      <c r="H856">
        <v>100</v>
      </c>
      <c r="K856">
        <v>5.5919999999999996</v>
      </c>
      <c r="L856" t="s">
        <v>131</v>
      </c>
      <c r="M856" s="50">
        <v>44875</v>
      </c>
      <c r="N856" s="50">
        <v>2958465</v>
      </c>
      <c r="P856">
        <v>0</v>
      </c>
      <c r="U856">
        <v>4</v>
      </c>
      <c r="V856">
        <v>1</v>
      </c>
      <c r="W856" t="s">
        <v>132</v>
      </c>
      <c r="X856">
        <v>0</v>
      </c>
    </row>
    <row r="857" spans="1:24" x14ac:dyDescent="0.25">
      <c r="A857">
        <v>1</v>
      </c>
      <c r="B857" s="13">
        <v>590920300105</v>
      </c>
      <c r="C857">
        <v>80</v>
      </c>
      <c r="D857" s="13">
        <v>18102165605</v>
      </c>
      <c r="F857" t="s">
        <v>130</v>
      </c>
      <c r="G857">
        <v>0</v>
      </c>
      <c r="H857">
        <v>100</v>
      </c>
      <c r="K857">
        <v>1</v>
      </c>
      <c r="L857" t="s">
        <v>131</v>
      </c>
      <c r="M857" s="50">
        <v>44875</v>
      </c>
      <c r="N857" s="50">
        <v>2958465</v>
      </c>
      <c r="P857">
        <v>0</v>
      </c>
      <c r="U857">
        <v>4</v>
      </c>
      <c r="V857">
        <v>1</v>
      </c>
      <c r="W857" t="s">
        <v>132</v>
      </c>
      <c r="X857">
        <v>0</v>
      </c>
    </row>
    <row r="858" spans="1:24" x14ac:dyDescent="0.25">
      <c r="A858">
        <v>1</v>
      </c>
      <c r="B858" s="13">
        <v>590920300205</v>
      </c>
      <c r="C858">
        <v>10</v>
      </c>
      <c r="D858" s="13">
        <v>5957163002</v>
      </c>
      <c r="F858" t="s">
        <v>130</v>
      </c>
      <c r="G858">
        <v>0</v>
      </c>
      <c r="H858">
        <v>100</v>
      </c>
      <c r="K858">
        <v>2</v>
      </c>
      <c r="L858" t="s">
        <v>131</v>
      </c>
      <c r="M858" s="50">
        <v>44875</v>
      </c>
      <c r="N858" s="50">
        <v>2958465</v>
      </c>
      <c r="P858">
        <v>0</v>
      </c>
      <c r="U858">
        <v>4</v>
      </c>
      <c r="V858">
        <v>1</v>
      </c>
      <c r="W858" t="s">
        <v>132</v>
      </c>
      <c r="X858">
        <v>0</v>
      </c>
    </row>
    <row r="859" spans="1:24" x14ac:dyDescent="0.25">
      <c r="A859">
        <v>1</v>
      </c>
      <c r="B859" s="13">
        <v>590920300205</v>
      </c>
      <c r="C859">
        <v>20</v>
      </c>
      <c r="D859" s="13">
        <v>5957333002</v>
      </c>
      <c r="F859" t="s">
        <v>130</v>
      </c>
      <c r="G859">
        <v>0</v>
      </c>
      <c r="H859">
        <v>100</v>
      </c>
      <c r="K859">
        <v>1</v>
      </c>
      <c r="L859" t="s">
        <v>131</v>
      </c>
      <c r="M859" s="50">
        <v>44875</v>
      </c>
      <c r="N859" s="50">
        <v>2958465</v>
      </c>
      <c r="P859">
        <v>0</v>
      </c>
      <c r="U859">
        <v>4</v>
      </c>
      <c r="V859">
        <v>1</v>
      </c>
      <c r="W859" t="s">
        <v>132</v>
      </c>
      <c r="X859">
        <v>0</v>
      </c>
    </row>
    <row r="860" spans="1:24" x14ac:dyDescent="0.25">
      <c r="A860">
        <v>1</v>
      </c>
      <c r="B860" s="13">
        <v>590920300205</v>
      </c>
      <c r="C860">
        <v>30</v>
      </c>
      <c r="D860" s="13">
        <v>5957303002</v>
      </c>
      <c r="F860" t="s">
        <v>130</v>
      </c>
      <c r="G860">
        <v>0</v>
      </c>
      <c r="H860">
        <v>100</v>
      </c>
      <c r="K860">
        <v>1</v>
      </c>
      <c r="L860" t="s">
        <v>131</v>
      </c>
      <c r="M860" s="50">
        <v>44875</v>
      </c>
      <c r="N860" s="50">
        <v>2958465</v>
      </c>
      <c r="P860">
        <v>0</v>
      </c>
      <c r="U860">
        <v>4</v>
      </c>
      <c r="V860">
        <v>1</v>
      </c>
      <c r="W860" t="s">
        <v>132</v>
      </c>
      <c r="X860">
        <v>0</v>
      </c>
    </row>
    <row r="861" spans="1:24" x14ac:dyDescent="0.25">
      <c r="A861">
        <v>1</v>
      </c>
      <c r="B861" s="13">
        <v>590920300205</v>
      </c>
      <c r="C861">
        <v>40</v>
      </c>
      <c r="D861" s="13">
        <v>5957093002</v>
      </c>
      <c r="F861" t="s">
        <v>130</v>
      </c>
      <c r="G861">
        <v>0</v>
      </c>
      <c r="H861">
        <v>100</v>
      </c>
      <c r="K861">
        <v>1</v>
      </c>
      <c r="L861" t="s">
        <v>131</v>
      </c>
      <c r="M861" s="50">
        <v>44875</v>
      </c>
      <c r="N861" s="50">
        <v>2958465</v>
      </c>
      <c r="P861">
        <v>0</v>
      </c>
      <c r="U861">
        <v>4</v>
      </c>
      <c r="V861">
        <v>1</v>
      </c>
      <c r="W861" t="s">
        <v>132</v>
      </c>
      <c r="X861">
        <v>0</v>
      </c>
    </row>
    <row r="862" spans="1:24" x14ac:dyDescent="0.25">
      <c r="A862">
        <v>1</v>
      </c>
      <c r="B862" s="13">
        <v>590920300205</v>
      </c>
      <c r="C862">
        <v>50</v>
      </c>
      <c r="D862" s="13">
        <v>1018034</v>
      </c>
      <c r="F862" t="s">
        <v>130</v>
      </c>
      <c r="G862">
        <v>0</v>
      </c>
      <c r="H862">
        <v>100</v>
      </c>
      <c r="K862">
        <v>4</v>
      </c>
      <c r="L862" t="s">
        <v>131</v>
      </c>
      <c r="M862" s="50">
        <v>44875</v>
      </c>
      <c r="N862" s="50">
        <v>2958465</v>
      </c>
      <c r="P862">
        <v>0</v>
      </c>
      <c r="U862">
        <v>4</v>
      </c>
      <c r="V862">
        <v>1</v>
      </c>
      <c r="W862" t="s">
        <v>132</v>
      </c>
      <c r="X862">
        <v>0</v>
      </c>
    </row>
    <row r="863" spans="1:24" x14ac:dyDescent="0.25">
      <c r="A863">
        <v>1</v>
      </c>
      <c r="B863" s="13">
        <v>590920300205</v>
      </c>
      <c r="C863">
        <v>60</v>
      </c>
      <c r="D863" s="13">
        <v>1022356</v>
      </c>
      <c r="F863" t="s">
        <v>130</v>
      </c>
      <c r="G863">
        <v>0</v>
      </c>
      <c r="H863">
        <v>100</v>
      </c>
      <c r="K863">
        <v>10</v>
      </c>
      <c r="L863" t="s">
        <v>131</v>
      </c>
      <c r="M863" s="50">
        <v>44875</v>
      </c>
      <c r="N863" s="50">
        <v>2958465</v>
      </c>
      <c r="P863">
        <v>0</v>
      </c>
      <c r="U863">
        <v>4</v>
      </c>
      <c r="V863">
        <v>1</v>
      </c>
      <c r="W863" t="s">
        <v>132</v>
      </c>
      <c r="X863">
        <v>0</v>
      </c>
    </row>
    <row r="864" spans="1:24" x14ac:dyDescent="0.25">
      <c r="A864">
        <v>1</v>
      </c>
      <c r="B864" s="13">
        <v>590920300205</v>
      </c>
      <c r="C864">
        <v>70</v>
      </c>
      <c r="D864" s="13">
        <v>1022213</v>
      </c>
      <c r="F864" t="s">
        <v>130</v>
      </c>
      <c r="G864">
        <v>0</v>
      </c>
      <c r="H864">
        <v>100</v>
      </c>
      <c r="K864">
        <v>5.5919999999999996</v>
      </c>
      <c r="L864" t="s">
        <v>131</v>
      </c>
      <c r="M864" s="50">
        <v>44875</v>
      </c>
      <c r="N864" s="50">
        <v>2958465</v>
      </c>
      <c r="P864">
        <v>0</v>
      </c>
      <c r="U864">
        <v>4</v>
      </c>
      <c r="V864">
        <v>1</v>
      </c>
      <c r="W864" t="s">
        <v>132</v>
      </c>
      <c r="X864">
        <v>0</v>
      </c>
    </row>
    <row r="865" spans="1:24" x14ac:dyDescent="0.25">
      <c r="A865">
        <v>1</v>
      </c>
      <c r="B865" s="13">
        <v>590920300205</v>
      </c>
      <c r="C865">
        <v>80</v>
      </c>
      <c r="D865" s="13">
        <v>18102165605</v>
      </c>
      <c r="F865" t="s">
        <v>130</v>
      </c>
      <c r="G865">
        <v>0</v>
      </c>
      <c r="H865">
        <v>100</v>
      </c>
      <c r="K865">
        <v>1</v>
      </c>
      <c r="L865" t="s">
        <v>131</v>
      </c>
      <c r="M865" s="50">
        <v>44875</v>
      </c>
      <c r="N865" s="50">
        <v>2958465</v>
      </c>
      <c r="P865">
        <v>0</v>
      </c>
      <c r="U865">
        <v>4</v>
      </c>
      <c r="V865">
        <v>1</v>
      </c>
      <c r="W865" t="s">
        <v>132</v>
      </c>
      <c r="X865">
        <v>0</v>
      </c>
    </row>
    <row r="866" spans="1:24" x14ac:dyDescent="0.25">
      <c r="A866">
        <v>1</v>
      </c>
      <c r="B866" s="13">
        <v>590920300305</v>
      </c>
      <c r="C866">
        <v>10</v>
      </c>
      <c r="D866" s="13">
        <v>5957163003</v>
      </c>
      <c r="F866" t="s">
        <v>130</v>
      </c>
      <c r="G866">
        <v>0</v>
      </c>
      <c r="H866">
        <v>100</v>
      </c>
      <c r="K866">
        <v>2</v>
      </c>
      <c r="L866" t="s">
        <v>131</v>
      </c>
      <c r="M866" s="50">
        <v>44875</v>
      </c>
      <c r="N866" s="50">
        <v>2958465</v>
      </c>
      <c r="P866">
        <v>0</v>
      </c>
      <c r="U866">
        <v>4</v>
      </c>
      <c r="V866">
        <v>1</v>
      </c>
      <c r="W866" t="s">
        <v>132</v>
      </c>
      <c r="X866">
        <v>0</v>
      </c>
    </row>
    <row r="867" spans="1:24" x14ac:dyDescent="0.25">
      <c r="A867">
        <v>1</v>
      </c>
      <c r="B867" s="13">
        <v>590920300305</v>
      </c>
      <c r="C867">
        <v>20</v>
      </c>
      <c r="D867" s="13">
        <v>5957333003</v>
      </c>
      <c r="F867" t="s">
        <v>130</v>
      </c>
      <c r="G867">
        <v>0</v>
      </c>
      <c r="H867">
        <v>100</v>
      </c>
      <c r="K867">
        <v>1</v>
      </c>
      <c r="L867" t="s">
        <v>131</v>
      </c>
      <c r="M867" s="50">
        <v>44875</v>
      </c>
      <c r="N867" s="50">
        <v>2958465</v>
      </c>
      <c r="P867">
        <v>0</v>
      </c>
      <c r="U867">
        <v>4</v>
      </c>
      <c r="V867">
        <v>1</v>
      </c>
      <c r="W867" t="s">
        <v>132</v>
      </c>
      <c r="X867">
        <v>0</v>
      </c>
    </row>
    <row r="868" spans="1:24" x14ac:dyDescent="0.25">
      <c r="A868">
        <v>1</v>
      </c>
      <c r="B868" s="13">
        <v>590920300305</v>
      </c>
      <c r="C868">
        <v>30</v>
      </c>
      <c r="D868" s="13">
        <v>5957303003</v>
      </c>
      <c r="F868" t="s">
        <v>130</v>
      </c>
      <c r="G868">
        <v>0</v>
      </c>
      <c r="H868">
        <v>100</v>
      </c>
      <c r="K868">
        <v>1</v>
      </c>
      <c r="L868" t="s">
        <v>131</v>
      </c>
      <c r="M868" s="50">
        <v>44875</v>
      </c>
      <c r="N868" s="50">
        <v>2958465</v>
      </c>
      <c r="P868">
        <v>0</v>
      </c>
      <c r="U868">
        <v>4</v>
      </c>
      <c r="V868">
        <v>1</v>
      </c>
      <c r="W868" t="s">
        <v>132</v>
      </c>
      <c r="X868">
        <v>0</v>
      </c>
    </row>
    <row r="869" spans="1:24" x14ac:dyDescent="0.25">
      <c r="A869">
        <v>1</v>
      </c>
      <c r="B869" s="13">
        <v>590920300305</v>
      </c>
      <c r="C869">
        <v>40</v>
      </c>
      <c r="D869" s="13">
        <v>5957093003</v>
      </c>
      <c r="F869" t="s">
        <v>130</v>
      </c>
      <c r="G869">
        <v>0</v>
      </c>
      <c r="H869">
        <v>100</v>
      </c>
      <c r="K869">
        <v>1</v>
      </c>
      <c r="L869" t="s">
        <v>131</v>
      </c>
      <c r="M869" s="50">
        <v>44875</v>
      </c>
      <c r="N869" s="50">
        <v>2958465</v>
      </c>
      <c r="P869">
        <v>0</v>
      </c>
      <c r="U869">
        <v>4</v>
      </c>
      <c r="V869">
        <v>1</v>
      </c>
      <c r="W869" t="s">
        <v>132</v>
      </c>
      <c r="X869">
        <v>0</v>
      </c>
    </row>
    <row r="870" spans="1:24" x14ac:dyDescent="0.25">
      <c r="A870">
        <v>1</v>
      </c>
      <c r="B870" s="13">
        <v>590920300305</v>
      </c>
      <c r="C870">
        <v>50</v>
      </c>
      <c r="D870" s="13">
        <v>1018034</v>
      </c>
      <c r="F870" t="s">
        <v>130</v>
      </c>
      <c r="G870">
        <v>0</v>
      </c>
      <c r="H870">
        <v>100</v>
      </c>
      <c r="K870">
        <v>4</v>
      </c>
      <c r="L870" t="s">
        <v>131</v>
      </c>
      <c r="M870" s="50">
        <v>44875</v>
      </c>
      <c r="N870" s="50">
        <v>2958465</v>
      </c>
      <c r="P870">
        <v>0</v>
      </c>
      <c r="U870">
        <v>4</v>
      </c>
      <c r="V870">
        <v>1</v>
      </c>
      <c r="W870" t="s">
        <v>132</v>
      </c>
      <c r="X870">
        <v>0</v>
      </c>
    </row>
    <row r="871" spans="1:24" x14ac:dyDescent="0.25">
      <c r="A871">
        <v>1</v>
      </c>
      <c r="B871" s="13">
        <v>590920300305</v>
      </c>
      <c r="C871">
        <v>60</v>
      </c>
      <c r="D871" s="13">
        <v>1018359</v>
      </c>
      <c r="F871" t="s">
        <v>130</v>
      </c>
      <c r="G871">
        <v>0</v>
      </c>
      <c r="H871">
        <v>100</v>
      </c>
      <c r="K871">
        <v>10</v>
      </c>
      <c r="L871" t="s">
        <v>131</v>
      </c>
      <c r="M871" s="50">
        <v>44875</v>
      </c>
      <c r="N871" s="50">
        <v>2958465</v>
      </c>
      <c r="P871">
        <v>0</v>
      </c>
      <c r="U871">
        <v>4</v>
      </c>
      <c r="V871">
        <v>1</v>
      </c>
      <c r="W871" t="s">
        <v>132</v>
      </c>
      <c r="X871">
        <v>0</v>
      </c>
    </row>
    <row r="872" spans="1:24" x14ac:dyDescent="0.25">
      <c r="A872">
        <v>1</v>
      </c>
      <c r="B872" s="13">
        <v>590920300305</v>
      </c>
      <c r="C872">
        <v>70</v>
      </c>
      <c r="D872" s="13">
        <v>1022213</v>
      </c>
      <c r="F872" t="s">
        <v>130</v>
      </c>
      <c r="G872">
        <v>0</v>
      </c>
      <c r="H872">
        <v>100</v>
      </c>
      <c r="K872">
        <v>5.5919999999999996</v>
      </c>
      <c r="L872" t="s">
        <v>131</v>
      </c>
      <c r="M872" s="50">
        <v>44875</v>
      </c>
      <c r="N872" s="50">
        <v>2958465</v>
      </c>
      <c r="P872">
        <v>0</v>
      </c>
      <c r="U872">
        <v>4</v>
      </c>
      <c r="V872">
        <v>1</v>
      </c>
      <c r="W872" t="s">
        <v>132</v>
      </c>
      <c r="X872">
        <v>0</v>
      </c>
    </row>
    <row r="873" spans="1:24" x14ac:dyDescent="0.25">
      <c r="A873">
        <v>1</v>
      </c>
      <c r="B873" s="13">
        <v>590920300305</v>
      </c>
      <c r="C873">
        <v>80</v>
      </c>
      <c r="D873" s="13">
        <v>18102165605</v>
      </c>
      <c r="F873" t="s">
        <v>130</v>
      </c>
      <c r="G873">
        <v>0</v>
      </c>
      <c r="H873">
        <v>100</v>
      </c>
      <c r="K873">
        <v>1</v>
      </c>
      <c r="L873" t="s">
        <v>131</v>
      </c>
      <c r="M873" s="50">
        <v>44875</v>
      </c>
      <c r="N873" s="50">
        <v>2958465</v>
      </c>
      <c r="P873">
        <v>0</v>
      </c>
      <c r="U873">
        <v>4</v>
      </c>
      <c r="V873">
        <v>1</v>
      </c>
      <c r="W873" t="s">
        <v>132</v>
      </c>
      <c r="X873">
        <v>0</v>
      </c>
    </row>
    <row r="874" spans="1:24" x14ac:dyDescent="0.25">
      <c r="A874">
        <v>1</v>
      </c>
      <c r="B874" s="13">
        <v>590920300405</v>
      </c>
      <c r="C874">
        <v>10</v>
      </c>
      <c r="D874" s="13">
        <v>5957163004</v>
      </c>
      <c r="F874" t="s">
        <v>130</v>
      </c>
      <c r="G874">
        <v>0</v>
      </c>
      <c r="H874">
        <v>100</v>
      </c>
      <c r="K874">
        <v>2</v>
      </c>
      <c r="L874" t="s">
        <v>131</v>
      </c>
      <c r="M874" s="50">
        <v>44875</v>
      </c>
      <c r="N874" s="50">
        <v>2958465</v>
      </c>
      <c r="P874">
        <v>0</v>
      </c>
      <c r="U874">
        <v>4</v>
      </c>
      <c r="V874">
        <v>1</v>
      </c>
      <c r="W874" t="s">
        <v>132</v>
      </c>
      <c r="X874">
        <v>0</v>
      </c>
    </row>
    <row r="875" spans="1:24" x14ac:dyDescent="0.25">
      <c r="A875">
        <v>1</v>
      </c>
      <c r="B875" s="13">
        <v>590920300405</v>
      </c>
      <c r="C875">
        <v>20</v>
      </c>
      <c r="D875" s="13">
        <v>5957333004</v>
      </c>
      <c r="F875" t="s">
        <v>130</v>
      </c>
      <c r="G875">
        <v>0</v>
      </c>
      <c r="H875">
        <v>100</v>
      </c>
      <c r="K875">
        <v>1</v>
      </c>
      <c r="L875" t="s">
        <v>131</v>
      </c>
      <c r="M875" s="50">
        <v>44875</v>
      </c>
      <c r="N875" s="50">
        <v>2958465</v>
      </c>
      <c r="P875">
        <v>0</v>
      </c>
      <c r="U875">
        <v>4</v>
      </c>
      <c r="V875">
        <v>1</v>
      </c>
      <c r="W875" t="s">
        <v>132</v>
      </c>
      <c r="X875">
        <v>0</v>
      </c>
    </row>
    <row r="876" spans="1:24" x14ac:dyDescent="0.25">
      <c r="A876">
        <v>1</v>
      </c>
      <c r="B876" s="13">
        <v>590920300405</v>
      </c>
      <c r="C876">
        <v>30</v>
      </c>
      <c r="D876" s="13">
        <v>5957303004</v>
      </c>
      <c r="F876" t="s">
        <v>130</v>
      </c>
      <c r="G876">
        <v>0</v>
      </c>
      <c r="H876">
        <v>100</v>
      </c>
      <c r="K876">
        <v>1</v>
      </c>
      <c r="L876" t="s">
        <v>131</v>
      </c>
      <c r="M876" s="50">
        <v>44875</v>
      </c>
      <c r="N876" s="50">
        <v>2958465</v>
      </c>
      <c r="P876">
        <v>0</v>
      </c>
      <c r="U876">
        <v>4</v>
      </c>
      <c r="V876">
        <v>1</v>
      </c>
      <c r="W876" t="s">
        <v>132</v>
      </c>
      <c r="X876">
        <v>0</v>
      </c>
    </row>
    <row r="877" spans="1:24" x14ac:dyDescent="0.25">
      <c r="A877">
        <v>1</v>
      </c>
      <c r="B877" s="13">
        <v>590920300405</v>
      </c>
      <c r="C877">
        <v>40</v>
      </c>
      <c r="D877" s="13">
        <v>5957093004</v>
      </c>
      <c r="F877" t="s">
        <v>130</v>
      </c>
      <c r="G877">
        <v>0</v>
      </c>
      <c r="H877">
        <v>100</v>
      </c>
      <c r="K877">
        <v>1</v>
      </c>
      <c r="L877" t="s">
        <v>131</v>
      </c>
      <c r="M877" s="50">
        <v>44875</v>
      </c>
      <c r="N877" s="50">
        <v>2958465</v>
      </c>
      <c r="P877">
        <v>0</v>
      </c>
      <c r="U877">
        <v>4</v>
      </c>
      <c r="V877">
        <v>1</v>
      </c>
      <c r="W877" t="s">
        <v>132</v>
      </c>
      <c r="X877">
        <v>0</v>
      </c>
    </row>
    <row r="878" spans="1:24" x14ac:dyDescent="0.25">
      <c r="A878">
        <v>1</v>
      </c>
      <c r="B878" s="13">
        <v>590920300405</v>
      </c>
      <c r="C878">
        <v>50</v>
      </c>
      <c r="D878" s="13">
        <v>1018034</v>
      </c>
      <c r="F878" t="s">
        <v>130</v>
      </c>
      <c r="G878">
        <v>0</v>
      </c>
      <c r="H878">
        <v>100</v>
      </c>
      <c r="K878">
        <v>4</v>
      </c>
      <c r="L878" t="s">
        <v>131</v>
      </c>
      <c r="M878" s="50">
        <v>44875</v>
      </c>
      <c r="N878" s="50">
        <v>2958465</v>
      </c>
      <c r="P878">
        <v>0</v>
      </c>
      <c r="U878">
        <v>4</v>
      </c>
      <c r="V878">
        <v>1</v>
      </c>
      <c r="W878" t="s">
        <v>132</v>
      </c>
      <c r="X878">
        <v>0</v>
      </c>
    </row>
    <row r="879" spans="1:24" x14ac:dyDescent="0.25">
      <c r="A879">
        <v>1</v>
      </c>
      <c r="B879" s="13">
        <v>590920300405</v>
      </c>
      <c r="C879">
        <v>60</v>
      </c>
      <c r="D879" s="13">
        <v>1022356</v>
      </c>
      <c r="F879" t="s">
        <v>130</v>
      </c>
      <c r="G879">
        <v>0</v>
      </c>
      <c r="H879">
        <v>100</v>
      </c>
      <c r="K879">
        <v>10</v>
      </c>
      <c r="L879" t="s">
        <v>131</v>
      </c>
      <c r="M879" s="50">
        <v>44875</v>
      </c>
      <c r="N879" s="50">
        <v>2958465</v>
      </c>
      <c r="P879">
        <v>0</v>
      </c>
      <c r="U879">
        <v>4</v>
      </c>
      <c r="V879">
        <v>1</v>
      </c>
      <c r="W879" t="s">
        <v>132</v>
      </c>
      <c r="X879">
        <v>0</v>
      </c>
    </row>
    <row r="880" spans="1:24" x14ac:dyDescent="0.25">
      <c r="A880">
        <v>1</v>
      </c>
      <c r="B880" s="13">
        <v>590920300405</v>
      </c>
      <c r="C880">
        <v>70</v>
      </c>
      <c r="D880" s="13">
        <v>1022213</v>
      </c>
      <c r="F880" t="s">
        <v>130</v>
      </c>
      <c r="G880">
        <v>0</v>
      </c>
      <c r="H880">
        <v>100</v>
      </c>
      <c r="K880">
        <v>5.5919999999999996</v>
      </c>
      <c r="L880" t="s">
        <v>131</v>
      </c>
      <c r="M880" s="50">
        <v>44875</v>
      </c>
      <c r="N880" s="50">
        <v>2958465</v>
      </c>
      <c r="P880">
        <v>0</v>
      </c>
      <c r="U880">
        <v>4</v>
      </c>
      <c r="V880">
        <v>1</v>
      </c>
      <c r="W880" t="s">
        <v>132</v>
      </c>
      <c r="X880">
        <v>0</v>
      </c>
    </row>
    <row r="881" spans="1:24" x14ac:dyDescent="0.25">
      <c r="A881">
        <v>1</v>
      </c>
      <c r="B881" s="13">
        <v>590920300405</v>
      </c>
      <c r="C881">
        <v>80</v>
      </c>
      <c r="D881" s="13">
        <v>18102165605</v>
      </c>
      <c r="F881" t="s">
        <v>130</v>
      </c>
      <c r="G881">
        <v>0</v>
      </c>
      <c r="H881">
        <v>100</v>
      </c>
      <c r="K881">
        <v>1</v>
      </c>
      <c r="L881" t="s">
        <v>131</v>
      </c>
      <c r="M881" s="50">
        <v>44875</v>
      </c>
      <c r="N881" s="50">
        <v>2958465</v>
      </c>
      <c r="P881">
        <v>0</v>
      </c>
      <c r="U881">
        <v>4</v>
      </c>
      <c r="V881">
        <v>1</v>
      </c>
      <c r="W881" t="s">
        <v>132</v>
      </c>
      <c r="X881">
        <v>0</v>
      </c>
    </row>
    <row r="882" spans="1:24" x14ac:dyDescent="0.25">
      <c r="A882">
        <v>1</v>
      </c>
      <c r="B882" s="13">
        <v>590920300505</v>
      </c>
      <c r="C882">
        <v>10</v>
      </c>
      <c r="D882" s="13">
        <v>5957163005</v>
      </c>
      <c r="F882" t="s">
        <v>130</v>
      </c>
      <c r="G882">
        <v>0</v>
      </c>
      <c r="H882">
        <v>100</v>
      </c>
      <c r="K882">
        <v>2</v>
      </c>
      <c r="L882" t="s">
        <v>131</v>
      </c>
      <c r="M882" s="50">
        <v>44875</v>
      </c>
      <c r="N882" s="50">
        <v>2958465</v>
      </c>
      <c r="P882">
        <v>0</v>
      </c>
      <c r="U882">
        <v>4</v>
      </c>
      <c r="V882">
        <v>1</v>
      </c>
      <c r="W882" t="s">
        <v>132</v>
      </c>
      <c r="X882">
        <v>0</v>
      </c>
    </row>
    <row r="883" spans="1:24" x14ac:dyDescent="0.25">
      <c r="A883">
        <v>1</v>
      </c>
      <c r="B883" s="13">
        <v>590920300505</v>
      </c>
      <c r="C883">
        <v>20</v>
      </c>
      <c r="D883" s="13">
        <v>5957333005</v>
      </c>
      <c r="F883" t="s">
        <v>130</v>
      </c>
      <c r="G883">
        <v>0</v>
      </c>
      <c r="H883">
        <v>100</v>
      </c>
      <c r="K883">
        <v>1</v>
      </c>
      <c r="L883" t="s">
        <v>131</v>
      </c>
      <c r="M883" s="50">
        <v>44875</v>
      </c>
      <c r="N883" s="50">
        <v>2958465</v>
      </c>
      <c r="P883">
        <v>0</v>
      </c>
      <c r="U883">
        <v>4</v>
      </c>
      <c r="V883">
        <v>1</v>
      </c>
      <c r="W883" t="s">
        <v>132</v>
      </c>
      <c r="X883">
        <v>0</v>
      </c>
    </row>
    <row r="884" spans="1:24" x14ac:dyDescent="0.25">
      <c r="A884">
        <v>1</v>
      </c>
      <c r="B884" s="13">
        <v>590920300505</v>
      </c>
      <c r="C884">
        <v>30</v>
      </c>
      <c r="D884" s="13">
        <v>5957303005</v>
      </c>
      <c r="F884" t="s">
        <v>130</v>
      </c>
      <c r="G884">
        <v>0</v>
      </c>
      <c r="H884">
        <v>100</v>
      </c>
      <c r="K884">
        <v>1</v>
      </c>
      <c r="L884" t="s">
        <v>131</v>
      </c>
      <c r="M884" s="50">
        <v>44875</v>
      </c>
      <c r="N884" s="50">
        <v>2958465</v>
      </c>
      <c r="P884">
        <v>0</v>
      </c>
      <c r="U884">
        <v>4</v>
      </c>
      <c r="V884">
        <v>1</v>
      </c>
      <c r="W884" t="s">
        <v>132</v>
      </c>
      <c r="X884">
        <v>0</v>
      </c>
    </row>
    <row r="885" spans="1:24" x14ac:dyDescent="0.25">
      <c r="A885">
        <v>1</v>
      </c>
      <c r="B885" s="13">
        <v>590920300505</v>
      </c>
      <c r="C885">
        <v>40</v>
      </c>
      <c r="D885" s="13">
        <v>5957093005</v>
      </c>
      <c r="F885" t="s">
        <v>130</v>
      </c>
      <c r="G885">
        <v>0</v>
      </c>
      <c r="H885">
        <v>100</v>
      </c>
      <c r="K885">
        <v>1</v>
      </c>
      <c r="L885" t="s">
        <v>131</v>
      </c>
      <c r="M885" s="50">
        <v>44875</v>
      </c>
      <c r="N885" s="50">
        <v>2958465</v>
      </c>
      <c r="P885">
        <v>0</v>
      </c>
      <c r="U885">
        <v>4</v>
      </c>
      <c r="V885">
        <v>1</v>
      </c>
      <c r="W885" t="s">
        <v>132</v>
      </c>
      <c r="X885">
        <v>0</v>
      </c>
    </row>
    <row r="886" spans="1:24" x14ac:dyDescent="0.25">
      <c r="A886">
        <v>1</v>
      </c>
      <c r="B886" s="13">
        <v>590920300505</v>
      </c>
      <c r="C886">
        <v>50</v>
      </c>
      <c r="D886" s="13">
        <v>1018034</v>
      </c>
      <c r="F886" t="s">
        <v>130</v>
      </c>
      <c r="G886">
        <v>0</v>
      </c>
      <c r="H886">
        <v>100</v>
      </c>
      <c r="K886">
        <v>4</v>
      </c>
      <c r="L886" t="s">
        <v>131</v>
      </c>
      <c r="M886" s="50">
        <v>44875</v>
      </c>
      <c r="N886" s="50">
        <v>2958465</v>
      </c>
      <c r="P886">
        <v>0</v>
      </c>
      <c r="U886">
        <v>4</v>
      </c>
      <c r="V886">
        <v>1</v>
      </c>
      <c r="W886" t="s">
        <v>132</v>
      </c>
      <c r="X886">
        <v>0</v>
      </c>
    </row>
    <row r="887" spans="1:24" x14ac:dyDescent="0.25">
      <c r="A887">
        <v>1</v>
      </c>
      <c r="B887" s="13">
        <v>590920300505</v>
      </c>
      <c r="C887">
        <v>60</v>
      </c>
      <c r="D887" s="13">
        <v>1022356</v>
      </c>
      <c r="F887" t="s">
        <v>130</v>
      </c>
      <c r="G887">
        <v>0</v>
      </c>
      <c r="H887">
        <v>100</v>
      </c>
      <c r="K887">
        <v>10</v>
      </c>
      <c r="L887" t="s">
        <v>131</v>
      </c>
      <c r="M887" s="50">
        <v>44875</v>
      </c>
      <c r="N887" s="50">
        <v>2958465</v>
      </c>
      <c r="P887">
        <v>0</v>
      </c>
      <c r="U887">
        <v>4</v>
      </c>
      <c r="V887">
        <v>1</v>
      </c>
      <c r="W887" t="s">
        <v>132</v>
      </c>
      <c r="X887">
        <v>0</v>
      </c>
    </row>
    <row r="888" spans="1:24" x14ac:dyDescent="0.25">
      <c r="A888">
        <v>1</v>
      </c>
      <c r="B888" s="13">
        <v>590920300505</v>
      </c>
      <c r="C888">
        <v>70</v>
      </c>
      <c r="D888" s="13">
        <v>1022213</v>
      </c>
      <c r="F888" t="s">
        <v>130</v>
      </c>
      <c r="G888">
        <v>0</v>
      </c>
      <c r="H888">
        <v>100</v>
      </c>
      <c r="K888">
        <v>5.5919999999999996</v>
      </c>
      <c r="L888" t="s">
        <v>131</v>
      </c>
      <c r="M888" s="50">
        <v>44875</v>
      </c>
      <c r="N888" s="50">
        <v>2958465</v>
      </c>
      <c r="P888">
        <v>0</v>
      </c>
      <c r="U888">
        <v>4</v>
      </c>
      <c r="V888">
        <v>1</v>
      </c>
      <c r="W888" t="s">
        <v>132</v>
      </c>
      <c r="X888">
        <v>0</v>
      </c>
    </row>
    <row r="889" spans="1:24" x14ac:dyDescent="0.25">
      <c r="A889">
        <v>1</v>
      </c>
      <c r="B889" s="13">
        <v>590920300505</v>
      </c>
      <c r="C889">
        <v>80</v>
      </c>
      <c r="D889" s="13">
        <v>18102165605</v>
      </c>
      <c r="F889" t="s">
        <v>130</v>
      </c>
      <c r="G889">
        <v>0</v>
      </c>
      <c r="H889">
        <v>100</v>
      </c>
      <c r="K889">
        <v>1</v>
      </c>
      <c r="L889" t="s">
        <v>131</v>
      </c>
      <c r="M889" s="50">
        <v>44875</v>
      </c>
      <c r="N889" s="50">
        <v>2958465</v>
      </c>
      <c r="P889">
        <v>0</v>
      </c>
      <c r="U889">
        <v>4</v>
      </c>
      <c r="V889">
        <v>1</v>
      </c>
      <c r="W889" t="s">
        <v>132</v>
      </c>
      <c r="X889">
        <v>0</v>
      </c>
    </row>
    <row r="890" spans="1:24" x14ac:dyDescent="0.25">
      <c r="A890">
        <v>1</v>
      </c>
      <c r="B890" s="13">
        <v>590920300605</v>
      </c>
      <c r="C890">
        <v>10</v>
      </c>
      <c r="D890" s="13">
        <v>5957163006</v>
      </c>
      <c r="F890" t="s">
        <v>130</v>
      </c>
      <c r="G890">
        <v>0</v>
      </c>
      <c r="H890">
        <v>100</v>
      </c>
      <c r="K890">
        <v>2</v>
      </c>
      <c r="L890" t="s">
        <v>131</v>
      </c>
      <c r="M890" s="50">
        <v>44875</v>
      </c>
      <c r="N890" s="50">
        <v>2958465</v>
      </c>
      <c r="P890">
        <v>0</v>
      </c>
      <c r="U890">
        <v>4</v>
      </c>
      <c r="V890">
        <v>1</v>
      </c>
      <c r="W890" t="s">
        <v>132</v>
      </c>
      <c r="X890">
        <v>0</v>
      </c>
    </row>
    <row r="891" spans="1:24" x14ac:dyDescent="0.25">
      <c r="A891">
        <v>1</v>
      </c>
      <c r="B891" s="13">
        <v>590920300605</v>
      </c>
      <c r="C891">
        <v>20</v>
      </c>
      <c r="D891" s="13">
        <v>5957333006</v>
      </c>
      <c r="F891" t="s">
        <v>130</v>
      </c>
      <c r="G891">
        <v>0</v>
      </c>
      <c r="H891">
        <v>100</v>
      </c>
      <c r="K891">
        <v>1</v>
      </c>
      <c r="L891" t="s">
        <v>131</v>
      </c>
      <c r="M891" s="50">
        <v>44875</v>
      </c>
      <c r="N891" s="50">
        <v>2958465</v>
      </c>
      <c r="P891">
        <v>0</v>
      </c>
      <c r="U891">
        <v>4</v>
      </c>
      <c r="V891">
        <v>1</v>
      </c>
      <c r="W891" t="s">
        <v>132</v>
      </c>
      <c r="X891">
        <v>0</v>
      </c>
    </row>
    <row r="892" spans="1:24" x14ac:dyDescent="0.25">
      <c r="A892">
        <v>1</v>
      </c>
      <c r="B892" s="13">
        <v>590920300605</v>
      </c>
      <c r="C892">
        <v>30</v>
      </c>
      <c r="D892" s="13">
        <v>5957303006</v>
      </c>
      <c r="F892" t="s">
        <v>130</v>
      </c>
      <c r="G892">
        <v>0</v>
      </c>
      <c r="H892">
        <v>100</v>
      </c>
      <c r="K892">
        <v>1</v>
      </c>
      <c r="L892" t="s">
        <v>131</v>
      </c>
      <c r="M892" s="50">
        <v>44875</v>
      </c>
      <c r="N892" s="50">
        <v>2958465</v>
      </c>
      <c r="P892">
        <v>0</v>
      </c>
      <c r="U892">
        <v>4</v>
      </c>
      <c r="V892">
        <v>1</v>
      </c>
      <c r="W892" t="s">
        <v>132</v>
      </c>
      <c r="X892">
        <v>0</v>
      </c>
    </row>
    <row r="893" spans="1:24" x14ac:dyDescent="0.25">
      <c r="A893">
        <v>1</v>
      </c>
      <c r="B893" s="13">
        <v>590920300605</v>
      </c>
      <c r="C893">
        <v>40</v>
      </c>
      <c r="D893" s="13">
        <v>5957093006</v>
      </c>
      <c r="F893" t="s">
        <v>130</v>
      </c>
      <c r="G893">
        <v>0</v>
      </c>
      <c r="H893">
        <v>100</v>
      </c>
      <c r="K893">
        <v>1</v>
      </c>
      <c r="L893" t="s">
        <v>131</v>
      </c>
      <c r="M893" s="50">
        <v>44875</v>
      </c>
      <c r="N893" s="50">
        <v>2958465</v>
      </c>
      <c r="P893">
        <v>0</v>
      </c>
      <c r="U893">
        <v>4</v>
      </c>
      <c r="V893">
        <v>1</v>
      </c>
      <c r="W893" t="s">
        <v>132</v>
      </c>
      <c r="X893">
        <v>0</v>
      </c>
    </row>
    <row r="894" spans="1:24" x14ac:dyDescent="0.25">
      <c r="A894">
        <v>1</v>
      </c>
      <c r="B894" s="13">
        <v>590920300605</v>
      </c>
      <c r="C894">
        <v>50</v>
      </c>
      <c r="D894" s="13">
        <v>1018034</v>
      </c>
      <c r="F894" t="s">
        <v>130</v>
      </c>
      <c r="G894">
        <v>0</v>
      </c>
      <c r="H894">
        <v>100</v>
      </c>
      <c r="K894">
        <v>4</v>
      </c>
      <c r="L894" t="s">
        <v>131</v>
      </c>
      <c r="M894" s="50">
        <v>44875</v>
      </c>
      <c r="N894" s="50">
        <v>2958465</v>
      </c>
      <c r="P894">
        <v>0</v>
      </c>
      <c r="U894">
        <v>4</v>
      </c>
      <c r="V894">
        <v>1</v>
      </c>
      <c r="W894" t="s">
        <v>132</v>
      </c>
      <c r="X894">
        <v>0</v>
      </c>
    </row>
    <row r="895" spans="1:24" x14ac:dyDescent="0.25">
      <c r="A895">
        <v>1</v>
      </c>
      <c r="B895" s="13">
        <v>590920300605</v>
      </c>
      <c r="C895">
        <v>60</v>
      </c>
      <c r="D895" s="13">
        <v>1018359</v>
      </c>
      <c r="F895" t="s">
        <v>130</v>
      </c>
      <c r="G895">
        <v>0</v>
      </c>
      <c r="H895">
        <v>100</v>
      </c>
      <c r="K895">
        <v>10</v>
      </c>
      <c r="L895" t="s">
        <v>131</v>
      </c>
      <c r="M895" s="50">
        <v>44875</v>
      </c>
      <c r="N895" s="50">
        <v>2958465</v>
      </c>
      <c r="P895">
        <v>0</v>
      </c>
      <c r="U895">
        <v>4</v>
      </c>
      <c r="V895">
        <v>1</v>
      </c>
      <c r="W895" t="s">
        <v>132</v>
      </c>
      <c r="X895">
        <v>0</v>
      </c>
    </row>
    <row r="896" spans="1:24" x14ac:dyDescent="0.25">
      <c r="A896">
        <v>1</v>
      </c>
      <c r="B896" s="13">
        <v>590920300605</v>
      </c>
      <c r="C896">
        <v>70</v>
      </c>
      <c r="D896" s="13">
        <v>1022213</v>
      </c>
      <c r="F896" t="s">
        <v>130</v>
      </c>
      <c r="G896">
        <v>0</v>
      </c>
      <c r="H896">
        <v>100</v>
      </c>
      <c r="K896">
        <v>5.5919999999999996</v>
      </c>
      <c r="L896" t="s">
        <v>131</v>
      </c>
      <c r="M896" s="50">
        <v>44875</v>
      </c>
      <c r="N896" s="50">
        <v>2958465</v>
      </c>
      <c r="P896">
        <v>0</v>
      </c>
      <c r="U896">
        <v>4</v>
      </c>
      <c r="V896">
        <v>1</v>
      </c>
      <c r="W896" t="s">
        <v>132</v>
      </c>
      <c r="X896">
        <v>0</v>
      </c>
    </row>
    <row r="897" spans="1:24" x14ac:dyDescent="0.25">
      <c r="A897">
        <v>1</v>
      </c>
      <c r="B897" s="13">
        <v>590920300605</v>
      </c>
      <c r="C897">
        <v>80</v>
      </c>
      <c r="D897" s="13">
        <v>18102165605</v>
      </c>
      <c r="F897" t="s">
        <v>130</v>
      </c>
      <c r="G897">
        <v>0</v>
      </c>
      <c r="H897">
        <v>100</v>
      </c>
      <c r="K897">
        <v>1</v>
      </c>
      <c r="L897" t="s">
        <v>131</v>
      </c>
      <c r="M897" s="50">
        <v>44875</v>
      </c>
      <c r="N897" s="50">
        <v>2958465</v>
      </c>
      <c r="P897">
        <v>0</v>
      </c>
      <c r="U897">
        <v>4</v>
      </c>
      <c r="V897">
        <v>1</v>
      </c>
      <c r="W897" t="s">
        <v>132</v>
      </c>
      <c r="X897">
        <v>0</v>
      </c>
    </row>
    <row r="898" spans="1:24" x14ac:dyDescent="0.25">
      <c r="A898">
        <v>1</v>
      </c>
      <c r="B898" s="13">
        <v>590920300705</v>
      </c>
      <c r="C898">
        <v>10</v>
      </c>
      <c r="D898" s="13">
        <v>5957163007</v>
      </c>
      <c r="F898" t="s">
        <v>130</v>
      </c>
      <c r="G898">
        <v>0</v>
      </c>
      <c r="H898">
        <v>100</v>
      </c>
      <c r="K898">
        <v>2</v>
      </c>
      <c r="L898" t="s">
        <v>131</v>
      </c>
      <c r="M898" s="50">
        <v>44875</v>
      </c>
      <c r="N898" s="50">
        <v>2958465</v>
      </c>
      <c r="P898">
        <v>0</v>
      </c>
      <c r="U898">
        <v>4</v>
      </c>
      <c r="V898">
        <v>1</v>
      </c>
      <c r="W898" t="s">
        <v>132</v>
      </c>
      <c r="X898">
        <v>0</v>
      </c>
    </row>
    <row r="899" spans="1:24" x14ac:dyDescent="0.25">
      <c r="A899">
        <v>1</v>
      </c>
      <c r="B899" s="13">
        <v>590920300705</v>
      </c>
      <c r="C899">
        <v>20</v>
      </c>
      <c r="D899" s="13">
        <v>5957333007</v>
      </c>
      <c r="F899" t="s">
        <v>130</v>
      </c>
      <c r="G899">
        <v>0</v>
      </c>
      <c r="H899">
        <v>100</v>
      </c>
      <c r="K899">
        <v>1</v>
      </c>
      <c r="L899" t="s">
        <v>131</v>
      </c>
      <c r="M899" s="50">
        <v>44875</v>
      </c>
      <c r="N899" s="50">
        <v>2958465</v>
      </c>
      <c r="P899">
        <v>0</v>
      </c>
      <c r="U899">
        <v>4</v>
      </c>
      <c r="V899">
        <v>1</v>
      </c>
      <c r="W899" t="s">
        <v>132</v>
      </c>
      <c r="X899">
        <v>0</v>
      </c>
    </row>
    <row r="900" spans="1:24" x14ac:dyDescent="0.25">
      <c r="A900">
        <v>1</v>
      </c>
      <c r="B900" s="13">
        <v>590920300705</v>
      </c>
      <c r="C900">
        <v>30</v>
      </c>
      <c r="D900" s="13">
        <v>5957303007</v>
      </c>
      <c r="F900" t="s">
        <v>130</v>
      </c>
      <c r="G900">
        <v>0</v>
      </c>
      <c r="H900">
        <v>100</v>
      </c>
      <c r="K900">
        <v>1</v>
      </c>
      <c r="L900" t="s">
        <v>131</v>
      </c>
      <c r="M900" s="50">
        <v>44875</v>
      </c>
      <c r="N900" s="50">
        <v>2958465</v>
      </c>
      <c r="P900">
        <v>0</v>
      </c>
      <c r="U900">
        <v>4</v>
      </c>
      <c r="V900">
        <v>1</v>
      </c>
      <c r="W900" t="s">
        <v>132</v>
      </c>
      <c r="X900">
        <v>0</v>
      </c>
    </row>
    <row r="901" spans="1:24" x14ac:dyDescent="0.25">
      <c r="A901">
        <v>1</v>
      </c>
      <c r="B901" s="13">
        <v>590920300705</v>
      </c>
      <c r="C901">
        <v>40</v>
      </c>
      <c r="D901" s="13">
        <v>5957093007</v>
      </c>
      <c r="F901" t="s">
        <v>130</v>
      </c>
      <c r="G901">
        <v>0</v>
      </c>
      <c r="H901">
        <v>100</v>
      </c>
      <c r="K901">
        <v>1</v>
      </c>
      <c r="L901" t="s">
        <v>131</v>
      </c>
      <c r="M901" s="50">
        <v>44875</v>
      </c>
      <c r="N901" s="50">
        <v>2958465</v>
      </c>
      <c r="P901">
        <v>0</v>
      </c>
      <c r="U901">
        <v>4</v>
      </c>
      <c r="V901">
        <v>1</v>
      </c>
      <c r="W901" t="s">
        <v>132</v>
      </c>
      <c r="X901">
        <v>0</v>
      </c>
    </row>
    <row r="902" spans="1:24" x14ac:dyDescent="0.25">
      <c r="A902">
        <v>1</v>
      </c>
      <c r="B902" s="13">
        <v>590920300705</v>
      </c>
      <c r="C902">
        <v>50</v>
      </c>
      <c r="D902" s="13">
        <v>1018034</v>
      </c>
      <c r="F902" t="s">
        <v>130</v>
      </c>
      <c r="G902">
        <v>0</v>
      </c>
      <c r="H902">
        <v>100</v>
      </c>
      <c r="K902">
        <v>4</v>
      </c>
      <c r="L902" t="s">
        <v>131</v>
      </c>
      <c r="M902" s="50">
        <v>44875</v>
      </c>
      <c r="N902" s="50">
        <v>2958465</v>
      </c>
      <c r="P902">
        <v>0</v>
      </c>
      <c r="U902">
        <v>4</v>
      </c>
      <c r="V902">
        <v>1</v>
      </c>
      <c r="W902" t="s">
        <v>132</v>
      </c>
      <c r="X902">
        <v>0</v>
      </c>
    </row>
    <row r="903" spans="1:24" x14ac:dyDescent="0.25">
      <c r="A903">
        <v>1</v>
      </c>
      <c r="B903" s="13">
        <v>590920300705</v>
      </c>
      <c r="C903">
        <v>60</v>
      </c>
      <c r="D903" s="13">
        <v>1018359</v>
      </c>
      <c r="F903" t="s">
        <v>130</v>
      </c>
      <c r="G903">
        <v>0</v>
      </c>
      <c r="H903">
        <v>100</v>
      </c>
      <c r="K903">
        <v>10</v>
      </c>
      <c r="L903" t="s">
        <v>131</v>
      </c>
      <c r="M903" s="50">
        <v>44875</v>
      </c>
      <c r="N903" s="50">
        <v>2958465</v>
      </c>
      <c r="P903">
        <v>0</v>
      </c>
      <c r="U903">
        <v>4</v>
      </c>
      <c r="V903">
        <v>1</v>
      </c>
      <c r="W903" t="s">
        <v>132</v>
      </c>
      <c r="X903">
        <v>0</v>
      </c>
    </row>
    <row r="904" spans="1:24" x14ac:dyDescent="0.25">
      <c r="A904">
        <v>1</v>
      </c>
      <c r="B904" s="13">
        <v>590920300705</v>
      </c>
      <c r="C904">
        <v>70</v>
      </c>
      <c r="D904" s="13">
        <v>1022213</v>
      </c>
      <c r="F904" t="s">
        <v>130</v>
      </c>
      <c r="G904">
        <v>0</v>
      </c>
      <c r="H904">
        <v>100</v>
      </c>
      <c r="K904">
        <v>5.5919999999999996</v>
      </c>
      <c r="L904" t="s">
        <v>131</v>
      </c>
      <c r="M904" s="50">
        <v>44875</v>
      </c>
      <c r="N904" s="50">
        <v>2958465</v>
      </c>
      <c r="P904">
        <v>0</v>
      </c>
      <c r="U904">
        <v>4</v>
      </c>
      <c r="V904">
        <v>1</v>
      </c>
      <c r="W904" t="s">
        <v>132</v>
      </c>
      <c r="X904">
        <v>0</v>
      </c>
    </row>
    <row r="905" spans="1:24" x14ac:dyDescent="0.25">
      <c r="A905">
        <v>1</v>
      </c>
      <c r="B905" s="13">
        <v>590920300705</v>
      </c>
      <c r="C905">
        <v>80</v>
      </c>
      <c r="D905" s="13">
        <v>18102165605</v>
      </c>
      <c r="F905" t="s">
        <v>130</v>
      </c>
      <c r="G905">
        <v>0</v>
      </c>
      <c r="H905">
        <v>100</v>
      </c>
      <c r="K905">
        <v>1</v>
      </c>
      <c r="L905" t="s">
        <v>131</v>
      </c>
      <c r="M905" s="50">
        <v>44875</v>
      </c>
      <c r="N905" s="50">
        <v>2958465</v>
      </c>
      <c r="P905">
        <v>0</v>
      </c>
      <c r="U905">
        <v>4</v>
      </c>
      <c r="V905">
        <v>1</v>
      </c>
      <c r="W905" t="s">
        <v>132</v>
      </c>
      <c r="X905">
        <v>0</v>
      </c>
    </row>
    <row r="906" spans="1:24" x14ac:dyDescent="0.25">
      <c r="A906">
        <v>1</v>
      </c>
      <c r="B906" s="13">
        <v>590920300805</v>
      </c>
      <c r="C906">
        <v>10</v>
      </c>
      <c r="D906" s="13">
        <v>5957163008</v>
      </c>
      <c r="F906" t="s">
        <v>130</v>
      </c>
      <c r="G906">
        <v>0</v>
      </c>
      <c r="H906">
        <v>100</v>
      </c>
      <c r="K906">
        <v>2</v>
      </c>
      <c r="L906" t="s">
        <v>131</v>
      </c>
      <c r="M906" s="50">
        <v>44875</v>
      </c>
      <c r="N906" s="50">
        <v>2958465</v>
      </c>
      <c r="P906">
        <v>0</v>
      </c>
      <c r="U906">
        <v>4</v>
      </c>
      <c r="V906">
        <v>1</v>
      </c>
      <c r="W906" t="s">
        <v>132</v>
      </c>
      <c r="X906">
        <v>0</v>
      </c>
    </row>
    <row r="907" spans="1:24" x14ac:dyDescent="0.25">
      <c r="A907">
        <v>1</v>
      </c>
      <c r="B907" s="13">
        <v>590920300805</v>
      </c>
      <c r="C907">
        <v>20</v>
      </c>
      <c r="D907" s="13">
        <v>5957333008</v>
      </c>
      <c r="F907" t="s">
        <v>130</v>
      </c>
      <c r="G907">
        <v>0</v>
      </c>
      <c r="H907">
        <v>100</v>
      </c>
      <c r="K907">
        <v>1</v>
      </c>
      <c r="L907" t="s">
        <v>131</v>
      </c>
      <c r="M907" s="50">
        <v>44875</v>
      </c>
      <c r="N907" s="50">
        <v>2958465</v>
      </c>
      <c r="P907">
        <v>0</v>
      </c>
      <c r="U907">
        <v>4</v>
      </c>
      <c r="V907">
        <v>1</v>
      </c>
      <c r="W907" t="s">
        <v>132</v>
      </c>
      <c r="X907">
        <v>0</v>
      </c>
    </row>
    <row r="908" spans="1:24" x14ac:dyDescent="0.25">
      <c r="A908">
        <v>1</v>
      </c>
      <c r="B908" s="13">
        <v>590920300805</v>
      </c>
      <c r="C908">
        <v>30</v>
      </c>
      <c r="D908" s="13">
        <v>5957303008</v>
      </c>
      <c r="F908" t="s">
        <v>130</v>
      </c>
      <c r="G908">
        <v>0</v>
      </c>
      <c r="H908">
        <v>100</v>
      </c>
      <c r="K908">
        <v>1</v>
      </c>
      <c r="L908" t="s">
        <v>131</v>
      </c>
      <c r="M908" s="50">
        <v>44875</v>
      </c>
      <c r="N908" s="50">
        <v>2958465</v>
      </c>
      <c r="P908">
        <v>0</v>
      </c>
      <c r="U908">
        <v>4</v>
      </c>
      <c r="V908">
        <v>1</v>
      </c>
      <c r="W908" t="s">
        <v>132</v>
      </c>
      <c r="X908">
        <v>0</v>
      </c>
    </row>
    <row r="909" spans="1:24" x14ac:dyDescent="0.25">
      <c r="A909">
        <v>1</v>
      </c>
      <c r="B909" s="13">
        <v>590920300805</v>
      </c>
      <c r="C909">
        <v>40</v>
      </c>
      <c r="D909" s="13">
        <v>5957093008</v>
      </c>
      <c r="F909" t="s">
        <v>130</v>
      </c>
      <c r="G909">
        <v>0</v>
      </c>
      <c r="H909">
        <v>100</v>
      </c>
      <c r="K909">
        <v>1</v>
      </c>
      <c r="L909" t="s">
        <v>131</v>
      </c>
      <c r="M909" s="50">
        <v>44875</v>
      </c>
      <c r="N909" s="50">
        <v>2958465</v>
      </c>
      <c r="P909">
        <v>0</v>
      </c>
      <c r="U909">
        <v>4</v>
      </c>
      <c r="V909">
        <v>1</v>
      </c>
      <c r="W909" t="s">
        <v>132</v>
      </c>
      <c r="X909">
        <v>0</v>
      </c>
    </row>
    <row r="910" spans="1:24" x14ac:dyDescent="0.25">
      <c r="A910">
        <v>1</v>
      </c>
      <c r="B910" s="13">
        <v>590920300805</v>
      </c>
      <c r="C910">
        <v>50</v>
      </c>
      <c r="D910" s="13">
        <v>1018034</v>
      </c>
      <c r="F910" t="s">
        <v>130</v>
      </c>
      <c r="G910">
        <v>0</v>
      </c>
      <c r="H910">
        <v>100</v>
      </c>
      <c r="K910">
        <v>4</v>
      </c>
      <c r="L910" t="s">
        <v>131</v>
      </c>
      <c r="M910" s="50">
        <v>44875</v>
      </c>
      <c r="N910" s="50">
        <v>2958465</v>
      </c>
      <c r="P910">
        <v>0</v>
      </c>
      <c r="U910">
        <v>4</v>
      </c>
      <c r="V910">
        <v>1</v>
      </c>
      <c r="W910" t="s">
        <v>132</v>
      </c>
      <c r="X910">
        <v>0</v>
      </c>
    </row>
    <row r="911" spans="1:24" x14ac:dyDescent="0.25">
      <c r="A911">
        <v>1</v>
      </c>
      <c r="B911" s="13">
        <v>590920300805</v>
      </c>
      <c r="C911">
        <v>60</v>
      </c>
      <c r="D911" s="13">
        <v>1022356</v>
      </c>
      <c r="F911" t="s">
        <v>130</v>
      </c>
      <c r="G911">
        <v>0</v>
      </c>
      <c r="H911">
        <v>100</v>
      </c>
      <c r="K911">
        <v>10</v>
      </c>
      <c r="L911" t="s">
        <v>131</v>
      </c>
      <c r="M911" s="50">
        <v>44875</v>
      </c>
      <c r="N911" s="50">
        <v>2958465</v>
      </c>
      <c r="P911">
        <v>0</v>
      </c>
      <c r="U911">
        <v>4</v>
      </c>
      <c r="V911">
        <v>1</v>
      </c>
      <c r="W911" t="s">
        <v>132</v>
      </c>
      <c r="X911">
        <v>0</v>
      </c>
    </row>
    <row r="912" spans="1:24" x14ac:dyDescent="0.25">
      <c r="A912">
        <v>1</v>
      </c>
      <c r="B912" s="13">
        <v>590920300805</v>
      </c>
      <c r="C912">
        <v>70</v>
      </c>
      <c r="D912" s="13">
        <v>1022213</v>
      </c>
      <c r="F912" t="s">
        <v>130</v>
      </c>
      <c r="G912">
        <v>0</v>
      </c>
      <c r="H912">
        <v>100</v>
      </c>
      <c r="K912">
        <v>5.5919999999999996</v>
      </c>
      <c r="L912" t="s">
        <v>131</v>
      </c>
      <c r="M912" s="50">
        <v>44875</v>
      </c>
      <c r="N912" s="50">
        <v>2958465</v>
      </c>
      <c r="P912">
        <v>0</v>
      </c>
      <c r="U912">
        <v>4</v>
      </c>
      <c r="V912">
        <v>1</v>
      </c>
      <c r="W912" t="s">
        <v>132</v>
      </c>
      <c r="X912">
        <v>0</v>
      </c>
    </row>
    <row r="913" spans="1:24" x14ac:dyDescent="0.25">
      <c r="A913">
        <v>1</v>
      </c>
      <c r="B913" s="13">
        <v>590920300805</v>
      </c>
      <c r="C913">
        <v>80</v>
      </c>
      <c r="D913" s="13">
        <v>18102165605</v>
      </c>
      <c r="F913" t="s">
        <v>130</v>
      </c>
      <c r="G913">
        <v>0</v>
      </c>
      <c r="H913">
        <v>100</v>
      </c>
      <c r="K913">
        <v>1</v>
      </c>
      <c r="L913" t="s">
        <v>131</v>
      </c>
      <c r="M913" s="50">
        <v>44875</v>
      </c>
      <c r="N913" s="50">
        <v>2958465</v>
      </c>
      <c r="P913">
        <v>0</v>
      </c>
      <c r="U913">
        <v>4</v>
      </c>
      <c r="V913">
        <v>1</v>
      </c>
      <c r="W913" t="s">
        <v>132</v>
      </c>
      <c r="X913">
        <v>0</v>
      </c>
    </row>
    <row r="914" spans="1:24" x14ac:dyDescent="0.25">
      <c r="A914">
        <v>1</v>
      </c>
      <c r="B914" s="13">
        <v>590920300905</v>
      </c>
      <c r="C914">
        <v>10</v>
      </c>
      <c r="D914" s="13">
        <v>5957163009</v>
      </c>
      <c r="F914" t="s">
        <v>130</v>
      </c>
      <c r="G914">
        <v>0</v>
      </c>
      <c r="H914">
        <v>100</v>
      </c>
      <c r="K914">
        <v>2</v>
      </c>
      <c r="L914" t="s">
        <v>131</v>
      </c>
      <c r="M914" s="50">
        <v>44875</v>
      </c>
      <c r="N914" s="50">
        <v>2958465</v>
      </c>
      <c r="P914">
        <v>0</v>
      </c>
      <c r="U914">
        <v>4</v>
      </c>
      <c r="V914">
        <v>1</v>
      </c>
      <c r="W914" t="s">
        <v>132</v>
      </c>
      <c r="X914">
        <v>0</v>
      </c>
    </row>
    <row r="915" spans="1:24" x14ac:dyDescent="0.25">
      <c r="A915">
        <v>1</v>
      </c>
      <c r="B915" s="13">
        <v>590920300905</v>
      </c>
      <c r="C915">
        <v>20</v>
      </c>
      <c r="D915" s="13">
        <v>5957333009</v>
      </c>
      <c r="F915" t="s">
        <v>130</v>
      </c>
      <c r="G915">
        <v>0</v>
      </c>
      <c r="H915">
        <v>100</v>
      </c>
      <c r="K915">
        <v>1</v>
      </c>
      <c r="L915" t="s">
        <v>131</v>
      </c>
      <c r="M915" s="50">
        <v>44875</v>
      </c>
      <c r="N915" s="50">
        <v>2958465</v>
      </c>
      <c r="P915">
        <v>0</v>
      </c>
      <c r="U915">
        <v>4</v>
      </c>
      <c r="V915">
        <v>1</v>
      </c>
      <c r="W915" t="s">
        <v>132</v>
      </c>
      <c r="X915">
        <v>0</v>
      </c>
    </row>
    <row r="916" spans="1:24" x14ac:dyDescent="0.25">
      <c r="A916">
        <v>1</v>
      </c>
      <c r="B916" s="13">
        <v>590920300905</v>
      </c>
      <c r="C916">
        <v>30</v>
      </c>
      <c r="D916" s="13">
        <v>5957303009</v>
      </c>
      <c r="F916" t="s">
        <v>130</v>
      </c>
      <c r="G916">
        <v>0</v>
      </c>
      <c r="H916">
        <v>100</v>
      </c>
      <c r="K916">
        <v>1</v>
      </c>
      <c r="L916" t="s">
        <v>131</v>
      </c>
      <c r="M916" s="50">
        <v>44875</v>
      </c>
      <c r="N916" s="50">
        <v>2958465</v>
      </c>
      <c r="P916">
        <v>0</v>
      </c>
      <c r="U916">
        <v>4</v>
      </c>
      <c r="V916">
        <v>1</v>
      </c>
      <c r="W916" t="s">
        <v>132</v>
      </c>
      <c r="X916">
        <v>0</v>
      </c>
    </row>
    <row r="917" spans="1:24" x14ac:dyDescent="0.25">
      <c r="A917">
        <v>1</v>
      </c>
      <c r="B917" s="13">
        <v>590920300905</v>
      </c>
      <c r="C917">
        <v>40</v>
      </c>
      <c r="D917" s="13">
        <v>5957093009</v>
      </c>
      <c r="F917" t="s">
        <v>130</v>
      </c>
      <c r="G917">
        <v>0</v>
      </c>
      <c r="H917">
        <v>100</v>
      </c>
      <c r="K917">
        <v>1</v>
      </c>
      <c r="L917" t="s">
        <v>131</v>
      </c>
      <c r="M917" s="50">
        <v>44875</v>
      </c>
      <c r="N917" s="50">
        <v>2958465</v>
      </c>
      <c r="P917">
        <v>0</v>
      </c>
      <c r="U917">
        <v>4</v>
      </c>
      <c r="V917">
        <v>1</v>
      </c>
      <c r="W917" t="s">
        <v>132</v>
      </c>
      <c r="X917">
        <v>0</v>
      </c>
    </row>
    <row r="918" spans="1:24" x14ac:dyDescent="0.25">
      <c r="A918">
        <v>1</v>
      </c>
      <c r="B918" s="13">
        <v>590920300905</v>
      </c>
      <c r="C918">
        <v>50</v>
      </c>
      <c r="D918" s="13">
        <v>1018034</v>
      </c>
      <c r="F918" t="s">
        <v>130</v>
      </c>
      <c r="G918">
        <v>0</v>
      </c>
      <c r="H918">
        <v>100</v>
      </c>
      <c r="K918">
        <v>4</v>
      </c>
      <c r="L918" t="s">
        <v>131</v>
      </c>
      <c r="M918" s="50">
        <v>44875</v>
      </c>
      <c r="N918" s="50">
        <v>2958465</v>
      </c>
      <c r="P918">
        <v>0</v>
      </c>
      <c r="U918">
        <v>4</v>
      </c>
      <c r="V918">
        <v>1</v>
      </c>
      <c r="W918" t="s">
        <v>132</v>
      </c>
      <c r="X918">
        <v>0</v>
      </c>
    </row>
    <row r="919" spans="1:24" x14ac:dyDescent="0.25">
      <c r="A919">
        <v>1</v>
      </c>
      <c r="B919" s="13">
        <v>590920300905</v>
      </c>
      <c r="C919">
        <v>60</v>
      </c>
      <c r="D919" s="13">
        <v>1018359</v>
      </c>
      <c r="F919" t="s">
        <v>130</v>
      </c>
      <c r="G919">
        <v>0</v>
      </c>
      <c r="H919">
        <v>100</v>
      </c>
      <c r="K919">
        <v>10</v>
      </c>
      <c r="L919" t="s">
        <v>131</v>
      </c>
      <c r="M919" s="50">
        <v>44875</v>
      </c>
      <c r="N919" s="50">
        <v>2958465</v>
      </c>
      <c r="P919">
        <v>0</v>
      </c>
      <c r="U919">
        <v>4</v>
      </c>
      <c r="V919">
        <v>1</v>
      </c>
      <c r="W919" t="s">
        <v>132</v>
      </c>
      <c r="X919">
        <v>0</v>
      </c>
    </row>
    <row r="920" spans="1:24" x14ac:dyDescent="0.25">
      <c r="A920">
        <v>1</v>
      </c>
      <c r="B920" s="13">
        <v>590920300905</v>
      </c>
      <c r="C920">
        <v>70</v>
      </c>
      <c r="D920" s="13">
        <v>1022213</v>
      </c>
      <c r="F920" t="s">
        <v>130</v>
      </c>
      <c r="G920">
        <v>0</v>
      </c>
      <c r="H920">
        <v>100</v>
      </c>
      <c r="K920">
        <v>5.5919999999999996</v>
      </c>
      <c r="L920" t="s">
        <v>131</v>
      </c>
      <c r="M920" s="50">
        <v>44875</v>
      </c>
      <c r="N920" s="50">
        <v>2958465</v>
      </c>
      <c r="P920">
        <v>0</v>
      </c>
      <c r="U920">
        <v>4</v>
      </c>
      <c r="V920">
        <v>1</v>
      </c>
      <c r="W920" t="s">
        <v>132</v>
      </c>
      <c r="X920">
        <v>0</v>
      </c>
    </row>
    <row r="921" spans="1:24" x14ac:dyDescent="0.25">
      <c r="A921">
        <v>1</v>
      </c>
      <c r="B921" s="13">
        <v>590920300905</v>
      </c>
      <c r="C921">
        <v>80</v>
      </c>
      <c r="D921" s="13">
        <v>18102165605</v>
      </c>
      <c r="F921" t="s">
        <v>130</v>
      </c>
      <c r="G921">
        <v>0</v>
      </c>
      <c r="H921">
        <v>100</v>
      </c>
      <c r="K921">
        <v>1</v>
      </c>
      <c r="L921" t="s">
        <v>131</v>
      </c>
      <c r="M921" s="50">
        <v>44875</v>
      </c>
      <c r="N921" s="50">
        <v>2958465</v>
      </c>
      <c r="P921">
        <v>0</v>
      </c>
      <c r="U921">
        <v>4</v>
      </c>
      <c r="V921">
        <v>1</v>
      </c>
      <c r="W921" t="s">
        <v>132</v>
      </c>
      <c r="X921">
        <v>0</v>
      </c>
    </row>
    <row r="922" spans="1:24" x14ac:dyDescent="0.25">
      <c r="A922">
        <v>1</v>
      </c>
      <c r="B922" s="13">
        <v>590920301005</v>
      </c>
      <c r="C922">
        <v>10</v>
      </c>
      <c r="D922" s="13">
        <v>5957163010</v>
      </c>
      <c r="F922" t="s">
        <v>130</v>
      </c>
      <c r="G922">
        <v>0</v>
      </c>
      <c r="H922">
        <v>100</v>
      </c>
      <c r="K922">
        <v>2</v>
      </c>
      <c r="L922" t="s">
        <v>131</v>
      </c>
      <c r="M922" s="50">
        <v>44875</v>
      </c>
      <c r="N922" s="50">
        <v>2958465</v>
      </c>
      <c r="P922">
        <v>0</v>
      </c>
      <c r="U922">
        <v>4</v>
      </c>
      <c r="V922">
        <v>1</v>
      </c>
      <c r="W922" t="s">
        <v>132</v>
      </c>
      <c r="X922">
        <v>0</v>
      </c>
    </row>
    <row r="923" spans="1:24" x14ac:dyDescent="0.25">
      <c r="A923">
        <v>1</v>
      </c>
      <c r="B923" s="13">
        <v>590920301005</v>
      </c>
      <c r="C923">
        <v>20</v>
      </c>
      <c r="D923" s="13">
        <v>5957333010</v>
      </c>
      <c r="F923" t="s">
        <v>130</v>
      </c>
      <c r="G923">
        <v>0</v>
      </c>
      <c r="H923">
        <v>100</v>
      </c>
      <c r="K923">
        <v>1</v>
      </c>
      <c r="L923" t="s">
        <v>131</v>
      </c>
      <c r="M923" s="50">
        <v>44875</v>
      </c>
      <c r="N923" s="50">
        <v>2958465</v>
      </c>
      <c r="P923">
        <v>0</v>
      </c>
      <c r="U923">
        <v>4</v>
      </c>
      <c r="V923">
        <v>1</v>
      </c>
      <c r="W923" t="s">
        <v>132</v>
      </c>
      <c r="X923">
        <v>0</v>
      </c>
    </row>
    <row r="924" spans="1:24" x14ac:dyDescent="0.25">
      <c r="A924">
        <v>1</v>
      </c>
      <c r="B924" s="13">
        <v>590920301005</v>
      </c>
      <c r="C924">
        <v>30</v>
      </c>
      <c r="D924" s="13">
        <v>5957303010</v>
      </c>
      <c r="F924" t="s">
        <v>130</v>
      </c>
      <c r="G924">
        <v>0</v>
      </c>
      <c r="H924">
        <v>100</v>
      </c>
      <c r="K924">
        <v>1</v>
      </c>
      <c r="L924" t="s">
        <v>131</v>
      </c>
      <c r="M924" s="50">
        <v>44875</v>
      </c>
      <c r="N924" s="50">
        <v>2958465</v>
      </c>
      <c r="P924">
        <v>0</v>
      </c>
      <c r="U924">
        <v>4</v>
      </c>
      <c r="V924">
        <v>1</v>
      </c>
      <c r="W924" t="s">
        <v>132</v>
      </c>
      <c r="X924">
        <v>0</v>
      </c>
    </row>
    <row r="925" spans="1:24" x14ac:dyDescent="0.25">
      <c r="A925">
        <v>1</v>
      </c>
      <c r="B925" s="13">
        <v>590920301005</v>
      </c>
      <c r="C925">
        <v>40</v>
      </c>
      <c r="D925" s="13">
        <v>5957093010</v>
      </c>
      <c r="F925" t="s">
        <v>130</v>
      </c>
      <c r="G925">
        <v>0</v>
      </c>
      <c r="H925">
        <v>100</v>
      </c>
      <c r="K925">
        <v>1</v>
      </c>
      <c r="L925" t="s">
        <v>131</v>
      </c>
      <c r="M925" s="50">
        <v>44875</v>
      </c>
      <c r="N925" s="50">
        <v>2958465</v>
      </c>
      <c r="P925">
        <v>0</v>
      </c>
      <c r="U925">
        <v>4</v>
      </c>
      <c r="V925">
        <v>1</v>
      </c>
      <c r="W925" t="s">
        <v>132</v>
      </c>
      <c r="X925">
        <v>0</v>
      </c>
    </row>
    <row r="926" spans="1:24" x14ac:dyDescent="0.25">
      <c r="A926">
        <v>1</v>
      </c>
      <c r="B926" s="13">
        <v>590920301005</v>
      </c>
      <c r="C926">
        <v>50</v>
      </c>
      <c r="D926" s="13">
        <v>1018034</v>
      </c>
      <c r="F926" t="s">
        <v>130</v>
      </c>
      <c r="G926">
        <v>0</v>
      </c>
      <c r="H926">
        <v>100</v>
      </c>
      <c r="K926">
        <v>4</v>
      </c>
      <c r="L926" t="s">
        <v>131</v>
      </c>
      <c r="M926" s="50">
        <v>44875</v>
      </c>
      <c r="N926" s="50">
        <v>2958465</v>
      </c>
      <c r="P926">
        <v>0</v>
      </c>
      <c r="U926">
        <v>4</v>
      </c>
      <c r="V926">
        <v>1</v>
      </c>
      <c r="W926" t="s">
        <v>132</v>
      </c>
      <c r="X926">
        <v>0</v>
      </c>
    </row>
    <row r="927" spans="1:24" x14ac:dyDescent="0.25">
      <c r="A927">
        <v>1</v>
      </c>
      <c r="B927" s="13">
        <v>590920301005</v>
      </c>
      <c r="C927">
        <v>60</v>
      </c>
      <c r="D927" s="13">
        <v>1018359</v>
      </c>
      <c r="F927" t="s">
        <v>130</v>
      </c>
      <c r="G927">
        <v>0</v>
      </c>
      <c r="H927">
        <v>100</v>
      </c>
      <c r="K927">
        <v>10</v>
      </c>
      <c r="L927" t="s">
        <v>131</v>
      </c>
      <c r="M927" s="50">
        <v>44875</v>
      </c>
      <c r="N927" s="50">
        <v>2958465</v>
      </c>
      <c r="P927">
        <v>0</v>
      </c>
      <c r="U927">
        <v>4</v>
      </c>
      <c r="V927">
        <v>1</v>
      </c>
      <c r="W927" t="s">
        <v>132</v>
      </c>
      <c r="X927">
        <v>0</v>
      </c>
    </row>
    <row r="928" spans="1:24" x14ac:dyDescent="0.25">
      <c r="A928">
        <v>1</v>
      </c>
      <c r="B928" s="13">
        <v>590920301005</v>
      </c>
      <c r="C928">
        <v>70</v>
      </c>
      <c r="D928" s="13">
        <v>1022213</v>
      </c>
      <c r="F928" t="s">
        <v>130</v>
      </c>
      <c r="G928">
        <v>0</v>
      </c>
      <c r="H928">
        <v>100</v>
      </c>
      <c r="K928">
        <v>5.5919999999999996</v>
      </c>
      <c r="L928" t="s">
        <v>131</v>
      </c>
      <c r="M928" s="50">
        <v>44875</v>
      </c>
      <c r="N928" s="50">
        <v>2958465</v>
      </c>
      <c r="P928">
        <v>0</v>
      </c>
      <c r="U928">
        <v>4</v>
      </c>
      <c r="V928">
        <v>1</v>
      </c>
      <c r="W928" t="s">
        <v>132</v>
      </c>
      <c r="X928">
        <v>0</v>
      </c>
    </row>
    <row r="929" spans="1:24" x14ac:dyDescent="0.25">
      <c r="A929">
        <v>1</v>
      </c>
      <c r="B929" s="13">
        <v>590920301005</v>
      </c>
      <c r="C929">
        <v>80</v>
      </c>
      <c r="D929" s="13">
        <v>18102165605</v>
      </c>
      <c r="F929" t="s">
        <v>130</v>
      </c>
      <c r="G929">
        <v>0</v>
      </c>
      <c r="H929">
        <v>100</v>
      </c>
      <c r="K929">
        <v>1</v>
      </c>
      <c r="L929" t="s">
        <v>131</v>
      </c>
      <c r="M929" s="50">
        <v>44875</v>
      </c>
      <c r="N929" s="50">
        <v>2958465</v>
      </c>
      <c r="P929">
        <v>0</v>
      </c>
      <c r="U929">
        <v>4</v>
      </c>
      <c r="V929">
        <v>1</v>
      </c>
      <c r="W929" t="s">
        <v>132</v>
      </c>
      <c r="X929">
        <v>0</v>
      </c>
    </row>
    <row r="930" spans="1:24" x14ac:dyDescent="0.25">
      <c r="A930">
        <v>1</v>
      </c>
      <c r="B930" s="13">
        <v>590920300012</v>
      </c>
      <c r="C930">
        <v>10</v>
      </c>
      <c r="D930" s="13">
        <v>5957163099</v>
      </c>
      <c r="F930" t="s">
        <v>130</v>
      </c>
      <c r="G930">
        <v>0</v>
      </c>
      <c r="H930">
        <v>100</v>
      </c>
      <c r="K930">
        <v>2</v>
      </c>
      <c r="L930" t="s">
        <v>131</v>
      </c>
      <c r="M930" s="50">
        <v>44875</v>
      </c>
      <c r="N930" s="50">
        <v>2958465</v>
      </c>
      <c r="P930">
        <v>0</v>
      </c>
      <c r="U930">
        <v>4</v>
      </c>
      <c r="V930">
        <v>1</v>
      </c>
      <c r="W930" t="s">
        <v>132</v>
      </c>
      <c r="X930">
        <v>0</v>
      </c>
    </row>
    <row r="931" spans="1:24" x14ac:dyDescent="0.25">
      <c r="A931">
        <v>1</v>
      </c>
      <c r="B931" s="13">
        <v>590920300012</v>
      </c>
      <c r="C931">
        <v>20</v>
      </c>
      <c r="D931" s="13">
        <v>5957333099</v>
      </c>
      <c r="F931" t="s">
        <v>130</v>
      </c>
      <c r="G931">
        <v>0</v>
      </c>
      <c r="H931">
        <v>100</v>
      </c>
      <c r="K931">
        <v>1</v>
      </c>
      <c r="L931" t="s">
        <v>131</v>
      </c>
      <c r="M931" s="50">
        <v>44875</v>
      </c>
      <c r="N931" s="50">
        <v>2958465</v>
      </c>
      <c r="P931">
        <v>0</v>
      </c>
      <c r="U931">
        <v>4</v>
      </c>
      <c r="V931">
        <v>1</v>
      </c>
      <c r="W931" t="s">
        <v>132</v>
      </c>
      <c r="X931">
        <v>0</v>
      </c>
    </row>
    <row r="932" spans="1:24" x14ac:dyDescent="0.25">
      <c r="A932">
        <v>1</v>
      </c>
      <c r="B932" s="13">
        <v>590920300012</v>
      </c>
      <c r="C932">
        <v>30</v>
      </c>
      <c r="D932" s="13">
        <v>5957303099</v>
      </c>
      <c r="F932" t="s">
        <v>130</v>
      </c>
      <c r="G932">
        <v>0</v>
      </c>
      <c r="H932">
        <v>100</v>
      </c>
      <c r="K932">
        <v>1</v>
      </c>
      <c r="L932" t="s">
        <v>131</v>
      </c>
      <c r="M932" s="50">
        <v>44875</v>
      </c>
      <c r="N932" s="50">
        <v>2958465</v>
      </c>
      <c r="P932">
        <v>0</v>
      </c>
      <c r="U932">
        <v>4</v>
      </c>
      <c r="V932">
        <v>1</v>
      </c>
      <c r="W932" t="s">
        <v>132</v>
      </c>
      <c r="X932">
        <v>0</v>
      </c>
    </row>
    <row r="933" spans="1:24" x14ac:dyDescent="0.25">
      <c r="A933">
        <v>1</v>
      </c>
      <c r="B933" s="13">
        <v>590920300012</v>
      </c>
      <c r="C933">
        <v>40</v>
      </c>
      <c r="D933" s="13">
        <v>1022219</v>
      </c>
      <c r="F933" t="s">
        <v>130</v>
      </c>
      <c r="G933">
        <v>0</v>
      </c>
      <c r="H933">
        <v>100</v>
      </c>
      <c r="K933">
        <v>1</v>
      </c>
      <c r="L933" t="s">
        <v>131</v>
      </c>
      <c r="M933" s="50">
        <v>44875</v>
      </c>
      <c r="N933" s="50">
        <v>2958465</v>
      </c>
      <c r="P933">
        <v>0</v>
      </c>
      <c r="U933">
        <v>4</v>
      </c>
      <c r="V933">
        <v>1</v>
      </c>
      <c r="W933" t="s">
        <v>132</v>
      </c>
      <c r="X933">
        <v>0</v>
      </c>
    </row>
    <row r="934" spans="1:24" x14ac:dyDescent="0.25">
      <c r="A934">
        <v>1</v>
      </c>
      <c r="B934" s="13">
        <v>590920300012</v>
      </c>
      <c r="C934">
        <v>50</v>
      </c>
      <c r="D934" s="13">
        <v>1018034</v>
      </c>
      <c r="F934" t="s">
        <v>130</v>
      </c>
      <c r="G934">
        <v>0</v>
      </c>
      <c r="H934">
        <v>100</v>
      </c>
      <c r="K934">
        <v>4</v>
      </c>
      <c r="L934" t="s">
        <v>131</v>
      </c>
      <c r="M934" s="50">
        <v>44875</v>
      </c>
      <c r="N934" s="50">
        <v>2958465</v>
      </c>
      <c r="P934">
        <v>0</v>
      </c>
      <c r="U934">
        <v>4</v>
      </c>
      <c r="V934">
        <v>1</v>
      </c>
      <c r="W934" t="s">
        <v>132</v>
      </c>
      <c r="X934">
        <v>0</v>
      </c>
    </row>
    <row r="935" spans="1:24" x14ac:dyDescent="0.25">
      <c r="A935">
        <v>1</v>
      </c>
      <c r="B935" s="13">
        <v>590920300012</v>
      </c>
      <c r="C935">
        <v>60</v>
      </c>
      <c r="D935" s="13">
        <v>1018359</v>
      </c>
      <c r="F935" t="s">
        <v>130</v>
      </c>
      <c r="G935">
        <v>0</v>
      </c>
      <c r="H935">
        <v>100</v>
      </c>
      <c r="K935">
        <v>10</v>
      </c>
      <c r="L935" t="s">
        <v>131</v>
      </c>
      <c r="M935" s="50">
        <v>44875</v>
      </c>
      <c r="N935" s="50">
        <v>2958465</v>
      </c>
      <c r="P935">
        <v>0</v>
      </c>
      <c r="U935">
        <v>4</v>
      </c>
      <c r="V935">
        <v>1</v>
      </c>
      <c r="W935" t="s">
        <v>132</v>
      </c>
      <c r="X935">
        <v>0</v>
      </c>
    </row>
    <row r="936" spans="1:24" x14ac:dyDescent="0.25">
      <c r="A936">
        <v>1</v>
      </c>
      <c r="B936" s="13">
        <v>590920300012</v>
      </c>
      <c r="C936">
        <v>70</v>
      </c>
      <c r="D936" s="13">
        <v>1022213</v>
      </c>
      <c r="F936" t="s">
        <v>130</v>
      </c>
      <c r="G936">
        <v>0</v>
      </c>
      <c r="H936">
        <v>100</v>
      </c>
      <c r="K936">
        <v>5.5919999999999996</v>
      </c>
      <c r="L936" t="s">
        <v>131</v>
      </c>
      <c r="M936" s="50">
        <v>44875</v>
      </c>
      <c r="N936" s="50">
        <v>2958465</v>
      </c>
      <c r="P936">
        <v>0</v>
      </c>
      <c r="U936">
        <v>4</v>
      </c>
      <c r="V936">
        <v>1</v>
      </c>
      <c r="W936" t="s">
        <v>132</v>
      </c>
      <c r="X936">
        <v>0</v>
      </c>
    </row>
    <row r="937" spans="1:24" x14ac:dyDescent="0.25">
      <c r="A937">
        <v>1</v>
      </c>
      <c r="B937" s="13">
        <v>590920300012</v>
      </c>
      <c r="C937">
        <v>80</v>
      </c>
      <c r="D937" s="13">
        <v>12165612</v>
      </c>
      <c r="F937" t="s">
        <v>130</v>
      </c>
      <c r="G937">
        <v>0</v>
      </c>
      <c r="H937">
        <v>100</v>
      </c>
      <c r="K937">
        <v>1</v>
      </c>
      <c r="L937" t="s">
        <v>131</v>
      </c>
      <c r="M937" s="50">
        <v>44875</v>
      </c>
      <c r="N937" s="50">
        <v>2958465</v>
      </c>
      <c r="P937">
        <v>0</v>
      </c>
      <c r="U937">
        <v>4</v>
      </c>
      <c r="V937">
        <v>1</v>
      </c>
      <c r="W937" t="s">
        <v>132</v>
      </c>
      <c r="X937">
        <v>0</v>
      </c>
    </row>
    <row r="938" spans="1:24" x14ac:dyDescent="0.25">
      <c r="A938">
        <v>1</v>
      </c>
      <c r="B938" s="13">
        <v>590920300112</v>
      </c>
      <c r="C938">
        <v>10</v>
      </c>
      <c r="D938" s="13">
        <v>5957163001</v>
      </c>
      <c r="F938" t="s">
        <v>130</v>
      </c>
      <c r="G938">
        <v>0</v>
      </c>
      <c r="H938">
        <v>100</v>
      </c>
      <c r="K938">
        <v>2</v>
      </c>
      <c r="L938" t="s">
        <v>131</v>
      </c>
      <c r="M938" s="50">
        <v>44875</v>
      </c>
      <c r="N938" s="50">
        <v>2958465</v>
      </c>
      <c r="P938">
        <v>0</v>
      </c>
      <c r="U938">
        <v>4</v>
      </c>
      <c r="V938">
        <v>1</v>
      </c>
      <c r="W938" t="s">
        <v>132</v>
      </c>
      <c r="X938">
        <v>0</v>
      </c>
    </row>
    <row r="939" spans="1:24" x14ac:dyDescent="0.25">
      <c r="A939">
        <v>1</v>
      </c>
      <c r="B939" s="13">
        <v>590920300112</v>
      </c>
      <c r="C939">
        <v>20</v>
      </c>
      <c r="D939" s="13">
        <v>5957333001</v>
      </c>
      <c r="F939" t="s">
        <v>130</v>
      </c>
      <c r="G939">
        <v>0</v>
      </c>
      <c r="H939">
        <v>100</v>
      </c>
      <c r="K939">
        <v>1</v>
      </c>
      <c r="L939" t="s">
        <v>131</v>
      </c>
      <c r="M939" s="50">
        <v>44875</v>
      </c>
      <c r="N939" s="50">
        <v>2958465</v>
      </c>
      <c r="P939">
        <v>0</v>
      </c>
      <c r="U939">
        <v>4</v>
      </c>
      <c r="V939">
        <v>1</v>
      </c>
      <c r="W939" t="s">
        <v>132</v>
      </c>
      <c r="X939">
        <v>0</v>
      </c>
    </row>
    <row r="940" spans="1:24" x14ac:dyDescent="0.25">
      <c r="A940">
        <v>1</v>
      </c>
      <c r="B940" s="13">
        <v>590920300112</v>
      </c>
      <c r="C940">
        <v>30</v>
      </c>
      <c r="D940" s="13">
        <v>5957303001</v>
      </c>
      <c r="F940" t="s">
        <v>130</v>
      </c>
      <c r="G940">
        <v>0</v>
      </c>
      <c r="H940">
        <v>100</v>
      </c>
      <c r="K940">
        <v>1</v>
      </c>
      <c r="L940" t="s">
        <v>131</v>
      </c>
      <c r="M940" s="50">
        <v>44875</v>
      </c>
      <c r="N940" s="50">
        <v>2958465</v>
      </c>
      <c r="P940">
        <v>0</v>
      </c>
      <c r="U940">
        <v>4</v>
      </c>
      <c r="V940">
        <v>1</v>
      </c>
      <c r="W940" t="s">
        <v>132</v>
      </c>
      <c r="X940">
        <v>0</v>
      </c>
    </row>
    <row r="941" spans="1:24" x14ac:dyDescent="0.25">
      <c r="A941">
        <v>1</v>
      </c>
      <c r="B941" s="13">
        <v>590920300112</v>
      </c>
      <c r="C941">
        <v>40</v>
      </c>
      <c r="D941" s="13">
        <v>5957093001</v>
      </c>
      <c r="F941" t="s">
        <v>130</v>
      </c>
      <c r="G941">
        <v>0</v>
      </c>
      <c r="H941">
        <v>100</v>
      </c>
      <c r="K941">
        <v>1</v>
      </c>
      <c r="L941" t="s">
        <v>131</v>
      </c>
      <c r="M941" s="50">
        <v>44875</v>
      </c>
      <c r="N941" s="50">
        <v>2958465</v>
      </c>
      <c r="P941">
        <v>0</v>
      </c>
      <c r="U941">
        <v>4</v>
      </c>
      <c r="V941">
        <v>1</v>
      </c>
      <c r="W941" t="s">
        <v>132</v>
      </c>
      <c r="X941">
        <v>0</v>
      </c>
    </row>
    <row r="942" spans="1:24" x14ac:dyDescent="0.25">
      <c r="A942">
        <v>1</v>
      </c>
      <c r="B942" s="13">
        <v>590920300112</v>
      </c>
      <c r="C942">
        <v>50</v>
      </c>
      <c r="D942" s="13">
        <v>1018034</v>
      </c>
      <c r="F942" t="s">
        <v>130</v>
      </c>
      <c r="G942">
        <v>0</v>
      </c>
      <c r="H942">
        <v>100</v>
      </c>
      <c r="K942">
        <v>4</v>
      </c>
      <c r="L942" t="s">
        <v>131</v>
      </c>
      <c r="M942" s="50">
        <v>44875</v>
      </c>
      <c r="N942" s="50">
        <v>2958465</v>
      </c>
      <c r="P942">
        <v>0</v>
      </c>
      <c r="U942">
        <v>4</v>
      </c>
      <c r="V942">
        <v>1</v>
      </c>
      <c r="W942" t="s">
        <v>132</v>
      </c>
      <c r="X942">
        <v>0</v>
      </c>
    </row>
    <row r="943" spans="1:24" x14ac:dyDescent="0.25">
      <c r="A943">
        <v>1</v>
      </c>
      <c r="B943" s="13">
        <v>590920300112</v>
      </c>
      <c r="C943">
        <v>60</v>
      </c>
      <c r="D943" s="13">
        <v>1018359</v>
      </c>
      <c r="F943" t="s">
        <v>130</v>
      </c>
      <c r="G943">
        <v>0</v>
      </c>
      <c r="H943">
        <v>100</v>
      </c>
      <c r="K943">
        <v>10</v>
      </c>
      <c r="L943" t="s">
        <v>131</v>
      </c>
      <c r="M943" s="50">
        <v>44875</v>
      </c>
      <c r="N943" s="50">
        <v>2958465</v>
      </c>
      <c r="P943">
        <v>0</v>
      </c>
      <c r="U943">
        <v>4</v>
      </c>
      <c r="V943">
        <v>1</v>
      </c>
      <c r="W943" t="s">
        <v>132</v>
      </c>
      <c r="X943">
        <v>0</v>
      </c>
    </row>
    <row r="944" spans="1:24" x14ac:dyDescent="0.25">
      <c r="A944">
        <v>1</v>
      </c>
      <c r="B944" s="13">
        <v>590920300112</v>
      </c>
      <c r="C944">
        <v>70</v>
      </c>
      <c r="D944" s="13">
        <v>1022213</v>
      </c>
      <c r="F944" t="s">
        <v>130</v>
      </c>
      <c r="G944">
        <v>0</v>
      </c>
      <c r="H944">
        <v>100</v>
      </c>
      <c r="K944">
        <v>5.5919999999999996</v>
      </c>
      <c r="L944" t="s">
        <v>131</v>
      </c>
      <c r="M944" s="50">
        <v>44875</v>
      </c>
      <c r="N944" s="50">
        <v>2958465</v>
      </c>
      <c r="P944">
        <v>0</v>
      </c>
      <c r="U944">
        <v>4</v>
      </c>
      <c r="V944">
        <v>1</v>
      </c>
      <c r="W944" t="s">
        <v>132</v>
      </c>
      <c r="X944">
        <v>0</v>
      </c>
    </row>
    <row r="945" spans="1:24" x14ac:dyDescent="0.25">
      <c r="A945">
        <v>1</v>
      </c>
      <c r="B945" s="13">
        <v>590920300112</v>
      </c>
      <c r="C945">
        <v>80</v>
      </c>
      <c r="D945" s="13">
        <v>12165612</v>
      </c>
      <c r="F945" t="s">
        <v>130</v>
      </c>
      <c r="G945">
        <v>0</v>
      </c>
      <c r="H945">
        <v>100</v>
      </c>
      <c r="K945">
        <v>1</v>
      </c>
      <c r="L945" t="s">
        <v>131</v>
      </c>
      <c r="M945" s="50">
        <v>44875</v>
      </c>
      <c r="N945" s="50">
        <v>2958465</v>
      </c>
      <c r="P945">
        <v>0</v>
      </c>
      <c r="U945">
        <v>4</v>
      </c>
      <c r="V945">
        <v>1</v>
      </c>
      <c r="W945" t="s">
        <v>132</v>
      </c>
      <c r="X945">
        <v>0</v>
      </c>
    </row>
    <row r="946" spans="1:24" x14ac:dyDescent="0.25">
      <c r="A946">
        <v>1</v>
      </c>
      <c r="B946" s="13">
        <v>590920300312</v>
      </c>
      <c r="C946">
        <v>10</v>
      </c>
      <c r="D946" s="13">
        <v>5957163003</v>
      </c>
      <c r="F946" t="s">
        <v>130</v>
      </c>
      <c r="G946">
        <v>0</v>
      </c>
      <c r="H946">
        <v>100</v>
      </c>
      <c r="K946">
        <v>2</v>
      </c>
      <c r="L946" t="s">
        <v>131</v>
      </c>
      <c r="M946" s="50">
        <v>44875</v>
      </c>
      <c r="N946" s="50">
        <v>2958465</v>
      </c>
      <c r="P946">
        <v>0</v>
      </c>
      <c r="U946">
        <v>4</v>
      </c>
      <c r="V946">
        <v>1</v>
      </c>
      <c r="W946" t="s">
        <v>132</v>
      </c>
      <c r="X946">
        <v>0</v>
      </c>
    </row>
    <row r="947" spans="1:24" x14ac:dyDescent="0.25">
      <c r="A947">
        <v>1</v>
      </c>
      <c r="B947" s="13">
        <v>590920300312</v>
      </c>
      <c r="C947">
        <v>20</v>
      </c>
      <c r="D947" s="13">
        <v>5957333003</v>
      </c>
      <c r="F947" t="s">
        <v>130</v>
      </c>
      <c r="G947">
        <v>0</v>
      </c>
      <c r="H947">
        <v>100</v>
      </c>
      <c r="K947">
        <v>1</v>
      </c>
      <c r="L947" t="s">
        <v>131</v>
      </c>
      <c r="M947" s="50">
        <v>44875</v>
      </c>
      <c r="N947" s="50">
        <v>2958465</v>
      </c>
      <c r="P947">
        <v>0</v>
      </c>
      <c r="U947">
        <v>4</v>
      </c>
      <c r="V947">
        <v>1</v>
      </c>
      <c r="W947" t="s">
        <v>132</v>
      </c>
      <c r="X947">
        <v>0</v>
      </c>
    </row>
    <row r="948" spans="1:24" x14ac:dyDescent="0.25">
      <c r="A948">
        <v>1</v>
      </c>
      <c r="B948" s="13">
        <v>590920300312</v>
      </c>
      <c r="C948">
        <v>30</v>
      </c>
      <c r="D948" s="13">
        <v>5957303003</v>
      </c>
      <c r="F948" t="s">
        <v>130</v>
      </c>
      <c r="G948">
        <v>0</v>
      </c>
      <c r="H948">
        <v>100</v>
      </c>
      <c r="K948">
        <v>1</v>
      </c>
      <c r="L948" t="s">
        <v>131</v>
      </c>
      <c r="M948" s="50">
        <v>44875</v>
      </c>
      <c r="N948" s="50">
        <v>2958465</v>
      </c>
      <c r="P948">
        <v>0</v>
      </c>
      <c r="U948">
        <v>4</v>
      </c>
      <c r="V948">
        <v>1</v>
      </c>
      <c r="W948" t="s">
        <v>132</v>
      </c>
      <c r="X948">
        <v>0</v>
      </c>
    </row>
    <row r="949" spans="1:24" x14ac:dyDescent="0.25">
      <c r="A949">
        <v>1</v>
      </c>
      <c r="B949" s="13">
        <v>590920300312</v>
      </c>
      <c r="C949">
        <v>40</v>
      </c>
      <c r="D949" s="13">
        <v>5957093003</v>
      </c>
      <c r="F949" t="s">
        <v>130</v>
      </c>
      <c r="G949">
        <v>0</v>
      </c>
      <c r="H949">
        <v>100</v>
      </c>
      <c r="K949">
        <v>1</v>
      </c>
      <c r="L949" t="s">
        <v>131</v>
      </c>
      <c r="M949" s="50">
        <v>44875</v>
      </c>
      <c r="N949" s="50">
        <v>2958465</v>
      </c>
      <c r="P949">
        <v>0</v>
      </c>
      <c r="U949">
        <v>4</v>
      </c>
      <c r="V949">
        <v>1</v>
      </c>
      <c r="W949" t="s">
        <v>132</v>
      </c>
      <c r="X949">
        <v>0</v>
      </c>
    </row>
    <row r="950" spans="1:24" x14ac:dyDescent="0.25">
      <c r="A950">
        <v>1</v>
      </c>
      <c r="B950" s="13">
        <v>590920300312</v>
      </c>
      <c r="C950">
        <v>50</v>
      </c>
      <c r="D950" s="13">
        <v>1018034</v>
      </c>
      <c r="F950" t="s">
        <v>130</v>
      </c>
      <c r="G950">
        <v>0</v>
      </c>
      <c r="H950">
        <v>100</v>
      </c>
      <c r="K950">
        <v>4</v>
      </c>
      <c r="L950" t="s">
        <v>131</v>
      </c>
      <c r="M950" s="50">
        <v>44875</v>
      </c>
      <c r="N950" s="50">
        <v>2958465</v>
      </c>
      <c r="P950">
        <v>0</v>
      </c>
      <c r="U950">
        <v>4</v>
      </c>
      <c r="V950">
        <v>1</v>
      </c>
      <c r="W950" t="s">
        <v>132</v>
      </c>
      <c r="X950">
        <v>0</v>
      </c>
    </row>
    <row r="951" spans="1:24" x14ac:dyDescent="0.25">
      <c r="A951">
        <v>1</v>
      </c>
      <c r="B951" s="13">
        <v>590920300312</v>
      </c>
      <c r="C951">
        <v>60</v>
      </c>
      <c r="D951" s="13">
        <v>1018359</v>
      </c>
      <c r="F951" t="s">
        <v>130</v>
      </c>
      <c r="G951">
        <v>0</v>
      </c>
      <c r="H951">
        <v>100</v>
      </c>
      <c r="K951">
        <v>10</v>
      </c>
      <c r="L951" t="s">
        <v>131</v>
      </c>
      <c r="M951" s="50">
        <v>44875</v>
      </c>
      <c r="N951" s="50">
        <v>2958465</v>
      </c>
      <c r="P951">
        <v>0</v>
      </c>
      <c r="U951">
        <v>4</v>
      </c>
      <c r="V951">
        <v>1</v>
      </c>
      <c r="W951" t="s">
        <v>132</v>
      </c>
      <c r="X951">
        <v>0</v>
      </c>
    </row>
    <row r="952" spans="1:24" x14ac:dyDescent="0.25">
      <c r="A952">
        <v>1</v>
      </c>
      <c r="B952" s="13">
        <v>590920300312</v>
      </c>
      <c r="C952">
        <v>70</v>
      </c>
      <c r="D952" s="13">
        <v>1022213</v>
      </c>
      <c r="F952" t="s">
        <v>130</v>
      </c>
      <c r="G952">
        <v>0</v>
      </c>
      <c r="H952">
        <v>100</v>
      </c>
      <c r="K952">
        <v>5.5919999999999996</v>
      </c>
      <c r="L952" t="s">
        <v>131</v>
      </c>
      <c r="M952" s="50">
        <v>44875</v>
      </c>
      <c r="N952" s="50">
        <v>2958465</v>
      </c>
      <c r="P952">
        <v>0</v>
      </c>
      <c r="U952">
        <v>4</v>
      </c>
      <c r="V952">
        <v>1</v>
      </c>
      <c r="W952" t="s">
        <v>132</v>
      </c>
      <c r="X952">
        <v>0</v>
      </c>
    </row>
    <row r="953" spans="1:24" x14ac:dyDescent="0.25">
      <c r="A953">
        <v>1</v>
      </c>
      <c r="B953" s="13">
        <v>590920300312</v>
      </c>
      <c r="C953">
        <v>80</v>
      </c>
      <c r="D953" s="13">
        <v>12165612</v>
      </c>
      <c r="F953" t="s">
        <v>130</v>
      </c>
      <c r="G953">
        <v>0</v>
      </c>
      <c r="H953">
        <v>100</v>
      </c>
      <c r="K953">
        <v>1</v>
      </c>
      <c r="L953" t="s">
        <v>131</v>
      </c>
      <c r="M953" s="50">
        <v>44875</v>
      </c>
      <c r="N953" s="50">
        <v>2958465</v>
      </c>
      <c r="P953">
        <v>0</v>
      </c>
      <c r="U953">
        <v>4</v>
      </c>
      <c r="V953">
        <v>1</v>
      </c>
      <c r="W953" t="s">
        <v>132</v>
      </c>
      <c r="X953">
        <v>0</v>
      </c>
    </row>
    <row r="954" spans="1:24" x14ac:dyDescent="0.25">
      <c r="A954">
        <v>1</v>
      </c>
      <c r="B954" s="13">
        <v>590920300512</v>
      </c>
      <c r="C954">
        <v>10</v>
      </c>
      <c r="D954" s="13">
        <v>5957163005</v>
      </c>
      <c r="F954" t="s">
        <v>130</v>
      </c>
      <c r="G954">
        <v>0</v>
      </c>
      <c r="H954">
        <v>100</v>
      </c>
      <c r="K954">
        <v>2</v>
      </c>
      <c r="L954" t="s">
        <v>131</v>
      </c>
      <c r="M954" s="50">
        <v>44875</v>
      </c>
      <c r="N954" s="50">
        <v>2958465</v>
      </c>
      <c r="P954">
        <v>0</v>
      </c>
      <c r="U954">
        <v>4</v>
      </c>
      <c r="V954">
        <v>1</v>
      </c>
      <c r="W954" t="s">
        <v>132</v>
      </c>
      <c r="X954">
        <v>0</v>
      </c>
    </row>
    <row r="955" spans="1:24" x14ac:dyDescent="0.25">
      <c r="A955">
        <v>1</v>
      </c>
      <c r="B955" s="13">
        <v>590920300512</v>
      </c>
      <c r="C955">
        <v>20</v>
      </c>
      <c r="D955" s="13">
        <v>5957333005</v>
      </c>
      <c r="F955" t="s">
        <v>130</v>
      </c>
      <c r="G955">
        <v>0</v>
      </c>
      <c r="H955">
        <v>100</v>
      </c>
      <c r="K955">
        <v>1</v>
      </c>
      <c r="L955" t="s">
        <v>131</v>
      </c>
      <c r="M955" s="50">
        <v>44875</v>
      </c>
      <c r="N955" s="50">
        <v>2958465</v>
      </c>
      <c r="P955">
        <v>0</v>
      </c>
      <c r="U955">
        <v>4</v>
      </c>
      <c r="V955">
        <v>1</v>
      </c>
      <c r="W955" t="s">
        <v>132</v>
      </c>
      <c r="X955">
        <v>0</v>
      </c>
    </row>
    <row r="956" spans="1:24" x14ac:dyDescent="0.25">
      <c r="A956">
        <v>1</v>
      </c>
      <c r="B956" s="13">
        <v>590920300512</v>
      </c>
      <c r="C956">
        <v>30</v>
      </c>
      <c r="D956" s="13">
        <v>5957303005</v>
      </c>
      <c r="F956" t="s">
        <v>130</v>
      </c>
      <c r="G956">
        <v>0</v>
      </c>
      <c r="H956">
        <v>100</v>
      </c>
      <c r="K956">
        <v>1</v>
      </c>
      <c r="L956" t="s">
        <v>131</v>
      </c>
      <c r="M956" s="50">
        <v>44875</v>
      </c>
      <c r="N956" s="50">
        <v>2958465</v>
      </c>
      <c r="P956">
        <v>0</v>
      </c>
      <c r="U956">
        <v>4</v>
      </c>
      <c r="V956">
        <v>1</v>
      </c>
      <c r="W956" t="s">
        <v>132</v>
      </c>
      <c r="X956">
        <v>0</v>
      </c>
    </row>
    <row r="957" spans="1:24" x14ac:dyDescent="0.25">
      <c r="A957">
        <v>1</v>
      </c>
      <c r="B957" s="13">
        <v>590920300512</v>
      </c>
      <c r="C957">
        <v>40</v>
      </c>
      <c r="D957" s="13">
        <v>5957093005</v>
      </c>
      <c r="F957" t="s">
        <v>130</v>
      </c>
      <c r="G957">
        <v>0</v>
      </c>
      <c r="H957">
        <v>100</v>
      </c>
      <c r="K957">
        <v>1</v>
      </c>
      <c r="L957" t="s">
        <v>131</v>
      </c>
      <c r="M957" s="50">
        <v>44875</v>
      </c>
      <c r="N957" s="50">
        <v>2958465</v>
      </c>
      <c r="P957">
        <v>0</v>
      </c>
      <c r="U957">
        <v>4</v>
      </c>
      <c r="V957">
        <v>1</v>
      </c>
      <c r="W957" t="s">
        <v>132</v>
      </c>
      <c r="X957">
        <v>0</v>
      </c>
    </row>
    <row r="958" spans="1:24" x14ac:dyDescent="0.25">
      <c r="A958">
        <v>1</v>
      </c>
      <c r="B958" s="13">
        <v>590920300512</v>
      </c>
      <c r="C958">
        <v>50</v>
      </c>
      <c r="D958" s="13">
        <v>1018034</v>
      </c>
      <c r="F958" t="s">
        <v>130</v>
      </c>
      <c r="G958">
        <v>0</v>
      </c>
      <c r="H958">
        <v>100</v>
      </c>
      <c r="K958">
        <v>4</v>
      </c>
      <c r="L958" t="s">
        <v>131</v>
      </c>
      <c r="M958" s="50">
        <v>44875</v>
      </c>
      <c r="N958" s="50">
        <v>2958465</v>
      </c>
      <c r="P958">
        <v>0</v>
      </c>
      <c r="U958">
        <v>4</v>
      </c>
      <c r="V958">
        <v>1</v>
      </c>
      <c r="W958" t="s">
        <v>132</v>
      </c>
      <c r="X958">
        <v>0</v>
      </c>
    </row>
    <row r="959" spans="1:24" x14ac:dyDescent="0.25">
      <c r="A959">
        <v>1</v>
      </c>
      <c r="B959" s="13">
        <v>590920300512</v>
      </c>
      <c r="C959">
        <v>60</v>
      </c>
      <c r="D959" s="13">
        <v>1022356</v>
      </c>
      <c r="F959" t="s">
        <v>130</v>
      </c>
      <c r="G959">
        <v>0</v>
      </c>
      <c r="H959">
        <v>100</v>
      </c>
      <c r="K959">
        <v>10</v>
      </c>
      <c r="L959" t="s">
        <v>131</v>
      </c>
      <c r="M959" s="50">
        <v>44875</v>
      </c>
      <c r="N959" s="50">
        <v>2958465</v>
      </c>
      <c r="P959">
        <v>0</v>
      </c>
      <c r="U959">
        <v>4</v>
      </c>
      <c r="V959">
        <v>1</v>
      </c>
      <c r="W959" t="s">
        <v>132</v>
      </c>
      <c r="X959">
        <v>0</v>
      </c>
    </row>
    <row r="960" spans="1:24" x14ac:dyDescent="0.25">
      <c r="A960">
        <v>1</v>
      </c>
      <c r="B960" s="13">
        <v>590920300512</v>
      </c>
      <c r="C960">
        <v>70</v>
      </c>
      <c r="D960" s="13">
        <v>1022213</v>
      </c>
      <c r="F960" t="s">
        <v>130</v>
      </c>
      <c r="G960">
        <v>0</v>
      </c>
      <c r="H960">
        <v>100</v>
      </c>
      <c r="K960">
        <v>5.5919999999999996</v>
      </c>
      <c r="L960" t="s">
        <v>131</v>
      </c>
      <c r="M960" s="50">
        <v>44875</v>
      </c>
      <c r="N960" s="50">
        <v>2958465</v>
      </c>
      <c r="P960">
        <v>0</v>
      </c>
      <c r="U960">
        <v>4</v>
      </c>
      <c r="V960">
        <v>1</v>
      </c>
      <c r="W960" t="s">
        <v>132</v>
      </c>
      <c r="X960">
        <v>0</v>
      </c>
    </row>
    <row r="961" spans="1:24" x14ac:dyDescent="0.25">
      <c r="A961">
        <v>1</v>
      </c>
      <c r="B961" s="13">
        <v>590920300512</v>
      </c>
      <c r="C961">
        <v>80</v>
      </c>
      <c r="D961" s="13">
        <v>12165612</v>
      </c>
      <c r="F961" t="s">
        <v>130</v>
      </c>
      <c r="G961">
        <v>0</v>
      </c>
      <c r="H961">
        <v>100</v>
      </c>
      <c r="K961">
        <v>1</v>
      </c>
      <c r="L961" t="s">
        <v>131</v>
      </c>
      <c r="M961" s="50">
        <v>44875</v>
      </c>
      <c r="N961" s="50">
        <v>2958465</v>
      </c>
      <c r="P961">
        <v>0</v>
      </c>
      <c r="U961">
        <v>4</v>
      </c>
      <c r="V961">
        <v>1</v>
      </c>
      <c r="W961" t="s">
        <v>132</v>
      </c>
      <c r="X961">
        <v>0</v>
      </c>
    </row>
    <row r="962" spans="1:24" x14ac:dyDescent="0.25">
      <c r="A962">
        <v>1</v>
      </c>
      <c r="B962" s="13">
        <v>590920300912</v>
      </c>
      <c r="C962">
        <v>10</v>
      </c>
      <c r="D962" s="13">
        <v>5957163009</v>
      </c>
      <c r="F962" t="s">
        <v>130</v>
      </c>
      <c r="G962">
        <v>0</v>
      </c>
      <c r="H962">
        <v>100</v>
      </c>
      <c r="K962">
        <v>2</v>
      </c>
      <c r="L962" t="s">
        <v>131</v>
      </c>
      <c r="M962" s="50">
        <v>44875</v>
      </c>
      <c r="N962" s="50">
        <v>2958465</v>
      </c>
      <c r="P962">
        <v>0</v>
      </c>
      <c r="U962">
        <v>4</v>
      </c>
      <c r="V962">
        <v>1</v>
      </c>
      <c r="W962" t="s">
        <v>132</v>
      </c>
      <c r="X962">
        <v>0</v>
      </c>
    </row>
    <row r="963" spans="1:24" x14ac:dyDescent="0.25">
      <c r="A963">
        <v>1</v>
      </c>
      <c r="B963" s="13">
        <v>590920300912</v>
      </c>
      <c r="C963">
        <v>20</v>
      </c>
      <c r="D963" s="13">
        <v>5957333009</v>
      </c>
      <c r="F963" t="s">
        <v>130</v>
      </c>
      <c r="G963">
        <v>0</v>
      </c>
      <c r="H963">
        <v>100</v>
      </c>
      <c r="K963">
        <v>1</v>
      </c>
      <c r="L963" t="s">
        <v>131</v>
      </c>
      <c r="M963" s="50">
        <v>44875</v>
      </c>
      <c r="N963" s="50">
        <v>2958465</v>
      </c>
      <c r="P963">
        <v>0</v>
      </c>
      <c r="U963">
        <v>4</v>
      </c>
      <c r="V963">
        <v>1</v>
      </c>
      <c r="W963" t="s">
        <v>132</v>
      </c>
      <c r="X963">
        <v>0</v>
      </c>
    </row>
    <row r="964" spans="1:24" x14ac:dyDescent="0.25">
      <c r="A964">
        <v>1</v>
      </c>
      <c r="B964" s="13">
        <v>590920300912</v>
      </c>
      <c r="C964">
        <v>30</v>
      </c>
      <c r="D964" s="13">
        <v>5957303009</v>
      </c>
      <c r="F964" t="s">
        <v>130</v>
      </c>
      <c r="G964">
        <v>0</v>
      </c>
      <c r="H964">
        <v>100</v>
      </c>
      <c r="K964">
        <v>1</v>
      </c>
      <c r="L964" t="s">
        <v>131</v>
      </c>
      <c r="M964" s="50">
        <v>44875</v>
      </c>
      <c r="N964" s="50">
        <v>2958465</v>
      </c>
      <c r="P964">
        <v>0</v>
      </c>
      <c r="U964">
        <v>4</v>
      </c>
      <c r="V964">
        <v>1</v>
      </c>
      <c r="W964" t="s">
        <v>132</v>
      </c>
      <c r="X964">
        <v>0</v>
      </c>
    </row>
    <row r="965" spans="1:24" x14ac:dyDescent="0.25">
      <c r="A965">
        <v>1</v>
      </c>
      <c r="B965" s="13">
        <v>590920300912</v>
      </c>
      <c r="C965">
        <v>40</v>
      </c>
      <c r="D965" s="13">
        <v>5957093009</v>
      </c>
      <c r="F965" t="s">
        <v>130</v>
      </c>
      <c r="G965">
        <v>0</v>
      </c>
      <c r="H965">
        <v>100</v>
      </c>
      <c r="K965">
        <v>1</v>
      </c>
      <c r="L965" t="s">
        <v>131</v>
      </c>
      <c r="M965" s="50">
        <v>44875</v>
      </c>
      <c r="N965" s="50">
        <v>2958465</v>
      </c>
      <c r="P965">
        <v>0</v>
      </c>
      <c r="U965">
        <v>4</v>
      </c>
      <c r="V965">
        <v>1</v>
      </c>
      <c r="W965" t="s">
        <v>132</v>
      </c>
      <c r="X965">
        <v>0</v>
      </c>
    </row>
    <row r="966" spans="1:24" x14ac:dyDescent="0.25">
      <c r="A966">
        <v>1</v>
      </c>
      <c r="B966" s="13">
        <v>590920300912</v>
      </c>
      <c r="C966">
        <v>50</v>
      </c>
      <c r="D966" s="13">
        <v>1018034</v>
      </c>
      <c r="F966" t="s">
        <v>130</v>
      </c>
      <c r="G966">
        <v>0</v>
      </c>
      <c r="H966">
        <v>100</v>
      </c>
      <c r="K966">
        <v>4</v>
      </c>
      <c r="L966" t="s">
        <v>131</v>
      </c>
      <c r="M966" s="50">
        <v>44875</v>
      </c>
      <c r="N966" s="50">
        <v>2958465</v>
      </c>
      <c r="P966">
        <v>0</v>
      </c>
      <c r="U966">
        <v>4</v>
      </c>
      <c r="V966">
        <v>1</v>
      </c>
      <c r="W966" t="s">
        <v>132</v>
      </c>
      <c r="X966">
        <v>0</v>
      </c>
    </row>
    <row r="967" spans="1:24" x14ac:dyDescent="0.25">
      <c r="A967">
        <v>1</v>
      </c>
      <c r="B967" s="13">
        <v>590920300912</v>
      </c>
      <c r="C967">
        <v>60</v>
      </c>
      <c r="D967" s="13">
        <v>1018359</v>
      </c>
      <c r="F967" t="s">
        <v>130</v>
      </c>
      <c r="G967">
        <v>0</v>
      </c>
      <c r="H967">
        <v>100</v>
      </c>
      <c r="K967">
        <v>10</v>
      </c>
      <c r="L967" t="s">
        <v>131</v>
      </c>
      <c r="M967" s="50">
        <v>44875</v>
      </c>
      <c r="N967" s="50">
        <v>2958465</v>
      </c>
      <c r="P967">
        <v>0</v>
      </c>
      <c r="U967">
        <v>4</v>
      </c>
      <c r="V967">
        <v>1</v>
      </c>
      <c r="W967" t="s">
        <v>132</v>
      </c>
      <c r="X967">
        <v>0</v>
      </c>
    </row>
    <row r="968" spans="1:24" x14ac:dyDescent="0.25">
      <c r="A968">
        <v>1</v>
      </c>
      <c r="B968" s="13">
        <v>590920300912</v>
      </c>
      <c r="C968">
        <v>70</v>
      </c>
      <c r="D968" s="13">
        <v>1022213</v>
      </c>
      <c r="F968" t="s">
        <v>130</v>
      </c>
      <c r="G968">
        <v>0</v>
      </c>
      <c r="H968">
        <v>100</v>
      </c>
      <c r="K968">
        <v>5.5919999999999996</v>
      </c>
      <c r="L968" t="s">
        <v>131</v>
      </c>
      <c r="M968" s="50">
        <v>44875</v>
      </c>
      <c r="N968" s="50">
        <v>2958465</v>
      </c>
      <c r="P968">
        <v>0</v>
      </c>
      <c r="U968">
        <v>4</v>
      </c>
      <c r="V968">
        <v>1</v>
      </c>
      <c r="W968" t="s">
        <v>132</v>
      </c>
      <c r="X968">
        <v>0</v>
      </c>
    </row>
    <row r="969" spans="1:24" x14ac:dyDescent="0.25">
      <c r="A969">
        <v>1</v>
      </c>
      <c r="B969" s="13">
        <v>590920300912</v>
      </c>
      <c r="C969">
        <v>80</v>
      </c>
      <c r="D969" s="13">
        <v>12165612</v>
      </c>
      <c r="F969" t="s">
        <v>130</v>
      </c>
      <c r="G969">
        <v>0</v>
      </c>
      <c r="H969">
        <v>100</v>
      </c>
      <c r="K969">
        <v>1</v>
      </c>
      <c r="L969" t="s">
        <v>131</v>
      </c>
      <c r="M969" s="50">
        <v>44875</v>
      </c>
      <c r="N969" s="50">
        <v>2958465</v>
      </c>
      <c r="P969">
        <v>0</v>
      </c>
      <c r="U969">
        <v>4</v>
      </c>
      <c r="V969">
        <v>1</v>
      </c>
      <c r="W969" t="s">
        <v>132</v>
      </c>
      <c r="X969">
        <v>0</v>
      </c>
    </row>
    <row r="970" spans="1:24" x14ac:dyDescent="0.25">
      <c r="A970">
        <v>1</v>
      </c>
      <c r="B970" s="13">
        <v>590920300027</v>
      </c>
      <c r="C970">
        <v>10</v>
      </c>
      <c r="D970" s="13">
        <v>5957163099</v>
      </c>
      <c r="F970" t="s">
        <v>130</v>
      </c>
      <c r="G970">
        <v>0</v>
      </c>
      <c r="H970">
        <v>100</v>
      </c>
      <c r="K970">
        <v>2</v>
      </c>
      <c r="L970" t="s">
        <v>131</v>
      </c>
      <c r="M970" s="50">
        <v>44875</v>
      </c>
      <c r="N970" s="50">
        <v>2958465</v>
      </c>
      <c r="P970">
        <v>0</v>
      </c>
      <c r="U970">
        <v>4</v>
      </c>
      <c r="V970">
        <v>1</v>
      </c>
      <c r="W970" t="s">
        <v>132</v>
      </c>
      <c r="X970">
        <v>0</v>
      </c>
    </row>
    <row r="971" spans="1:24" x14ac:dyDescent="0.25">
      <c r="A971">
        <v>1</v>
      </c>
      <c r="B971" s="13">
        <v>590920300027</v>
      </c>
      <c r="C971">
        <v>20</v>
      </c>
      <c r="D971" s="13">
        <v>5957333099</v>
      </c>
      <c r="F971" t="s">
        <v>130</v>
      </c>
      <c r="G971">
        <v>0</v>
      </c>
      <c r="H971">
        <v>100</v>
      </c>
      <c r="K971">
        <v>1</v>
      </c>
      <c r="L971" t="s">
        <v>131</v>
      </c>
      <c r="M971" s="50">
        <v>44875</v>
      </c>
      <c r="N971" s="50">
        <v>2958465</v>
      </c>
      <c r="P971">
        <v>0</v>
      </c>
      <c r="U971">
        <v>4</v>
      </c>
      <c r="V971">
        <v>1</v>
      </c>
      <c r="W971" t="s">
        <v>132</v>
      </c>
      <c r="X971">
        <v>0</v>
      </c>
    </row>
    <row r="972" spans="1:24" x14ac:dyDescent="0.25">
      <c r="A972">
        <v>1</v>
      </c>
      <c r="B972" s="13">
        <v>590920300027</v>
      </c>
      <c r="C972">
        <v>30</v>
      </c>
      <c r="D972" s="13">
        <v>5957303099</v>
      </c>
      <c r="F972" t="s">
        <v>130</v>
      </c>
      <c r="G972">
        <v>0</v>
      </c>
      <c r="H972">
        <v>100</v>
      </c>
      <c r="K972">
        <v>1</v>
      </c>
      <c r="L972" t="s">
        <v>131</v>
      </c>
      <c r="M972" s="50">
        <v>44875</v>
      </c>
      <c r="N972" s="50">
        <v>2958465</v>
      </c>
      <c r="P972">
        <v>0</v>
      </c>
      <c r="U972">
        <v>4</v>
      </c>
      <c r="V972">
        <v>1</v>
      </c>
      <c r="W972" t="s">
        <v>132</v>
      </c>
      <c r="X972">
        <v>0</v>
      </c>
    </row>
    <row r="973" spans="1:24" x14ac:dyDescent="0.25">
      <c r="A973">
        <v>1</v>
      </c>
      <c r="B973" s="13">
        <v>590920300027</v>
      </c>
      <c r="C973">
        <v>40</v>
      </c>
      <c r="D973" s="13">
        <v>1022219</v>
      </c>
      <c r="F973" t="s">
        <v>130</v>
      </c>
      <c r="G973">
        <v>0</v>
      </c>
      <c r="H973">
        <v>100</v>
      </c>
      <c r="K973">
        <v>1</v>
      </c>
      <c r="L973" t="s">
        <v>131</v>
      </c>
      <c r="M973" s="50">
        <v>44875</v>
      </c>
      <c r="N973" s="50">
        <v>2958465</v>
      </c>
      <c r="P973">
        <v>0</v>
      </c>
      <c r="U973">
        <v>4</v>
      </c>
      <c r="V973">
        <v>1</v>
      </c>
      <c r="W973" t="s">
        <v>132</v>
      </c>
      <c r="X973">
        <v>0</v>
      </c>
    </row>
    <row r="974" spans="1:24" x14ac:dyDescent="0.25">
      <c r="A974">
        <v>1</v>
      </c>
      <c r="B974" s="13">
        <v>590920300027</v>
      </c>
      <c r="C974">
        <v>50</v>
      </c>
      <c r="D974" s="13">
        <v>1018034</v>
      </c>
      <c r="F974" t="s">
        <v>130</v>
      </c>
      <c r="G974">
        <v>0</v>
      </c>
      <c r="H974">
        <v>100</v>
      </c>
      <c r="K974">
        <v>4</v>
      </c>
      <c r="L974" t="s">
        <v>131</v>
      </c>
      <c r="M974" s="50">
        <v>44875</v>
      </c>
      <c r="N974" s="50">
        <v>2958465</v>
      </c>
      <c r="P974">
        <v>0</v>
      </c>
      <c r="U974">
        <v>4</v>
      </c>
      <c r="V974">
        <v>1</v>
      </c>
      <c r="W974" t="s">
        <v>132</v>
      </c>
      <c r="X974">
        <v>0</v>
      </c>
    </row>
    <row r="975" spans="1:24" x14ac:dyDescent="0.25">
      <c r="A975">
        <v>1</v>
      </c>
      <c r="B975" s="13">
        <v>590920300027</v>
      </c>
      <c r="C975">
        <v>60</v>
      </c>
      <c r="D975" s="13">
        <v>1018359</v>
      </c>
      <c r="F975" t="s">
        <v>130</v>
      </c>
      <c r="G975">
        <v>0</v>
      </c>
      <c r="H975">
        <v>100</v>
      </c>
      <c r="K975">
        <v>10</v>
      </c>
      <c r="L975" t="s">
        <v>131</v>
      </c>
      <c r="M975" s="50">
        <v>44875</v>
      </c>
      <c r="N975" s="50">
        <v>2958465</v>
      </c>
      <c r="P975">
        <v>0</v>
      </c>
      <c r="U975">
        <v>4</v>
      </c>
      <c r="V975">
        <v>1</v>
      </c>
      <c r="W975" t="s">
        <v>132</v>
      </c>
      <c r="X975">
        <v>0</v>
      </c>
    </row>
    <row r="976" spans="1:24" x14ac:dyDescent="0.25">
      <c r="A976">
        <v>1</v>
      </c>
      <c r="B976" s="13">
        <v>590920300027</v>
      </c>
      <c r="C976">
        <v>70</v>
      </c>
      <c r="D976" s="13">
        <v>1022213</v>
      </c>
      <c r="F976" t="s">
        <v>130</v>
      </c>
      <c r="G976">
        <v>0</v>
      </c>
      <c r="H976">
        <v>100</v>
      </c>
      <c r="K976">
        <v>5.5919999999999996</v>
      </c>
      <c r="L976" t="s">
        <v>131</v>
      </c>
      <c r="M976" s="50">
        <v>44875</v>
      </c>
      <c r="N976" s="50">
        <v>2958465</v>
      </c>
      <c r="P976">
        <v>0</v>
      </c>
      <c r="U976">
        <v>4</v>
      </c>
      <c r="V976">
        <v>1</v>
      </c>
      <c r="W976" t="s">
        <v>132</v>
      </c>
      <c r="X976">
        <v>0</v>
      </c>
    </row>
    <row r="977" spans="1:24" x14ac:dyDescent="0.25">
      <c r="A977">
        <v>1</v>
      </c>
      <c r="B977" s="13">
        <v>590920300027</v>
      </c>
      <c r="C977">
        <v>80</v>
      </c>
      <c r="D977" s="13">
        <v>18102165627</v>
      </c>
      <c r="F977" t="s">
        <v>130</v>
      </c>
      <c r="G977">
        <v>0</v>
      </c>
      <c r="H977">
        <v>100</v>
      </c>
      <c r="K977">
        <v>1</v>
      </c>
      <c r="L977" t="s">
        <v>131</v>
      </c>
      <c r="M977" s="50">
        <v>44875</v>
      </c>
      <c r="N977" s="50">
        <v>2958465</v>
      </c>
      <c r="P977">
        <v>0</v>
      </c>
      <c r="U977">
        <v>4</v>
      </c>
      <c r="V977">
        <v>1</v>
      </c>
      <c r="W977" t="s">
        <v>132</v>
      </c>
      <c r="X977">
        <v>0</v>
      </c>
    </row>
    <row r="978" spans="1:24" x14ac:dyDescent="0.25">
      <c r="A978">
        <v>1</v>
      </c>
      <c r="B978" s="13">
        <v>590920300227</v>
      </c>
      <c r="C978">
        <v>10</v>
      </c>
      <c r="D978" s="13">
        <v>5957163002</v>
      </c>
      <c r="F978" t="s">
        <v>130</v>
      </c>
      <c r="G978">
        <v>0</v>
      </c>
      <c r="H978">
        <v>100</v>
      </c>
      <c r="K978">
        <v>2</v>
      </c>
      <c r="L978" t="s">
        <v>131</v>
      </c>
      <c r="M978" s="50">
        <v>44875</v>
      </c>
      <c r="N978" s="50">
        <v>2958465</v>
      </c>
      <c r="P978">
        <v>0</v>
      </c>
      <c r="U978">
        <v>4</v>
      </c>
      <c r="V978">
        <v>1</v>
      </c>
      <c r="W978" t="s">
        <v>132</v>
      </c>
      <c r="X978">
        <v>0</v>
      </c>
    </row>
    <row r="979" spans="1:24" x14ac:dyDescent="0.25">
      <c r="A979">
        <v>1</v>
      </c>
      <c r="B979" s="13">
        <v>590920300227</v>
      </c>
      <c r="C979">
        <v>20</v>
      </c>
      <c r="D979" s="13">
        <v>5957333002</v>
      </c>
      <c r="F979" t="s">
        <v>130</v>
      </c>
      <c r="G979">
        <v>0</v>
      </c>
      <c r="H979">
        <v>100</v>
      </c>
      <c r="K979">
        <v>1</v>
      </c>
      <c r="L979" t="s">
        <v>131</v>
      </c>
      <c r="M979" s="50">
        <v>44875</v>
      </c>
      <c r="N979" s="50">
        <v>2958465</v>
      </c>
      <c r="P979">
        <v>0</v>
      </c>
      <c r="U979">
        <v>4</v>
      </c>
      <c r="V979">
        <v>1</v>
      </c>
      <c r="W979" t="s">
        <v>132</v>
      </c>
      <c r="X979">
        <v>0</v>
      </c>
    </row>
    <row r="980" spans="1:24" x14ac:dyDescent="0.25">
      <c r="A980">
        <v>1</v>
      </c>
      <c r="B980" s="13">
        <v>590920300227</v>
      </c>
      <c r="C980">
        <v>30</v>
      </c>
      <c r="D980" s="13">
        <v>5957303002</v>
      </c>
      <c r="F980" t="s">
        <v>130</v>
      </c>
      <c r="G980">
        <v>0</v>
      </c>
      <c r="H980">
        <v>100</v>
      </c>
      <c r="K980">
        <v>1</v>
      </c>
      <c r="L980" t="s">
        <v>131</v>
      </c>
      <c r="M980" s="50">
        <v>44875</v>
      </c>
      <c r="N980" s="50">
        <v>2958465</v>
      </c>
      <c r="P980">
        <v>0</v>
      </c>
      <c r="U980">
        <v>4</v>
      </c>
      <c r="V980">
        <v>1</v>
      </c>
      <c r="W980" t="s">
        <v>132</v>
      </c>
      <c r="X980">
        <v>0</v>
      </c>
    </row>
    <row r="981" spans="1:24" x14ac:dyDescent="0.25">
      <c r="A981">
        <v>1</v>
      </c>
      <c r="B981" s="13">
        <v>590920300227</v>
      </c>
      <c r="C981">
        <v>40</v>
      </c>
      <c r="D981" s="13">
        <v>5957093002</v>
      </c>
      <c r="F981" t="s">
        <v>130</v>
      </c>
      <c r="G981">
        <v>0</v>
      </c>
      <c r="H981">
        <v>100</v>
      </c>
      <c r="K981">
        <v>1</v>
      </c>
      <c r="L981" t="s">
        <v>131</v>
      </c>
      <c r="M981" s="50">
        <v>44875</v>
      </c>
      <c r="N981" s="50">
        <v>2958465</v>
      </c>
      <c r="P981">
        <v>0</v>
      </c>
      <c r="U981">
        <v>4</v>
      </c>
      <c r="V981">
        <v>1</v>
      </c>
      <c r="W981" t="s">
        <v>132</v>
      </c>
      <c r="X981">
        <v>0</v>
      </c>
    </row>
    <row r="982" spans="1:24" x14ac:dyDescent="0.25">
      <c r="A982">
        <v>1</v>
      </c>
      <c r="B982" s="13">
        <v>590920300227</v>
      </c>
      <c r="C982">
        <v>50</v>
      </c>
      <c r="D982" s="13">
        <v>1018034</v>
      </c>
      <c r="F982" t="s">
        <v>130</v>
      </c>
      <c r="G982">
        <v>0</v>
      </c>
      <c r="H982">
        <v>100</v>
      </c>
      <c r="K982">
        <v>4</v>
      </c>
      <c r="L982" t="s">
        <v>131</v>
      </c>
      <c r="M982" s="50">
        <v>44875</v>
      </c>
      <c r="N982" s="50">
        <v>2958465</v>
      </c>
      <c r="P982">
        <v>0</v>
      </c>
      <c r="U982">
        <v>4</v>
      </c>
      <c r="V982">
        <v>1</v>
      </c>
      <c r="W982" t="s">
        <v>132</v>
      </c>
      <c r="X982">
        <v>0</v>
      </c>
    </row>
    <row r="983" spans="1:24" x14ac:dyDescent="0.25">
      <c r="A983">
        <v>1</v>
      </c>
      <c r="B983" s="13">
        <v>590920300227</v>
      </c>
      <c r="C983">
        <v>60</v>
      </c>
      <c r="D983" s="13">
        <v>1022356</v>
      </c>
      <c r="F983" t="s">
        <v>130</v>
      </c>
      <c r="G983">
        <v>0</v>
      </c>
      <c r="H983">
        <v>100</v>
      </c>
      <c r="K983">
        <v>10</v>
      </c>
      <c r="L983" t="s">
        <v>131</v>
      </c>
      <c r="M983" s="50">
        <v>44875</v>
      </c>
      <c r="N983" s="50">
        <v>2958465</v>
      </c>
      <c r="P983">
        <v>0</v>
      </c>
      <c r="U983">
        <v>4</v>
      </c>
      <c r="V983">
        <v>1</v>
      </c>
      <c r="W983" t="s">
        <v>132</v>
      </c>
      <c r="X983">
        <v>0</v>
      </c>
    </row>
    <row r="984" spans="1:24" x14ac:dyDescent="0.25">
      <c r="A984">
        <v>1</v>
      </c>
      <c r="B984" s="13">
        <v>590920300227</v>
      </c>
      <c r="C984">
        <v>70</v>
      </c>
      <c r="D984" s="13">
        <v>1022213</v>
      </c>
      <c r="F984" t="s">
        <v>130</v>
      </c>
      <c r="G984">
        <v>0</v>
      </c>
      <c r="H984">
        <v>100</v>
      </c>
      <c r="K984">
        <v>5.5919999999999996</v>
      </c>
      <c r="L984" t="s">
        <v>131</v>
      </c>
      <c r="M984" s="50">
        <v>44875</v>
      </c>
      <c r="N984" s="50">
        <v>2958465</v>
      </c>
      <c r="P984">
        <v>0</v>
      </c>
      <c r="U984">
        <v>4</v>
      </c>
      <c r="V984">
        <v>1</v>
      </c>
      <c r="W984" t="s">
        <v>132</v>
      </c>
      <c r="X984">
        <v>0</v>
      </c>
    </row>
    <row r="985" spans="1:24" x14ac:dyDescent="0.25">
      <c r="A985">
        <v>1</v>
      </c>
      <c r="B985" s="13">
        <v>590920300227</v>
      </c>
      <c r="C985">
        <v>80</v>
      </c>
      <c r="D985" s="13">
        <v>18102165627</v>
      </c>
      <c r="F985" t="s">
        <v>130</v>
      </c>
      <c r="G985">
        <v>0</v>
      </c>
      <c r="H985">
        <v>100</v>
      </c>
      <c r="K985">
        <v>1</v>
      </c>
      <c r="L985" t="s">
        <v>131</v>
      </c>
      <c r="M985" s="50">
        <v>44875</v>
      </c>
      <c r="N985" s="50">
        <v>2958465</v>
      </c>
      <c r="P985">
        <v>0</v>
      </c>
      <c r="U985">
        <v>4</v>
      </c>
      <c r="V985">
        <v>1</v>
      </c>
      <c r="W985" t="s">
        <v>132</v>
      </c>
      <c r="X985">
        <v>0</v>
      </c>
    </row>
    <row r="986" spans="1:24" x14ac:dyDescent="0.25">
      <c r="A986">
        <v>1</v>
      </c>
      <c r="B986" s="13">
        <v>590920300327</v>
      </c>
      <c r="C986">
        <v>10</v>
      </c>
      <c r="D986" s="13">
        <v>5957163003</v>
      </c>
      <c r="F986" t="s">
        <v>130</v>
      </c>
      <c r="G986">
        <v>0</v>
      </c>
      <c r="H986">
        <v>100</v>
      </c>
      <c r="K986">
        <v>2</v>
      </c>
      <c r="L986" t="s">
        <v>131</v>
      </c>
      <c r="M986" s="50">
        <v>44875</v>
      </c>
      <c r="N986" s="50">
        <v>2958465</v>
      </c>
      <c r="P986">
        <v>0</v>
      </c>
      <c r="U986">
        <v>4</v>
      </c>
      <c r="V986">
        <v>1</v>
      </c>
      <c r="W986" t="s">
        <v>132</v>
      </c>
      <c r="X986">
        <v>0</v>
      </c>
    </row>
    <row r="987" spans="1:24" x14ac:dyDescent="0.25">
      <c r="A987">
        <v>1</v>
      </c>
      <c r="B987" s="13">
        <v>590920300327</v>
      </c>
      <c r="C987">
        <v>20</v>
      </c>
      <c r="D987" s="13">
        <v>5957333003</v>
      </c>
      <c r="F987" t="s">
        <v>130</v>
      </c>
      <c r="G987">
        <v>0</v>
      </c>
      <c r="H987">
        <v>100</v>
      </c>
      <c r="K987">
        <v>1</v>
      </c>
      <c r="L987" t="s">
        <v>131</v>
      </c>
      <c r="M987" s="50">
        <v>44875</v>
      </c>
      <c r="N987" s="50">
        <v>2958465</v>
      </c>
      <c r="P987">
        <v>0</v>
      </c>
      <c r="U987">
        <v>4</v>
      </c>
      <c r="V987">
        <v>1</v>
      </c>
      <c r="W987" t="s">
        <v>132</v>
      </c>
      <c r="X987">
        <v>0</v>
      </c>
    </row>
    <row r="988" spans="1:24" x14ac:dyDescent="0.25">
      <c r="A988">
        <v>1</v>
      </c>
      <c r="B988" s="13">
        <v>590920300327</v>
      </c>
      <c r="C988">
        <v>30</v>
      </c>
      <c r="D988" s="13">
        <v>5957303003</v>
      </c>
      <c r="F988" t="s">
        <v>130</v>
      </c>
      <c r="G988">
        <v>0</v>
      </c>
      <c r="H988">
        <v>100</v>
      </c>
      <c r="K988">
        <v>1</v>
      </c>
      <c r="L988" t="s">
        <v>131</v>
      </c>
      <c r="M988" s="50">
        <v>44875</v>
      </c>
      <c r="N988" s="50">
        <v>2958465</v>
      </c>
      <c r="P988">
        <v>0</v>
      </c>
      <c r="U988">
        <v>4</v>
      </c>
      <c r="V988">
        <v>1</v>
      </c>
      <c r="W988" t="s">
        <v>132</v>
      </c>
      <c r="X988">
        <v>0</v>
      </c>
    </row>
    <row r="989" spans="1:24" x14ac:dyDescent="0.25">
      <c r="A989">
        <v>1</v>
      </c>
      <c r="B989" s="13">
        <v>590920300327</v>
      </c>
      <c r="C989">
        <v>40</v>
      </c>
      <c r="D989" s="13">
        <v>5957093003</v>
      </c>
      <c r="F989" t="s">
        <v>130</v>
      </c>
      <c r="G989">
        <v>0</v>
      </c>
      <c r="H989">
        <v>100</v>
      </c>
      <c r="K989">
        <v>1</v>
      </c>
      <c r="L989" t="s">
        <v>131</v>
      </c>
      <c r="M989" s="50">
        <v>44875</v>
      </c>
      <c r="N989" s="50">
        <v>2958465</v>
      </c>
      <c r="P989">
        <v>0</v>
      </c>
      <c r="U989">
        <v>4</v>
      </c>
      <c r="V989">
        <v>1</v>
      </c>
      <c r="W989" t="s">
        <v>132</v>
      </c>
      <c r="X989">
        <v>0</v>
      </c>
    </row>
    <row r="990" spans="1:24" x14ac:dyDescent="0.25">
      <c r="A990">
        <v>1</v>
      </c>
      <c r="B990" s="13">
        <v>590920300327</v>
      </c>
      <c r="C990">
        <v>50</v>
      </c>
      <c r="D990" s="13">
        <v>1018034</v>
      </c>
      <c r="F990" t="s">
        <v>130</v>
      </c>
      <c r="G990">
        <v>0</v>
      </c>
      <c r="H990">
        <v>100</v>
      </c>
      <c r="K990">
        <v>4</v>
      </c>
      <c r="L990" t="s">
        <v>131</v>
      </c>
      <c r="M990" s="50">
        <v>44875</v>
      </c>
      <c r="N990" s="50">
        <v>2958465</v>
      </c>
      <c r="P990">
        <v>0</v>
      </c>
      <c r="U990">
        <v>4</v>
      </c>
      <c r="V990">
        <v>1</v>
      </c>
      <c r="W990" t="s">
        <v>132</v>
      </c>
      <c r="X990">
        <v>0</v>
      </c>
    </row>
    <row r="991" spans="1:24" x14ac:dyDescent="0.25">
      <c r="A991">
        <v>1</v>
      </c>
      <c r="B991" s="13">
        <v>590920300327</v>
      </c>
      <c r="C991">
        <v>60</v>
      </c>
      <c r="D991" s="13">
        <v>1018359</v>
      </c>
      <c r="F991" t="s">
        <v>130</v>
      </c>
      <c r="G991">
        <v>0</v>
      </c>
      <c r="H991">
        <v>100</v>
      </c>
      <c r="K991">
        <v>10</v>
      </c>
      <c r="L991" t="s">
        <v>131</v>
      </c>
      <c r="M991" s="50">
        <v>44875</v>
      </c>
      <c r="N991" s="50">
        <v>2958465</v>
      </c>
      <c r="P991">
        <v>0</v>
      </c>
      <c r="U991">
        <v>4</v>
      </c>
      <c r="V991">
        <v>1</v>
      </c>
      <c r="W991" t="s">
        <v>132</v>
      </c>
      <c r="X991">
        <v>0</v>
      </c>
    </row>
    <row r="992" spans="1:24" x14ac:dyDescent="0.25">
      <c r="A992">
        <v>1</v>
      </c>
      <c r="B992" s="13">
        <v>590920300327</v>
      </c>
      <c r="C992">
        <v>70</v>
      </c>
      <c r="D992" s="13">
        <v>1022213</v>
      </c>
      <c r="F992" t="s">
        <v>130</v>
      </c>
      <c r="G992">
        <v>0</v>
      </c>
      <c r="H992">
        <v>100</v>
      </c>
      <c r="K992">
        <v>5.5919999999999996</v>
      </c>
      <c r="L992" t="s">
        <v>131</v>
      </c>
      <c r="M992" s="50">
        <v>44875</v>
      </c>
      <c r="N992" s="50">
        <v>2958465</v>
      </c>
      <c r="P992">
        <v>0</v>
      </c>
      <c r="U992">
        <v>4</v>
      </c>
      <c r="V992">
        <v>1</v>
      </c>
      <c r="W992" t="s">
        <v>132</v>
      </c>
      <c r="X992">
        <v>0</v>
      </c>
    </row>
    <row r="993" spans="1:24" x14ac:dyDescent="0.25">
      <c r="A993">
        <v>1</v>
      </c>
      <c r="B993" s="13">
        <v>590920300327</v>
      </c>
      <c r="C993">
        <v>80</v>
      </c>
      <c r="D993" s="13">
        <v>18102165627</v>
      </c>
      <c r="F993" t="s">
        <v>130</v>
      </c>
      <c r="G993">
        <v>0</v>
      </c>
      <c r="H993">
        <v>100</v>
      </c>
      <c r="K993">
        <v>1</v>
      </c>
      <c r="L993" t="s">
        <v>131</v>
      </c>
      <c r="M993" s="50">
        <v>44875</v>
      </c>
      <c r="N993" s="50">
        <v>2958465</v>
      </c>
      <c r="P993">
        <v>0</v>
      </c>
      <c r="U993">
        <v>4</v>
      </c>
      <c r="V993">
        <v>1</v>
      </c>
      <c r="W993" t="s">
        <v>132</v>
      </c>
      <c r="X993">
        <v>0</v>
      </c>
    </row>
    <row r="994" spans="1:24" x14ac:dyDescent="0.25">
      <c r="A994">
        <v>1</v>
      </c>
      <c r="B994" s="13">
        <v>590920300427</v>
      </c>
      <c r="C994">
        <v>10</v>
      </c>
      <c r="D994" s="13">
        <v>5957163004</v>
      </c>
      <c r="F994" t="s">
        <v>130</v>
      </c>
      <c r="G994">
        <v>0</v>
      </c>
      <c r="H994">
        <v>100</v>
      </c>
      <c r="K994">
        <v>2</v>
      </c>
      <c r="L994" t="s">
        <v>131</v>
      </c>
      <c r="M994" s="50">
        <v>44875</v>
      </c>
      <c r="N994" s="50">
        <v>2958465</v>
      </c>
      <c r="P994">
        <v>0</v>
      </c>
      <c r="U994">
        <v>4</v>
      </c>
      <c r="V994">
        <v>1</v>
      </c>
      <c r="W994" t="s">
        <v>132</v>
      </c>
      <c r="X994">
        <v>0</v>
      </c>
    </row>
    <row r="995" spans="1:24" x14ac:dyDescent="0.25">
      <c r="A995">
        <v>1</v>
      </c>
      <c r="B995" s="13">
        <v>590920300427</v>
      </c>
      <c r="C995">
        <v>20</v>
      </c>
      <c r="D995" s="13">
        <v>5957333004</v>
      </c>
      <c r="F995" t="s">
        <v>130</v>
      </c>
      <c r="G995">
        <v>0</v>
      </c>
      <c r="H995">
        <v>100</v>
      </c>
      <c r="K995">
        <v>1</v>
      </c>
      <c r="L995" t="s">
        <v>131</v>
      </c>
      <c r="M995" s="50">
        <v>44875</v>
      </c>
      <c r="N995" s="50">
        <v>2958465</v>
      </c>
      <c r="P995">
        <v>0</v>
      </c>
      <c r="U995">
        <v>4</v>
      </c>
      <c r="V995">
        <v>1</v>
      </c>
      <c r="W995" t="s">
        <v>132</v>
      </c>
      <c r="X995">
        <v>0</v>
      </c>
    </row>
    <row r="996" spans="1:24" x14ac:dyDescent="0.25">
      <c r="A996">
        <v>1</v>
      </c>
      <c r="B996" s="13">
        <v>590920300427</v>
      </c>
      <c r="C996">
        <v>30</v>
      </c>
      <c r="D996" s="13">
        <v>5957303004</v>
      </c>
      <c r="F996" t="s">
        <v>130</v>
      </c>
      <c r="G996">
        <v>0</v>
      </c>
      <c r="H996">
        <v>100</v>
      </c>
      <c r="K996">
        <v>1</v>
      </c>
      <c r="L996" t="s">
        <v>131</v>
      </c>
      <c r="M996" s="50">
        <v>44875</v>
      </c>
      <c r="N996" s="50">
        <v>2958465</v>
      </c>
      <c r="P996">
        <v>0</v>
      </c>
      <c r="U996">
        <v>4</v>
      </c>
      <c r="V996">
        <v>1</v>
      </c>
      <c r="W996" t="s">
        <v>132</v>
      </c>
      <c r="X996">
        <v>0</v>
      </c>
    </row>
    <row r="997" spans="1:24" x14ac:dyDescent="0.25">
      <c r="A997">
        <v>1</v>
      </c>
      <c r="B997" s="13">
        <v>590920300427</v>
      </c>
      <c r="C997">
        <v>40</v>
      </c>
      <c r="D997" s="13">
        <v>5957093004</v>
      </c>
      <c r="F997" t="s">
        <v>130</v>
      </c>
      <c r="G997">
        <v>0</v>
      </c>
      <c r="H997">
        <v>100</v>
      </c>
      <c r="K997">
        <v>1</v>
      </c>
      <c r="L997" t="s">
        <v>131</v>
      </c>
      <c r="M997" s="50">
        <v>44875</v>
      </c>
      <c r="N997" s="50">
        <v>2958465</v>
      </c>
      <c r="P997">
        <v>0</v>
      </c>
      <c r="U997">
        <v>4</v>
      </c>
      <c r="V997">
        <v>1</v>
      </c>
      <c r="W997" t="s">
        <v>132</v>
      </c>
      <c r="X997">
        <v>0</v>
      </c>
    </row>
    <row r="998" spans="1:24" x14ac:dyDescent="0.25">
      <c r="A998">
        <v>1</v>
      </c>
      <c r="B998" s="13">
        <v>590920300427</v>
      </c>
      <c r="C998">
        <v>50</v>
      </c>
      <c r="D998" s="13">
        <v>1018034</v>
      </c>
      <c r="F998" t="s">
        <v>130</v>
      </c>
      <c r="G998">
        <v>0</v>
      </c>
      <c r="H998">
        <v>100</v>
      </c>
      <c r="K998">
        <v>4</v>
      </c>
      <c r="L998" t="s">
        <v>131</v>
      </c>
      <c r="M998" s="50">
        <v>44875</v>
      </c>
      <c r="N998" s="50">
        <v>2958465</v>
      </c>
      <c r="P998">
        <v>0</v>
      </c>
      <c r="U998">
        <v>4</v>
      </c>
      <c r="V998">
        <v>1</v>
      </c>
      <c r="W998" t="s">
        <v>132</v>
      </c>
      <c r="X998">
        <v>0</v>
      </c>
    </row>
    <row r="999" spans="1:24" x14ac:dyDescent="0.25">
      <c r="A999">
        <v>1</v>
      </c>
      <c r="B999" s="13">
        <v>590920300427</v>
      </c>
      <c r="C999">
        <v>60</v>
      </c>
      <c r="D999" s="13">
        <v>1022356</v>
      </c>
      <c r="F999" t="s">
        <v>130</v>
      </c>
      <c r="G999">
        <v>0</v>
      </c>
      <c r="H999">
        <v>100</v>
      </c>
      <c r="K999">
        <v>10</v>
      </c>
      <c r="L999" t="s">
        <v>131</v>
      </c>
      <c r="M999" s="50">
        <v>44875</v>
      </c>
      <c r="N999" s="50">
        <v>2958465</v>
      </c>
      <c r="P999">
        <v>0</v>
      </c>
      <c r="U999">
        <v>4</v>
      </c>
      <c r="V999">
        <v>1</v>
      </c>
      <c r="W999" t="s">
        <v>132</v>
      </c>
      <c r="X999">
        <v>0</v>
      </c>
    </row>
    <row r="1000" spans="1:24" x14ac:dyDescent="0.25">
      <c r="A1000">
        <v>1</v>
      </c>
      <c r="B1000" s="13">
        <v>590920300427</v>
      </c>
      <c r="C1000">
        <v>70</v>
      </c>
      <c r="D1000" s="13">
        <v>1022213</v>
      </c>
      <c r="F1000" t="s">
        <v>130</v>
      </c>
      <c r="G1000">
        <v>0</v>
      </c>
      <c r="H1000">
        <v>100</v>
      </c>
      <c r="K1000">
        <v>5.5919999999999996</v>
      </c>
      <c r="L1000" t="s">
        <v>131</v>
      </c>
      <c r="M1000" s="50">
        <v>44875</v>
      </c>
      <c r="N1000" s="50">
        <v>2958465</v>
      </c>
      <c r="P1000">
        <v>0</v>
      </c>
      <c r="U1000">
        <v>4</v>
      </c>
      <c r="V1000">
        <v>1</v>
      </c>
      <c r="W1000" t="s">
        <v>132</v>
      </c>
      <c r="X1000">
        <v>0</v>
      </c>
    </row>
    <row r="1001" spans="1:24" x14ac:dyDescent="0.25">
      <c r="A1001">
        <v>1</v>
      </c>
      <c r="B1001" s="13">
        <v>590920300427</v>
      </c>
      <c r="C1001">
        <v>80</v>
      </c>
      <c r="D1001" s="13">
        <v>18102165627</v>
      </c>
      <c r="F1001" t="s">
        <v>130</v>
      </c>
      <c r="G1001">
        <v>0</v>
      </c>
      <c r="H1001">
        <v>100</v>
      </c>
      <c r="K1001">
        <v>1</v>
      </c>
      <c r="L1001" t="s">
        <v>131</v>
      </c>
      <c r="M1001" s="50">
        <v>44875</v>
      </c>
      <c r="N1001" s="50">
        <v>2958465</v>
      </c>
      <c r="P1001">
        <v>0</v>
      </c>
      <c r="U1001">
        <v>4</v>
      </c>
      <c r="V1001">
        <v>1</v>
      </c>
      <c r="W1001" t="s">
        <v>132</v>
      </c>
      <c r="X1001">
        <v>0</v>
      </c>
    </row>
    <row r="1002" spans="1:24" x14ac:dyDescent="0.25">
      <c r="A1002">
        <v>1</v>
      </c>
      <c r="B1002" s="13">
        <v>590920300527</v>
      </c>
      <c r="C1002">
        <v>10</v>
      </c>
      <c r="D1002" s="13">
        <v>5957163005</v>
      </c>
      <c r="F1002" t="s">
        <v>130</v>
      </c>
      <c r="G1002">
        <v>0</v>
      </c>
      <c r="H1002">
        <v>100</v>
      </c>
      <c r="K1002">
        <v>2</v>
      </c>
      <c r="L1002" t="s">
        <v>131</v>
      </c>
      <c r="M1002" s="50">
        <v>44875</v>
      </c>
      <c r="N1002" s="50">
        <v>2958465</v>
      </c>
      <c r="P1002">
        <v>0</v>
      </c>
      <c r="U1002">
        <v>4</v>
      </c>
      <c r="V1002">
        <v>1</v>
      </c>
      <c r="W1002" t="s">
        <v>132</v>
      </c>
      <c r="X1002">
        <v>0</v>
      </c>
    </row>
    <row r="1003" spans="1:24" x14ac:dyDescent="0.25">
      <c r="A1003">
        <v>1</v>
      </c>
      <c r="B1003" s="13">
        <v>590920300527</v>
      </c>
      <c r="C1003">
        <v>20</v>
      </c>
      <c r="D1003" s="13">
        <v>5957333005</v>
      </c>
      <c r="F1003" t="s">
        <v>130</v>
      </c>
      <c r="G1003">
        <v>0</v>
      </c>
      <c r="H1003">
        <v>100</v>
      </c>
      <c r="K1003">
        <v>1</v>
      </c>
      <c r="L1003" t="s">
        <v>131</v>
      </c>
      <c r="M1003" s="50">
        <v>44875</v>
      </c>
      <c r="N1003" s="50">
        <v>2958465</v>
      </c>
      <c r="P1003">
        <v>0</v>
      </c>
      <c r="U1003">
        <v>4</v>
      </c>
      <c r="V1003">
        <v>1</v>
      </c>
      <c r="W1003" t="s">
        <v>132</v>
      </c>
      <c r="X1003">
        <v>0</v>
      </c>
    </row>
    <row r="1004" spans="1:24" x14ac:dyDescent="0.25">
      <c r="A1004">
        <v>1</v>
      </c>
      <c r="B1004" s="13">
        <v>590920300527</v>
      </c>
      <c r="C1004">
        <v>30</v>
      </c>
      <c r="D1004" s="13">
        <v>5957303005</v>
      </c>
      <c r="F1004" t="s">
        <v>130</v>
      </c>
      <c r="G1004">
        <v>0</v>
      </c>
      <c r="H1004">
        <v>100</v>
      </c>
      <c r="K1004">
        <v>1</v>
      </c>
      <c r="L1004" t="s">
        <v>131</v>
      </c>
      <c r="M1004" s="50">
        <v>44875</v>
      </c>
      <c r="N1004" s="50">
        <v>2958465</v>
      </c>
      <c r="P1004">
        <v>0</v>
      </c>
      <c r="U1004">
        <v>4</v>
      </c>
      <c r="V1004">
        <v>1</v>
      </c>
      <c r="W1004" t="s">
        <v>132</v>
      </c>
      <c r="X1004">
        <v>0</v>
      </c>
    </row>
    <row r="1005" spans="1:24" x14ac:dyDescent="0.25">
      <c r="A1005">
        <v>1</v>
      </c>
      <c r="B1005" s="13">
        <v>590920300527</v>
      </c>
      <c r="C1005">
        <v>40</v>
      </c>
      <c r="D1005" s="13">
        <v>5957093005</v>
      </c>
      <c r="F1005" t="s">
        <v>130</v>
      </c>
      <c r="G1005">
        <v>0</v>
      </c>
      <c r="H1005">
        <v>100</v>
      </c>
      <c r="K1005">
        <v>1</v>
      </c>
      <c r="L1005" t="s">
        <v>131</v>
      </c>
      <c r="M1005" s="50">
        <v>44875</v>
      </c>
      <c r="N1005" s="50">
        <v>2958465</v>
      </c>
      <c r="P1005">
        <v>0</v>
      </c>
      <c r="U1005">
        <v>4</v>
      </c>
      <c r="V1005">
        <v>1</v>
      </c>
      <c r="W1005" t="s">
        <v>132</v>
      </c>
      <c r="X1005">
        <v>0</v>
      </c>
    </row>
    <row r="1006" spans="1:24" x14ac:dyDescent="0.25">
      <c r="A1006">
        <v>1</v>
      </c>
      <c r="B1006" s="13">
        <v>590920300527</v>
      </c>
      <c r="C1006">
        <v>50</v>
      </c>
      <c r="D1006" s="13">
        <v>1018034</v>
      </c>
      <c r="F1006" t="s">
        <v>130</v>
      </c>
      <c r="G1006">
        <v>0</v>
      </c>
      <c r="H1006">
        <v>100</v>
      </c>
      <c r="K1006">
        <v>4</v>
      </c>
      <c r="L1006" t="s">
        <v>131</v>
      </c>
      <c r="M1006" s="50">
        <v>44875</v>
      </c>
      <c r="N1006" s="50">
        <v>2958465</v>
      </c>
      <c r="P1006">
        <v>0</v>
      </c>
      <c r="U1006">
        <v>4</v>
      </c>
      <c r="V1006">
        <v>1</v>
      </c>
      <c r="W1006" t="s">
        <v>132</v>
      </c>
      <c r="X1006">
        <v>0</v>
      </c>
    </row>
    <row r="1007" spans="1:24" x14ac:dyDescent="0.25">
      <c r="A1007">
        <v>1</v>
      </c>
      <c r="B1007" s="13">
        <v>590920300527</v>
      </c>
      <c r="C1007">
        <v>60</v>
      </c>
      <c r="D1007" s="13">
        <v>1022356</v>
      </c>
      <c r="F1007" t="s">
        <v>130</v>
      </c>
      <c r="G1007">
        <v>0</v>
      </c>
      <c r="H1007">
        <v>100</v>
      </c>
      <c r="K1007">
        <v>10</v>
      </c>
      <c r="L1007" t="s">
        <v>131</v>
      </c>
      <c r="M1007" s="50">
        <v>44875</v>
      </c>
      <c r="N1007" s="50">
        <v>2958465</v>
      </c>
      <c r="P1007">
        <v>0</v>
      </c>
      <c r="U1007">
        <v>4</v>
      </c>
      <c r="V1007">
        <v>1</v>
      </c>
      <c r="W1007" t="s">
        <v>132</v>
      </c>
      <c r="X1007">
        <v>0</v>
      </c>
    </row>
    <row r="1008" spans="1:24" x14ac:dyDescent="0.25">
      <c r="A1008">
        <v>1</v>
      </c>
      <c r="B1008" s="13">
        <v>590920300527</v>
      </c>
      <c r="C1008">
        <v>70</v>
      </c>
      <c r="D1008" s="13">
        <v>1022213</v>
      </c>
      <c r="F1008" t="s">
        <v>130</v>
      </c>
      <c r="G1008">
        <v>0</v>
      </c>
      <c r="H1008">
        <v>100</v>
      </c>
      <c r="K1008">
        <v>5.5919999999999996</v>
      </c>
      <c r="L1008" t="s">
        <v>131</v>
      </c>
      <c r="M1008" s="50">
        <v>44875</v>
      </c>
      <c r="N1008" s="50">
        <v>2958465</v>
      </c>
      <c r="P1008">
        <v>0</v>
      </c>
      <c r="U1008">
        <v>4</v>
      </c>
      <c r="V1008">
        <v>1</v>
      </c>
      <c r="W1008" t="s">
        <v>132</v>
      </c>
      <c r="X1008">
        <v>0</v>
      </c>
    </row>
    <row r="1009" spans="1:24" x14ac:dyDescent="0.25">
      <c r="A1009">
        <v>1</v>
      </c>
      <c r="B1009" s="13">
        <v>590920300527</v>
      </c>
      <c r="C1009">
        <v>80</v>
      </c>
      <c r="D1009" s="13">
        <v>18102165627</v>
      </c>
      <c r="F1009" t="s">
        <v>130</v>
      </c>
      <c r="G1009">
        <v>0</v>
      </c>
      <c r="H1009">
        <v>100</v>
      </c>
      <c r="K1009">
        <v>1</v>
      </c>
      <c r="L1009" t="s">
        <v>131</v>
      </c>
      <c r="M1009" s="50">
        <v>44875</v>
      </c>
      <c r="N1009" s="50">
        <v>2958465</v>
      </c>
      <c r="P1009">
        <v>0</v>
      </c>
      <c r="U1009">
        <v>4</v>
      </c>
      <c r="V1009">
        <v>1</v>
      </c>
      <c r="W1009" t="s">
        <v>132</v>
      </c>
      <c r="X1009">
        <v>0</v>
      </c>
    </row>
    <row r="1010" spans="1:24" x14ac:dyDescent="0.25">
      <c r="A1010">
        <v>1</v>
      </c>
      <c r="B1010" s="13">
        <v>590920300627</v>
      </c>
      <c r="C1010">
        <v>10</v>
      </c>
      <c r="D1010" s="13">
        <v>5957163006</v>
      </c>
      <c r="F1010" t="s">
        <v>130</v>
      </c>
      <c r="G1010">
        <v>0</v>
      </c>
      <c r="H1010">
        <v>100</v>
      </c>
      <c r="K1010">
        <v>2</v>
      </c>
      <c r="L1010" t="s">
        <v>131</v>
      </c>
      <c r="M1010" s="50">
        <v>44875</v>
      </c>
      <c r="N1010" s="50">
        <v>2958465</v>
      </c>
      <c r="P1010">
        <v>0</v>
      </c>
      <c r="U1010">
        <v>4</v>
      </c>
      <c r="V1010">
        <v>1</v>
      </c>
      <c r="W1010" t="s">
        <v>132</v>
      </c>
      <c r="X1010">
        <v>0</v>
      </c>
    </row>
    <row r="1011" spans="1:24" x14ac:dyDescent="0.25">
      <c r="A1011">
        <v>1</v>
      </c>
      <c r="B1011" s="13">
        <v>590920300627</v>
      </c>
      <c r="C1011">
        <v>20</v>
      </c>
      <c r="D1011" s="13">
        <v>5957333006</v>
      </c>
      <c r="F1011" t="s">
        <v>130</v>
      </c>
      <c r="G1011">
        <v>0</v>
      </c>
      <c r="H1011">
        <v>100</v>
      </c>
      <c r="K1011">
        <v>1</v>
      </c>
      <c r="L1011" t="s">
        <v>131</v>
      </c>
      <c r="M1011" s="50">
        <v>44875</v>
      </c>
      <c r="N1011" s="50">
        <v>2958465</v>
      </c>
      <c r="P1011">
        <v>0</v>
      </c>
      <c r="U1011">
        <v>4</v>
      </c>
      <c r="V1011">
        <v>1</v>
      </c>
      <c r="W1011" t="s">
        <v>132</v>
      </c>
      <c r="X1011">
        <v>0</v>
      </c>
    </row>
    <row r="1012" spans="1:24" x14ac:dyDescent="0.25">
      <c r="A1012">
        <v>1</v>
      </c>
      <c r="B1012" s="13">
        <v>590920300627</v>
      </c>
      <c r="C1012">
        <v>30</v>
      </c>
      <c r="D1012" s="13">
        <v>5957303006</v>
      </c>
      <c r="F1012" t="s">
        <v>130</v>
      </c>
      <c r="G1012">
        <v>0</v>
      </c>
      <c r="H1012">
        <v>100</v>
      </c>
      <c r="K1012">
        <v>1</v>
      </c>
      <c r="L1012" t="s">
        <v>131</v>
      </c>
      <c r="M1012" s="50">
        <v>44875</v>
      </c>
      <c r="N1012" s="50">
        <v>2958465</v>
      </c>
      <c r="P1012">
        <v>0</v>
      </c>
      <c r="U1012">
        <v>4</v>
      </c>
      <c r="V1012">
        <v>1</v>
      </c>
      <c r="W1012" t="s">
        <v>132</v>
      </c>
      <c r="X1012">
        <v>0</v>
      </c>
    </row>
    <row r="1013" spans="1:24" x14ac:dyDescent="0.25">
      <c r="A1013">
        <v>1</v>
      </c>
      <c r="B1013" s="13">
        <v>590920300627</v>
      </c>
      <c r="C1013">
        <v>40</v>
      </c>
      <c r="D1013" s="13">
        <v>5957093006</v>
      </c>
      <c r="F1013" t="s">
        <v>130</v>
      </c>
      <c r="G1013">
        <v>0</v>
      </c>
      <c r="H1013">
        <v>100</v>
      </c>
      <c r="K1013">
        <v>1</v>
      </c>
      <c r="L1013" t="s">
        <v>131</v>
      </c>
      <c r="M1013" s="50">
        <v>44875</v>
      </c>
      <c r="N1013" s="50">
        <v>2958465</v>
      </c>
      <c r="P1013">
        <v>0</v>
      </c>
      <c r="U1013">
        <v>4</v>
      </c>
      <c r="V1013">
        <v>1</v>
      </c>
      <c r="W1013" t="s">
        <v>132</v>
      </c>
      <c r="X1013">
        <v>0</v>
      </c>
    </row>
    <row r="1014" spans="1:24" x14ac:dyDescent="0.25">
      <c r="A1014">
        <v>1</v>
      </c>
      <c r="B1014" s="13">
        <v>590920300627</v>
      </c>
      <c r="C1014">
        <v>50</v>
      </c>
      <c r="D1014" s="13">
        <v>1018034</v>
      </c>
      <c r="F1014" t="s">
        <v>130</v>
      </c>
      <c r="G1014">
        <v>0</v>
      </c>
      <c r="H1014">
        <v>100</v>
      </c>
      <c r="K1014">
        <v>4</v>
      </c>
      <c r="L1014" t="s">
        <v>131</v>
      </c>
      <c r="M1014" s="50">
        <v>44875</v>
      </c>
      <c r="N1014" s="50">
        <v>2958465</v>
      </c>
      <c r="P1014">
        <v>0</v>
      </c>
      <c r="U1014">
        <v>4</v>
      </c>
      <c r="V1014">
        <v>1</v>
      </c>
      <c r="W1014" t="s">
        <v>132</v>
      </c>
      <c r="X1014">
        <v>0</v>
      </c>
    </row>
    <row r="1015" spans="1:24" x14ac:dyDescent="0.25">
      <c r="A1015">
        <v>1</v>
      </c>
      <c r="B1015" s="13">
        <v>590920300627</v>
      </c>
      <c r="C1015">
        <v>60</v>
      </c>
      <c r="D1015" s="13">
        <v>1018359</v>
      </c>
      <c r="F1015" t="s">
        <v>130</v>
      </c>
      <c r="G1015">
        <v>0</v>
      </c>
      <c r="H1015">
        <v>100</v>
      </c>
      <c r="K1015">
        <v>10</v>
      </c>
      <c r="L1015" t="s">
        <v>131</v>
      </c>
      <c r="M1015" s="50">
        <v>44875</v>
      </c>
      <c r="N1015" s="50">
        <v>2958465</v>
      </c>
      <c r="P1015">
        <v>0</v>
      </c>
      <c r="U1015">
        <v>4</v>
      </c>
      <c r="V1015">
        <v>1</v>
      </c>
      <c r="W1015" t="s">
        <v>132</v>
      </c>
      <c r="X1015">
        <v>0</v>
      </c>
    </row>
    <row r="1016" spans="1:24" x14ac:dyDescent="0.25">
      <c r="A1016">
        <v>1</v>
      </c>
      <c r="B1016" s="13">
        <v>590920300627</v>
      </c>
      <c r="C1016">
        <v>70</v>
      </c>
      <c r="D1016" s="13">
        <v>1022213</v>
      </c>
      <c r="F1016" t="s">
        <v>130</v>
      </c>
      <c r="G1016">
        <v>0</v>
      </c>
      <c r="H1016">
        <v>100</v>
      </c>
      <c r="K1016">
        <v>5.5919999999999996</v>
      </c>
      <c r="L1016" t="s">
        <v>131</v>
      </c>
      <c r="M1016" s="50">
        <v>44875</v>
      </c>
      <c r="N1016" s="50">
        <v>2958465</v>
      </c>
      <c r="P1016">
        <v>0</v>
      </c>
      <c r="U1016">
        <v>4</v>
      </c>
      <c r="V1016">
        <v>1</v>
      </c>
      <c r="W1016" t="s">
        <v>132</v>
      </c>
      <c r="X1016">
        <v>0</v>
      </c>
    </row>
    <row r="1017" spans="1:24" x14ac:dyDescent="0.25">
      <c r="A1017">
        <v>1</v>
      </c>
      <c r="B1017" s="13">
        <v>590920300627</v>
      </c>
      <c r="C1017">
        <v>80</v>
      </c>
      <c r="D1017" s="13">
        <v>18102165627</v>
      </c>
      <c r="F1017" t="s">
        <v>130</v>
      </c>
      <c r="G1017">
        <v>0</v>
      </c>
      <c r="H1017">
        <v>100</v>
      </c>
      <c r="K1017">
        <v>1</v>
      </c>
      <c r="L1017" t="s">
        <v>131</v>
      </c>
      <c r="M1017" s="50">
        <v>44875</v>
      </c>
      <c r="N1017" s="50">
        <v>2958465</v>
      </c>
      <c r="P1017">
        <v>0</v>
      </c>
      <c r="U1017">
        <v>4</v>
      </c>
      <c r="V1017">
        <v>1</v>
      </c>
      <c r="W1017" t="s">
        <v>132</v>
      </c>
      <c r="X1017">
        <v>0</v>
      </c>
    </row>
    <row r="1018" spans="1:24" x14ac:dyDescent="0.25">
      <c r="A1018">
        <v>1</v>
      </c>
      <c r="B1018" s="13">
        <v>590920300727</v>
      </c>
      <c r="C1018">
        <v>10</v>
      </c>
      <c r="D1018" s="13">
        <v>5957163007</v>
      </c>
      <c r="F1018" t="s">
        <v>130</v>
      </c>
      <c r="G1018">
        <v>0</v>
      </c>
      <c r="H1018">
        <v>100</v>
      </c>
      <c r="K1018">
        <v>2</v>
      </c>
      <c r="L1018" t="s">
        <v>131</v>
      </c>
      <c r="M1018" s="50">
        <v>44875</v>
      </c>
      <c r="N1018" s="50">
        <v>2958465</v>
      </c>
      <c r="P1018">
        <v>0</v>
      </c>
      <c r="U1018">
        <v>4</v>
      </c>
      <c r="V1018">
        <v>1</v>
      </c>
      <c r="W1018" t="s">
        <v>132</v>
      </c>
      <c r="X1018">
        <v>0</v>
      </c>
    </row>
    <row r="1019" spans="1:24" x14ac:dyDescent="0.25">
      <c r="A1019">
        <v>1</v>
      </c>
      <c r="B1019" s="13">
        <v>590920300727</v>
      </c>
      <c r="C1019">
        <v>20</v>
      </c>
      <c r="D1019" s="13">
        <v>5957333007</v>
      </c>
      <c r="F1019" t="s">
        <v>130</v>
      </c>
      <c r="G1019">
        <v>0</v>
      </c>
      <c r="H1019">
        <v>100</v>
      </c>
      <c r="K1019">
        <v>1</v>
      </c>
      <c r="L1019" t="s">
        <v>131</v>
      </c>
      <c r="M1019" s="50">
        <v>44875</v>
      </c>
      <c r="N1019" s="50">
        <v>2958465</v>
      </c>
      <c r="P1019">
        <v>0</v>
      </c>
      <c r="U1019">
        <v>4</v>
      </c>
      <c r="V1019">
        <v>1</v>
      </c>
      <c r="W1019" t="s">
        <v>132</v>
      </c>
      <c r="X1019">
        <v>0</v>
      </c>
    </row>
    <row r="1020" spans="1:24" x14ac:dyDescent="0.25">
      <c r="A1020">
        <v>1</v>
      </c>
      <c r="B1020" s="13">
        <v>590920300727</v>
      </c>
      <c r="C1020">
        <v>30</v>
      </c>
      <c r="D1020" s="13">
        <v>5957303007</v>
      </c>
      <c r="F1020" t="s">
        <v>130</v>
      </c>
      <c r="G1020">
        <v>0</v>
      </c>
      <c r="H1020">
        <v>100</v>
      </c>
      <c r="K1020">
        <v>1</v>
      </c>
      <c r="L1020" t="s">
        <v>131</v>
      </c>
      <c r="M1020" s="50">
        <v>44875</v>
      </c>
      <c r="N1020" s="50">
        <v>2958465</v>
      </c>
      <c r="P1020">
        <v>0</v>
      </c>
      <c r="U1020">
        <v>4</v>
      </c>
      <c r="V1020">
        <v>1</v>
      </c>
      <c r="W1020" t="s">
        <v>132</v>
      </c>
      <c r="X1020">
        <v>0</v>
      </c>
    </row>
    <row r="1021" spans="1:24" x14ac:dyDescent="0.25">
      <c r="A1021">
        <v>1</v>
      </c>
      <c r="B1021" s="13">
        <v>590920300727</v>
      </c>
      <c r="C1021">
        <v>40</v>
      </c>
      <c r="D1021" s="13">
        <v>5957093007</v>
      </c>
      <c r="F1021" t="s">
        <v>130</v>
      </c>
      <c r="G1021">
        <v>0</v>
      </c>
      <c r="H1021">
        <v>100</v>
      </c>
      <c r="K1021">
        <v>1</v>
      </c>
      <c r="L1021" t="s">
        <v>131</v>
      </c>
      <c r="M1021" s="50">
        <v>44875</v>
      </c>
      <c r="N1021" s="50">
        <v>2958465</v>
      </c>
      <c r="P1021">
        <v>0</v>
      </c>
      <c r="U1021">
        <v>4</v>
      </c>
      <c r="V1021">
        <v>1</v>
      </c>
      <c r="W1021" t="s">
        <v>132</v>
      </c>
      <c r="X1021">
        <v>0</v>
      </c>
    </row>
    <row r="1022" spans="1:24" x14ac:dyDescent="0.25">
      <c r="A1022">
        <v>1</v>
      </c>
      <c r="B1022" s="13">
        <v>590920300727</v>
      </c>
      <c r="C1022">
        <v>50</v>
      </c>
      <c r="D1022" s="13">
        <v>1018034</v>
      </c>
      <c r="F1022" t="s">
        <v>130</v>
      </c>
      <c r="G1022">
        <v>0</v>
      </c>
      <c r="H1022">
        <v>100</v>
      </c>
      <c r="K1022">
        <v>4</v>
      </c>
      <c r="L1022" t="s">
        <v>131</v>
      </c>
      <c r="M1022" s="50">
        <v>44875</v>
      </c>
      <c r="N1022" s="50">
        <v>2958465</v>
      </c>
      <c r="P1022">
        <v>0</v>
      </c>
      <c r="U1022">
        <v>4</v>
      </c>
      <c r="V1022">
        <v>1</v>
      </c>
      <c r="W1022" t="s">
        <v>132</v>
      </c>
      <c r="X1022">
        <v>0</v>
      </c>
    </row>
    <row r="1023" spans="1:24" x14ac:dyDescent="0.25">
      <c r="A1023">
        <v>1</v>
      </c>
      <c r="B1023" s="13">
        <v>590920300727</v>
      </c>
      <c r="C1023">
        <v>60</v>
      </c>
      <c r="D1023" s="13">
        <v>1018359</v>
      </c>
      <c r="F1023" t="s">
        <v>130</v>
      </c>
      <c r="G1023">
        <v>0</v>
      </c>
      <c r="H1023">
        <v>100</v>
      </c>
      <c r="K1023">
        <v>10</v>
      </c>
      <c r="L1023" t="s">
        <v>131</v>
      </c>
      <c r="M1023" s="50">
        <v>44875</v>
      </c>
      <c r="N1023" s="50">
        <v>2958465</v>
      </c>
      <c r="P1023">
        <v>0</v>
      </c>
      <c r="U1023">
        <v>4</v>
      </c>
      <c r="V1023">
        <v>1</v>
      </c>
      <c r="W1023" t="s">
        <v>132</v>
      </c>
      <c r="X1023">
        <v>0</v>
      </c>
    </row>
    <row r="1024" spans="1:24" x14ac:dyDescent="0.25">
      <c r="A1024">
        <v>1</v>
      </c>
      <c r="B1024" s="13">
        <v>590920300727</v>
      </c>
      <c r="C1024">
        <v>70</v>
      </c>
      <c r="D1024" s="13">
        <v>1022213</v>
      </c>
      <c r="F1024" t="s">
        <v>130</v>
      </c>
      <c r="G1024">
        <v>0</v>
      </c>
      <c r="H1024">
        <v>100</v>
      </c>
      <c r="K1024">
        <v>5.5919999999999996</v>
      </c>
      <c r="L1024" t="s">
        <v>131</v>
      </c>
      <c r="M1024" s="50">
        <v>44875</v>
      </c>
      <c r="N1024" s="50">
        <v>2958465</v>
      </c>
      <c r="P1024">
        <v>0</v>
      </c>
      <c r="U1024">
        <v>4</v>
      </c>
      <c r="V1024">
        <v>1</v>
      </c>
      <c r="W1024" t="s">
        <v>132</v>
      </c>
      <c r="X1024">
        <v>0</v>
      </c>
    </row>
    <row r="1025" spans="1:24" x14ac:dyDescent="0.25">
      <c r="A1025">
        <v>1</v>
      </c>
      <c r="B1025" s="13">
        <v>590920300727</v>
      </c>
      <c r="C1025">
        <v>80</v>
      </c>
      <c r="D1025" s="13">
        <v>18102165627</v>
      </c>
      <c r="F1025" t="s">
        <v>130</v>
      </c>
      <c r="G1025">
        <v>0</v>
      </c>
      <c r="H1025">
        <v>100</v>
      </c>
      <c r="K1025">
        <v>1</v>
      </c>
      <c r="L1025" t="s">
        <v>131</v>
      </c>
      <c r="M1025" s="50">
        <v>44875</v>
      </c>
      <c r="N1025" s="50">
        <v>2958465</v>
      </c>
      <c r="P1025">
        <v>0</v>
      </c>
      <c r="U1025">
        <v>4</v>
      </c>
      <c r="V1025">
        <v>1</v>
      </c>
      <c r="W1025" t="s">
        <v>132</v>
      </c>
      <c r="X1025">
        <v>0</v>
      </c>
    </row>
    <row r="1026" spans="1:24" x14ac:dyDescent="0.25">
      <c r="A1026">
        <v>1</v>
      </c>
      <c r="B1026" s="13">
        <v>590920300827</v>
      </c>
      <c r="C1026">
        <v>10</v>
      </c>
      <c r="D1026" s="13">
        <v>5957163008</v>
      </c>
      <c r="F1026" t="s">
        <v>130</v>
      </c>
      <c r="G1026">
        <v>0</v>
      </c>
      <c r="H1026">
        <v>100</v>
      </c>
      <c r="K1026">
        <v>2</v>
      </c>
      <c r="L1026" t="s">
        <v>131</v>
      </c>
      <c r="M1026" s="50">
        <v>44875</v>
      </c>
      <c r="N1026" s="50">
        <v>2958465</v>
      </c>
      <c r="P1026">
        <v>0</v>
      </c>
      <c r="U1026">
        <v>4</v>
      </c>
      <c r="V1026">
        <v>1</v>
      </c>
      <c r="W1026" t="s">
        <v>132</v>
      </c>
      <c r="X1026">
        <v>0</v>
      </c>
    </row>
    <row r="1027" spans="1:24" x14ac:dyDescent="0.25">
      <c r="A1027">
        <v>1</v>
      </c>
      <c r="B1027" s="13">
        <v>590920300827</v>
      </c>
      <c r="C1027">
        <v>20</v>
      </c>
      <c r="D1027" s="13">
        <v>5957333008</v>
      </c>
      <c r="F1027" t="s">
        <v>130</v>
      </c>
      <c r="G1027">
        <v>0</v>
      </c>
      <c r="H1027">
        <v>100</v>
      </c>
      <c r="K1027">
        <v>1</v>
      </c>
      <c r="L1027" t="s">
        <v>131</v>
      </c>
      <c r="M1027" s="50">
        <v>44875</v>
      </c>
      <c r="N1027" s="50">
        <v>2958465</v>
      </c>
      <c r="P1027">
        <v>0</v>
      </c>
      <c r="U1027">
        <v>4</v>
      </c>
      <c r="V1027">
        <v>1</v>
      </c>
      <c r="W1027" t="s">
        <v>132</v>
      </c>
      <c r="X1027">
        <v>0</v>
      </c>
    </row>
    <row r="1028" spans="1:24" x14ac:dyDescent="0.25">
      <c r="A1028">
        <v>1</v>
      </c>
      <c r="B1028" s="13">
        <v>590920300827</v>
      </c>
      <c r="C1028">
        <v>30</v>
      </c>
      <c r="D1028" s="13">
        <v>5957303008</v>
      </c>
      <c r="F1028" t="s">
        <v>130</v>
      </c>
      <c r="G1028">
        <v>0</v>
      </c>
      <c r="H1028">
        <v>100</v>
      </c>
      <c r="K1028">
        <v>1</v>
      </c>
      <c r="L1028" t="s">
        <v>131</v>
      </c>
      <c r="M1028" s="50">
        <v>44875</v>
      </c>
      <c r="N1028" s="50">
        <v>2958465</v>
      </c>
      <c r="P1028">
        <v>0</v>
      </c>
      <c r="U1028">
        <v>4</v>
      </c>
      <c r="V1028">
        <v>1</v>
      </c>
      <c r="W1028" t="s">
        <v>132</v>
      </c>
      <c r="X1028">
        <v>0</v>
      </c>
    </row>
    <row r="1029" spans="1:24" x14ac:dyDescent="0.25">
      <c r="A1029">
        <v>1</v>
      </c>
      <c r="B1029" s="13">
        <v>590920300827</v>
      </c>
      <c r="C1029">
        <v>40</v>
      </c>
      <c r="D1029" s="13">
        <v>5957093008</v>
      </c>
      <c r="F1029" t="s">
        <v>130</v>
      </c>
      <c r="G1029">
        <v>0</v>
      </c>
      <c r="H1029">
        <v>100</v>
      </c>
      <c r="K1029">
        <v>1</v>
      </c>
      <c r="L1029" t="s">
        <v>131</v>
      </c>
      <c r="M1029" s="50">
        <v>44875</v>
      </c>
      <c r="N1029" s="50">
        <v>2958465</v>
      </c>
      <c r="P1029">
        <v>0</v>
      </c>
      <c r="U1029">
        <v>4</v>
      </c>
      <c r="V1029">
        <v>1</v>
      </c>
      <c r="W1029" t="s">
        <v>132</v>
      </c>
      <c r="X1029">
        <v>0</v>
      </c>
    </row>
    <row r="1030" spans="1:24" x14ac:dyDescent="0.25">
      <c r="A1030">
        <v>1</v>
      </c>
      <c r="B1030" s="13">
        <v>590920300827</v>
      </c>
      <c r="C1030">
        <v>50</v>
      </c>
      <c r="D1030" s="13">
        <v>1018034</v>
      </c>
      <c r="F1030" t="s">
        <v>130</v>
      </c>
      <c r="G1030">
        <v>0</v>
      </c>
      <c r="H1030">
        <v>100</v>
      </c>
      <c r="K1030">
        <v>4</v>
      </c>
      <c r="L1030" t="s">
        <v>131</v>
      </c>
      <c r="M1030" s="50">
        <v>44875</v>
      </c>
      <c r="N1030" s="50">
        <v>2958465</v>
      </c>
      <c r="P1030">
        <v>0</v>
      </c>
      <c r="U1030">
        <v>4</v>
      </c>
      <c r="V1030">
        <v>1</v>
      </c>
      <c r="W1030" t="s">
        <v>132</v>
      </c>
      <c r="X1030">
        <v>0</v>
      </c>
    </row>
    <row r="1031" spans="1:24" x14ac:dyDescent="0.25">
      <c r="A1031">
        <v>1</v>
      </c>
      <c r="B1031" s="13">
        <v>590920300827</v>
      </c>
      <c r="C1031">
        <v>60</v>
      </c>
      <c r="D1031" s="13">
        <v>1022356</v>
      </c>
      <c r="F1031" t="s">
        <v>130</v>
      </c>
      <c r="G1031">
        <v>0</v>
      </c>
      <c r="H1031">
        <v>100</v>
      </c>
      <c r="K1031">
        <v>10</v>
      </c>
      <c r="L1031" t="s">
        <v>131</v>
      </c>
      <c r="M1031" s="50">
        <v>44875</v>
      </c>
      <c r="N1031" s="50">
        <v>2958465</v>
      </c>
      <c r="P1031">
        <v>0</v>
      </c>
      <c r="U1031">
        <v>4</v>
      </c>
      <c r="V1031">
        <v>1</v>
      </c>
      <c r="W1031" t="s">
        <v>132</v>
      </c>
      <c r="X1031">
        <v>0</v>
      </c>
    </row>
    <row r="1032" spans="1:24" x14ac:dyDescent="0.25">
      <c r="A1032">
        <v>1</v>
      </c>
      <c r="B1032" s="13">
        <v>590920300827</v>
      </c>
      <c r="C1032">
        <v>70</v>
      </c>
      <c r="D1032" s="13">
        <v>1022213</v>
      </c>
      <c r="F1032" t="s">
        <v>130</v>
      </c>
      <c r="G1032">
        <v>0</v>
      </c>
      <c r="H1032">
        <v>100</v>
      </c>
      <c r="K1032">
        <v>5.5919999999999996</v>
      </c>
      <c r="L1032" t="s">
        <v>131</v>
      </c>
      <c r="M1032" s="50">
        <v>44875</v>
      </c>
      <c r="N1032" s="50">
        <v>2958465</v>
      </c>
      <c r="P1032">
        <v>0</v>
      </c>
      <c r="U1032">
        <v>4</v>
      </c>
      <c r="V1032">
        <v>1</v>
      </c>
      <c r="W1032" t="s">
        <v>132</v>
      </c>
      <c r="X1032">
        <v>0</v>
      </c>
    </row>
    <row r="1033" spans="1:24" x14ac:dyDescent="0.25">
      <c r="A1033">
        <v>1</v>
      </c>
      <c r="B1033" s="13">
        <v>590920300827</v>
      </c>
      <c r="C1033">
        <v>80</v>
      </c>
      <c r="D1033" s="13">
        <v>18102165627</v>
      </c>
      <c r="F1033" t="s">
        <v>130</v>
      </c>
      <c r="G1033">
        <v>0</v>
      </c>
      <c r="H1033">
        <v>100</v>
      </c>
      <c r="K1033">
        <v>1</v>
      </c>
      <c r="L1033" t="s">
        <v>131</v>
      </c>
      <c r="M1033" s="50">
        <v>44875</v>
      </c>
      <c r="N1033" s="50">
        <v>2958465</v>
      </c>
      <c r="P1033">
        <v>0</v>
      </c>
      <c r="U1033">
        <v>4</v>
      </c>
      <c r="V1033">
        <v>1</v>
      </c>
      <c r="W1033" t="s">
        <v>132</v>
      </c>
      <c r="X1033">
        <v>0</v>
      </c>
    </row>
    <row r="1034" spans="1:24" x14ac:dyDescent="0.25">
      <c r="A1034">
        <v>1</v>
      </c>
      <c r="B1034" s="13">
        <v>590920301027</v>
      </c>
      <c r="C1034">
        <v>10</v>
      </c>
      <c r="D1034" s="13">
        <v>5957163010</v>
      </c>
      <c r="F1034" t="s">
        <v>130</v>
      </c>
      <c r="G1034">
        <v>0</v>
      </c>
      <c r="H1034">
        <v>100</v>
      </c>
      <c r="K1034">
        <v>2</v>
      </c>
      <c r="L1034" t="s">
        <v>131</v>
      </c>
      <c r="M1034" s="50">
        <v>44875</v>
      </c>
      <c r="N1034" s="50">
        <v>2958465</v>
      </c>
      <c r="P1034">
        <v>0</v>
      </c>
      <c r="U1034">
        <v>4</v>
      </c>
      <c r="V1034">
        <v>1</v>
      </c>
      <c r="W1034" t="s">
        <v>132</v>
      </c>
      <c r="X1034">
        <v>0</v>
      </c>
    </row>
    <row r="1035" spans="1:24" x14ac:dyDescent="0.25">
      <c r="A1035">
        <v>1</v>
      </c>
      <c r="B1035" s="13">
        <v>590920301027</v>
      </c>
      <c r="C1035">
        <v>20</v>
      </c>
      <c r="D1035" s="13">
        <v>5957333010</v>
      </c>
      <c r="F1035" t="s">
        <v>130</v>
      </c>
      <c r="G1035">
        <v>0</v>
      </c>
      <c r="H1035">
        <v>100</v>
      </c>
      <c r="K1035">
        <v>1</v>
      </c>
      <c r="L1035" t="s">
        <v>131</v>
      </c>
      <c r="M1035" s="50">
        <v>44875</v>
      </c>
      <c r="N1035" s="50">
        <v>2958465</v>
      </c>
      <c r="P1035">
        <v>0</v>
      </c>
      <c r="U1035">
        <v>4</v>
      </c>
      <c r="V1035">
        <v>1</v>
      </c>
      <c r="W1035" t="s">
        <v>132</v>
      </c>
      <c r="X1035">
        <v>0</v>
      </c>
    </row>
    <row r="1036" spans="1:24" x14ac:dyDescent="0.25">
      <c r="A1036">
        <v>1</v>
      </c>
      <c r="B1036" s="13">
        <v>590920301027</v>
      </c>
      <c r="C1036">
        <v>30</v>
      </c>
      <c r="D1036" s="13">
        <v>5957303010</v>
      </c>
      <c r="F1036" t="s">
        <v>130</v>
      </c>
      <c r="G1036">
        <v>0</v>
      </c>
      <c r="H1036">
        <v>100</v>
      </c>
      <c r="K1036">
        <v>1</v>
      </c>
      <c r="L1036" t="s">
        <v>131</v>
      </c>
      <c r="M1036" s="50">
        <v>44875</v>
      </c>
      <c r="N1036" s="50">
        <v>2958465</v>
      </c>
      <c r="P1036">
        <v>0</v>
      </c>
      <c r="U1036">
        <v>4</v>
      </c>
      <c r="V1036">
        <v>1</v>
      </c>
      <c r="W1036" t="s">
        <v>132</v>
      </c>
      <c r="X1036">
        <v>0</v>
      </c>
    </row>
    <row r="1037" spans="1:24" x14ac:dyDescent="0.25">
      <c r="A1037">
        <v>1</v>
      </c>
      <c r="B1037" s="13">
        <v>590920301027</v>
      </c>
      <c r="C1037">
        <v>40</v>
      </c>
      <c r="D1037" s="13">
        <v>5957093010</v>
      </c>
      <c r="F1037" t="s">
        <v>130</v>
      </c>
      <c r="G1037">
        <v>0</v>
      </c>
      <c r="H1037">
        <v>100</v>
      </c>
      <c r="K1037">
        <v>1</v>
      </c>
      <c r="L1037" t="s">
        <v>131</v>
      </c>
      <c r="M1037" s="50">
        <v>44875</v>
      </c>
      <c r="N1037" s="50">
        <v>2958465</v>
      </c>
      <c r="P1037">
        <v>0</v>
      </c>
      <c r="U1037">
        <v>4</v>
      </c>
      <c r="V1037">
        <v>1</v>
      </c>
      <c r="W1037" t="s">
        <v>132</v>
      </c>
      <c r="X1037">
        <v>0</v>
      </c>
    </row>
    <row r="1038" spans="1:24" x14ac:dyDescent="0.25">
      <c r="A1038">
        <v>1</v>
      </c>
      <c r="B1038" s="13">
        <v>590920301027</v>
      </c>
      <c r="C1038">
        <v>50</v>
      </c>
      <c r="D1038" s="13">
        <v>1018034</v>
      </c>
      <c r="F1038" t="s">
        <v>130</v>
      </c>
      <c r="G1038">
        <v>0</v>
      </c>
      <c r="H1038">
        <v>100</v>
      </c>
      <c r="K1038">
        <v>4</v>
      </c>
      <c r="L1038" t="s">
        <v>131</v>
      </c>
      <c r="M1038" s="50">
        <v>44875</v>
      </c>
      <c r="N1038" s="50">
        <v>2958465</v>
      </c>
      <c r="P1038">
        <v>0</v>
      </c>
      <c r="U1038">
        <v>4</v>
      </c>
      <c r="V1038">
        <v>1</v>
      </c>
      <c r="W1038" t="s">
        <v>132</v>
      </c>
      <c r="X1038">
        <v>0</v>
      </c>
    </row>
    <row r="1039" spans="1:24" x14ac:dyDescent="0.25">
      <c r="A1039">
        <v>1</v>
      </c>
      <c r="B1039" s="13">
        <v>590920301027</v>
      </c>
      <c r="C1039">
        <v>60</v>
      </c>
      <c r="D1039" s="13">
        <v>1018359</v>
      </c>
      <c r="F1039" t="s">
        <v>130</v>
      </c>
      <c r="G1039">
        <v>0</v>
      </c>
      <c r="H1039">
        <v>100</v>
      </c>
      <c r="K1039">
        <v>10</v>
      </c>
      <c r="L1039" t="s">
        <v>131</v>
      </c>
      <c r="M1039" s="50">
        <v>44875</v>
      </c>
      <c r="N1039" s="50">
        <v>2958465</v>
      </c>
      <c r="P1039">
        <v>0</v>
      </c>
      <c r="U1039">
        <v>4</v>
      </c>
      <c r="V1039">
        <v>1</v>
      </c>
      <c r="W1039" t="s">
        <v>132</v>
      </c>
      <c r="X1039">
        <v>0</v>
      </c>
    </row>
    <row r="1040" spans="1:24" x14ac:dyDescent="0.25">
      <c r="A1040">
        <v>1</v>
      </c>
      <c r="B1040" s="13">
        <v>590920301027</v>
      </c>
      <c r="C1040">
        <v>70</v>
      </c>
      <c r="D1040" s="13">
        <v>1022213</v>
      </c>
      <c r="F1040" t="s">
        <v>130</v>
      </c>
      <c r="G1040">
        <v>0</v>
      </c>
      <c r="H1040">
        <v>100</v>
      </c>
      <c r="K1040">
        <v>5.5919999999999996</v>
      </c>
      <c r="L1040" t="s">
        <v>131</v>
      </c>
      <c r="M1040" s="50">
        <v>44875</v>
      </c>
      <c r="N1040" s="50">
        <v>2958465</v>
      </c>
      <c r="P1040">
        <v>0</v>
      </c>
      <c r="U1040">
        <v>4</v>
      </c>
      <c r="V1040">
        <v>1</v>
      </c>
      <c r="W1040" t="s">
        <v>132</v>
      </c>
      <c r="X1040">
        <v>0</v>
      </c>
    </row>
    <row r="1041" spans="1:24" x14ac:dyDescent="0.25">
      <c r="A1041">
        <v>1</v>
      </c>
      <c r="B1041" s="13">
        <v>590920301027</v>
      </c>
      <c r="C1041">
        <v>80</v>
      </c>
      <c r="D1041" s="13">
        <v>18102165627</v>
      </c>
      <c r="F1041" t="s">
        <v>130</v>
      </c>
      <c r="G1041">
        <v>0</v>
      </c>
      <c r="H1041">
        <v>100</v>
      </c>
      <c r="K1041">
        <v>1</v>
      </c>
      <c r="L1041" t="s">
        <v>131</v>
      </c>
      <c r="M1041" s="50">
        <v>44875</v>
      </c>
      <c r="N1041" s="50">
        <v>2958465</v>
      </c>
      <c r="P1041">
        <v>0</v>
      </c>
      <c r="U1041">
        <v>4</v>
      </c>
      <c r="V1041">
        <v>1</v>
      </c>
      <c r="W1041" t="s">
        <v>132</v>
      </c>
      <c r="X1041">
        <v>0</v>
      </c>
    </row>
    <row r="1042" spans="1:24" x14ac:dyDescent="0.25">
      <c r="A1042">
        <v>1</v>
      </c>
      <c r="B1042" s="13">
        <v>590920300026</v>
      </c>
      <c r="C1042">
        <v>10</v>
      </c>
      <c r="D1042" s="13">
        <v>5957163099</v>
      </c>
      <c r="F1042" t="s">
        <v>130</v>
      </c>
      <c r="G1042">
        <v>0</v>
      </c>
      <c r="H1042">
        <v>100</v>
      </c>
      <c r="K1042">
        <v>2</v>
      </c>
      <c r="L1042" t="s">
        <v>131</v>
      </c>
      <c r="M1042" s="50">
        <v>44875</v>
      </c>
      <c r="N1042" s="50">
        <v>2958465</v>
      </c>
      <c r="P1042">
        <v>0</v>
      </c>
      <c r="U1042">
        <v>4</v>
      </c>
      <c r="V1042">
        <v>1</v>
      </c>
      <c r="W1042" t="s">
        <v>132</v>
      </c>
      <c r="X1042">
        <v>0</v>
      </c>
    </row>
    <row r="1043" spans="1:24" x14ac:dyDescent="0.25">
      <c r="A1043">
        <v>1</v>
      </c>
      <c r="B1043" s="13">
        <v>590920300026</v>
      </c>
      <c r="C1043">
        <v>20</v>
      </c>
      <c r="D1043" s="13">
        <v>5957333099</v>
      </c>
      <c r="F1043" t="s">
        <v>130</v>
      </c>
      <c r="G1043">
        <v>0</v>
      </c>
      <c r="H1043">
        <v>100</v>
      </c>
      <c r="K1043">
        <v>1</v>
      </c>
      <c r="L1043" t="s">
        <v>131</v>
      </c>
      <c r="M1043" s="50">
        <v>44875</v>
      </c>
      <c r="N1043" s="50">
        <v>2958465</v>
      </c>
      <c r="P1043">
        <v>0</v>
      </c>
      <c r="U1043">
        <v>4</v>
      </c>
      <c r="V1043">
        <v>1</v>
      </c>
      <c r="W1043" t="s">
        <v>132</v>
      </c>
      <c r="X1043">
        <v>0</v>
      </c>
    </row>
    <row r="1044" spans="1:24" x14ac:dyDescent="0.25">
      <c r="A1044">
        <v>1</v>
      </c>
      <c r="B1044" s="13">
        <v>590920300026</v>
      </c>
      <c r="C1044">
        <v>30</v>
      </c>
      <c r="D1044" s="13">
        <v>5957303099</v>
      </c>
      <c r="F1044" t="s">
        <v>130</v>
      </c>
      <c r="G1044">
        <v>0</v>
      </c>
      <c r="H1044">
        <v>100</v>
      </c>
      <c r="K1044">
        <v>1</v>
      </c>
      <c r="L1044" t="s">
        <v>131</v>
      </c>
      <c r="M1044" s="50">
        <v>44875</v>
      </c>
      <c r="N1044" s="50">
        <v>2958465</v>
      </c>
      <c r="P1044">
        <v>0</v>
      </c>
      <c r="U1044">
        <v>4</v>
      </c>
      <c r="V1044">
        <v>1</v>
      </c>
      <c r="W1044" t="s">
        <v>132</v>
      </c>
      <c r="X1044">
        <v>0</v>
      </c>
    </row>
    <row r="1045" spans="1:24" x14ac:dyDescent="0.25">
      <c r="A1045">
        <v>1</v>
      </c>
      <c r="B1045" s="13">
        <v>590920300026</v>
      </c>
      <c r="C1045">
        <v>40</v>
      </c>
      <c r="D1045" s="13">
        <v>1022219</v>
      </c>
      <c r="F1045" t="s">
        <v>130</v>
      </c>
      <c r="G1045">
        <v>0</v>
      </c>
      <c r="H1045">
        <v>100</v>
      </c>
      <c r="K1045">
        <v>1</v>
      </c>
      <c r="L1045" t="s">
        <v>131</v>
      </c>
      <c r="M1045" s="50">
        <v>44875</v>
      </c>
      <c r="N1045" s="50">
        <v>2958465</v>
      </c>
      <c r="P1045">
        <v>0</v>
      </c>
      <c r="U1045">
        <v>4</v>
      </c>
      <c r="V1045">
        <v>1</v>
      </c>
      <c r="W1045" t="s">
        <v>132</v>
      </c>
      <c r="X1045">
        <v>0</v>
      </c>
    </row>
    <row r="1046" spans="1:24" x14ac:dyDescent="0.25">
      <c r="A1046">
        <v>1</v>
      </c>
      <c r="B1046" s="13">
        <v>590920300026</v>
      </c>
      <c r="C1046">
        <v>50</v>
      </c>
      <c r="D1046" s="13">
        <v>1018034</v>
      </c>
      <c r="F1046" t="s">
        <v>130</v>
      </c>
      <c r="G1046">
        <v>0</v>
      </c>
      <c r="H1046">
        <v>100</v>
      </c>
      <c r="K1046">
        <v>4</v>
      </c>
      <c r="L1046" t="s">
        <v>131</v>
      </c>
      <c r="M1046" s="50">
        <v>44875</v>
      </c>
      <c r="N1046" s="50">
        <v>2958465</v>
      </c>
      <c r="P1046">
        <v>0</v>
      </c>
      <c r="U1046">
        <v>4</v>
      </c>
      <c r="V1046">
        <v>1</v>
      </c>
      <c r="W1046" t="s">
        <v>132</v>
      </c>
      <c r="X1046">
        <v>0</v>
      </c>
    </row>
    <row r="1047" spans="1:24" x14ac:dyDescent="0.25">
      <c r="A1047">
        <v>1</v>
      </c>
      <c r="B1047" s="13">
        <v>590920300026</v>
      </c>
      <c r="C1047">
        <v>60</v>
      </c>
      <c r="D1047" s="13">
        <v>1018359</v>
      </c>
      <c r="F1047" t="s">
        <v>130</v>
      </c>
      <c r="G1047">
        <v>0</v>
      </c>
      <c r="H1047">
        <v>100</v>
      </c>
      <c r="K1047">
        <v>10</v>
      </c>
      <c r="L1047" t="s">
        <v>131</v>
      </c>
      <c r="M1047" s="50">
        <v>44875</v>
      </c>
      <c r="N1047" s="50">
        <v>2958465</v>
      </c>
      <c r="P1047">
        <v>0</v>
      </c>
      <c r="U1047">
        <v>4</v>
      </c>
      <c r="V1047">
        <v>1</v>
      </c>
      <c r="W1047" t="s">
        <v>132</v>
      </c>
      <c r="X1047">
        <v>0</v>
      </c>
    </row>
    <row r="1048" spans="1:24" x14ac:dyDescent="0.25">
      <c r="A1048">
        <v>1</v>
      </c>
      <c r="B1048" s="13">
        <v>590920300026</v>
      </c>
      <c r="C1048">
        <v>70</v>
      </c>
      <c r="D1048" s="13">
        <v>1022213</v>
      </c>
      <c r="F1048" t="s">
        <v>130</v>
      </c>
      <c r="G1048">
        <v>0</v>
      </c>
      <c r="H1048">
        <v>100</v>
      </c>
      <c r="K1048">
        <v>5.5919999999999996</v>
      </c>
      <c r="L1048" t="s">
        <v>131</v>
      </c>
      <c r="M1048" s="50">
        <v>44875</v>
      </c>
      <c r="N1048" s="50">
        <v>2958465</v>
      </c>
      <c r="P1048">
        <v>0</v>
      </c>
      <c r="U1048">
        <v>4</v>
      </c>
      <c r="V1048">
        <v>1</v>
      </c>
      <c r="W1048" t="s">
        <v>132</v>
      </c>
      <c r="X1048">
        <v>0</v>
      </c>
    </row>
    <row r="1049" spans="1:24" x14ac:dyDescent="0.25">
      <c r="A1049">
        <v>1</v>
      </c>
      <c r="B1049" s="13">
        <v>590920300026</v>
      </c>
      <c r="C1049">
        <v>80</v>
      </c>
      <c r="D1049" s="13">
        <v>18102165626</v>
      </c>
      <c r="F1049" t="s">
        <v>130</v>
      </c>
      <c r="G1049">
        <v>0</v>
      </c>
      <c r="H1049">
        <v>100</v>
      </c>
      <c r="K1049">
        <v>1</v>
      </c>
      <c r="L1049" t="s">
        <v>131</v>
      </c>
      <c r="M1049" s="50">
        <v>44875</v>
      </c>
      <c r="N1049" s="50">
        <v>2958465</v>
      </c>
      <c r="P1049">
        <v>0</v>
      </c>
      <c r="U1049">
        <v>4</v>
      </c>
      <c r="V1049">
        <v>1</v>
      </c>
      <c r="W1049" t="s">
        <v>132</v>
      </c>
      <c r="X1049">
        <v>0</v>
      </c>
    </row>
    <row r="1050" spans="1:24" x14ac:dyDescent="0.25">
      <c r="A1050">
        <v>1</v>
      </c>
      <c r="B1050" s="13">
        <v>590920300326</v>
      </c>
      <c r="C1050">
        <v>10</v>
      </c>
      <c r="D1050" s="13">
        <v>5957163003</v>
      </c>
      <c r="F1050" t="s">
        <v>130</v>
      </c>
      <c r="G1050">
        <v>0</v>
      </c>
      <c r="H1050">
        <v>100</v>
      </c>
      <c r="K1050">
        <v>2</v>
      </c>
      <c r="L1050" t="s">
        <v>131</v>
      </c>
      <c r="M1050" s="50">
        <v>44875</v>
      </c>
      <c r="N1050" s="50">
        <v>2958465</v>
      </c>
      <c r="P1050">
        <v>0</v>
      </c>
      <c r="U1050">
        <v>4</v>
      </c>
      <c r="V1050">
        <v>1</v>
      </c>
      <c r="W1050" t="s">
        <v>132</v>
      </c>
      <c r="X1050">
        <v>0</v>
      </c>
    </row>
    <row r="1051" spans="1:24" x14ac:dyDescent="0.25">
      <c r="A1051">
        <v>1</v>
      </c>
      <c r="B1051" s="13">
        <v>590920300326</v>
      </c>
      <c r="C1051">
        <v>20</v>
      </c>
      <c r="D1051" s="13">
        <v>5957333003</v>
      </c>
      <c r="F1051" t="s">
        <v>130</v>
      </c>
      <c r="G1051">
        <v>0</v>
      </c>
      <c r="H1051">
        <v>100</v>
      </c>
      <c r="K1051">
        <v>1</v>
      </c>
      <c r="L1051" t="s">
        <v>131</v>
      </c>
      <c r="M1051" s="50">
        <v>44875</v>
      </c>
      <c r="N1051" s="50">
        <v>2958465</v>
      </c>
      <c r="P1051">
        <v>0</v>
      </c>
      <c r="U1051">
        <v>4</v>
      </c>
      <c r="V1051">
        <v>1</v>
      </c>
      <c r="W1051" t="s">
        <v>132</v>
      </c>
      <c r="X1051">
        <v>0</v>
      </c>
    </row>
    <row r="1052" spans="1:24" x14ac:dyDescent="0.25">
      <c r="A1052">
        <v>1</v>
      </c>
      <c r="B1052" s="13">
        <v>590920300326</v>
      </c>
      <c r="C1052">
        <v>30</v>
      </c>
      <c r="D1052" s="13">
        <v>5957303003</v>
      </c>
      <c r="F1052" t="s">
        <v>130</v>
      </c>
      <c r="G1052">
        <v>0</v>
      </c>
      <c r="H1052">
        <v>100</v>
      </c>
      <c r="K1052">
        <v>1</v>
      </c>
      <c r="L1052" t="s">
        <v>131</v>
      </c>
      <c r="M1052" s="50">
        <v>44875</v>
      </c>
      <c r="N1052" s="50">
        <v>2958465</v>
      </c>
      <c r="P1052">
        <v>0</v>
      </c>
      <c r="U1052">
        <v>4</v>
      </c>
      <c r="V1052">
        <v>1</v>
      </c>
      <c r="W1052" t="s">
        <v>132</v>
      </c>
      <c r="X1052">
        <v>0</v>
      </c>
    </row>
    <row r="1053" spans="1:24" x14ac:dyDescent="0.25">
      <c r="A1053">
        <v>1</v>
      </c>
      <c r="B1053" s="13">
        <v>590920300326</v>
      </c>
      <c r="C1053">
        <v>40</v>
      </c>
      <c r="D1053" s="13">
        <v>5957093003</v>
      </c>
      <c r="F1053" t="s">
        <v>130</v>
      </c>
      <c r="G1053">
        <v>0</v>
      </c>
      <c r="H1053">
        <v>100</v>
      </c>
      <c r="K1053">
        <v>1</v>
      </c>
      <c r="L1053" t="s">
        <v>131</v>
      </c>
      <c r="M1053" s="50">
        <v>44875</v>
      </c>
      <c r="N1053" s="50">
        <v>2958465</v>
      </c>
      <c r="P1053">
        <v>0</v>
      </c>
      <c r="U1053">
        <v>4</v>
      </c>
      <c r="V1053">
        <v>1</v>
      </c>
      <c r="W1053" t="s">
        <v>132</v>
      </c>
      <c r="X1053">
        <v>0</v>
      </c>
    </row>
    <row r="1054" spans="1:24" x14ac:dyDescent="0.25">
      <c r="A1054">
        <v>1</v>
      </c>
      <c r="B1054" s="13">
        <v>590920300326</v>
      </c>
      <c r="C1054">
        <v>50</v>
      </c>
      <c r="D1054" s="13">
        <v>1018034</v>
      </c>
      <c r="F1054" t="s">
        <v>130</v>
      </c>
      <c r="G1054">
        <v>0</v>
      </c>
      <c r="H1054">
        <v>100</v>
      </c>
      <c r="K1054">
        <v>4</v>
      </c>
      <c r="L1054" t="s">
        <v>131</v>
      </c>
      <c r="M1054" s="50">
        <v>44875</v>
      </c>
      <c r="N1054" s="50">
        <v>2958465</v>
      </c>
      <c r="P1054">
        <v>0</v>
      </c>
      <c r="U1054">
        <v>4</v>
      </c>
      <c r="V1054">
        <v>1</v>
      </c>
      <c r="W1054" t="s">
        <v>132</v>
      </c>
      <c r="X1054">
        <v>0</v>
      </c>
    </row>
    <row r="1055" spans="1:24" x14ac:dyDescent="0.25">
      <c r="A1055">
        <v>1</v>
      </c>
      <c r="B1055" s="13">
        <v>590920300326</v>
      </c>
      <c r="C1055">
        <v>60</v>
      </c>
      <c r="D1055" s="13">
        <v>1018359</v>
      </c>
      <c r="F1055" t="s">
        <v>130</v>
      </c>
      <c r="G1055">
        <v>0</v>
      </c>
      <c r="H1055">
        <v>100</v>
      </c>
      <c r="K1055">
        <v>10</v>
      </c>
      <c r="L1055" t="s">
        <v>131</v>
      </c>
      <c r="M1055" s="50">
        <v>44875</v>
      </c>
      <c r="N1055" s="50">
        <v>2958465</v>
      </c>
      <c r="P1055">
        <v>0</v>
      </c>
      <c r="U1055">
        <v>4</v>
      </c>
      <c r="V1055">
        <v>1</v>
      </c>
      <c r="W1055" t="s">
        <v>132</v>
      </c>
      <c r="X1055">
        <v>0</v>
      </c>
    </row>
    <row r="1056" spans="1:24" x14ac:dyDescent="0.25">
      <c r="A1056">
        <v>1</v>
      </c>
      <c r="B1056" s="13">
        <v>590920300326</v>
      </c>
      <c r="C1056">
        <v>70</v>
      </c>
      <c r="D1056" s="13">
        <v>1022213</v>
      </c>
      <c r="F1056" t="s">
        <v>130</v>
      </c>
      <c r="G1056">
        <v>0</v>
      </c>
      <c r="H1056">
        <v>100</v>
      </c>
      <c r="K1056">
        <v>5.5919999999999996</v>
      </c>
      <c r="L1056" t="s">
        <v>131</v>
      </c>
      <c r="M1056" s="50">
        <v>44875</v>
      </c>
      <c r="N1056" s="50">
        <v>2958465</v>
      </c>
      <c r="P1056">
        <v>0</v>
      </c>
      <c r="U1056">
        <v>4</v>
      </c>
      <c r="V1056">
        <v>1</v>
      </c>
      <c r="W1056" t="s">
        <v>132</v>
      </c>
      <c r="X1056">
        <v>0</v>
      </c>
    </row>
    <row r="1057" spans="1:24" x14ac:dyDescent="0.25">
      <c r="A1057">
        <v>1</v>
      </c>
      <c r="B1057" s="13">
        <v>590920300326</v>
      </c>
      <c r="C1057">
        <v>80</v>
      </c>
      <c r="D1057" s="13">
        <v>18102165626</v>
      </c>
      <c r="F1057" t="s">
        <v>130</v>
      </c>
      <c r="G1057">
        <v>0</v>
      </c>
      <c r="H1057">
        <v>100</v>
      </c>
      <c r="K1057">
        <v>1</v>
      </c>
      <c r="L1057" t="s">
        <v>131</v>
      </c>
      <c r="M1057" s="50">
        <v>44875</v>
      </c>
      <c r="N1057" s="50">
        <v>2958465</v>
      </c>
      <c r="P1057">
        <v>0</v>
      </c>
      <c r="U1057">
        <v>4</v>
      </c>
      <c r="V1057">
        <v>1</v>
      </c>
      <c r="W1057" t="s">
        <v>132</v>
      </c>
      <c r="X1057">
        <v>0</v>
      </c>
    </row>
    <row r="1058" spans="1:24" x14ac:dyDescent="0.25">
      <c r="A1058">
        <v>1</v>
      </c>
      <c r="B1058" s="13">
        <v>590920300426</v>
      </c>
      <c r="C1058">
        <v>10</v>
      </c>
      <c r="D1058" s="13">
        <v>5957163004</v>
      </c>
      <c r="F1058" t="s">
        <v>130</v>
      </c>
      <c r="G1058">
        <v>0</v>
      </c>
      <c r="H1058">
        <v>100</v>
      </c>
      <c r="K1058">
        <v>2</v>
      </c>
      <c r="L1058" t="s">
        <v>131</v>
      </c>
      <c r="M1058" s="50">
        <v>44875</v>
      </c>
      <c r="N1058" s="50">
        <v>2958465</v>
      </c>
      <c r="P1058">
        <v>0</v>
      </c>
      <c r="U1058">
        <v>4</v>
      </c>
      <c r="V1058">
        <v>1</v>
      </c>
      <c r="W1058" t="s">
        <v>132</v>
      </c>
      <c r="X1058">
        <v>0</v>
      </c>
    </row>
    <row r="1059" spans="1:24" x14ac:dyDescent="0.25">
      <c r="A1059">
        <v>1</v>
      </c>
      <c r="B1059" s="13">
        <v>590920300426</v>
      </c>
      <c r="C1059">
        <v>20</v>
      </c>
      <c r="D1059" s="13">
        <v>5957333004</v>
      </c>
      <c r="F1059" t="s">
        <v>130</v>
      </c>
      <c r="G1059">
        <v>0</v>
      </c>
      <c r="H1059">
        <v>100</v>
      </c>
      <c r="K1059">
        <v>1</v>
      </c>
      <c r="L1059" t="s">
        <v>131</v>
      </c>
      <c r="M1059" s="50">
        <v>44875</v>
      </c>
      <c r="N1059" s="50">
        <v>2958465</v>
      </c>
      <c r="P1059">
        <v>0</v>
      </c>
      <c r="U1059">
        <v>4</v>
      </c>
      <c r="V1059">
        <v>1</v>
      </c>
      <c r="W1059" t="s">
        <v>132</v>
      </c>
      <c r="X1059">
        <v>0</v>
      </c>
    </row>
    <row r="1060" spans="1:24" x14ac:dyDescent="0.25">
      <c r="A1060">
        <v>1</v>
      </c>
      <c r="B1060" s="13">
        <v>590920300426</v>
      </c>
      <c r="C1060">
        <v>30</v>
      </c>
      <c r="D1060" s="13">
        <v>5957303004</v>
      </c>
      <c r="F1060" t="s">
        <v>130</v>
      </c>
      <c r="G1060">
        <v>0</v>
      </c>
      <c r="H1060">
        <v>100</v>
      </c>
      <c r="K1060">
        <v>1</v>
      </c>
      <c r="L1060" t="s">
        <v>131</v>
      </c>
      <c r="M1060" s="50">
        <v>44875</v>
      </c>
      <c r="N1060" s="50">
        <v>2958465</v>
      </c>
      <c r="P1060">
        <v>0</v>
      </c>
      <c r="U1060">
        <v>4</v>
      </c>
      <c r="V1060">
        <v>1</v>
      </c>
      <c r="W1060" t="s">
        <v>132</v>
      </c>
      <c r="X1060">
        <v>0</v>
      </c>
    </row>
    <row r="1061" spans="1:24" x14ac:dyDescent="0.25">
      <c r="A1061">
        <v>1</v>
      </c>
      <c r="B1061" s="13">
        <v>590920300426</v>
      </c>
      <c r="C1061">
        <v>40</v>
      </c>
      <c r="D1061" s="13">
        <v>5957093004</v>
      </c>
      <c r="F1061" t="s">
        <v>130</v>
      </c>
      <c r="G1061">
        <v>0</v>
      </c>
      <c r="H1061">
        <v>100</v>
      </c>
      <c r="K1061">
        <v>1</v>
      </c>
      <c r="L1061" t="s">
        <v>131</v>
      </c>
      <c r="M1061" s="50">
        <v>44875</v>
      </c>
      <c r="N1061" s="50">
        <v>2958465</v>
      </c>
      <c r="P1061">
        <v>0</v>
      </c>
      <c r="U1061">
        <v>4</v>
      </c>
      <c r="V1061">
        <v>1</v>
      </c>
      <c r="W1061" t="s">
        <v>132</v>
      </c>
      <c r="X1061">
        <v>0</v>
      </c>
    </row>
    <row r="1062" spans="1:24" x14ac:dyDescent="0.25">
      <c r="A1062">
        <v>1</v>
      </c>
      <c r="B1062" s="13">
        <v>590920300426</v>
      </c>
      <c r="C1062">
        <v>50</v>
      </c>
      <c r="D1062" s="13">
        <v>1018034</v>
      </c>
      <c r="F1062" t="s">
        <v>130</v>
      </c>
      <c r="G1062">
        <v>0</v>
      </c>
      <c r="H1062">
        <v>100</v>
      </c>
      <c r="K1062">
        <v>4</v>
      </c>
      <c r="L1062" t="s">
        <v>131</v>
      </c>
      <c r="M1062" s="50">
        <v>44875</v>
      </c>
      <c r="N1062" s="50">
        <v>2958465</v>
      </c>
      <c r="P1062">
        <v>0</v>
      </c>
      <c r="U1062">
        <v>4</v>
      </c>
      <c r="V1062">
        <v>1</v>
      </c>
      <c r="W1062" t="s">
        <v>132</v>
      </c>
      <c r="X1062">
        <v>0</v>
      </c>
    </row>
    <row r="1063" spans="1:24" x14ac:dyDescent="0.25">
      <c r="A1063">
        <v>1</v>
      </c>
      <c r="B1063" s="13">
        <v>590920300426</v>
      </c>
      <c r="C1063">
        <v>60</v>
      </c>
      <c r="D1063" s="13">
        <v>1022356</v>
      </c>
      <c r="F1063" t="s">
        <v>130</v>
      </c>
      <c r="G1063">
        <v>0</v>
      </c>
      <c r="H1063">
        <v>100</v>
      </c>
      <c r="K1063">
        <v>10</v>
      </c>
      <c r="L1063" t="s">
        <v>131</v>
      </c>
      <c r="M1063" s="50">
        <v>44875</v>
      </c>
      <c r="N1063" s="50">
        <v>2958465</v>
      </c>
      <c r="P1063">
        <v>0</v>
      </c>
      <c r="U1063">
        <v>4</v>
      </c>
      <c r="V1063">
        <v>1</v>
      </c>
      <c r="W1063" t="s">
        <v>132</v>
      </c>
      <c r="X1063">
        <v>0</v>
      </c>
    </row>
    <row r="1064" spans="1:24" x14ac:dyDescent="0.25">
      <c r="A1064">
        <v>1</v>
      </c>
      <c r="B1064" s="13">
        <v>590920300426</v>
      </c>
      <c r="C1064">
        <v>70</v>
      </c>
      <c r="D1064" s="13">
        <v>1022213</v>
      </c>
      <c r="F1064" t="s">
        <v>130</v>
      </c>
      <c r="G1064">
        <v>0</v>
      </c>
      <c r="H1064">
        <v>100</v>
      </c>
      <c r="K1064">
        <v>5.5919999999999996</v>
      </c>
      <c r="L1064" t="s">
        <v>131</v>
      </c>
      <c r="M1064" s="50">
        <v>44875</v>
      </c>
      <c r="N1064" s="50">
        <v>2958465</v>
      </c>
      <c r="P1064">
        <v>0</v>
      </c>
      <c r="U1064">
        <v>4</v>
      </c>
      <c r="V1064">
        <v>1</v>
      </c>
      <c r="W1064" t="s">
        <v>132</v>
      </c>
      <c r="X1064">
        <v>0</v>
      </c>
    </row>
    <row r="1065" spans="1:24" x14ac:dyDescent="0.25">
      <c r="A1065">
        <v>1</v>
      </c>
      <c r="B1065" s="13">
        <v>590920300426</v>
      </c>
      <c r="C1065">
        <v>80</v>
      </c>
      <c r="D1065" s="13">
        <v>18102165626</v>
      </c>
      <c r="F1065" t="s">
        <v>130</v>
      </c>
      <c r="G1065">
        <v>0</v>
      </c>
      <c r="H1065">
        <v>100</v>
      </c>
      <c r="K1065">
        <v>1</v>
      </c>
      <c r="L1065" t="s">
        <v>131</v>
      </c>
      <c r="M1065" s="50">
        <v>44875</v>
      </c>
      <c r="N1065" s="50">
        <v>2958465</v>
      </c>
      <c r="P1065">
        <v>0</v>
      </c>
      <c r="U1065">
        <v>4</v>
      </c>
      <c r="V1065">
        <v>1</v>
      </c>
      <c r="W1065" t="s">
        <v>132</v>
      </c>
      <c r="X1065">
        <v>0</v>
      </c>
    </row>
    <row r="1066" spans="1:24" x14ac:dyDescent="0.25">
      <c r="A1066">
        <v>1</v>
      </c>
      <c r="B1066" s="13">
        <v>590920300526</v>
      </c>
      <c r="C1066">
        <v>10</v>
      </c>
      <c r="D1066" s="13">
        <v>5957163005</v>
      </c>
      <c r="F1066" t="s">
        <v>130</v>
      </c>
      <c r="G1066">
        <v>0</v>
      </c>
      <c r="H1066">
        <v>100</v>
      </c>
      <c r="K1066">
        <v>2</v>
      </c>
      <c r="L1066" t="s">
        <v>131</v>
      </c>
      <c r="M1066" s="50">
        <v>44875</v>
      </c>
      <c r="N1066" s="50">
        <v>2958465</v>
      </c>
      <c r="P1066">
        <v>0</v>
      </c>
      <c r="U1066">
        <v>4</v>
      </c>
      <c r="V1066">
        <v>1</v>
      </c>
      <c r="W1066" t="s">
        <v>132</v>
      </c>
      <c r="X1066">
        <v>0</v>
      </c>
    </row>
    <row r="1067" spans="1:24" x14ac:dyDescent="0.25">
      <c r="A1067">
        <v>1</v>
      </c>
      <c r="B1067" s="13">
        <v>590920300526</v>
      </c>
      <c r="C1067">
        <v>20</v>
      </c>
      <c r="D1067" s="13">
        <v>5957333005</v>
      </c>
      <c r="F1067" t="s">
        <v>130</v>
      </c>
      <c r="G1067">
        <v>0</v>
      </c>
      <c r="H1067">
        <v>100</v>
      </c>
      <c r="K1067">
        <v>1</v>
      </c>
      <c r="L1067" t="s">
        <v>131</v>
      </c>
      <c r="M1067" s="50">
        <v>44875</v>
      </c>
      <c r="N1067" s="50">
        <v>2958465</v>
      </c>
      <c r="P1067">
        <v>0</v>
      </c>
      <c r="U1067">
        <v>4</v>
      </c>
      <c r="V1067">
        <v>1</v>
      </c>
      <c r="W1067" t="s">
        <v>132</v>
      </c>
      <c r="X1067">
        <v>0</v>
      </c>
    </row>
    <row r="1068" spans="1:24" x14ac:dyDescent="0.25">
      <c r="A1068">
        <v>1</v>
      </c>
      <c r="B1068" s="13">
        <v>590920300526</v>
      </c>
      <c r="C1068">
        <v>30</v>
      </c>
      <c r="D1068" s="13">
        <v>5957303005</v>
      </c>
      <c r="F1068" t="s">
        <v>130</v>
      </c>
      <c r="G1068">
        <v>0</v>
      </c>
      <c r="H1068">
        <v>100</v>
      </c>
      <c r="K1068">
        <v>1</v>
      </c>
      <c r="L1068" t="s">
        <v>131</v>
      </c>
      <c r="M1068" s="50">
        <v>44875</v>
      </c>
      <c r="N1068" s="50">
        <v>2958465</v>
      </c>
      <c r="P1068">
        <v>0</v>
      </c>
      <c r="U1068">
        <v>4</v>
      </c>
      <c r="V1068">
        <v>1</v>
      </c>
      <c r="W1068" t="s">
        <v>132</v>
      </c>
      <c r="X1068">
        <v>0</v>
      </c>
    </row>
    <row r="1069" spans="1:24" x14ac:dyDescent="0.25">
      <c r="A1069">
        <v>1</v>
      </c>
      <c r="B1069" s="13">
        <v>590920300526</v>
      </c>
      <c r="C1069">
        <v>40</v>
      </c>
      <c r="D1069" s="13">
        <v>5957093005</v>
      </c>
      <c r="F1069" t="s">
        <v>130</v>
      </c>
      <c r="G1069">
        <v>0</v>
      </c>
      <c r="H1069">
        <v>100</v>
      </c>
      <c r="K1069">
        <v>1</v>
      </c>
      <c r="L1069" t="s">
        <v>131</v>
      </c>
      <c r="M1069" s="50">
        <v>44875</v>
      </c>
      <c r="N1069" s="50">
        <v>2958465</v>
      </c>
      <c r="P1069">
        <v>0</v>
      </c>
      <c r="U1069">
        <v>4</v>
      </c>
      <c r="V1069">
        <v>1</v>
      </c>
      <c r="W1069" t="s">
        <v>132</v>
      </c>
      <c r="X1069">
        <v>0</v>
      </c>
    </row>
    <row r="1070" spans="1:24" x14ac:dyDescent="0.25">
      <c r="A1070">
        <v>1</v>
      </c>
      <c r="B1070" s="13">
        <v>590920300526</v>
      </c>
      <c r="C1070">
        <v>50</v>
      </c>
      <c r="D1070" s="13">
        <v>1018034</v>
      </c>
      <c r="F1070" t="s">
        <v>130</v>
      </c>
      <c r="G1070">
        <v>0</v>
      </c>
      <c r="H1070">
        <v>100</v>
      </c>
      <c r="K1070">
        <v>4</v>
      </c>
      <c r="L1070" t="s">
        <v>131</v>
      </c>
      <c r="M1070" s="50">
        <v>44875</v>
      </c>
      <c r="N1070" s="50">
        <v>2958465</v>
      </c>
      <c r="P1070">
        <v>0</v>
      </c>
      <c r="U1070">
        <v>4</v>
      </c>
      <c r="V1070">
        <v>1</v>
      </c>
      <c r="W1070" t="s">
        <v>132</v>
      </c>
      <c r="X1070">
        <v>0</v>
      </c>
    </row>
    <row r="1071" spans="1:24" x14ac:dyDescent="0.25">
      <c r="A1071">
        <v>1</v>
      </c>
      <c r="B1071" s="13">
        <v>590920300526</v>
      </c>
      <c r="C1071">
        <v>60</v>
      </c>
      <c r="D1071" s="13">
        <v>1022356</v>
      </c>
      <c r="F1071" t="s">
        <v>130</v>
      </c>
      <c r="G1071">
        <v>0</v>
      </c>
      <c r="H1071">
        <v>100</v>
      </c>
      <c r="K1071">
        <v>10</v>
      </c>
      <c r="L1071" t="s">
        <v>131</v>
      </c>
      <c r="M1071" s="50">
        <v>44875</v>
      </c>
      <c r="N1071" s="50">
        <v>2958465</v>
      </c>
      <c r="P1071">
        <v>0</v>
      </c>
      <c r="U1071">
        <v>4</v>
      </c>
      <c r="V1071">
        <v>1</v>
      </c>
      <c r="W1071" t="s">
        <v>132</v>
      </c>
      <c r="X1071">
        <v>0</v>
      </c>
    </row>
    <row r="1072" spans="1:24" x14ac:dyDescent="0.25">
      <c r="A1072">
        <v>1</v>
      </c>
      <c r="B1072" s="13">
        <v>590920300526</v>
      </c>
      <c r="C1072">
        <v>70</v>
      </c>
      <c r="D1072" s="13">
        <v>1022213</v>
      </c>
      <c r="F1072" t="s">
        <v>130</v>
      </c>
      <c r="G1072">
        <v>0</v>
      </c>
      <c r="H1072">
        <v>100</v>
      </c>
      <c r="K1072">
        <v>5.5919999999999996</v>
      </c>
      <c r="L1072" t="s">
        <v>131</v>
      </c>
      <c r="M1072" s="50">
        <v>44875</v>
      </c>
      <c r="N1072" s="50">
        <v>2958465</v>
      </c>
      <c r="P1072">
        <v>0</v>
      </c>
      <c r="U1072">
        <v>4</v>
      </c>
      <c r="V1072">
        <v>1</v>
      </c>
      <c r="W1072" t="s">
        <v>132</v>
      </c>
      <c r="X1072">
        <v>0</v>
      </c>
    </row>
    <row r="1073" spans="1:24" x14ac:dyDescent="0.25">
      <c r="A1073">
        <v>1</v>
      </c>
      <c r="B1073" s="13">
        <v>590920300526</v>
      </c>
      <c r="C1073">
        <v>80</v>
      </c>
      <c r="D1073" s="13">
        <v>18102165626</v>
      </c>
      <c r="F1073" t="s">
        <v>130</v>
      </c>
      <c r="G1073">
        <v>0</v>
      </c>
      <c r="H1073">
        <v>100</v>
      </c>
      <c r="K1073">
        <v>1</v>
      </c>
      <c r="L1073" t="s">
        <v>131</v>
      </c>
      <c r="M1073" s="50">
        <v>44875</v>
      </c>
      <c r="N1073" s="50">
        <v>2958465</v>
      </c>
      <c r="P1073">
        <v>0</v>
      </c>
      <c r="U1073">
        <v>4</v>
      </c>
      <c r="V1073">
        <v>1</v>
      </c>
      <c r="W1073" t="s">
        <v>132</v>
      </c>
      <c r="X1073">
        <v>0</v>
      </c>
    </row>
    <row r="1074" spans="1:24" x14ac:dyDescent="0.25">
      <c r="A1074">
        <v>1</v>
      </c>
      <c r="B1074" s="13">
        <v>590920300826</v>
      </c>
      <c r="C1074">
        <v>10</v>
      </c>
      <c r="D1074" s="13">
        <v>5957163008</v>
      </c>
      <c r="F1074" t="s">
        <v>130</v>
      </c>
      <c r="G1074">
        <v>0</v>
      </c>
      <c r="H1074">
        <v>100</v>
      </c>
      <c r="K1074">
        <v>2</v>
      </c>
      <c r="L1074" t="s">
        <v>131</v>
      </c>
      <c r="M1074" s="50">
        <v>44875</v>
      </c>
      <c r="N1074" s="50">
        <v>2958465</v>
      </c>
      <c r="P1074">
        <v>0</v>
      </c>
      <c r="U1074">
        <v>4</v>
      </c>
      <c r="V1074">
        <v>1</v>
      </c>
      <c r="W1074" t="s">
        <v>132</v>
      </c>
      <c r="X1074">
        <v>0</v>
      </c>
    </row>
    <row r="1075" spans="1:24" x14ac:dyDescent="0.25">
      <c r="A1075">
        <v>1</v>
      </c>
      <c r="B1075" s="13">
        <v>590920300826</v>
      </c>
      <c r="C1075">
        <v>20</v>
      </c>
      <c r="D1075" s="13">
        <v>5957333008</v>
      </c>
      <c r="F1075" t="s">
        <v>130</v>
      </c>
      <c r="G1075">
        <v>0</v>
      </c>
      <c r="H1075">
        <v>100</v>
      </c>
      <c r="K1075">
        <v>1</v>
      </c>
      <c r="L1075" t="s">
        <v>131</v>
      </c>
      <c r="M1075" s="50">
        <v>44875</v>
      </c>
      <c r="N1075" s="50">
        <v>2958465</v>
      </c>
      <c r="P1075">
        <v>0</v>
      </c>
      <c r="U1075">
        <v>4</v>
      </c>
      <c r="V1075">
        <v>1</v>
      </c>
      <c r="W1075" t="s">
        <v>132</v>
      </c>
      <c r="X1075">
        <v>0</v>
      </c>
    </row>
    <row r="1076" spans="1:24" x14ac:dyDescent="0.25">
      <c r="A1076">
        <v>1</v>
      </c>
      <c r="B1076" s="13">
        <v>590920300826</v>
      </c>
      <c r="C1076">
        <v>30</v>
      </c>
      <c r="D1076" s="13">
        <v>5957303008</v>
      </c>
      <c r="F1076" t="s">
        <v>130</v>
      </c>
      <c r="G1076">
        <v>0</v>
      </c>
      <c r="H1076">
        <v>100</v>
      </c>
      <c r="K1076">
        <v>1</v>
      </c>
      <c r="L1076" t="s">
        <v>131</v>
      </c>
      <c r="M1076" s="50">
        <v>44875</v>
      </c>
      <c r="N1076" s="50">
        <v>2958465</v>
      </c>
      <c r="P1076">
        <v>0</v>
      </c>
      <c r="U1076">
        <v>4</v>
      </c>
      <c r="V1076">
        <v>1</v>
      </c>
      <c r="W1076" t="s">
        <v>132</v>
      </c>
      <c r="X1076">
        <v>0</v>
      </c>
    </row>
    <row r="1077" spans="1:24" x14ac:dyDescent="0.25">
      <c r="A1077">
        <v>1</v>
      </c>
      <c r="B1077" s="13">
        <v>590920300826</v>
      </c>
      <c r="C1077">
        <v>40</v>
      </c>
      <c r="D1077" s="13">
        <v>5957093008</v>
      </c>
      <c r="F1077" t="s">
        <v>130</v>
      </c>
      <c r="G1077">
        <v>0</v>
      </c>
      <c r="H1077">
        <v>100</v>
      </c>
      <c r="K1077">
        <v>1</v>
      </c>
      <c r="L1077" t="s">
        <v>131</v>
      </c>
      <c r="M1077" s="50">
        <v>44875</v>
      </c>
      <c r="N1077" s="50">
        <v>2958465</v>
      </c>
      <c r="P1077">
        <v>0</v>
      </c>
      <c r="U1077">
        <v>4</v>
      </c>
      <c r="V1077">
        <v>1</v>
      </c>
      <c r="W1077" t="s">
        <v>132</v>
      </c>
      <c r="X1077">
        <v>0</v>
      </c>
    </row>
    <row r="1078" spans="1:24" x14ac:dyDescent="0.25">
      <c r="A1078">
        <v>1</v>
      </c>
      <c r="B1078" s="13">
        <v>590920300826</v>
      </c>
      <c r="C1078">
        <v>50</v>
      </c>
      <c r="D1078" s="13">
        <v>1018034</v>
      </c>
      <c r="F1078" t="s">
        <v>130</v>
      </c>
      <c r="G1078">
        <v>0</v>
      </c>
      <c r="H1078">
        <v>100</v>
      </c>
      <c r="K1078">
        <v>4</v>
      </c>
      <c r="L1078" t="s">
        <v>131</v>
      </c>
      <c r="M1078" s="50">
        <v>44875</v>
      </c>
      <c r="N1078" s="50">
        <v>2958465</v>
      </c>
      <c r="P1078">
        <v>0</v>
      </c>
      <c r="U1078">
        <v>4</v>
      </c>
      <c r="V1078">
        <v>1</v>
      </c>
      <c r="W1078" t="s">
        <v>132</v>
      </c>
      <c r="X1078">
        <v>0</v>
      </c>
    </row>
    <row r="1079" spans="1:24" x14ac:dyDescent="0.25">
      <c r="A1079">
        <v>1</v>
      </c>
      <c r="B1079" s="13">
        <v>590920300826</v>
      </c>
      <c r="C1079">
        <v>60</v>
      </c>
      <c r="D1079" s="13">
        <v>1022356</v>
      </c>
      <c r="F1079" t="s">
        <v>130</v>
      </c>
      <c r="G1079">
        <v>0</v>
      </c>
      <c r="H1079">
        <v>100</v>
      </c>
      <c r="K1079">
        <v>10</v>
      </c>
      <c r="L1079" t="s">
        <v>131</v>
      </c>
      <c r="M1079" s="50">
        <v>44875</v>
      </c>
      <c r="N1079" s="50">
        <v>2958465</v>
      </c>
      <c r="P1079">
        <v>0</v>
      </c>
      <c r="U1079">
        <v>4</v>
      </c>
      <c r="V1079">
        <v>1</v>
      </c>
      <c r="W1079" t="s">
        <v>132</v>
      </c>
      <c r="X1079">
        <v>0</v>
      </c>
    </row>
    <row r="1080" spans="1:24" x14ac:dyDescent="0.25">
      <c r="A1080">
        <v>1</v>
      </c>
      <c r="B1080" s="13">
        <v>590920300826</v>
      </c>
      <c r="C1080">
        <v>70</v>
      </c>
      <c r="D1080" s="13">
        <v>1022213</v>
      </c>
      <c r="F1080" t="s">
        <v>130</v>
      </c>
      <c r="G1080">
        <v>0</v>
      </c>
      <c r="H1080">
        <v>100</v>
      </c>
      <c r="K1080">
        <v>5.5919999999999996</v>
      </c>
      <c r="L1080" t="s">
        <v>131</v>
      </c>
      <c r="M1080" s="50">
        <v>44875</v>
      </c>
      <c r="N1080" s="50">
        <v>2958465</v>
      </c>
      <c r="P1080">
        <v>0</v>
      </c>
      <c r="U1080">
        <v>4</v>
      </c>
      <c r="V1080">
        <v>1</v>
      </c>
      <c r="W1080" t="s">
        <v>132</v>
      </c>
      <c r="X1080">
        <v>0</v>
      </c>
    </row>
    <row r="1081" spans="1:24" x14ac:dyDescent="0.25">
      <c r="A1081">
        <v>1</v>
      </c>
      <c r="B1081" s="13">
        <v>590920300826</v>
      </c>
      <c r="C1081">
        <v>80</v>
      </c>
      <c r="D1081" s="13">
        <v>18102165626</v>
      </c>
      <c r="F1081" t="s">
        <v>130</v>
      </c>
      <c r="G1081">
        <v>0</v>
      </c>
      <c r="H1081">
        <v>100</v>
      </c>
      <c r="K1081">
        <v>1</v>
      </c>
      <c r="L1081" t="s">
        <v>131</v>
      </c>
      <c r="M1081" s="50">
        <v>44875</v>
      </c>
      <c r="N1081" s="50">
        <v>2958465</v>
      </c>
      <c r="P1081">
        <v>0</v>
      </c>
      <c r="U1081">
        <v>4</v>
      </c>
      <c r="V1081">
        <v>1</v>
      </c>
      <c r="W1081" t="s">
        <v>132</v>
      </c>
      <c r="X1081">
        <v>0</v>
      </c>
    </row>
    <row r="1082" spans="1:24" x14ac:dyDescent="0.25">
      <c r="A1082">
        <v>1</v>
      </c>
      <c r="B1082" s="13">
        <v>590920300926</v>
      </c>
      <c r="C1082">
        <v>10</v>
      </c>
      <c r="D1082" s="13">
        <v>5957163009</v>
      </c>
      <c r="F1082" t="s">
        <v>130</v>
      </c>
      <c r="G1082">
        <v>0</v>
      </c>
      <c r="H1082">
        <v>100</v>
      </c>
      <c r="K1082">
        <v>2</v>
      </c>
      <c r="L1082" t="s">
        <v>131</v>
      </c>
      <c r="M1082" s="50">
        <v>44875</v>
      </c>
      <c r="N1082" s="50">
        <v>2958465</v>
      </c>
      <c r="P1082">
        <v>0</v>
      </c>
      <c r="U1082">
        <v>4</v>
      </c>
      <c r="V1082">
        <v>1</v>
      </c>
      <c r="W1082" t="s">
        <v>132</v>
      </c>
      <c r="X1082">
        <v>0</v>
      </c>
    </row>
    <row r="1083" spans="1:24" x14ac:dyDescent="0.25">
      <c r="A1083">
        <v>1</v>
      </c>
      <c r="B1083" s="13">
        <v>590920300926</v>
      </c>
      <c r="C1083">
        <v>20</v>
      </c>
      <c r="D1083" s="13">
        <v>5957333009</v>
      </c>
      <c r="F1083" t="s">
        <v>130</v>
      </c>
      <c r="G1083">
        <v>0</v>
      </c>
      <c r="H1083">
        <v>100</v>
      </c>
      <c r="K1083">
        <v>1</v>
      </c>
      <c r="L1083" t="s">
        <v>131</v>
      </c>
      <c r="M1083" s="50">
        <v>44875</v>
      </c>
      <c r="N1083" s="50">
        <v>2958465</v>
      </c>
      <c r="P1083">
        <v>0</v>
      </c>
      <c r="U1083">
        <v>4</v>
      </c>
      <c r="V1083">
        <v>1</v>
      </c>
      <c r="W1083" t="s">
        <v>132</v>
      </c>
      <c r="X1083">
        <v>0</v>
      </c>
    </row>
    <row r="1084" spans="1:24" x14ac:dyDescent="0.25">
      <c r="A1084">
        <v>1</v>
      </c>
      <c r="B1084" s="13">
        <v>590920300926</v>
      </c>
      <c r="C1084">
        <v>30</v>
      </c>
      <c r="D1084" s="13">
        <v>5957303009</v>
      </c>
      <c r="F1084" t="s">
        <v>130</v>
      </c>
      <c r="G1084">
        <v>0</v>
      </c>
      <c r="H1084">
        <v>100</v>
      </c>
      <c r="K1084">
        <v>1</v>
      </c>
      <c r="L1084" t="s">
        <v>131</v>
      </c>
      <c r="M1084" s="50">
        <v>44875</v>
      </c>
      <c r="N1084" s="50">
        <v>2958465</v>
      </c>
      <c r="P1084">
        <v>0</v>
      </c>
      <c r="U1084">
        <v>4</v>
      </c>
      <c r="V1084">
        <v>1</v>
      </c>
      <c r="W1084" t="s">
        <v>132</v>
      </c>
      <c r="X1084">
        <v>0</v>
      </c>
    </row>
    <row r="1085" spans="1:24" x14ac:dyDescent="0.25">
      <c r="A1085">
        <v>1</v>
      </c>
      <c r="B1085" s="13">
        <v>590920300926</v>
      </c>
      <c r="C1085">
        <v>40</v>
      </c>
      <c r="D1085" s="13">
        <v>5957093009</v>
      </c>
      <c r="F1085" t="s">
        <v>130</v>
      </c>
      <c r="G1085">
        <v>0</v>
      </c>
      <c r="H1085">
        <v>100</v>
      </c>
      <c r="K1085">
        <v>1</v>
      </c>
      <c r="L1085" t="s">
        <v>131</v>
      </c>
      <c r="M1085" s="50">
        <v>44875</v>
      </c>
      <c r="N1085" s="50">
        <v>2958465</v>
      </c>
      <c r="P1085">
        <v>0</v>
      </c>
      <c r="U1085">
        <v>4</v>
      </c>
      <c r="V1085">
        <v>1</v>
      </c>
      <c r="W1085" t="s">
        <v>132</v>
      </c>
      <c r="X1085">
        <v>0</v>
      </c>
    </row>
    <row r="1086" spans="1:24" x14ac:dyDescent="0.25">
      <c r="A1086">
        <v>1</v>
      </c>
      <c r="B1086" s="13">
        <v>590920300926</v>
      </c>
      <c r="C1086">
        <v>50</v>
      </c>
      <c r="D1086" s="13">
        <v>1018034</v>
      </c>
      <c r="F1086" t="s">
        <v>130</v>
      </c>
      <c r="G1086">
        <v>0</v>
      </c>
      <c r="H1086">
        <v>100</v>
      </c>
      <c r="K1086">
        <v>4</v>
      </c>
      <c r="L1086" t="s">
        <v>131</v>
      </c>
      <c r="M1086" s="50">
        <v>44875</v>
      </c>
      <c r="N1086" s="50">
        <v>2958465</v>
      </c>
      <c r="P1086">
        <v>0</v>
      </c>
      <c r="U1086">
        <v>4</v>
      </c>
      <c r="V1086">
        <v>1</v>
      </c>
      <c r="W1086" t="s">
        <v>132</v>
      </c>
      <c r="X1086">
        <v>0</v>
      </c>
    </row>
    <row r="1087" spans="1:24" x14ac:dyDescent="0.25">
      <c r="A1087">
        <v>1</v>
      </c>
      <c r="B1087" s="13">
        <v>590920300926</v>
      </c>
      <c r="C1087">
        <v>60</v>
      </c>
      <c r="D1087" s="13">
        <v>1018359</v>
      </c>
      <c r="F1087" t="s">
        <v>130</v>
      </c>
      <c r="G1087">
        <v>0</v>
      </c>
      <c r="H1087">
        <v>100</v>
      </c>
      <c r="K1087">
        <v>10</v>
      </c>
      <c r="L1087" t="s">
        <v>131</v>
      </c>
      <c r="M1087" s="50">
        <v>44875</v>
      </c>
      <c r="N1087" s="50">
        <v>2958465</v>
      </c>
      <c r="P1087">
        <v>0</v>
      </c>
      <c r="U1087">
        <v>4</v>
      </c>
      <c r="V1087">
        <v>1</v>
      </c>
      <c r="W1087" t="s">
        <v>132</v>
      </c>
      <c r="X1087">
        <v>0</v>
      </c>
    </row>
    <row r="1088" spans="1:24" x14ac:dyDescent="0.25">
      <c r="A1088">
        <v>1</v>
      </c>
      <c r="B1088" s="13">
        <v>590920300926</v>
      </c>
      <c r="C1088">
        <v>70</v>
      </c>
      <c r="D1088" s="13">
        <v>1022213</v>
      </c>
      <c r="F1088" t="s">
        <v>130</v>
      </c>
      <c r="G1088">
        <v>0</v>
      </c>
      <c r="H1088">
        <v>100</v>
      </c>
      <c r="K1088">
        <v>5.5919999999999996</v>
      </c>
      <c r="L1088" t="s">
        <v>131</v>
      </c>
      <c r="M1088" s="50">
        <v>44875</v>
      </c>
      <c r="N1088" s="50">
        <v>2958465</v>
      </c>
      <c r="P1088">
        <v>0</v>
      </c>
      <c r="U1088">
        <v>4</v>
      </c>
      <c r="V1088">
        <v>1</v>
      </c>
      <c r="W1088" t="s">
        <v>132</v>
      </c>
      <c r="X1088">
        <v>0</v>
      </c>
    </row>
    <row r="1089" spans="1:24" x14ac:dyDescent="0.25">
      <c r="A1089">
        <v>1</v>
      </c>
      <c r="B1089" s="13">
        <v>590920300926</v>
      </c>
      <c r="C1089">
        <v>80</v>
      </c>
      <c r="D1089" s="13">
        <v>18102165626</v>
      </c>
      <c r="F1089" t="s">
        <v>130</v>
      </c>
      <c r="G1089">
        <v>0</v>
      </c>
      <c r="H1089">
        <v>100</v>
      </c>
      <c r="K1089">
        <v>1</v>
      </c>
      <c r="L1089" t="s">
        <v>131</v>
      </c>
      <c r="M1089" s="50">
        <v>44875</v>
      </c>
      <c r="N1089" s="50">
        <v>2958465</v>
      </c>
      <c r="P1089">
        <v>0</v>
      </c>
      <c r="U1089">
        <v>4</v>
      </c>
      <c r="V1089">
        <v>1</v>
      </c>
      <c r="W1089" t="s">
        <v>132</v>
      </c>
      <c r="X1089">
        <v>0</v>
      </c>
    </row>
    <row r="1090" spans="1:24" x14ac:dyDescent="0.25">
      <c r="A1090">
        <v>1</v>
      </c>
      <c r="B1090" s="13">
        <v>590920300025</v>
      </c>
      <c r="C1090">
        <v>10</v>
      </c>
      <c r="D1090" s="13">
        <v>5957163099</v>
      </c>
      <c r="F1090" t="s">
        <v>130</v>
      </c>
      <c r="G1090">
        <v>0</v>
      </c>
      <c r="H1090">
        <v>100</v>
      </c>
      <c r="K1090">
        <v>2</v>
      </c>
      <c r="L1090" t="s">
        <v>131</v>
      </c>
      <c r="M1090" s="50">
        <v>44875</v>
      </c>
      <c r="N1090" s="50">
        <v>2958465</v>
      </c>
      <c r="P1090">
        <v>0</v>
      </c>
      <c r="U1090">
        <v>4</v>
      </c>
      <c r="V1090">
        <v>1</v>
      </c>
      <c r="W1090" t="s">
        <v>132</v>
      </c>
      <c r="X1090">
        <v>0</v>
      </c>
    </row>
    <row r="1091" spans="1:24" x14ac:dyDescent="0.25">
      <c r="A1091">
        <v>1</v>
      </c>
      <c r="B1091" s="13">
        <v>590920300025</v>
      </c>
      <c r="C1091">
        <v>20</v>
      </c>
      <c r="D1091" s="13">
        <v>5957333099</v>
      </c>
      <c r="F1091" t="s">
        <v>130</v>
      </c>
      <c r="G1091">
        <v>0</v>
      </c>
      <c r="H1091">
        <v>100</v>
      </c>
      <c r="K1091">
        <v>1</v>
      </c>
      <c r="L1091" t="s">
        <v>131</v>
      </c>
      <c r="M1091" s="50">
        <v>44875</v>
      </c>
      <c r="N1091" s="50">
        <v>2958465</v>
      </c>
      <c r="P1091">
        <v>0</v>
      </c>
      <c r="U1091">
        <v>4</v>
      </c>
      <c r="V1091">
        <v>1</v>
      </c>
      <c r="W1091" t="s">
        <v>132</v>
      </c>
      <c r="X1091">
        <v>0</v>
      </c>
    </row>
    <row r="1092" spans="1:24" x14ac:dyDescent="0.25">
      <c r="A1092">
        <v>1</v>
      </c>
      <c r="B1092" s="13">
        <v>590920300025</v>
      </c>
      <c r="C1092">
        <v>30</v>
      </c>
      <c r="D1092" s="13">
        <v>5957303099</v>
      </c>
      <c r="F1092" t="s">
        <v>130</v>
      </c>
      <c r="G1092">
        <v>0</v>
      </c>
      <c r="H1092">
        <v>100</v>
      </c>
      <c r="K1092">
        <v>1</v>
      </c>
      <c r="L1092" t="s">
        <v>131</v>
      </c>
      <c r="M1092" s="50">
        <v>44875</v>
      </c>
      <c r="N1092" s="50">
        <v>2958465</v>
      </c>
      <c r="P1092">
        <v>0</v>
      </c>
      <c r="U1092">
        <v>4</v>
      </c>
      <c r="V1092">
        <v>1</v>
      </c>
      <c r="W1092" t="s">
        <v>132</v>
      </c>
      <c r="X1092">
        <v>0</v>
      </c>
    </row>
    <row r="1093" spans="1:24" x14ac:dyDescent="0.25">
      <c r="A1093">
        <v>1</v>
      </c>
      <c r="B1093" s="13">
        <v>590920300025</v>
      </c>
      <c r="C1093">
        <v>40</v>
      </c>
      <c r="D1093" s="13">
        <v>1022219</v>
      </c>
      <c r="F1093" t="s">
        <v>130</v>
      </c>
      <c r="G1093">
        <v>0</v>
      </c>
      <c r="H1093">
        <v>100</v>
      </c>
      <c r="K1093">
        <v>1</v>
      </c>
      <c r="L1093" t="s">
        <v>131</v>
      </c>
      <c r="M1093" s="50">
        <v>44875</v>
      </c>
      <c r="N1093" s="50">
        <v>2958465</v>
      </c>
      <c r="P1093">
        <v>0</v>
      </c>
      <c r="U1093">
        <v>4</v>
      </c>
      <c r="V1093">
        <v>1</v>
      </c>
      <c r="W1093" t="s">
        <v>132</v>
      </c>
      <c r="X1093">
        <v>0</v>
      </c>
    </row>
    <row r="1094" spans="1:24" x14ac:dyDescent="0.25">
      <c r="A1094">
        <v>1</v>
      </c>
      <c r="B1094" s="13">
        <v>590920300025</v>
      </c>
      <c r="C1094">
        <v>50</v>
      </c>
      <c r="D1094" s="13">
        <v>1018034</v>
      </c>
      <c r="F1094" t="s">
        <v>130</v>
      </c>
      <c r="G1094">
        <v>0</v>
      </c>
      <c r="H1094">
        <v>100</v>
      </c>
      <c r="K1094">
        <v>4</v>
      </c>
      <c r="L1094" t="s">
        <v>131</v>
      </c>
      <c r="M1094" s="50">
        <v>44875</v>
      </c>
      <c r="N1094" s="50">
        <v>2958465</v>
      </c>
      <c r="P1094">
        <v>0</v>
      </c>
      <c r="U1094">
        <v>4</v>
      </c>
      <c r="V1094">
        <v>1</v>
      </c>
      <c r="W1094" t="s">
        <v>132</v>
      </c>
      <c r="X1094">
        <v>0</v>
      </c>
    </row>
    <row r="1095" spans="1:24" x14ac:dyDescent="0.25">
      <c r="A1095">
        <v>1</v>
      </c>
      <c r="B1095" s="13">
        <v>590920300025</v>
      </c>
      <c r="C1095">
        <v>60</v>
      </c>
      <c r="D1095" s="13">
        <v>1018359</v>
      </c>
      <c r="F1095" t="s">
        <v>130</v>
      </c>
      <c r="G1095">
        <v>0</v>
      </c>
      <c r="H1095">
        <v>100</v>
      </c>
      <c r="K1095">
        <v>10</v>
      </c>
      <c r="L1095" t="s">
        <v>131</v>
      </c>
      <c r="M1095" s="50">
        <v>44875</v>
      </c>
      <c r="N1095" s="50">
        <v>2958465</v>
      </c>
      <c r="P1095">
        <v>0</v>
      </c>
      <c r="U1095">
        <v>4</v>
      </c>
      <c r="V1095">
        <v>1</v>
      </c>
      <c r="W1095" t="s">
        <v>132</v>
      </c>
      <c r="X1095">
        <v>0</v>
      </c>
    </row>
    <row r="1096" spans="1:24" x14ac:dyDescent="0.25">
      <c r="A1096">
        <v>1</v>
      </c>
      <c r="B1096" s="13">
        <v>590920300025</v>
      </c>
      <c r="C1096">
        <v>70</v>
      </c>
      <c r="D1096" s="13">
        <v>1022213</v>
      </c>
      <c r="F1096" t="s">
        <v>130</v>
      </c>
      <c r="G1096">
        <v>0</v>
      </c>
      <c r="H1096">
        <v>100</v>
      </c>
      <c r="K1096">
        <v>5.5919999999999996</v>
      </c>
      <c r="L1096" t="s">
        <v>131</v>
      </c>
      <c r="M1096" s="50">
        <v>44875</v>
      </c>
      <c r="N1096" s="50">
        <v>2958465</v>
      </c>
      <c r="P1096">
        <v>0</v>
      </c>
      <c r="U1096">
        <v>4</v>
      </c>
      <c r="V1096">
        <v>1</v>
      </c>
      <c r="W1096" t="s">
        <v>132</v>
      </c>
      <c r="X1096">
        <v>0</v>
      </c>
    </row>
    <row r="1097" spans="1:24" x14ac:dyDescent="0.25">
      <c r="A1097">
        <v>1</v>
      </c>
      <c r="B1097" s="13">
        <v>590920300025</v>
      </c>
      <c r="C1097">
        <v>80</v>
      </c>
      <c r="D1097" s="13">
        <v>12165625</v>
      </c>
      <c r="F1097" t="s">
        <v>130</v>
      </c>
      <c r="G1097">
        <v>0</v>
      </c>
      <c r="H1097">
        <v>100</v>
      </c>
      <c r="K1097">
        <v>1</v>
      </c>
      <c r="L1097" t="s">
        <v>131</v>
      </c>
      <c r="M1097" s="50">
        <v>44875</v>
      </c>
      <c r="N1097" s="50">
        <v>2958465</v>
      </c>
      <c r="P1097">
        <v>0</v>
      </c>
      <c r="U1097">
        <v>4</v>
      </c>
      <c r="V1097">
        <v>1</v>
      </c>
      <c r="W1097" t="s">
        <v>132</v>
      </c>
      <c r="X1097">
        <v>0</v>
      </c>
    </row>
    <row r="1098" spans="1:24" x14ac:dyDescent="0.25">
      <c r="A1098">
        <v>1</v>
      </c>
      <c r="B1098" s="13">
        <v>590920300225</v>
      </c>
      <c r="C1098">
        <v>10</v>
      </c>
      <c r="D1098" s="13">
        <v>5957163002</v>
      </c>
      <c r="F1098" t="s">
        <v>130</v>
      </c>
      <c r="G1098">
        <v>0</v>
      </c>
      <c r="H1098">
        <v>100</v>
      </c>
      <c r="K1098">
        <v>2</v>
      </c>
      <c r="L1098" t="s">
        <v>131</v>
      </c>
      <c r="M1098" s="50">
        <v>44875</v>
      </c>
      <c r="N1098" s="50">
        <v>2958465</v>
      </c>
      <c r="P1098">
        <v>0</v>
      </c>
      <c r="U1098">
        <v>4</v>
      </c>
      <c r="V1098">
        <v>1</v>
      </c>
      <c r="W1098" t="s">
        <v>132</v>
      </c>
      <c r="X1098">
        <v>0</v>
      </c>
    </row>
    <row r="1099" spans="1:24" x14ac:dyDescent="0.25">
      <c r="A1099">
        <v>1</v>
      </c>
      <c r="B1099" s="13">
        <v>590920300225</v>
      </c>
      <c r="C1099">
        <v>20</v>
      </c>
      <c r="D1099" s="13">
        <v>5957333002</v>
      </c>
      <c r="F1099" t="s">
        <v>130</v>
      </c>
      <c r="G1099">
        <v>0</v>
      </c>
      <c r="H1099">
        <v>100</v>
      </c>
      <c r="K1099">
        <v>1</v>
      </c>
      <c r="L1099" t="s">
        <v>131</v>
      </c>
      <c r="M1099" s="50">
        <v>44875</v>
      </c>
      <c r="N1099" s="50">
        <v>2958465</v>
      </c>
      <c r="P1099">
        <v>0</v>
      </c>
      <c r="U1099">
        <v>4</v>
      </c>
      <c r="V1099">
        <v>1</v>
      </c>
      <c r="W1099" t="s">
        <v>132</v>
      </c>
      <c r="X1099">
        <v>0</v>
      </c>
    </row>
    <row r="1100" spans="1:24" x14ac:dyDescent="0.25">
      <c r="A1100">
        <v>1</v>
      </c>
      <c r="B1100" s="13">
        <v>590920300225</v>
      </c>
      <c r="C1100">
        <v>30</v>
      </c>
      <c r="D1100" s="13">
        <v>5957303002</v>
      </c>
      <c r="F1100" t="s">
        <v>130</v>
      </c>
      <c r="G1100">
        <v>0</v>
      </c>
      <c r="H1100">
        <v>100</v>
      </c>
      <c r="K1100">
        <v>1</v>
      </c>
      <c r="L1100" t="s">
        <v>131</v>
      </c>
      <c r="M1100" s="50">
        <v>44875</v>
      </c>
      <c r="N1100" s="50">
        <v>2958465</v>
      </c>
      <c r="P1100">
        <v>0</v>
      </c>
      <c r="U1100">
        <v>4</v>
      </c>
      <c r="V1100">
        <v>1</v>
      </c>
      <c r="W1100" t="s">
        <v>132</v>
      </c>
      <c r="X1100">
        <v>0</v>
      </c>
    </row>
    <row r="1101" spans="1:24" x14ac:dyDescent="0.25">
      <c r="A1101">
        <v>1</v>
      </c>
      <c r="B1101" s="13">
        <v>590920300225</v>
      </c>
      <c r="C1101">
        <v>40</v>
      </c>
      <c r="D1101" s="13">
        <v>5957093002</v>
      </c>
      <c r="F1101" t="s">
        <v>130</v>
      </c>
      <c r="G1101">
        <v>0</v>
      </c>
      <c r="H1101">
        <v>100</v>
      </c>
      <c r="K1101">
        <v>1</v>
      </c>
      <c r="L1101" t="s">
        <v>131</v>
      </c>
      <c r="M1101" s="50">
        <v>44875</v>
      </c>
      <c r="N1101" s="50">
        <v>2958465</v>
      </c>
      <c r="P1101">
        <v>0</v>
      </c>
      <c r="U1101">
        <v>4</v>
      </c>
      <c r="V1101">
        <v>1</v>
      </c>
      <c r="W1101" t="s">
        <v>132</v>
      </c>
      <c r="X1101">
        <v>0</v>
      </c>
    </row>
    <row r="1102" spans="1:24" x14ac:dyDescent="0.25">
      <c r="A1102">
        <v>1</v>
      </c>
      <c r="B1102" s="13">
        <v>590920300225</v>
      </c>
      <c r="C1102">
        <v>50</v>
      </c>
      <c r="D1102" s="13">
        <v>1018034</v>
      </c>
      <c r="F1102" t="s">
        <v>130</v>
      </c>
      <c r="G1102">
        <v>0</v>
      </c>
      <c r="H1102">
        <v>100</v>
      </c>
      <c r="K1102">
        <v>4</v>
      </c>
      <c r="L1102" t="s">
        <v>131</v>
      </c>
      <c r="M1102" s="50">
        <v>44875</v>
      </c>
      <c r="N1102" s="50">
        <v>2958465</v>
      </c>
      <c r="P1102">
        <v>0</v>
      </c>
      <c r="U1102">
        <v>4</v>
      </c>
      <c r="V1102">
        <v>1</v>
      </c>
      <c r="W1102" t="s">
        <v>132</v>
      </c>
      <c r="X1102">
        <v>0</v>
      </c>
    </row>
    <row r="1103" spans="1:24" x14ac:dyDescent="0.25">
      <c r="A1103">
        <v>1</v>
      </c>
      <c r="B1103" s="13">
        <v>590920300225</v>
      </c>
      <c r="C1103">
        <v>60</v>
      </c>
      <c r="D1103" s="13">
        <v>1022356</v>
      </c>
      <c r="F1103" t="s">
        <v>130</v>
      </c>
      <c r="G1103">
        <v>0</v>
      </c>
      <c r="H1103">
        <v>100</v>
      </c>
      <c r="K1103">
        <v>10</v>
      </c>
      <c r="L1103" t="s">
        <v>131</v>
      </c>
      <c r="M1103" s="50">
        <v>44875</v>
      </c>
      <c r="N1103" s="50">
        <v>2958465</v>
      </c>
      <c r="P1103">
        <v>0</v>
      </c>
      <c r="U1103">
        <v>4</v>
      </c>
      <c r="V1103">
        <v>1</v>
      </c>
      <c r="W1103" t="s">
        <v>132</v>
      </c>
      <c r="X1103">
        <v>0</v>
      </c>
    </row>
    <row r="1104" spans="1:24" x14ac:dyDescent="0.25">
      <c r="A1104">
        <v>1</v>
      </c>
      <c r="B1104" s="13">
        <v>590920300225</v>
      </c>
      <c r="C1104">
        <v>70</v>
      </c>
      <c r="D1104" s="13">
        <v>1022213</v>
      </c>
      <c r="F1104" t="s">
        <v>130</v>
      </c>
      <c r="G1104">
        <v>0</v>
      </c>
      <c r="H1104">
        <v>100</v>
      </c>
      <c r="K1104">
        <v>5.5919999999999996</v>
      </c>
      <c r="L1104" t="s">
        <v>131</v>
      </c>
      <c r="M1104" s="50">
        <v>44875</v>
      </c>
      <c r="N1104" s="50">
        <v>2958465</v>
      </c>
      <c r="P1104">
        <v>0</v>
      </c>
      <c r="U1104">
        <v>4</v>
      </c>
      <c r="V1104">
        <v>1</v>
      </c>
      <c r="W1104" t="s">
        <v>132</v>
      </c>
      <c r="X1104">
        <v>0</v>
      </c>
    </row>
    <row r="1105" spans="1:24" x14ac:dyDescent="0.25">
      <c r="A1105">
        <v>1</v>
      </c>
      <c r="B1105" s="13">
        <v>590920300225</v>
      </c>
      <c r="C1105">
        <v>80</v>
      </c>
      <c r="D1105" s="13">
        <v>12165625</v>
      </c>
      <c r="F1105" t="s">
        <v>130</v>
      </c>
      <c r="G1105">
        <v>0</v>
      </c>
      <c r="H1105">
        <v>100</v>
      </c>
      <c r="K1105">
        <v>1</v>
      </c>
      <c r="L1105" t="s">
        <v>131</v>
      </c>
      <c r="M1105" s="50">
        <v>44875</v>
      </c>
      <c r="N1105" s="50">
        <v>2958465</v>
      </c>
      <c r="P1105">
        <v>0</v>
      </c>
      <c r="U1105">
        <v>4</v>
      </c>
      <c r="V1105">
        <v>1</v>
      </c>
      <c r="W1105" t="s">
        <v>132</v>
      </c>
      <c r="X1105">
        <v>0</v>
      </c>
    </row>
    <row r="1106" spans="1:24" x14ac:dyDescent="0.25">
      <c r="A1106">
        <v>1</v>
      </c>
      <c r="B1106" s="13">
        <v>590920300325</v>
      </c>
      <c r="C1106">
        <v>10</v>
      </c>
      <c r="D1106" s="13">
        <v>5957163003</v>
      </c>
      <c r="F1106" t="s">
        <v>130</v>
      </c>
      <c r="G1106">
        <v>0</v>
      </c>
      <c r="H1106">
        <v>100</v>
      </c>
      <c r="K1106">
        <v>2</v>
      </c>
      <c r="L1106" t="s">
        <v>131</v>
      </c>
      <c r="M1106" s="50">
        <v>44875</v>
      </c>
      <c r="N1106" s="50">
        <v>2958465</v>
      </c>
      <c r="P1106">
        <v>0</v>
      </c>
      <c r="U1106">
        <v>4</v>
      </c>
      <c r="V1106">
        <v>1</v>
      </c>
      <c r="W1106" t="s">
        <v>132</v>
      </c>
      <c r="X1106">
        <v>0</v>
      </c>
    </row>
    <row r="1107" spans="1:24" x14ac:dyDescent="0.25">
      <c r="A1107">
        <v>1</v>
      </c>
      <c r="B1107" s="13">
        <v>590920300325</v>
      </c>
      <c r="C1107">
        <v>20</v>
      </c>
      <c r="D1107" s="13">
        <v>5957333003</v>
      </c>
      <c r="F1107" t="s">
        <v>130</v>
      </c>
      <c r="G1107">
        <v>0</v>
      </c>
      <c r="H1107">
        <v>100</v>
      </c>
      <c r="K1107">
        <v>1</v>
      </c>
      <c r="L1107" t="s">
        <v>131</v>
      </c>
      <c r="M1107" s="50">
        <v>44875</v>
      </c>
      <c r="N1107" s="50">
        <v>2958465</v>
      </c>
      <c r="P1107">
        <v>0</v>
      </c>
      <c r="U1107">
        <v>4</v>
      </c>
      <c r="V1107">
        <v>1</v>
      </c>
      <c r="W1107" t="s">
        <v>132</v>
      </c>
      <c r="X1107">
        <v>0</v>
      </c>
    </row>
    <row r="1108" spans="1:24" x14ac:dyDescent="0.25">
      <c r="A1108">
        <v>1</v>
      </c>
      <c r="B1108" s="13">
        <v>590920300325</v>
      </c>
      <c r="C1108">
        <v>30</v>
      </c>
      <c r="D1108" s="13">
        <v>5957303003</v>
      </c>
      <c r="F1108" t="s">
        <v>130</v>
      </c>
      <c r="G1108">
        <v>0</v>
      </c>
      <c r="H1108">
        <v>100</v>
      </c>
      <c r="K1108">
        <v>1</v>
      </c>
      <c r="L1108" t="s">
        <v>131</v>
      </c>
      <c r="M1108" s="50">
        <v>44875</v>
      </c>
      <c r="N1108" s="50">
        <v>2958465</v>
      </c>
      <c r="P1108">
        <v>0</v>
      </c>
      <c r="U1108">
        <v>4</v>
      </c>
      <c r="V1108">
        <v>1</v>
      </c>
      <c r="W1108" t="s">
        <v>132</v>
      </c>
      <c r="X1108">
        <v>0</v>
      </c>
    </row>
    <row r="1109" spans="1:24" x14ac:dyDescent="0.25">
      <c r="A1109">
        <v>1</v>
      </c>
      <c r="B1109" s="13">
        <v>590920300325</v>
      </c>
      <c r="C1109">
        <v>40</v>
      </c>
      <c r="D1109" s="13">
        <v>5957093003</v>
      </c>
      <c r="F1109" t="s">
        <v>130</v>
      </c>
      <c r="G1109">
        <v>0</v>
      </c>
      <c r="H1109">
        <v>100</v>
      </c>
      <c r="K1109">
        <v>1</v>
      </c>
      <c r="L1109" t="s">
        <v>131</v>
      </c>
      <c r="M1109" s="50">
        <v>44875</v>
      </c>
      <c r="N1109" s="50">
        <v>2958465</v>
      </c>
      <c r="P1109">
        <v>0</v>
      </c>
      <c r="U1109">
        <v>4</v>
      </c>
      <c r="V1109">
        <v>1</v>
      </c>
      <c r="W1109" t="s">
        <v>132</v>
      </c>
      <c r="X1109">
        <v>0</v>
      </c>
    </row>
    <row r="1110" spans="1:24" x14ac:dyDescent="0.25">
      <c r="A1110">
        <v>1</v>
      </c>
      <c r="B1110" s="13">
        <v>590920300325</v>
      </c>
      <c r="C1110">
        <v>50</v>
      </c>
      <c r="D1110" s="13">
        <v>1018034</v>
      </c>
      <c r="F1110" t="s">
        <v>130</v>
      </c>
      <c r="G1110">
        <v>0</v>
      </c>
      <c r="H1110">
        <v>100</v>
      </c>
      <c r="K1110">
        <v>4</v>
      </c>
      <c r="L1110" t="s">
        <v>131</v>
      </c>
      <c r="M1110" s="50">
        <v>44875</v>
      </c>
      <c r="N1110" s="50">
        <v>2958465</v>
      </c>
      <c r="P1110">
        <v>0</v>
      </c>
      <c r="U1110">
        <v>4</v>
      </c>
      <c r="V1110">
        <v>1</v>
      </c>
      <c r="W1110" t="s">
        <v>132</v>
      </c>
      <c r="X1110">
        <v>0</v>
      </c>
    </row>
    <row r="1111" spans="1:24" x14ac:dyDescent="0.25">
      <c r="A1111">
        <v>1</v>
      </c>
      <c r="B1111" s="13">
        <v>590920300325</v>
      </c>
      <c r="C1111">
        <v>60</v>
      </c>
      <c r="D1111" s="13">
        <v>1018359</v>
      </c>
      <c r="F1111" t="s">
        <v>130</v>
      </c>
      <c r="G1111">
        <v>0</v>
      </c>
      <c r="H1111">
        <v>100</v>
      </c>
      <c r="K1111">
        <v>10</v>
      </c>
      <c r="L1111" t="s">
        <v>131</v>
      </c>
      <c r="M1111" s="50">
        <v>44875</v>
      </c>
      <c r="N1111" s="50">
        <v>2958465</v>
      </c>
      <c r="P1111">
        <v>0</v>
      </c>
      <c r="U1111">
        <v>4</v>
      </c>
      <c r="V1111">
        <v>1</v>
      </c>
      <c r="W1111" t="s">
        <v>132</v>
      </c>
      <c r="X1111">
        <v>0</v>
      </c>
    </row>
    <row r="1112" spans="1:24" x14ac:dyDescent="0.25">
      <c r="A1112">
        <v>1</v>
      </c>
      <c r="B1112" s="13">
        <v>590920300325</v>
      </c>
      <c r="C1112">
        <v>70</v>
      </c>
      <c r="D1112" s="13">
        <v>1022213</v>
      </c>
      <c r="F1112" t="s">
        <v>130</v>
      </c>
      <c r="G1112">
        <v>0</v>
      </c>
      <c r="H1112">
        <v>100</v>
      </c>
      <c r="K1112">
        <v>5.5919999999999996</v>
      </c>
      <c r="L1112" t="s">
        <v>131</v>
      </c>
      <c r="M1112" s="50">
        <v>44875</v>
      </c>
      <c r="N1112" s="50">
        <v>2958465</v>
      </c>
      <c r="P1112">
        <v>0</v>
      </c>
      <c r="U1112">
        <v>4</v>
      </c>
      <c r="V1112">
        <v>1</v>
      </c>
      <c r="W1112" t="s">
        <v>132</v>
      </c>
      <c r="X1112">
        <v>0</v>
      </c>
    </row>
    <row r="1113" spans="1:24" x14ac:dyDescent="0.25">
      <c r="A1113">
        <v>1</v>
      </c>
      <c r="B1113" s="13">
        <v>590920300325</v>
      </c>
      <c r="C1113">
        <v>80</v>
      </c>
      <c r="D1113" s="13">
        <v>12165625</v>
      </c>
      <c r="F1113" t="s">
        <v>130</v>
      </c>
      <c r="G1113">
        <v>0</v>
      </c>
      <c r="H1113">
        <v>100</v>
      </c>
      <c r="K1113">
        <v>1</v>
      </c>
      <c r="L1113" t="s">
        <v>131</v>
      </c>
      <c r="M1113" s="50">
        <v>44875</v>
      </c>
      <c r="N1113" s="50">
        <v>2958465</v>
      </c>
      <c r="P1113">
        <v>0</v>
      </c>
      <c r="U1113">
        <v>4</v>
      </c>
      <c r="V1113">
        <v>1</v>
      </c>
      <c r="W1113" t="s">
        <v>132</v>
      </c>
      <c r="X1113">
        <v>0</v>
      </c>
    </row>
    <row r="1114" spans="1:24" x14ac:dyDescent="0.25">
      <c r="A1114">
        <v>1</v>
      </c>
      <c r="B1114" s="13">
        <v>590920300425</v>
      </c>
      <c r="C1114">
        <v>10</v>
      </c>
      <c r="D1114" s="13">
        <v>5957163004</v>
      </c>
      <c r="F1114" t="s">
        <v>130</v>
      </c>
      <c r="G1114">
        <v>0</v>
      </c>
      <c r="H1114">
        <v>100</v>
      </c>
      <c r="K1114">
        <v>2</v>
      </c>
      <c r="L1114" t="s">
        <v>131</v>
      </c>
      <c r="M1114" s="50">
        <v>44875</v>
      </c>
      <c r="N1114" s="50">
        <v>2958465</v>
      </c>
      <c r="P1114">
        <v>0</v>
      </c>
      <c r="U1114">
        <v>4</v>
      </c>
      <c r="V1114">
        <v>1</v>
      </c>
      <c r="W1114" t="s">
        <v>132</v>
      </c>
      <c r="X1114">
        <v>0</v>
      </c>
    </row>
    <row r="1115" spans="1:24" x14ac:dyDescent="0.25">
      <c r="A1115">
        <v>1</v>
      </c>
      <c r="B1115" s="13">
        <v>590920300425</v>
      </c>
      <c r="C1115">
        <v>20</v>
      </c>
      <c r="D1115" s="13">
        <v>5957333004</v>
      </c>
      <c r="F1115" t="s">
        <v>130</v>
      </c>
      <c r="G1115">
        <v>0</v>
      </c>
      <c r="H1115">
        <v>100</v>
      </c>
      <c r="K1115">
        <v>1</v>
      </c>
      <c r="L1115" t="s">
        <v>131</v>
      </c>
      <c r="M1115" s="50">
        <v>44875</v>
      </c>
      <c r="N1115" s="50">
        <v>2958465</v>
      </c>
      <c r="P1115">
        <v>0</v>
      </c>
      <c r="U1115">
        <v>4</v>
      </c>
      <c r="V1115">
        <v>1</v>
      </c>
      <c r="W1115" t="s">
        <v>132</v>
      </c>
      <c r="X1115">
        <v>0</v>
      </c>
    </row>
    <row r="1116" spans="1:24" x14ac:dyDescent="0.25">
      <c r="A1116">
        <v>1</v>
      </c>
      <c r="B1116" s="13">
        <v>590920300425</v>
      </c>
      <c r="C1116">
        <v>30</v>
      </c>
      <c r="D1116" s="13">
        <v>5957303004</v>
      </c>
      <c r="F1116" t="s">
        <v>130</v>
      </c>
      <c r="G1116">
        <v>0</v>
      </c>
      <c r="H1116">
        <v>100</v>
      </c>
      <c r="K1116">
        <v>1</v>
      </c>
      <c r="L1116" t="s">
        <v>131</v>
      </c>
      <c r="M1116" s="50">
        <v>44875</v>
      </c>
      <c r="N1116" s="50">
        <v>2958465</v>
      </c>
      <c r="P1116">
        <v>0</v>
      </c>
      <c r="U1116">
        <v>4</v>
      </c>
      <c r="V1116">
        <v>1</v>
      </c>
      <c r="W1116" t="s">
        <v>132</v>
      </c>
      <c r="X1116">
        <v>0</v>
      </c>
    </row>
    <row r="1117" spans="1:24" x14ac:dyDescent="0.25">
      <c r="A1117">
        <v>1</v>
      </c>
      <c r="B1117" s="13">
        <v>590920300425</v>
      </c>
      <c r="C1117">
        <v>40</v>
      </c>
      <c r="D1117" s="13">
        <v>5957093004</v>
      </c>
      <c r="F1117" t="s">
        <v>130</v>
      </c>
      <c r="G1117">
        <v>0</v>
      </c>
      <c r="H1117">
        <v>100</v>
      </c>
      <c r="K1117">
        <v>1</v>
      </c>
      <c r="L1117" t="s">
        <v>131</v>
      </c>
      <c r="M1117" s="50">
        <v>44875</v>
      </c>
      <c r="N1117" s="50">
        <v>2958465</v>
      </c>
      <c r="P1117">
        <v>0</v>
      </c>
      <c r="U1117">
        <v>4</v>
      </c>
      <c r="V1117">
        <v>1</v>
      </c>
      <c r="W1117" t="s">
        <v>132</v>
      </c>
      <c r="X1117">
        <v>0</v>
      </c>
    </row>
    <row r="1118" spans="1:24" x14ac:dyDescent="0.25">
      <c r="A1118">
        <v>1</v>
      </c>
      <c r="B1118" s="13">
        <v>590920300425</v>
      </c>
      <c r="C1118">
        <v>50</v>
      </c>
      <c r="D1118" s="13">
        <v>1018034</v>
      </c>
      <c r="F1118" t="s">
        <v>130</v>
      </c>
      <c r="G1118">
        <v>0</v>
      </c>
      <c r="H1118">
        <v>100</v>
      </c>
      <c r="K1118">
        <v>4</v>
      </c>
      <c r="L1118" t="s">
        <v>131</v>
      </c>
      <c r="M1118" s="50">
        <v>44875</v>
      </c>
      <c r="N1118" s="50">
        <v>2958465</v>
      </c>
      <c r="P1118">
        <v>0</v>
      </c>
      <c r="U1118">
        <v>4</v>
      </c>
      <c r="V1118">
        <v>1</v>
      </c>
      <c r="W1118" t="s">
        <v>132</v>
      </c>
      <c r="X1118">
        <v>0</v>
      </c>
    </row>
    <row r="1119" spans="1:24" x14ac:dyDescent="0.25">
      <c r="A1119">
        <v>1</v>
      </c>
      <c r="B1119" s="13">
        <v>590920300425</v>
      </c>
      <c r="C1119">
        <v>60</v>
      </c>
      <c r="D1119" s="13">
        <v>1022356</v>
      </c>
      <c r="F1119" t="s">
        <v>130</v>
      </c>
      <c r="G1119">
        <v>0</v>
      </c>
      <c r="H1119">
        <v>100</v>
      </c>
      <c r="K1119">
        <v>10</v>
      </c>
      <c r="L1119" t="s">
        <v>131</v>
      </c>
      <c r="M1119" s="50">
        <v>44875</v>
      </c>
      <c r="N1119" s="50">
        <v>2958465</v>
      </c>
      <c r="P1119">
        <v>0</v>
      </c>
      <c r="U1119">
        <v>4</v>
      </c>
      <c r="V1119">
        <v>1</v>
      </c>
      <c r="W1119" t="s">
        <v>132</v>
      </c>
      <c r="X1119">
        <v>0</v>
      </c>
    </row>
    <row r="1120" spans="1:24" x14ac:dyDescent="0.25">
      <c r="A1120">
        <v>1</v>
      </c>
      <c r="B1120" s="13">
        <v>590920300425</v>
      </c>
      <c r="C1120">
        <v>70</v>
      </c>
      <c r="D1120" s="13">
        <v>1022213</v>
      </c>
      <c r="F1120" t="s">
        <v>130</v>
      </c>
      <c r="G1120">
        <v>0</v>
      </c>
      <c r="H1120">
        <v>100</v>
      </c>
      <c r="K1120">
        <v>5.5919999999999996</v>
      </c>
      <c r="L1120" t="s">
        <v>131</v>
      </c>
      <c r="M1120" s="50">
        <v>44875</v>
      </c>
      <c r="N1120" s="50">
        <v>2958465</v>
      </c>
      <c r="P1120">
        <v>0</v>
      </c>
      <c r="U1120">
        <v>4</v>
      </c>
      <c r="V1120">
        <v>1</v>
      </c>
      <c r="W1120" t="s">
        <v>132</v>
      </c>
      <c r="X1120">
        <v>0</v>
      </c>
    </row>
    <row r="1121" spans="1:24" x14ac:dyDescent="0.25">
      <c r="A1121">
        <v>1</v>
      </c>
      <c r="B1121" s="13">
        <v>590920300425</v>
      </c>
      <c r="C1121">
        <v>80</v>
      </c>
      <c r="D1121" s="13">
        <v>12165625</v>
      </c>
      <c r="F1121" t="s">
        <v>130</v>
      </c>
      <c r="G1121">
        <v>0</v>
      </c>
      <c r="H1121">
        <v>100</v>
      </c>
      <c r="K1121">
        <v>1</v>
      </c>
      <c r="L1121" t="s">
        <v>131</v>
      </c>
      <c r="M1121" s="50">
        <v>44875</v>
      </c>
      <c r="N1121" s="50">
        <v>2958465</v>
      </c>
      <c r="P1121">
        <v>0</v>
      </c>
      <c r="U1121">
        <v>4</v>
      </c>
      <c r="V1121">
        <v>1</v>
      </c>
      <c r="W1121" t="s">
        <v>132</v>
      </c>
      <c r="X1121">
        <v>0</v>
      </c>
    </row>
    <row r="1122" spans="1:24" x14ac:dyDescent="0.25">
      <c r="A1122">
        <v>1</v>
      </c>
      <c r="B1122" s="13">
        <v>590920300525</v>
      </c>
      <c r="C1122">
        <v>10</v>
      </c>
      <c r="D1122" s="13">
        <v>5957163005</v>
      </c>
      <c r="F1122" t="s">
        <v>130</v>
      </c>
      <c r="G1122">
        <v>0</v>
      </c>
      <c r="H1122">
        <v>100</v>
      </c>
      <c r="K1122">
        <v>2</v>
      </c>
      <c r="L1122" t="s">
        <v>131</v>
      </c>
      <c r="M1122" s="50">
        <v>44875</v>
      </c>
      <c r="N1122" s="50">
        <v>2958465</v>
      </c>
      <c r="P1122">
        <v>0</v>
      </c>
      <c r="U1122">
        <v>4</v>
      </c>
      <c r="V1122">
        <v>1</v>
      </c>
      <c r="W1122" t="s">
        <v>132</v>
      </c>
      <c r="X1122">
        <v>0</v>
      </c>
    </row>
    <row r="1123" spans="1:24" x14ac:dyDescent="0.25">
      <c r="A1123">
        <v>1</v>
      </c>
      <c r="B1123" s="13">
        <v>590920300525</v>
      </c>
      <c r="C1123">
        <v>20</v>
      </c>
      <c r="D1123" s="13">
        <v>5957333005</v>
      </c>
      <c r="F1123" t="s">
        <v>130</v>
      </c>
      <c r="G1123">
        <v>0</v>
      </c>
      <c r="H1123">
        <v>100</v>
      </c>
      <c r="K1123">
        <v>1</v>
      </c>
      <c r="L1123" t="s">
        <v>131</v>
      </c>
      <c r="M1123" s="50">
        <v>44875</v>
      </c>
      <c r="N1123" s="50">
        <v>2958465</v>
      </c>
      <c r="P1123">
        <v>0</v>
      </c>
      <c r="U1123">
        <v>4</v>
      </c>
      <c r="V1123">
        <v>1</v>
      </c>
      <c r="W1123" t="s">
        <v>132</v>
      </c>
      <c r="X1123">
        <v>0</v>
      </c>
    </row>
    <row r="1124" spans="1:24" x14ac:dyDescent="0.25">
      <c r="A1124">
        <v>1</v>
      </c>
      <c r="B1124" s="13">
        <v>590920300525</v>
      </c>
      <c r="C1124">
        <v>30</v>
      </c>
      <c r="D1124" s="13">
        <v>5957303005</v>
      </c>
      <c r="F1124" t="s">
        <v>130</v>
      </c>
      <c r="G1124">
        <v>0</v>
      </c>
      <c r="H1124">
        <v>100</v>
      </c>
      <c r="K1124">
        <v>1</v>
      </c>
      <c r="L1124" t="s">
        <v>131</v>
      </c>
      <c r="M1124" s="50">
        <v>44875</v>
      </c>
      <c r="N1124" s="50">
        <v>2958465</v>
      </c>
      <c r="P1124">
        <v>0</v>
      </c>
      <c r="U1124">
        <v>4</v>
      </c>
      <c r="V1124">
        <v>1</v>
      </c>
      <c r="W1124" t="s">
        <v>132</v>
      </c>
      <c r="X1124">
        <v>0</v>
      </c>
    </row>
    <row r="1125" spans="1:24" x14ac:dyDescent="0.25">
      <c r="A1125">
        <v>1</v>
      </c>
      <c r="B1125" s="13">
        <v>590920300525</v>
      </c>
      <c r="C1125">
        <v>40</v>
      </c>
      <c r="D1125" s="13">
        <v>5957093005</v>
      </c>
      <c r="F1125" t="s">
        <v>130</v>
      </c>
      <c r="G1125">
        <v>0</v>
      </c>
      <c r="H1125">
        <v>100</v>
      </c>
      <c r="K1125">
        <v>1</v>
      </c>
      <c r="L1125" t="s">
        <v>131</v>
      </c>
      <c r="M1125" s="50">
        <v>44875</v>
      </c>
      <c r="N1125" s="50">
        <v>2958465</v>
      </c>
      <c r="P1125">
        <v>0</v>
      </c>
      <c r="U1125">
        <v>4</v>
      </c>
      <c r="V1125">
        <v>1</v>
      </c>
      <c r="W1125" t="s">
        <v>132</v>
      </c>
      <c r="X1125">
        <v>0</v>
      </c>
    </row>
    <row r="1126" spans="1:24" x14ac:dyDescent="0.25">
      <c r="A1126">
        <v>1</v>
      </c>
      <c r="B1126" s="13">
        <v>590920300525</v>
      </c>
      <c r="C1126">
        <v>50</v>
      </c>
      <c r="D1126" s="13">
        <v>1018034</v>
      </c>
      <c r="F1126" t="s">
        <v>130</v>
      </c>
      <c r="G1126">
        <v>0</v>
      </c>
      <c r="H1126">
        <v>100</v>
      </c>
      <c r="K1126">
        <v>4</v>
      </c>
      <c r="L1126" t="s">
        <v>131</v>
      </c>
      <c r="M1126" s="50">
        <v>44875</v>
      </c>
      <c r="N1126" s="50">
        <v>2958465</v>
      </c>
      <c r="P1126">
        <v>0</v>
      </c>
      <c r="U1126">
        <v>4</v>
      </c>
      <c r="V1126">
        <v>1</v>
      </c>
      <c r="W1126" t="s">
        <v>132</v>
      </c>
      <c r="X1126">
        <v>0</v>
      </c>
    </row>
    <row r="1127" spans="1:24" x14ac:dyDescent="0.25">
      <c r="A1127">
        <v>1</v>
      </c>
      <c r="B1127" s="13">
        <v>590920300525</v>
      </c>
      <c r="C1127">
        <v>60</v>
      </c>
      <c r="D1127" s="13">
        <v>1022356</v>
      </c>
      <c r="F1127" t="s">
        <v>130</v>
      </c>
      <c r="G1127">
        <v>0</v>
      </c>
      <c r="H1127">
        <v>100</v>
      </c>
      <c r="K1127">
        <v>10</v>
      </c>
      <c r="L1127" t="s">
        <v>131</v>
      </c>
      <c r="M1127" s="50">
        <v>44875</v>
      </c>
      <c r="N1127" s="50">
        <v>2958465</v>
      </c>
      <c r="P1127">
        <v>0</v>
      </c>
      <c r="U1127">
        <v>4</v>
      </c>
      <c r="V1127">
        <v>1</v>
      </c>
      <c r="W1127" t="s">
        <v>132</v>
      </c>
      <c r="X1127">
        <v>0</v>
      </c>
    </row>
    <row r="1128" spans="1:24" x14ac:dyDescent="0.25">
      <c r="A1128">
        <v>1</v>
      </c>
      <c r="B1128" s="13">
        <v>590920300525</v>
      </c>
      <c r="C1128">
        <v>70</v>
      </c>
      <c r="D1128" s="13">
        <v>1022213</v>
      </c>
      <c r="F1128" t="s">
        <v>130</v>
      </c>
      <c r="G1128">
        <v>0</v>
      </c>
      <c r="H1128">
        <v>100</v>
      </c>
      <c r="K1128">
        <v>5.5919999999999996</v>
      </c>
      <c r="L1128" t="s">
        <v>131</v>
      </c>
      <c r="M1128" s="50">
        <v>44875</v>
      </c>
      <c r="N1128" s="50">
        <v>2958465</v>
      </c>
      <c r="P1128">
        <v>0</v>
      </c>
      <c r="U1128">
        <v>4</v>
      </c>
      <c r="V1128">
        <v>1</v>
      </c>
      <c r="W1128" t="s">
        <v>132</v>
      </c>
      <c r="X1128">
        <v>0</v>
      </c>
    </row>
    <row r="1129" spans="1:24" x14ac:dyDescent="0.25">
      <c r="A1129">
        <v>1</v>
      </c>
      <c r="B1129" s="13">
        <v>590920300525</v>
      </c>
      <c r="C1129">
        <v>80</v>
      </c>
      <c r="D1129" s="13">
        <v>12165625</v>
      </c>
      <c r="F1129" t="s">
        <v>130</v>
      </c>
      <c r="G1129">
        <v>0</v>
      </c>
      <c r="H1129">
        <v>100</v>
      </c>
      <c r="K1129">
        <v>1</v>
      </c>
      <c r="L1129" t="s">
        <v>131</v>
      </c>
      <c r="M1129" s="50">
        <v>44875</v>
      </c>
      <c r="N1129" s="50">
        <v>2958465</v>
      </c>
      <c r="P1129">
        <v>0</v>
      </c>
      <c r="U1129">
        <v>4</v>
      </c>
      <c r="V1129">
        <v>1</v>
      </c>
      <c r="W1129" t="s">
        <v>132</v>
      </c>
      <c r="X1129">
        <v>0</v>
      </c>
    </row>
    <row r="1130" spans="1:24" x14ac:dyDescent="0.25">
      <c r="A1130">
        <v>1</v>
      </c>
      <c r="B1130" s="13">
        <v>590920300625</v>
      </c>
      <c r="C1130">
        <v>10</v>
      </c>
      <c r="D1130" s="13">
        <v>5957163006</v>
      </c>
      <c r="F1130" t="s">
        <v>130</v>
      </c>
      <c r="G1130">
        <v>0</v>
      </c>
      <c r="H1130">
        <v>100</v>
      </c>
      <c r="K1130">
        <v>2</v>
      </c>
      <c r="L1130" t="s">
        <v>131</v>
      </c>
      <c r="M1130" s="50">
        <v>44875</v>
      </c>
      <c r="N1130" s="50">
        <v>2958465</v>
      </c>
      <c r="P1130">
        <v>0</v>
      </c>
      <c r="U1130">
        <v>4</v>
      </c>
      <c r="V1130">
        <v>1</v>
      </c>
      <c r="W1130" t="s">
        <v>132</v>
      </c>
      <c r="X1130">
        <v>0</v>
      </c>
    </row>
    <row r="1131" spans="1:24" x14ac:dyDescent="0.25">
      <c r="A1131">
        <v>1</v>
      </c>
      <c r="B1131" s="13">
        <v>590920300625</v>
      </c>
      <c r="C1131">
        <v>20</v>
      </c>
      <c r="D1131" s="13">
        <v>5957333006</v>
      </c>
      <c r="F1131" t="s">
        <v>130</v>
      </c>
      <c r="G1131">
        <v>0</v>
      </c>
      <c r="H1131">
        <v>100</v>
      </c>
      <c r="K1131">
        <v>1</v>
      </c>
      <c r="L1131" t="s">
        <v>131</v>
      </c>
      <c r="M1131" s="50">
        <v>44875</v>
      </c>
      <c r="N1131" s="50">
        <v>2958465</v>
      </c>
      <c r="P1131">
        <v>0</v>
      </c>
      <c r="U1131">
        <v>4</v>
      </c>
      <c r="V1131">
        <v>1</v>
      </c>
      <c r="W1131" t="s">
        <v>132</v>
      </c>
      <c r="X1131">
        <v>0</v>
      </c>
    </row>
    <row r="1132" spans="1:24" x14ac:dyDescent="0.25">
      <c r="A1132">
        <v>1</v>
      </c>
      <c r="B1132" s="13">
        <v>590920300625</v>
      </c>
      <c r="C1132">
        <v>30</v>
      </c>
      <c r="D1132" s="13">
        <v>5957303006</v>
      </c>
      <c r="F1132" t="s">
        <v>130</v>
      </c>
      <c r="G1132">
        <v>0</v>
      </c>
      <c r="H1132">
        <v>100</v>
      </c>
      <c r="K1132">
        <v>1</v>
      </c>
      <c r="L1132" t="s">
        <v>131</v>
      </c>
      <c r="M1132" s="50">
        <v>44875</v>
      </c>
      <c r="N1132" s="50">
        <v>2958465</v>
      </c>
      <c r="P1132">
        <v>0</v>
      </c>
      <c r="U1132">
        <v>4</v>
      </c>
      <c r="V1132">
        <v>1</v>
      </c>
      <c r="W1132" t="s">
        <v>132</v>
      </c>
      <c r="X1132">
        <v>0</v>
      </c>
    </row>
    <row r="1133" spans="1:24" x14ac:dyDescent="0.25">
      <c r="A1133">
        <v>1</v>
      </c>
      <c r="B1133" s="13">
        <v>590920300625</v>
      </c>
      <c r="C1133">
        <v>40</v>
      </c>
      <c r="D1133" s="13">
        <v>5957093006</v>
      </c>
      <c r="F1133" t="s">
        <v>130</v>
      </c>
      <c r="G1133">
        <v>0</v>
      </c>
      <c r="H1133">
        <v>100</v>
      </c>
      <c r="K1133">
        <v>1</v>
      </c>
      <c r="L1133" t="s">
        <v>131</v>
      </c>
      <c r="M1133" s="50">
        <v>44875</v>
      </c>
      <c r="N1133" s="50">
        <v>2958465</v>
      </c>
      <c r="P1133">
        <v>0</v>
      </c>
      <c r="U1133">
        <v>4</v>
      </c>
      <c r="V1133">
        <v>1</v>
      </c>
      <c r="W1133" t="s">
        <v>132</v>
      </c>
      <c r="X1133">
        <v>0</v>
      </c>
    </row>
    <row r="1134" spans="1:24" x14ac:dyDescent="0.25">
      <c r="A1134">
        <v>1</v>
      </c>
      <c r="B1134" s="13">
        <v>590920300625</v>
      </c>
      <c r="C1134">
        <v>50</v>
      </c>
      <c r="D1134" s="13">
        <v>1018034</v>
      </c>
      <c r="F1134" t="s">
        <v>130</v>
      </c>
      <c r="G1134">
        <v>0</v>
      </c>
      <c r="H1134">
        <v>100</v>
      </c>
      <c r="K1134">
        <v>4</v>
      </c>
      <c r="L1134" t="s">
        <v>131</v>
      </c>
      <c r="M1134" s="50">
        <v>44875</v>
      </c>
      <c r="N1134" s="50">
        <v>2958465</v>
      </c>
      <c r="P1134">
        <v>0</v>
      </c>
      <c r="U1134">
        <v>4</v>
      </c>
      <c r="V1134">
        <v>1</v>
      </c>
      <c r="W1134" t="s">
        <v>132</v>
      </c>
      <c r="X1134">
        <v>0</v>
      </c>
    </row>
    <row r="1135" spans="1:24" x14ac:dyDescent="0.25">
      <c r="A1135">
        <v>1</v>
      </c>
      <c r="B1135" s="13">
        <v>590920300625</v>
      </c>
      <c r="C1135">
        <v>60</v>
      </c>
      <c r="D1135" s="13">
        <v>1018359</v>
      </c>
      <c r="F1135" t="s">
        <v>130</v>
      </c>
      <c r="G1135">
        <v>0</v>
      </c>
      <c r="H1135">
        <v>100</v>
      </c>
      <c r="K1135">
        <v>10</v>
      </c>
      <c r="L1135" t="s">
        <v>131</v>
      </c>
      <c r="M1135" s="50">
        <v>44875</v>
      </c>
      <c r="N1135" s="50">
        <v>2958465</v>
      </c>
      <c r="P1135">
        <v>0</v>
      </c>
      <c r="U1135">
        <v>4</v>
      </c>
      <c r="V1135">
        <v>1</v>
      </c>
      <c r="W1135" t="s">
        <v>132</v>
      </c>
      <c r="X1135">
        <v>0</v>
      </c>
    </row>
    <row r="1136" spans="1:24" x14ac:dyDescent="0.25">
      <c r="A1136">
        <v>1</v>
      </c>
      <c r="B1136" s="13">
        <v>590920300625</v>
      </c>
      <c r="C1136">
        <v>70</v>
      </c>
      <c r="D1136" s="13">
        <v>1022213</v>
      </c>
      <c r="F1136" t="s">
        <v>130</v>
      </c>
      <c r="G1136">
        <v>0</v>
      </c>
      <c r="H1136">
        <v>100</v>
      </c>
      <c r="K1136">
        <v>5.5919999999999996</v>
      </c>
      <c r="L1136" t="s">
        <v>131</v>
      </c>
      <c r="M1136" s="50">
        <v>44875</v>
      </c>
      <c r="N1136" s="50">
        <v>2958465</v>
      </c>
      <c r="P1136">
        <v>0</v>
      </c>
      <c r="U1136">
        <v>4</v>
      </c>
      <c r="V1136">
        <v>1</v>
      </c>
      <c r="W1136" t="s">
        <v>132</v>
      </c>
      <c r="X1136">
        <v>0</v>
      </c>
    </row>
    <row r="1137" spans="1:24" x14ac:dyDescent="0.25">
      <c r="A1137">
        <v>1</v>
      </c>
      <c r="B1137" s="13">
        <v>590920300625</v>
      </c>
      <c r="C1137">
        <v>80</v>
      </c>
      <c r="D1137" s="13">
        <v>12165625</v>
      </c>
      <c r="F1137" t="s">
        <v>130</v>
      </c>
      <c r="G1137">
        <v>0</v>
      </c>
      <c r="H1137">
        <v>100</v>
      </c>
      <c r="K1137">
        <v>1</v>
      </c>
      <c r="L1137" t="s">
        <v>131</v>
      </c>
      <c r="M1137" s="50">
        <v>44875</v>
      </c>
      <c r="N1137" s="50">
        <v>2958465</v>
      </c>
      <c r="P1137">
        <v>0</v>
      </c>
      <c r="U1137">
        <v>4</v>
      </c>
      <c r="V1137">
        <v>1</v>
      </c>
      <c r="W1137" t="s">
        <v>132</v>
      </c>
      <c r="X1137">
        <v>0</v>
      </c>
    </row>
    <row r="1138" spans="1:24" x14ac:dyDescent="0.25">
      <c r="A1138">
        <v>1</v>
      </c>
      <c r="B1138" s="13">
        <v>590920300725</v>
      </c>
      <c r="C1138">
        <v>10</v>
      </c>
      <c r="D1138" s="13">
        <v>5957163007</v>
      </c>
      <c r="F1138" t="s">
        <v>130</v>
      </c>
      <c r="G1138">
        <v>0</v>
      </c>
      <c r="H1138">
        <v>100</v>
      </c>
      <c r="K1138">
        <v>2</v>
      </c>
      <c r="L1138" t="s">
        <v>131</v>
      </c>
      <c r="M1138" s="50">
        <v>44875</v>
      </c>
      <c r="N1138" s="50">
        <v>2958465</v>
      </c>
      <c r="P1138">
        <v>0</v>
      </c>
      <c r="U1138">
        <v>4</v>
      </c>
      <c r="V1138">
        <v>1</v>
      </c>
      <c r="W1138" t="s">
        <v>132</v>
      </c>
      <c r="X1138">
        <v>0</v>
      </c>
    </row>
    <row r="1139" spans="1:24" x14ac:dyDescent="0.25">
      <c r="A1139">
        <v>1</v>
      </c>
      <c r="B1139" s="13">
        <v>590920300725</v>
      </c>
      <c r="C1139">
        <v>20</v>
      </c>
      <c r="D1139" s="13">
        <v>5957333007</v>
      </c>
      <c r="F1139" t="s">
        <v>130</v>
      </c>
      <c r="G1139">
        <v>0</v>
      </c>
      <c r="H1139">
        <v>100</v>
      </c>
      <c r="K1139">
        <v>1</v>
      </c>
      <c r="L1139" t="s">
        <v>131</v>
      </c>
      <c r="M1139" s="50">
        <v>44875</v>
      </c>
      <c r="N1139" s="50">
        <v>2958465</v>
      </c>
      <c r="P1139">
        <v>0</v>
      </c>
      <c r="U1139">
        <v>4</v>
      </c>
      <c r="V1139">
        <v>1</v>
      </c>
      <c r="W1139" t="s">
        <v>132</v>
      </c>
      <c r="X1139">
        <v>0</v>
      </c>
    </row>
    <row r="1140" spans="1:24" x14ac:dyDescent="0.25">
      <c r="A1140">
        <v>1</v>
      </c>
      <c r="B1140" s="13">
        <v>590920300725</v>
      </c>
      <c r="C1140">
        <v>30</v>
      </c>
      <c r="D1140" s="13">
        <v>5957303007</v>
      </c>
      <c r="F1140" t="s">
        <v>130</v>
      </c>
      <c r="G1140">
        <v>0</v>
      </c>
      <c r="H1140">
        <v>100</v>
      </c>
      <c r="K1140">
        <v>1</v>
      </c>
      <c r="L1140" t="s">
        <v>131</v>
      </c>
      <c r="M1140" s="50">
        <v>44875</v>
      </c>
      <c r="N1140" s="50">
        <v>2958465</v>
      </c>
      <c r="P1140">
        <v>0</v>
      </c>
      <c r="U1140">
        <v>4</v>
      </c>
      <c r="V1140">
        <v>1</v>
      </c>
      <c r="W1140" t="s">
        <v>132</v>
      </c>
      <c r="X1140">
        <v>0</v>
      </c>
    </row>
    <row r="1141" spans="1:24" x14ac:dyDescent="0.25">
      <c r="A1141">
        <v>1</v>
      </c>
      <c r="B1141" s="13">
        <v>590920300725</v>
      </c>
      <c r="C1141">
        <v>40</v>
      </c>
      <c r="D1141" s="13">
        <v>5957093007</v>
      </c>
      <c r="F1141" t="s">
        <v>130</v>
      </c>
      <c r="G1141">
        <v>0</v>
      </c>
      <c r="H1141">
        <v>100</v>
      </c>
      <c r="K1141">
        <v>1</v>
      </c>
      <c r="L1141" t="s">
        <v>131</v>
      </c>
      <c r="M1141" s="50">
        <v>44875</v>
      </c>
      <c r="N1141" s="50">
        <v>2958465</v>
      </c>
      <c r="P1141">
        <v>0</v>
      </c>
      <c r="U1141">
        <v>4</v>
      </c>
      <c r="V1141">
        <v>1</v>
      </c>
      <c r="W1141" t="s">
        <v>132</v>
      </c>
      <c r="X1141">
        <v>0</v>
      </c>
    </row>
    <row r="1142" spans="1:24" x14ac:dyDescent="0.25">
      <c r="A1142">
        <v>1</v>
      </c>
      <c r="B1142" s="13">
        <v>590920300725</v>
      </c>
      <c r="C1142">
        <v>50</v>
      </c>
      <c r="D1142" s="13">
        <v>1018034</v>
      </c>
      <c r="F1142" t="s">
        <v>130</v>
      </c>
      <c r="G1142">
        <v>0</v>
      </c>
      <c r="H1142">
        <v>100</v>
      </c>
      <c r="K1142">
        <v>4</v>
      </c>
      <c r="L1142" t="s">
        <v>131</v>
      </c>
      <c r="M1142" s="50">
        <v>44875</v>
      </c>
      <c r="N1142" s="50">
        <v>2958465</v>
      </c>
      <c r="P1142">
        <v>0</v>
      </c>
      <c r="U1142">
        <v>4</v>
      </c>
      <c r="V1142">
        <v>1</v>
      </c>
      <c r="W1142" t="s">
        <v>132</v>
      </c>
      <c r="X1142">
        <v>0</v>
      </c>
    </row>
    <row r="1143" spans="1:24" x14ac:dyDescent="0.25">
      <c r="A1143">
        <v>1</v>
      </c>
      <c r="B1143" s="13">
        <v>590920300725</v>
      </c>
      <c r="C1143">
        <v>60</v>
      </c>
      <c r="D1143" s="13">
        <v>1018359</v>
      </c>
      <c r="F1143" t="s">
        <v>130</v>
      </c>
      <c r="G1143">
        <v>0</v>
      </c>
      <c r="H1143">
        <v>100</v>
      </c>
      <c r="K1143">
        <v>10</v>
      </c>
      <c r="L1143" t="s">
        <v>131</v>
      </c>
      <c r="M1143" s="50">
        <v>44875</v>
      </c>
      <c r="N1143" s="50">
        <v>2958465</v>
      </c>
      <c r="P1143">
        <v>0</v>
      </c>
      <c r="U1143">
        <v>4</v>
      </c>
      <c r="V1143">
        <v>1</v>
      </c>
      <c r="W1143" t="s">
        <v>132</v>
      </c>
      <c r="X1143">
        <v>0</v>
      </c>
    </row>
    <row r="1144" spans="1:24" x14ac:dyDescent="0.25">
      <c r="A1144">
        <v>1</v>
      </c>
      <c r="B1144" s="13">
        <v>590920300725</v>
      </c>
      <c r="C1144">
        <v>70</v>
      </c>
      <c r="D1144" s="13">
        <v>1022213</v>
      </c>
      <c r="F1144" t="s">
        <v>130</v>
      </c>
      <c r="G1144">
        <v>0</v>
      </c>
      <c r="H1144">
        <v>100</v>
      </c>
      <c r="K1144">
        <v>5.5919999999999996</v>
      </c>
      <c r="L1144" t="s">
        <v>131</v>
      </c>
      <c r="M1144" s="50">
        <v>44875</v>
      </c>
      <c r="N1144" s="50">
        <v>2958465</v>
      </c>
      <c r="P1144">
        <v>0</v>
      </c>
      <c r="U1144">
        <v>4</v>
      </c>
      <c r="V1144">
        <v>1</v>
      </c>
      <c r="W1144" t="s">
        <v>132</v>
      </c>
      <c r="X1144">
        <v>0</v>
      </c>
    </row>
    <row r="1145" spans="1:24" x14ac:dyDescent="0.25">
      <c r="A1145">
        <v>1</v>
      </c>
      <c r="B1145" s="13">
        <v>590920300725</v>
      </c>
      <c r="C1145">
        <v>80</v>
      </c>
      <c r="D1145" s="13">
        <v>12165625</v>
      </c>
      <c r="F1145" t="s">
        <v>130</v>
      </c>
      <c r="G1145">
        <v>0</v>
      </c>
      <c r="H1145">
        <v>100</v>
      </c>
      <c r="K1145">
        <v>1</v>
      </c>
      <c r="L1145" t="s">
        <v>131</v>
      </c>
      <c r="M1145" s="50">
        <v>44875</v>
      </c>
      <c r="N1145" s="50">
        <v>2958465</v>
      </c>
      <c r="P1145">
        <v>0</v>
      </c>
      <c r="U1145">
        <v>4</v>
      </c>
      <c r="V1145">
        <v>1</v>
      </c>
      <c r="W1145" t="s">
        <v>132</v>
      </c>
      <c r="X1145">
        <v>0</v>
      </c>
    </row>
    <row r="1146" spans="1:24" x14ac:dyDescent="0.25">
      <c r="A1146">
        <v>1</v>
      </c>
      <c r="B1146" s="13">
        <v>590920300825</v>
      </c>
      <c r="C1146">
        <v>10</v>
      </c>
      <c r="D1146" s="13">
        <v>5957163008</v>
      </c>
      <c r="F1146" t="s">
        <v>130</v>
      </c>
      <c r="G1146">
        <v>0</v>
      </c>
      <c r="H1146">
        <v>100</v>
      </c>
      <c r="K1146">
        <v>2</v>
      </c>
      <c r="L1146" t="s">
        <v>131</v>
      </c>
      <c r="M1146" s="50">
        <v>44875</v>
      </c>
      <c r="N1146" s="50">
        <v>2958465</v>
      </c>
      <c r="P1146">
        <v>0</v>
      </c>
      <c r="U1146">
        <v>4</v>
      </c>
      <c r="V1146">
        <v>1</v>
      </c>
      <c r="W1146" t="s">
        <v>132</v>
      </c>
      <c r="X1146">
        <v>0</v>
      </c>
    </row>
    <row r="1147" spans="1:24" x14ac:dyDescent="0.25">
      <c r="A1147">
        <v>1</v>
      </c>
      <c r="B1147" s="13">
        <v>590920300825</v>
      </c>
      <c r="C1147">
        <v>20</v>
      </c>
      <c r="D1147" s="13">
        <v>5957333008</v>
      </c>
      <c r="F1147" t="s">
        <v>130</v>
      </c>
      <c r="G1147">
        <v>0</v>
      </c>
      <c r="H1147">
        <v>100</v>
      </c>
      <c r="K1147">
        <v>1</v>
      </c>
      <c r="L1147" t="s">
        <v>131</v>
      </c>
      <c r="M1147" s="50">
        <v>44875</v>
      </c>
      <c r="N1147" s="50">
        <v>2958465</v>
      </c>
      <c r="P1147">
        <v>0</v>
      </c>
      <c r="U1147">
        <v>4</v>
      </c>
      <c r="V1147">
        <v>1</v>
      </c>
      <c r="W1147" t="s">
        <v>132</v>
      </c>
      <c r="X1147">
        <v>0</v>
      </c>
    </row>
    <row r="1148" spans="1:24" x14ac:dyDescent="0.25">
      <c r="A1148">
        <v>1</v>
      </c>
      <c r="B1148" s="13">
        <v>590920300825</v>
      </c>
      <c r="C1148">
        <v>30</v>
      </c>
      <c r="D1148" s="13">
        <v>5957303008</v>
      </c>
      <c r="F1148" t="s">
        <v>130</v>
      </c>
      <c r="G1148">
        <v>0</v>
      </c>
      <c r="H1148">
        <v>100</v>
      </c>
      <c r="K1148">
        <v>1</v>
      </c>
      <c r="L1148" t="s">
        <v>131</v>
      </c>
      <c r="M1148" s="50">
        <v>44875</v>
      </c>
      <c r="N1148" s="50">
        <v>2958465</v>
      </c>
      <c r="P1148">
        <v>0</v>
      </c>
      <c r="U1148">
        <v>4</v>
      </c>
      <c r="V1148">
        <v>1</v>
      </c>
      <c r="W1148" t="s">
        <v>132</v>
      </c>
      <c r="X1148">
        <v>0</v>
      </c>
    </row>
    <row r="1149" spans="1:24" x14ac:dyDescent="0.25">
      <c r="A1149">
        <v>1</v>
      </c>
      <c r="B1149" s="13">
        <v>590920300825</v>
      </c>
      <c r="C1149">
        <v>40</v>
      </c>
      <c r="D1149" s="13">
        <v>5957093008</v>
      </c>
      <c r="F1149" t="s">
        <v>130</v>
      </c>
      <c r="G1149">
        <v>0</v>
      </c>
      <c r="H1149">
        <v>100</v>
      </c>
      <c r="K1149">
        <v>1</v>
      </c>
      <c r="L1149" t="s">
        <v>131</v>
      </c>
      <c r="M1149" s="50">
        <v>44875</v>
      </c>
      <c r="N1149" s="50">
        <v>2958465</v>
      </c>
      <c r="P1149">
        <v>0</v>
      </c>
      <c r="U1149">
        <v>4</v>
      </c>
      <c r="V1149">
        <v>1</v>
      </c>
      <c r="W1149" t="s">
        <v>132</v>
      </c>
      <c r="X1149">
        <v>0</v>
      </c>
    </row>
    <row r="1150" spans="1:24" x14ac:dyDescent="0.25">
      <c r="A1150">
        <v>1</v>
      </c>
      <c r="B1150" s="13">
        <v>590920300825</v>
      </c>
      <c r="C1150">
        <v>50</v>
      </c>
      <c r="D1150" s="13">
        <v>1018034</v>
      </c>
      <c r="F1150" t="s">
        <v>130</v>
      </c>
      <c r="G1150">
        <v>0</v>
      </c>
      <c r="H1150">
        <v>100</v>
      </c>
      <c r="K1150">
        <v>4</v>
      </c>
      <c r="L1150" t="s">
        <v>131</v>
      </c>
      <c r="M1150" s="50">
        <v>44875</v>
      </c>
      <c r="N1150" s="50">
        <v>2958465</v>
      </c>
      <c r="P1150">
        <v>0</v>
      </c>
      <c r="U1150">
        <v>4</v>
      </c>
      <c r="V1150">
        <v>1</v>
      </c>
      <c r="W1150" t="s">
        <v>132</v>
      </c>
      <c r="X1150">
        <v>0</v>
      </c>
    </row>
    <row r="1151" spans="1:24" x14ac:dyDescent="0.25">
      <c r="A1151">
        <v>1</v>
      </c>
      <c r="B1151" s="13">
        <v>590920300825</v>
      </c>
      <c r="C1151">
        <v>60</v>
      </c>
      <c r="D1151" s="13">
        <v>1022356</v>
      </c>
      <c r="F1151" t="s">
        <v>130</v>
      </c>
      <c r="G1151">
        <v>0</v>
      </c>
      <c r="H1151">
        <v>100</v>
      </c>
      <c r="K1151">
        <v>10</v>
      </c>
      <c r="L1151" t="s">
        <v>131</v>
      </c>
      <c r="M1151" s="50">
        <v>44875</v>
      </c>
      <c r="N1151" s="50">
        <v>2958465</v>
      </c>
      <c r="P1151">
        <v>0</v>
      </c>
      <c r="U1151">
        <v>4</v>
      </c>
      <c r="V1151">
        <v>1</v>
      </c>
      <c r="W1151" t="s">
        <v>132</v>
      </c>
      <c r="X1151">
        <v>0</v>
      </c>
    </row>
    <row r="1152" spans="1:24" x14ac:dyDescent="0.25">
      <c r="A1152">
        <v>1</v>
      </c>
      <c r="B1152" s="13">
        <v>590920300825</v>
      </c>
      <c r="C1152">
        <v>70</v>
      </c>
      <c r="D1152" s="13">
        <v>1022213</v>
      </c>
      <c r="F1152" t="s">
        <v>130</v>
      </c>
      <c r="G1152">
        <v>0</v>
      </c>
      <c r="H1152">
        <v>100</v>
      </c>
      <c r="K1152">
        <v>5.5919999999999996</v>
      </c>
      <c r="L1152" t="s">
        <v>131</v>
      </c>
      <c r="M1152" s="50">
        <v>44875</v>
      </c>
      <c r="N1152" s="50">
        <v>2958465</v>
      </c>
      <c r="P1152">
        <v>0</v>
      </c>
      <c r="U1152">
        <v>4</v>
      </c>
      <c r="V1152">
        <v>1</v>
      </c>
      <c r="W1152" t="s">
        <v>132</v>
      </c>
      <c r="X1152">
        <v>0</v>
      </c>
    </row>
    <row r="1153" spans="1:24" x14ac:dyDescent="0.25">
      <c r="A1153">
        <v>1</v>
      </c>
      <c r="B1153" s="13">
        <v>590920300825</v>
      </c>
      <c r="C1153">
        <v>80</v>
      </c>
      <c r="D1153" s="13">
        <v>12165625</v>
      </c>
      <c r="F1153" t="s">
        <v>130</v>
      </c>
      <c r="G1153">
        <v>0</v>
      </c>
      <c r="H1153">
        <v>100</v>
      </c>
      <c r="K1153">
        <v>1</v>
      </c>
      <c r="L1153" t="s">
        <v>131</v>
      </c>
      <c r="M1153" s="50">
        <v>44875</v>
      </c>
      <c r="N1153" s="50">
        <v>2958465</v>
      </c>
      <c r="P1153">
        <v>0</v>
      </c>
      <c r="U1153">
        <v>4</v>
      </c>
      <c r="V1153">
        <v>1</v>
      </c>
      <c r="W1153" t="s">
        <v>132</v>
      </c>
      <c r="X1153">
        <v>0</v>
      </c>
    </row>
    <row r="1154" spans="1:24" x14ac:dyDescent="0.25">
      <c r="A1154">
        <v>1</v>
      </c>
      <c r="B1154" s="13">
        <v>590920301025</v>
      </c>
      <c r="C1154">
        <v>10</v>
      </c>
      <c r="D1154" s="13">
        <v>5957163010</v>
      </c>
      <c r="F1154" t="s">
        <v>130</v>
      </c>
      <c r="G1154">
        <v>0</v>
      </c>
      <c r="H1154">
        <v>100</v>
      </c>
      <c r="K1154">
        <v>2</v>
      </c>
      <c r="L1154" t="s">
        <v>131</v>
      </c>
      <c r="M1154" s="50">
        <v>44875</v>
      </c>
      <c r="N1154" s="50">
        <v>2958465</v>
      </c>
      <c r="P1154">
        <v>0</v>
      </c>
      <c r="U1154">
        <v>4</v>
      </c>
      <c r="V1154">
        <v>1</v>
      </c>
      <c r="W1154" t="s">
        <v>132</v>
      </c>
      <c r="X1154">
        <v>0</v>
      </c>
    </row>
    <row r="1155" spans="1:24" x14ac:dyDescent="0.25">
      <c r="A1155">
        <v>1</v>
      </c>
      <c r="B1155" s="13">
        <v>590920301025</v>
      </c>
      <c r="C1155">
        <v>20</v>
      </c>
      <c r="D1155" s="13">
        <v>5957333010</v>
      </c>
      <c r="F1155" t="s">
        <v>130</v>
      </c>
      <c r="G1155">
        <v>0</v>
      </c>
      <c r="H1155">
        <v>100</v>
      </c>
      <c r="K1155">
        <v>1</v>
      </c>
      <c r="L1155" t="s">
        <v>131</v>
      </c>
      <c r="M1155" s="50">
        <v>44875</v>
      </c>
      <c r="N1155" s="50">
        <v>2958465</v>
      </c>
      <c r="P1155">
        <v>0</v>
      </c>
      <c r="U1155">
        <v>4</v>
      </c>
      <c r="V1155">
        <v>1</v>
      </c>
      <c r="W1155" t="s">
        <v>132</v>
      </c>
      <c r="X1155">
        <v>0</v>
      </c>
    </row>
    <row r="1156" spans="1:24" x14ac:dyDescent="0.25">
      <c r="A1156">
        <v>1</v>
      </c>
      <c r="B1156" s="13">
        <v>590920301025</v>
      </c>
      <c r="C1156">
        <v>30</v>
      </c>
      <c r="D1156" s="13">
        <v>5957303010</v>
      </c>
      <c r="F1156" t="s">
        <v>130</v>
      </c>
      <c r="G1156">
        <v>0</v>
      </c>
      <c r="H1156">
        <v>100</v>
      </c>
      <c r="K1156">
        <v>1</v>
      </c>
      <c r="L1156" t="s">
        <v>131</v>
      </c>
      <c r="M1156" s="50">
        <v>44875</v>
      </c>
      <c r="N1156" s="50">
        <v>2958465</v>
      </c>
      <c r="P1156">
        <v>0</v>
      </c>
      <c r="U1156">
        <v>4</v>
      </c>
      <c r="V1156">
        <v>1</v>
      </c>
      <c r="W1156" t="s">
        <v>132</v>
      </c>
      <c r="X1156">
        <v>0</v>
      </c>
    </row>
    <row r="1157" spans="1:24" x14ac:dyDescent="0.25">
      <c r="A1157">
        <v>1</v>
      </c>
      <c r="B1157" s="13">
        <v>590920301025</v>
      </c>
      <c r="C1157">
        <v>40</v>
      </c>
      <c r="D1157" s="13">
        <v>5957093010</v>
      </c>
      <c r="F1157" t="s">
        <v>130</v>
      </c>
      <c r="G1157">
        <v>0</v>
      </c>
      <c r="H1157">
        <v>100</v>
      </c>
      <c r="K1157">
        <v>1</v>
      </c>
      <c r="L1157" t="s">
        <v>131</v>
      </c>
      <c r="M1157" s="50">
        <v>44875</v>
      </c>
      <c r="N1157" s="50">
        <v>2958465</v>
      </c>
      <c r="P1157">
        <v>0</v>
      </c>
      <c r="U1157">
        <v>4</v>
      </c>
      <c r="V1157">
        <v>1</v>
      </c>
      <c r="W1157" t="s">
        <v>132</v>
      </c>
      <c r="X1157">
        <v>0</v>
      </c>
    </row>
    <row r="1158" spans="1:24" x14ac:dyDescent="0.25">
      <c r="A1158">
        <v>1</v>
      </c>
      <c r="B1158" s="13">
        <v>590920301025</v>
      </c>
      <c r="C1158">
        <v>50</v>
      </c>
      <c r="D1158" s="13">
        <v>1018034</v>
      </c>
      <c r="F1158" t="s">
        <v>130</v>
      </c>
      <c r="G1158">
        <v>0</v>
      </c>
      <c r="H1158">
        <v>100</v>
      </c>
      <c r="K1158">
        <v>4</v>
      </c>
      <c r="L1158" t="s">
        <v>131</v>
      </c>
      <c r="M1158" s="50">
        <v>44875</v>
      </c>
      <c r="N1158" s="50">
        <v>2958465</v>
      </c>
      <c r="P1158">
        <v>0</v>
      </c>
      <c r="U1158">
        <v>4</v>
      </c>
      <c r="V1158">
        <v>1</v>
      </c>
      <c r="W1158" t="s">
        <v>132</v>
      </c>
      <c r="X1158">
        <v>0</v>
      </c>
    </row>
    <row r="1159" spans="1:24" x14ac:dyDescent="0.25">
      <c r="A1159">
        <v>1</v>
      </c>
      <c r="B1159" s="13">
        <v>590920301025</v>
      </c>
      <c r="C1159">
        <v>60</v>
      </c>
      <c r="D1159" s="13">
        <v>1018359</v>
      </c>
      <c r="F1159" t="s">
        <v>130</v>
      </c>
      <c r="G1159">
        <v>0</v>
      </c>
      <c r="H1159">
        <v>100</v>
      </c>
      <c r="K1159">
        <v>10</v>
      </c>
      <c r="L1159" t="s">
        <v>131</v>
      </c>
      <c r="M1159" s="50">
        <v>44875</v>
      </c>
      <c r="N1159" s="50">
        <v>2958465</v>
      </c>
      <c r="P1159">
        <v>0</v>
      </c>
      <c r="U1159">
        <v>4</v>
      </c>
      <c r="V1159">
        <v>1</v>
      </c>
      <c r="W1159" t="s">
        <v>132</v>
      </c>
      <c r="X1159">
        <v>0</v>
      </c>
    </row>
    <row r="1160" spans="1:24" x14ac:dyDescent="0.25">
      <c r="A1160">
        <v>1</v>
      </c>
      <c r="B1160" s="13">
        <v>590920301025</v>
      </c>
      <c r="C1160">
        <v>70</v>
      </c>
      <c r="D1160" s="13">
        <v>1022213</v>
      </c>
      <c r="F1160" t="s">
        <v>130</v>
      </c>
      <c r="G1160">
        <v>0</v>
      </c>
      <c r="H1160">
        <v>100</v>
      </c>
      <c r="K1160">
        <v>5.5919999999999996</v>
      </c>
      <c r="L1160" t="s">
        <v>131</v>
      </c>
      <c r="M1160" s="50">
        <v>44875</v>
      </c>
      <c r="N1160" s="50">
        <v>2958465</v>
      </c>
      <c r="P1160">
        <v>0</v>
      </c>
      <c r="U1160">
        <v>4</v>
      </c>
      <c r="V1160">
        <v>1</v>
      </c>
      <c r="W1160" t="s">
        <v>132</v>
      </c>
      <c r="X1160">
        <v>0</v>
      </c>
    </row>
    <row r="1161" spans="1:24" x14ac:dyDescent="0.25">
      <c r="A1161">
        <v>1</v>
      </c>
      <c r="B1161" s="13">
        <v>590920301025</v>
      </c>
      <c r="C1161">
        <v>80</v>
      </c>
      <c r="D1161" s="13">
        <v>12165625</v>
      </c>
      <c r="F1161" t="s">
        <v>130</v>
      </c>
      <c r="G1161">
        <v>0</v>
      </c>
      <c r="H1161">
        <v>100</v>
      </c>
      <c r="K1161">
        <v>1</v>
      </c>
      <c r="L1161" t="s">
        <v>131</v>
      </c>
      <c r="M1161" s="50">
        <v>44875</v>
      </c>
      <c r="N1161" s="50">
        <v>2958465</v>
      </c>
      <c r="P1161">
        <v>0</v>
      </c>
      <c r="U1161">
        <v>4</v>
      </c>
      <c r="V1161">
        <v>1</v>
      </c>
      <c r="W1161" t="s">
        <v>132</v>
      </c>
      <c r="X1161">
        <v>0</v>
      </c>
    </row>
    <row r="1162" spans="1:24" x14ac:dyDescent="0.25">
      <c r="A1162">
        <v>1</v>
      </c>
      <c r="B1162" s="13">
        <v>590920300028</v>
      </c>
      <c r="C1162">
        <v>10</v>
      </c>
      <c r="D1162" s="13">
        <v>5957163099</v>
      </c>
      <c r="F1162" t="s">
        <v>130</v>
      </c>
      <c r="G1162">
        <v>0</v>
      </c>
      <c r="H1162">
        <v>100</v>
      </c>
      <c r="K1162">
        <v>2</v>
      </c>
      <c r="L1162" t="s">
        <v>131</v>
      </c>
      <c r="M1162" s="50">
        <v>44875</v>
      </c>
      <c r="N1162" s="50">
        <v>2958465</v>
      </c>
      <c r="P1162">
        <v>0</v>
      </c>
      <c r="U1162">
        <v>4</v>
      </c>
      <c r="V1162">
        <v>1</v>
      </c>
      <c r="W1162" t="s">
        <v>132</v>
      </c>
      <c r="X1162">
        <v>0</v>
      </c>
    </row>
    <row r="1163" spans="1:24" x14ac:dyDescent="0.25">
      <c r="A1163">
        <v>1</v>
      </c>
      <c r="B1163" s="13">
        <v>590920300028</v>
      </c>
      <c r="C1163">
        <v>20</v>
      </c>
      <c r="D1163" s="13">
        <v>5957333099</v>
      </c>
      <c r="F1163" t="s">
        <v>130</v>
      </c>
      <c r="G1163">
        <v>0</v>
      </c>
      <c r="H1163">
        <v>100</v>
      </c>
      <c r="K1163">
        <v>1</v>
      </c>
      <c r="L1163" t="s">
        <v>131</v>
      </c>
      <c r="M1163" s="50">
        <v>44875</v>
      </c>
      <c r="N1163" s="50">
        <v>2958465</v>
      </c>
      <c r="P1163">
        <v>0</v>
      </c>
      <c r="U1163">
        <v>4</v>
      </c>
      <c r="V1163">
        <v>1</v>
      </c>
      <c r="W1163" t="s">
        <v>132</v>
      </c>
      <c r="X1163">
        <v>0</v>
      </c>
    </row>
    <row r="1164" spans="1:24" x14ac:dyDescent="0.25">
      <c r="A1164">
        <v>1</v>
      </c>
      <c r="B1164" s="13">
        <v>590920300028</v>
      </c>
      <c r="C1164">
        <v>30</v>
      </c>
      <c r="D1164" s="13">
        <v>5957303099</v>
      </c>
      <c r="F1164" t="s">
        <v>130</v>
      </c>
      <c r="G1164">
        <v>0</v>
      </c>
      <c r="H1164">
        <v>100</v>
      </c>
      <c r="K1164">
        <v>1</v>
      </c>
      <c r="L1164" t="s">
        <v>131</v>
      </c>
      <c r="M1164" s="50">
        <v>44875</v>
      </c>
      <c r="N1164" s="50">
        <v>2958465</v>
      </c>
      <c r="P1164">
        <v>0</v>
      </c>
      <c r="U1164">
        <v>4</v>
      </c>
      <c r="V1164">
        <v>1</v>
      </c>
      <c r="W1164" t="s">
        <v>132</v>
      </c>
      <c r="X1164">
        <v>0</v>
      </c>
    </row>
    <row r="1165" spans="1:24" x14ac:dyDescent="0.25">
      <c r="A1165">
        <v>1</v>
      </c>
      <c r="B1165" s="13">
        <v>590920300028</v>
      </c>
      <c r="C1165">
        <v>40</v>
      </c>
      <c r="D1165" s="13">
        <v>1022219</v>
      </c>
      <c r="F1165" t="s">
        <v>130</v>
      </c>
      <c r="G1165">
        <v>0</v>
      </c>
      <c r="H1165">
        <v>100</v>
      </c>
      <c r="K1165">
        <v>1</v>
      </c>
      <c r="L1165" t="s">
        <v>131</v>
      </c>
      <c r="M1165" s="50">
        <v>44875</v>
      </c>
      <c r="N1165" s="50">
        <v>2958465</v>
      </c>
      <c r="P1165">
        <v>0</v>
      </c>
      <c r="U1165">
        <v>4</v>
      </c>
      <c r="V1165">
        <v>1</v>
      </c>
      <c r="W1165" t="s">
        <v>132</v>
      </c>
      <c r="X1165">
        <v>0</v>
      </c>
    </row>
    <row r="1166" spans="1:24" x14ac:dyDescent="0.25">
      <c r="A1166">
        <v>1</v>
      </c>
      <c r="B1166" s="13">
        <v>590920300028</v>
      </c>
      <c r="C1166">
        <v>50</v>
      </c>
      <c r="D1166" s="13">
        <v>1018034</v>
      </c>
      <c r="F1166" t="s">
        <v>130</v>
      </c>
      <c r="G1166">
        <v>0</v>
      </c>
      <c r="H1166">
        <v>100</v>
      </c>
      <c r="K1166">
        <v>4</v>
      </c>
      <c r="L1166" t="s">
        <v>131</v>
      </c>
      <c r="M1166" s="50">
        <v>44875</v>
      </c>
      <c r="N1166" s="50">
        <v>2958465</v>
      </c>
      <c r="P1166">
        <v>0</v>
      </c>
      <c r="U1166">
        <v>4</v>
      </c>
      <c r="V1166">
        <v>1</v>
      </c>
      <c r="W1166" t="s">
        <v>132</v>
      </c>
      <c r="X1166">
        <v>0</v>
      </c>
    </row>
    <row r="1167" spans="1:24" x14ac:dyDescent="0.25">
      <c r="A1167">
        <v>1</v>
      </c>
      <c r="B1167" s="13">
        <v>590920300028</v>
      </c>
      <c r="C1167">
        <v>60</v>
      </c>
      <c r="D1167" s="13">
        <v>1018359</v>
      </c>
      <c r="F1167" t="s">
        <v>130</v>
      </c>
      <c r="G1167">
        <v>0</v>
      </c>
      <c r="H1167">
        <v>100</v>
      </c>
      <c r="K1167">
        <v>10</v>
      </c>
      <c r="L1167" t="s">
        <v>131</v>
      </c>
      <c r="M1167" s="50">
        <v>44875</v>
      </c>
      <c r="N1167" s="50">
        <v>2958465</v>
      </c>
      <c r="P1167">
        <v>0</v>
      </c>
      <c r="U1167">
        <v>4</v>
      </c>
      <c r="V1167">
        <v>1</v>
      </c>
      <c r="W1167" t="s">
        <v>132</v>
      </c>
      <c r="X1167">
        <v>0</v>
      </c>
    </row>
    <row r="1168" spans="1:24" x14ac:dyDescent="0.25">
      <c r="A1168">
        <v>1</v>
      </c>
      <c r="B1168" s="13">
        <v>590920300028</v>
      </c>
      <c r="C1168">
        <v>70</v>
      </c>
      <c r="D1168" s="13">
        <v>1022213</v>
      </c>
      <c r="F1168" t="s">
        <v>130</v>
      </c>
      <c r="G1168">
        <v>0</v>
      </c>
      <c r="H1168">
        <v>100</v>
      </c>
      <c r="K1168">
        <v>5.5919999999999996</v>
      </c>
      <c r="L1168" t="s">
        <v>131</v>
      </c>
      <c r="M1168" s="50">
        <v>44875</v>
      </c>
      <c r="N1168" s="50">
        <v>2958465</v>
      </c>
      <c r="P1168">
        <v>0</v>
      </c>
      <c r="U1168">
        <v>4</v>
      </c>
      <c r="V1168">
        <v>1</v>
      </c>
      <c r="W1168" t="s">
        <v>132</v>
      </c>
      <c r="X1168">
        <v>0</v>
      </c>
    </row>
    <row r="1169" spans="1:24" x14ac:dyDescent="0.25">
      <c r="A1169">
        <v>1</v>
      </c>
      <c r="B1169" s="13">
        <v>590920300028</v>
      </c>
      <c r="C1169">
        <v>80</v>
      </c>
      <c r="D1169" s="13">
        <v>12165628</v>
      </c>
      <c r="F1169" t="s">
        <v>130</v>
      </c>
      <c r="G1169">
        <v>0</v>
      </c>
      <c r="H1169">
        <v>100</v>
      </c>
      <c r="K1169">
        <v>1</v>
      </c>
      <c r="L1169" t="s">
        <v>131</v>
      </c>
      <c r="M1169" s="50">
        <v>44875</v>
      </c>
      <c r="N1169" s="50">
        <v>2958465</v>
      </c>
      <c r="P1169">
        <v>0</v>
      </c>
      <c r="U1169">
        <v>4</v>
      </c>
      <c r="V1169">
        <v>1</v>
      </c>
      <c r="W1169" t="s">
        <v>132</v>
      </c>
      <c r="X1169">
        <v>0</v>
      </c>
    </row>
    <row r="1170" spans="1:24" x14ac:dyDescent="0.25">
      <c r="A1170">
        <v>1</v>
      </c>
      <c r="B1170" s="13">
        <v>590920300328</v>
      </c>
      <c r="C1170">
        <v>10</v>
      </c>
      <c r="D1170" s="13">
        <v>5957163003</v>
      </c>
      <c r="F1170" t="s">
        <v>130</v>
      </c>
      <c r="G1170">
        <v>0</v>
      </c>
      <c r="H1170">
        <v>100</v>
      </c>
      <c r="K1170">
        <v>2</v>
      </c>
      <c r="L1170" t="s">
        <v>131</v>
      </c>
      <c r="M1170" s="50">
        <v>44875</v>
      </c>
      <c r="N1170" s="50">
        <v>2958465</v>
      </c>
      <c r="P1170">
        <v>0</v>
      </c>
      <c r="U1170">
        <v>4</v>
      </c>
      <c r="V1170">
        <v>1</v>
      </c>
      <c r="W1170" t="s">
        <v>132</v>
      </c>
      <c r="X1170">
        <v>0</v>
      </c>
    </row>
    <row r="1171" spans="1:24" x14ac:dyDescent="0.25">
      <c r="A1171">
        <v>1</v>
      </c>
      <c r="B1171" s="13">
        <v>590920300328</v>
      </c>
      <c r="C1171">
        <v>20</v>
      </c>
      <c r="D1171" s="13">
        <v>5957333003</v>
      </c>
      <c r="F1171" t="s">
        <v>130</v>
      </c>
      <c r="G1171">
        <v>0</v>
      </c>
      <c r="H1171">
        <v>100</v>
      </c>
      <c r="K1171">
        <v>1</v>
      </c>
      <c r="L1171" t="s">
        <v>131</v>
      </c>
      <c r="M1171" s="50">
        <v>44875</v>
      </c>
      <c r="N1171" s="50">
        <v>2958465</v>
      </c>
      <c r="P1171">
        <v>0</v>
      </c>
      <c r="U1171">
        <v>4</v>
      </c>
      <c r="V1171">
        <v>1</v>
      </c>
      <c r="W1171" t="s">
        <v>132</v>
      </c>
      <c r="X1171">
        <v>0</v>
      </c>
    </row>
    <row r="1172" spans="1:24" x14ac:dyDescent="0.25">
      <c r="A1172">
        <v>1</v>
      </c>
      <c r="B1172" s="13">
        <v>590920300328</v>
      </c>
      <c r="C1172">
        <v>30</v>
      </c>
      <c r="D1172" s="13">
        <v>5957303003</v>
      </c>
      <c r="F1172" t="s">
        <v>130</v>
      </c>
      <c r="G1172">
        <v>0</v>
      </c>
      <c r="H1172">
        <v>100</v>
      </c>
      <c r="K1172">
        <v>1</v>
      </c>
      <c r="L1172" t="s">
        <v>131</v>
      </c>
      <c r="M1172" s="50">
        <v>44875</v>
      </c>
      <c r="N1172" s="50">
        <v>2958465</v>
      </c>
      <c r="P1172">
        <v>0</v>
      </c>
      <c r="U1172">
        <v>4</v>
      </c>
      <c r="V1172">
        <v>1</v>
      </c>
      <c r="W1172" t="s">
        <v>132</v>
      </c>
      <c r="X1172">
        <v>0</v>
      </c>
    </row>
    <row r="1173" spans="1:24" x14ac:dyDescent="0.25">
      <c r="A1173">
        <v>1</v>
      </c>
      <c r="B1173" s="13">
        <v>590920300328</v>
      </c>
      <c r="C1173">
        <v>40</v>
      </c>
      <c r="D1173" s="13">
        <v>5957093003</v>
      </c>
      <c r="F1173" t="s">
        <v>130</v>
      </c>
      <c r="G1173">
        <v>0</v>
      </c>
      <c r="H1173">
        <v>100</v>
      </c>
      <c r="K1173">
        <v>1</v>
      </c>
      <c r="L1173" t="s">
        <v>131</v>
      </c>
      <c r="M1173" s="50">
        <v>44875</v>
      </c>
      <c r="N1173" s="50">
        <v>2958465</v>
      </c>
      <c r="P1173">
        <v>0</v>
      </c>
      <c r="U1173">
        <v>4</v>
      </c>
      <c r="V1173">
        <v>1</v>
      </c>
      <c r="W1173" t="s">
        <v>132</v>
      </c>
      <c r="X1173">
        <v>0</v>
      </c>
    </row>
    <row r="1174" spans="1:24" x14ac:dyDescent="0.25">
      <c r="A1174">
        <v>1</v>
      </c>
      <c r="B1174" s="13">
        <v>590920300328</v>
      </c>
      <c r="C1174">
        <v>50</v>
      </c>
      <c r="D1174" s="13">
        <v>1018034</v>
      </c>
      <c r="F1174" t="s">
        <v>130</v>
      </c>
      <c r="G1174">
        <v>0</v>
      </c>
      <c r="H1174">
        <v>100</v>
      </c>
      <c r="K1174">
        <v>4</v>
      </c>
      <c r="L1174" t="s">
        <v>131</v>
      </c>
      <c r="M1174" s="50">
        <v>44875</v>
      </c>
      <c r="N1174" s="50">
        <v>2958465</v>
      </c>
      <c r="P1174">
        <v>0</v>
      </c>
      <c r="U1174">
        <v>4</v>
      </c>
      <c r="V1174">
        <v>1</v>
      </c>
      <c r="W1174" t="s">
        <v>132</v>
      </c>
      <c r="X1174">
        <v>0</v>
      </c>
    </row>
    <row r="1175" spans="1:24" x14ac:dyDescent="0.25">
      <c r="A1175">
        <v>1</v>
      </c>
      <c r="B1175" s="13">
        <v>590920300328</v>
      </c>
      <c r="C1175">
        <v>60</v>
      </c>
      <c r="D1175" s="13">
        <v>1018359</v>
      </c>
      <c r="F1175" t="s">
        <v>130</v>
      </c>
      <c r="G1175">
        <v>0</v>
      </c>
      <c r="H1175">
        <v>100</v>
      </c>
      <c r="K1175">
        <v>10</v>
      </c>
      <c r="L1175" t="s">
        <v>131</v>
      </c>
      <c r="M1175" s="50">
        <v>44875</v>
      </c>
      <c r="N1175" s="50">
        <v>2958465</v>
      </c>
      <c r="P1175">
        <v>0</v>
      </c>
      <c r="U1175">
        <v>4</v>
      </c>
      <c r="V1175">
        <v>1</v>
      </c>
      <c r="W1175" t="s">
        <v>132</v>
      </c>
      <c r="X1175">
        <v>0</v>
      </c>
    </row>
    <row r="1176" spans="1:24" x14ac:dyDescent="0.25">
      <c r="A1176">
        <v>1</v>
      </c>
      <c r="B1176" s="13">
        <v>590920300328</v>
      </c>
      <c r="C1176">
        <v>70</v>
      </c>
      <c r="D1176" s="13">
        <v>1022213</v>
      </c>
      <c r="F1176" t="s">
        <v>130</v>
      </c>
      <c r="G1176">
        <v>0</v>
      </c>
      <c r="H1176">
        <v>100</v>
      </c>
      <c r="K1176">
        <v>5.5919999999999996</v>
      </c>
      <c r="L1176" t="s">
        <v>131</v>
      </c>
      <c r="M1176" s="50">
        <v>44875</v>
      </c>
      <c r="N1176" s="50">
        <v>2958465</v>
      </c>
      <c r="P1176">
        <v>0</v>
      </c>
      <c r="U1176">
        <v>4</v>
      </c>
      <c r="V1176">
        <v>1</v>
      </c>
      <c r="W1176" t="s">
        <v>132</v>
      </c>
      <c r="X1176">
        <v>0</v>
      </c>
    </row>
    <row r="1177" spans="1:24" x14ac:dyDescent="0.25">
      <c r="A1177">
        <v>1</v>
      </c>
      <c r="B1177" s="13">
        <v>590920300328</v>
      </c>
      <c r="C1177">
        <v>80</v>
      </c>
      <c r="D1177" s="13">
        <v>12165628</v>
      </c>
      <c r="F1177" t="s">
        <v>130</v>
      </c>
      <c r="G1177">
        <v>0</v>
      </c>
      <c r="H1177">
        <v>100</v>
      </c>
      <c r="K1177">
        <v>1</v>
      </c>
      <c r="L1177" t="s">
        <v>131</v>
      </c>
      <c r="M1177" s="50">
        <v>44875</v>
      </c>
      <c r="N1177" s="50">
        <v>2958465</v>
      </c>
      <c r="P1177">
        <v>0</v>
      </c>
      <c r="U1177">
        <v>4</v>
      </c>
      <c r="V1177">
        <v>1</v>
      </c>
      <c r="W1177" t="s">
        <v>132</v>
      </c>
      <c r="X1177">
        <v>0</v>
      </c>
    </row>
    <row r="1178" spans="1:24" x14ac:dyDescent="0.25">
      <c r="A1178">
        <v>1</v>
      </c>
      <c r="B1178" s="13">
        <v>590920300428</v>
      </c>
      <c r="C1178">
        <v>10</v>
      </c>
      <c r="D1178" s="13">
        <v>5957163004</v>
      </c>
      <c r="F1178" t="s">
        <v>130</v>
      </c>
      <c r="G1178">
        <v>0</v>
      </c>
      <c r="H1178">
        <v>100</v>
      </c>
      <c r="K1178">
        <v>2</v>
      </c>
      <c r="L1178" t="s">
        <v>131</v>
      </c>
      <c r="M1178" s="50">
        <v>44875</v>
      </c>
      <c r="N1178" s="50">
        <v>2958465</v>
      </c>
      <c r="P1178">
        <v>0</v>
      </c>
      <c r="U1178">
        <v>4</v>
      </c>
      <c r="V1178">
        <v>1</v>
      </c>
      <c r="W1178" t="s">
        <v>132</v>
      </c>
      <c r="X1178">
        <v>0</v>
      </c>
    </row>
    <row r="1179" spans="1:24" x14ac:dyDescent="0.25">
      <c r="A1179">
        <v>1</v>
      </c>
      <c r="B1179" s="13">
        <v>590920300428</v>
      </c>
      <c r="C1179">
        <v>20</v>
      </c>
      <c r="D1179" s="13">
        <v>5957333004</v>
      </c>
      <c r="F1179" t="s">
        <v>130</v>
      </c>
      <c r="G1179">
        <v>0</v>
      </c>
      <c r="H1179">
        <v>100</v>
      </c>
      <c r="K1179">
        <v>1</v>
      </c>
      <c r="L1179" t="s">
        <v>131</v>
      </c>
      <c r="M1179" s="50">
        <v>44875</v>
      </c>
      <c r="N1179" s="50">
        <v>2958465</v>
      </c>
      <c r="P1179">
        <v>0</v>
      </c>
      <c r="U1179">
        <v>4</v>
      </c>
      <c r="V1179">
        <v>1</v>
      </c>
      <c r="W1179" t="s">
        <v>132</v>
      </c>
      <c r="X1179">
        <v>0</v>
      </c>
    </row>
    <row r="1180" spans="1:24" x14ac:dyDescent="0.25">
      <c r="A1180">
        <v>1</v>
      </c>
      <c r="B1180" s="13">
        <v>590920300428</v>
      </c>
      <c r="C1180">
        <v>30</v>
      </c>
      <c r="D1180" s="13">
        <v>5957303004</v>
      </c>
      <c r="F1180" t="s">
        <v>130</v>
      </c>
      <c r="G1180">
        <v>0</v>
      </c>
      <c r="H1180">
        <v>100</v>
      </c>
      <c r="K1180">
        <v>1</v>
      </c>
      <c r="L1180" t="s">
        <v>131</v>
      </c>
      <c r="M1180" s="50">
        <v>44875</v>
      </c>
      <c r="N1180" s="50">
        <v>2958465</v>
      </c>
      <c r="P1180">
        <v>0</v>
      </c>
      <c r="U1180">
        <v>4</v>
      </c>
      <c r="V1180">
        <v>1</v>
      </c>
      <c r="W1180" t="s">
        <v>132</v>
      </c>
      <c r="X1180">
        <v>0</v>
      </c>
    </row>
    <row r="1181" spans="1:24" x14ac:dyDescent="0.25">
      <c r="A1181">
        <v>1</v>
      </c>
      <c r="B1181" s="13">
        <v>590920300428</v>
      </c>
      <c r="C1181">
        <v>40</v>
      </c>
      <c r="D1181" s="13">
        <v>5957093004</v>
      </c>
      <c r="F1181" t="s">
        <v>130</v>
      </c>
      <c r="G1181">
        <v>0</v>
      </c>
      <c r="H1181">
        <v>100</v>
      </c>
      <c r="K1181">
        <v>1</v>
      </c>
      <c r="L1181" t="s">
        <v>131</v>
      </c>
      <c r="M1181" s="50">
        <v>44875</v>
      </c>
      <c r="N1181" s="50">
        <v>2958465</v>
      </c>
      <c r="P1181">
        <v>0</v>
      </c>
      <c r="U1181">
        <v>4</v>
      </c>
      <c r="V1181">
        <v>1</v>
      </c>
      <c r="W1181" t="s">
        <v>132</v>
      </c>
      <c r="X1181">
        <v>0</v>
      </c>
    </row>
    <row r="1182" spans="1:24" x14ac:dyDescent="0.25">
      <c r="A1182">
        <v>1</v>
      </c>
      <c r="B1182" s="13">
        <v>590920300428</v>
      </c>
      <c r="C1182">
        <v>50</v>
      </c>
      <c r="D1182" s="13">
        <v>1018034</v>
      </c>
      <c r="F1182" t="s">
        <v>130</v>
      </c>
      <c r="G1182">
        <v>0</v>
      </c>
      <c r="H1182">
        <v>100</v>
      </c>
      <c r="K1182">
        <v>4</v>
      </c>
      <c r="L1182" t="s">
        <v>131</v>
      </c>
      <c r="M1182" s="50">
        <v>44875</v>
      </c>
      <c r="N1182" s="50">
        <v>2958465</v>
      </c>
      <c r="P1182">
        <v>0</v>
      </c>
      <c r="U1182">
        <v>4</v>
      </c>
      <c r="V1182">
        <v>1</v>
      </c>
      <c r="W1182" t="s">
        <v>132</v>
      </c>
      <c r="X1182">
        <v>0</v>
      </c>
    </row>
    <row r="1183" spans="1:24" x14ac:dyDescent="0.25">
      <c r="A1183">
        <v>1</v>
      </c>
      <c r="B1183" s="13">
        <v>590920300428</v>
      </c>
      <c r="C1183">
        <v>60</v>
      </c>
      <c r="D1183" s="13">
        <v>1022356</v>
      </c>
      <c r="F1183" t="s">
        <v>130</v>
      </c>
      <c r="G1183">
        <v>0</v>
      </c>
      <c r="H1183">
        <v>100</v>
      </c>
      <c r="K1183">
        <v>10</v>
      </c>
      <c r="L1183" t="s">
        <v>131</v>
      </c>
      <c r="M1183" s="50">
        <v>44875</v>
      </c>
      <c r="N1183" s="50">
        <v>2958465</v>
      </c>
      <c r="P1183">
        <v>0</v>
      </c>
      <c r="U1183">
        <v>4</v>
      </c>
      <c r="V1183">
        <v>1</v>
      </c>
      <c r="W1183" t="s">
        <v>132</v>
      </c>
      <c r="X1183">
        <v>0</v>
      </c>
    </row>
    <row r="1184" spans="1:24" x14ac:dyDescent="0.25">
      <c r="A1184">
        <v>1</v>
      </c>
      <c r="B1184" s="13">
        <v>590920300428</v>
      </c>
      <c r="C1184">
        <v>70</v>
      </c>
      <c r="D1184" s="13">
        <v>1022213</v>
      </c>
      <c r="F1184" t="s">
        <v>130</v>
      </c>
      <c r="G1184">
        <v>0</v>
      </c>
      <c r="H1184">
        <v>100</v>
      </c>
      <c r="K1184">
        <v>5.5919999999999996</v>
      </c>
      <c r="L1184" t="s">
        <v>131</v>
      </c>
      <c r="M1184" s="50">
        <v>44875</v>
      </c>
      <c r="N1184" s="50">
        <v>2958465</v>
      </c>
      <c r="P1184">
        <v>0</v>
      </c>
      <c r="U1184">
        <v>4</v>
      </c>
      <c r="V1184">
        <v>1</v>
      </c>
      <c r="W1184" t="s">
        <v>132</v>
      </c>
      <c r="X1184">
        <v>0</v>
      </c>
    </row>
    <row r="1185" spans="1:24" x14ac:dyDescent="0.25">
      <c r="A1185">
        <v>1</v>
      </c>
      <c r="B1185" s="13">
        <v>590920300428</v>
      </c>
      <c r="C1185">
        <v>80</v>
      </c>
      <c r="D1185" s="13">
        <v>12165628</v>
      </c>
      <c r="F1185" t="s">
        <v>130</v>
      </c>
      <c r="G1185">
        <v>0</v>
      </c>
      <c r="H1185">
        <v>100</v>
      </c>
      <c r="K1185">
        <v>1</v>
      </c>
      <c r="L1185" t="s">
        <v>131</v>
      </c>
      <c r="M1185" s="50">
        <v>44875</v>
      </c>
      <c r="N1185" s="50">
        <v>2958465</v>
      </c>
      <c r="P1185">
        <v>0</v>
      </c>
      <c r="U1185">
        <v>4</v>
      </c>
      <c r="V1185">
        <v>1</v>
      </c>
      <c r="W1185" t="s">
        <v>132</v>
      </c>
      <c r="X1185">
        <v>0</v>
      </c>
    </row>
    <row r="1186" spans="1:24" x14ac:dyDescent="0.25">
      <c r="A1186">
        <v>1</v>
      </c>
      <c r="B1186" s="13">
        <v>590920300528</v>
      </c>
      <c r="C1186">
        <v>10</v>
      </c>
      <c r="D1186" s="13">
        <v>5957163005</v>
      </c>
      <c r="F1186" t="s">
        <v>130</v>
      </c>
      <c r="G1186">
        <v>0</v>
      </c>
      <c r="H1186">
        <v>100</v>
      </c>
      <c r="K1186">
        <v>2</v>
      </c>
      <c r="L1186" t="s">
        <v>131</v>
      </c>
      <c r="M1186" s="50">
        <v>44875</v>
      </c>
      <c r="N1186" s="50">
        <v>2958465</v>
      </c>
      <c r="P1186">
        <v>0</v>
      </c>
      <c r="U1186">
        <v>4</v>
      </c>
      <c r="V1186">
        <v>1</v>
      </c>
      <c r="W1186" t="s">
        <v>132</v>
      </c>
      <c r="X1186">
        <v>0</v>
      </c>
    </row>
    <row r="1187" spans="1:24" x14ac:dyDescent="0.25">
      <c r="A1187">
        <v>1</v>
      </c>
      <c r="B1187" s="13">
        <v>590920300528</v>
      </c>
      <c r="C1187">
        <v>20</v>
      </c>
      <c r="D1187" s="13">
        <v>5957333005</v>
      </c>
      <c r="F1187" t="s">
        <v>130</v>
      </c>
      <c r="G1187">
        <v>0</v>
      </c>
      <c r="H1187">
        <v>100</v>
      </c>
      <c r="K1187">
        <v>1</v>
      </c>
      <c r="L1187" t="s">
        <v>131</v>
      </c>
      <c r="M1187" s="50">
        <v>44875</v>
      </c>
      <c r="N1187" s="50">
        <v>2958465</v>
      </c>
      <c r="P1187">
        <v>0</v>
      </c>
      <c r="U1187">
        <v>4</v>
      </c>
      <c r="V1187">
        <v>1</v>
      </c>
      <c r="W1187" t="s">
        <v>132</v>
      </c>
      <c r="X1187">
        <v>0</v>
      </c>
    </row>
    <row r="1188" spans="1:24" x14ac:dyDescent="0.25">
      <c r="A1188">
        <v>1</v>
      </c>
      <c r="B1188" s="13">
        <v>590920300528</v>
      </c>
      <c r="C1188">
        <v>30</v>
      </c>
      <c r="D1188" s="13">
        <v>5957303005</v>
      </c>
      <c r="F1188" t="s">
        <v>130</v>
      </c>
      <c r="G1188">
        <v>0</v>
      </c>
      <c r="H1188">
        <v>100</v>
      </c>
      <c r="K1188">
        <v>1</v>
      </c>
      <c r="L1188" t="s">
        <v>131</v>
      </c>
      <c r="M1188" s="50">
        <v>44875</v>
      </c>
      <c r="N1188" s="50">
        <v>2958465</v>
      </c>
      <c r="P1188">
        <v>0</v>
      </c>
      <c r="U1188">
        <v>4</v>
      </c>
      <c r="V1188">
        <v>1</v>
      </c>
      <c r="W1188" t="s">
        <v>132</v>
      </c>
      <c r="X1188">
        <v>0</v>
      </c>
    </row>
    <row r="1189" spans="1:24" x14ac:dyDescent="0.25">
      <c r="A1189">
        <v>1</v>
      </c>
      <c r="B1189" s="13">
        <v>590920300528</v>
      </c>
      <c r="C1189">
        <v>40</v>
      </c>
      <c r="D1189" s="13">
        <v>5957093005</v>
      </c>
      <c r="F1189" t="s">
        <v>130</v>
      </c>
      <c r="G1189">
        <v>0</v>
      </c>
      <c r="H1189">
        <v>100</v>
      </c>
      <c r="K1189">
        <v>1</v>
      </c>
      <c r="L1189" t="s">
        <v>131</v>
      </c>
      <c r="M1189" s="50">
        <v>44875</v>
      </c>
      <c r="N1189" s="50">
        <v>2958465</v>
      </c>
      <c r="P1189">
        <v>0</v>
      </c>
      <c r="U1189">
        <v>4</v>
      </c>
      <c r="V1189">
        <v>1</v>
      </c>
      <c r="W1189" t="s">
        <v>132</v>
      </c>
      <c r="X1189">
        <v>0</v>
      </c>
    </row>
    <row r="1190" spans="1:24" x14ac:dyDescent="0.25">
      <c r="A1190">
        <v>1</v>
      </c>
      <c r="B1190" s="13">
        <v>590920300528</v>
      </c>
      <c r="C1190">
        <v>50</v>
      </c>
      <c r="D1190" s="13">
        <v>1018034</v>
      </c>
      <c r="F1190" t="s">
        <v>130</v>
      </c>
      <c r="G1190">
        <v>0</v>
      </c>
      <c r="H1190">
        <v>100</v>
      </c>
      <c r="K1190">
        <v>4</v>
      </c>
      <c r="L1190" t="s">
        <v>131</v>
      </c>
      <c r="M1190" s="50">
        <v>44875</v>
      </c>
      <c r="N1190" s="50">
        <v>2958465</v>
      </c>
      <c r="P1190">
        <v>0</v>
      </c>
      <c r="U1190">
        <v>4</v>
      </c>
      <c r="V1190">
        <v>1</v>
      </c>
      <c r="W1190" t="s">
        <v>132</v>
      </c>
      <c r="X1190">
        <v>0</v>
      </c>
    </row>
    <row r="1191" spans="1:24" x14ac:dyDescent="0.25">
      <c r="A1191">
        <v>1</v>
      </c>
      <c r="B1191" s="13">
        <v>590920300528</v>
      </c>
      <c r="C1191">
        <v>60</v>
      </c>
      <c r="D1191" s="13">
        <v>1022356</v>
      </c>
      <c r="F1191" t="s">
        <v>130</v>
      </c>
      <c r="G1191">
        <v>0</v>
      </c>
      <c r="H1191">
        <v>100</v>
      </c>
      <c r="K1191">
        <v>10</v>
      </c>
      <c r="L1191" t="s">
        <v>131</v>
      </c>
      <c r="M1191" s="50">
        <v>44875</v>
      </c>
      <c r="N1191" s="50">
        <v>2958465</v>
      </c>
      <c r="P1191">
        <v>0</v>
      </c>
      <c r="U1191">
        <v>4</v>
      </c>
      <c r="V1191">
        <v>1</v>
      </c>
      <c r="W1191" t="s">
        <v>132</v>
      </c>
      <c r="X1191">
        <v>0</v>
      </c>
    </row>
    <row r="1192" spans="1:24" x14ac:dyDescent="0.25">
      <c r="A1192">
        <v>1</v>
      </c>
      <c r="B1192" s="13">
        <v>590920300528</v>
      </c>
      <c r="C1192">
        <v>70</v>
      </c>
      <c r="D1192" s="13">
        <v>1022213</v>
      </c>
      <c r="F1192" t="s">
        <v>130</v>
      </c>
      <c r="G1192">
        <v>0</v>
      </c>
      <c r="H1192">
        <v>100</v>
      </c>
      <c r="K1192">
        <v>5.5919999999999996</v>
      </c>
      <c r="L1192" t="s">
        <v>131</v>
      </c>
      <c r="M1192" s="50">
        <v>44875</v>
      </c>
      <c r="N1192" s="50">
        <v>2958465</v>
      </c>
      <c r="P1192">
        <v>0</v>
      </c>
      <c r="U1192">
        <v>4</v>
      </c>
      <c r="V1192">
        <v>1</v>
      </c>
      <c r="W1192" t="s">
        <v>132</v>
      </c>
      <c r="X1192">
        <v>0</v>
      </c>
    </row>
    <row r="1193" spans="1:24" x14ac:dyDescent="0.25">
      <c r="A1193">
        <v>1</v>
      </c>
      <c r="B1193" s="13">
        <v>590920300528</v>
      </c>
      <c r="C1193">
        <v>80</v>
      </c>
      <c r="D1193" s="13">
        <v>12165628</v>
      </c>
      <c r="F1193" t="s">
        <v>130</v>
      </c>
      <c r="G1193">
        <v>0</v>
      </c>
      <c r="H1193">
        <v>100</v>
      </c>
      <c r="K1193">
        <v>1</v>
      </c>
      <c r="L1193" t="s">
        <v>131</v>
      </c>
      <c r="M1193" s="50">
        <v>44875</v>
      </c>
      <c r="N1193" s="50">
        <v>2958465</v>
      </c>
      <c r="P1193">
        <v>0</v>
      </c>
      <c r="U1193">
        <v>4</v>
      </c>
      <c r="V1193">
        <v>1</v>
      </c>
      <c r="W1193" t="s">
        <v>132</v>
      </c>
      <c r="X1193">
        <v>0</v>
      </c>
    </row>
    <row r="1194" spans="1:24" x14ac:dyDescent="0.25">
      <c r="A1194">
        <v>1</v>
      </c>
      <c r="B1194" s="13">
        <v>590920300828</v>
      </c>
      <c r="C1194">
        <v>10</v>
      </c>
      <c r="D1194" s="13">
        <v>5957163008</v>
      </c>
      <c r="F1194" t="s">
        <v>130</v>
      </c>
      <c r="G1194">
        <v>0</v>
      </c>
      <c r="H1194">
        <v>100</v>
      </c>
      <c r="K1194">
        <v>2</v>
      </c>
      <c r="L1194" t="s">
        <v>131</v>
      </c>
      <c r="M1194" s="50">
        <v>44875</v>
      </c>
      <c r="N1194" s="50">
        <v>2958465</v>
      </c>
      <c r="P1194">
        <v>0</v>
      </c>
      <c r="U1194">
        <v>4</v>
      </c>
      <c r="V1194">
        <v>1</v>
      </c>
      <c r="W1194" t="s">
        <v>132</v>
      </c>
      <c r="X1194">
        <v>0</v>
      </c>
    </row>
    <row r="1195" spans="1:24" x14ac:dyDescent="0.25">
      <c r="A1195">
        <v>1</v>
      </c>
      <c r="B1195" s="13">
        <v>590920300828</v>
      </c>
      <c r="C1195">
        <v>20</v>
      </c>
      <c r="D1195" s="13">
        <v>5957333008</v>
      </c>
      <c r="F1195" t="s">
        <v>130</v>
      </c>
      <c r="G1195">
        <v>0</v>
      </c>
      <c r="H1195">
        <v>100</v>
      </c>
      <c r="K1195">
        <v>1</v>
      </c>
      <c r="L1195" t="s">
        <v>131</v>
      </c>
      <c r="M1195" s="50">
        <v>44875</v>
      </c>
      <c r="N1195" s="50">
        <v>2958465</v>
      </c>
      <c r="P1195">
        <v>0</v>
      </c>
      <c r="U1195">
        <v>4</v>
      </c>
      <c r="V1195">
        <v>1</v>
      </c>
      <c r="W1195" t="s">
        <v>132</v>
      </c>
      <c r="X1195">
        <v>0</v>
      </c>
    </row>
    <row r="1196" spans="1:24" x14ac:dyDescent="0.25">
      <c r="A1196">
        <v>1</v>
      </c>
      <c r="B1196" s="13">
        <v>590920300828</v>
      </c>
      <c r="C1196">
        <v>30</v>
      </c>
      <c r="D1196" s="13">
        <v>5957303008</v>
      </c>
      <c r="F1196" t="s">
        <v>130</v>
      </c>
      <c r="G1196">
        <v>0</v>
      </c>
      <c r="H1196">
        <v>100</v>
      </c>
      <c r="K1196">
        <v>1</v>
      </c>
      <c r="L1196" t="s">
        <v>131</v>
      </c>
      <c r="M1196" s="50">
        <v>44875</v>
      </c>
      <c r="N1196" s="50">
        <v>2958465</v>
      </c>
      <c r="P1196">
        <v>0</v>
      </c>
      <c r="U1196">
        <v>4</v>
      </c>
      <c r="V1196">
        <v>1</v>
      </c>
      <c r="W1196" t="s">
        <v>132</v>
      </c>
      <c r="X1196">
        <v>0</v>
      </c>
    </row>
    <row r="1197" spans="1:24" x14ac:dyDescent="0.25">
      <c r="A1197">
        <v>1</v>
      </c>
      <c r="B1197" s="13">
        <v>590920300828</v>
      </c>
      <c r="C1197">
        <v>40</v>
      </c>
      <c r="D1197" s="13">
        <v>5957093008</v>
      </c>
      <c r="F1197" t="s">
        <v>130</v>
      </c>
      <c r="G1197">
        <v>0</v>
      </c>
      <c r="H1197">
        <v>100</v>
      </c>
      <c r="K1197">
        <v>1</v>
      </c>
      <c r="L1197" t="s">
        <v>131</v>
      </c>
      <c r="M1197" s="50">
        <v>44875</v>
      </c>
      <c r="N1197" s="50">
        <v>2958465</v>
      </c>
      <c r="P1197">
        <v>0</v>
      </c>
      <c r="U1197">
        <v>4</v>
      </c>
      <c r="V1197">
        <v>1</v>
      </c>
      <c r="W1197" t="s">
        <v>132</v>
      </c>
      <c r="X1197">
        <v>0</v>
      </c>
    </row>
    <row r="1198" spans="1:24" x14ac:dyDescent="0.25">
      <c r="A1198">
        <v>1</v>
      </c>
      <c r="B1198" s="13">
        <v>590920300828</v>
      </c>
      <c r="C1198">
        <v>50</v>
      </c>
      <c r="D1198" s="13">
        <v>1018034</v>
      </c>
      <c r="F1198" t="s">
        <v>130</v>
      </c>
      <c r="G1198">
        <v>0</v>
      </c>
      <c r="H1198">
        <v>100</v>
      </c>
      <c r="K1198">
        <v>4</v>
      </c>
      <c r="L1198" t="s">
        <v>131</v>
      </c>
      <c r="M1198" s="50">
        <v>44875</v>
      </c>
      <c r="N1198" s="50">
        <v>2958465</v>
      </c>
      <c r="P1198">
        <v>0</v>
      </c>
      <c r="U1198">
        <v>4</v>
      </c>
      <c r="V1198">
        <v>1</v>
      </c>
      <c r="W1198" t="s">
        <v>132</v>
      </c>
      <c r="X1198">
        <v>0</v>
      </c>
    </row>
    <row r="1199" spans="1:24" x14ac:dyDescent="0.25">
      <c r="A1199">
        <v>1</v>
      </c>
      <c r="B1199" s="13">
        <v>590920300828</v>
      </c>
      <c r="C1199">
        <v>60</v>
      </c>
      <c r="D1199" s="13">
        <v>1022356</v>
      </c>
      <c r="F1199" t="s">
        <v>130</v>
      </c>
      <c r="G1199">
        <v>0</v>
      </c>
      <c r="H1199">
        <v>100</v>
      </c>
      <c r="K1199">
        <v>10</v>
      </c>
      <c r="L1199" t="s">
        <v>131</v>
      </c>
      <c r="M1199" s="50">
        <v>44875</v>
      </c>
      <c r="N1199" s="50">
        <v>2958465</v>
      </c>
      <c r="P1199">
        <v>0</v>
      </c>
      <c r="U1199">
        <v>4</v>
      </c>
      <c r="V1199">
        <v>1</v>
      </c>
      <c r="W1199" t="s">
        <v>132</v>
      </c>
      <c r="X1199">
        <v>0</v>
      </c>
    </row>
    <row r="1200" spans="1:24" x14ac:dyDescent="0.25">
      <c r="A1200">
        <v>1</v>
      </c>
      <c r="B1200" s="13">
        <v>590920300828</v>
      </c>
      <c r="C1200">
        <v>70</v>
      </c>
      <c r="D1200" s="13">
        <v>1022213</v>
      </c>
      <c r="F1200" t="s">
        <v>130</v>
      </c>
      <c r="G1200">
        <v>0</v>
      </c>
      <c r="H1200">
        <v>100</v>
      </c>
      <c r="K1200">
        <v>5.5919999999999996</v>
      </c>
      <c r="L1200" t="s">
        <v>131</v>
      </c>
      <c r="M1200" s="50">
        <v>44875</v>
      </c>
      <c r="N1200" s="50">
        <v>2958465</v>
      </c>
      <c r="P1200">
        <v>0</v>
      </c>
      <c r="U1200">
        <v>4</v>
      </c>
      <c r="V1200">
        <v>1</v>
      </c>
      <c r="W1200" t="s">
        <v>132</v>
      </c>
      <c r="X1200">
        <v>0</v>
      </c>
    </row>
    <row r="1201" spans="1:24" x14ac:dyDescent="0.25">
      <c r="A1201">
        <v>1</v>
      </c>
      <c r="B1201" s="13">
        <v>590920300828</v>
      </c>
      <c r="C1201">
        <v>80</v>
      </c>
      <c r="D1201" s="13">
        <v>12165628</v>
      </c>
      <c r="F1201" t="s">
        <v>130</v>
      </c>
      <c r="G1201">
        <v>0</v>
      </c>
      <c r="H1201">
        <v>100</v>
      </c>
      <c r="K1201">
        <v>1</v>
      </c>
      <c r="L1201" t="s">
        <v>131</v>
      </c>
      <c r="M1201" s="50">
        <v>44875</v>
      </c>
      <c r="N1201" s="50">
        <v>2958465</v>
      </c>
      <c r="P1201">
        <v>0</v>
      </c>
      <c r="U1201">
        <v>4</v>
      </c>
      <c r="V1201">
        <v>1</v>
      </c>
      <c r="W1201" t="s">
        <v>132</v>
      </c>
      <c r="X1201">
        <v>0</v>
      </c>
    </row>
    <row r="1202" spans="1:24" x14ac:dyDescent="0.25">
      <c r="A1202">
        <v>1</v>
      </c>
      <c r="B1202" s="13">
        <v>590920300928</v>
      </c>
      <c r="C1202">
        <v>10</v>
      </c>
      <c r="D1202" s="13">
        <v>5957163009</v>
      </c>
      <c r="F1202" t="s">
        <v>130</v>
      </c>
      <c r="G1202">
        <v>0</v>
      </c>
      <c r="H1202">
        <v>100</v>
      </c>
      <c r="K1202">
        <v>2</v>
      </c>
      <c r="L1202" t="s">
        <v>131</v>
      </c>
      <c r="M1202" s="50">
        <v>44875</v>
      </c>
      <c r="N1202" s="50">
        <v>2958465</v>
      </c>
      <c r="P1202">
        <v>0</v>
      </c>
      <c r="U1202">
        <v>4</v>
      </c>
      <c r="V1202">
        <v>1</v>
      </c>
      <c r="W1202" t="s">
        <v>132</v>
      </c>
      <c r="X1202">
        <v>0</v>
      </c>
    </row>
    <row r="1203" spans="1:24" x14ac:dyDescent="0.25">
      <c r="A1203">
        <v>1</v>
      </c>
      <c r="B1203" s="13">
        <v>590920300928</v>
      </c>
      <c r="C1203">
        <v>20</v>
      </c>
      <c r="D1203" s="13">
        <v>5957333009</v>
      </c>
      <c r="F1203" t="s">
        <v>130</v>
      </c>
      <c r="G1203">
        <v>0</v>
      </c>
      <c r="H1203">
        <v>100</v>
      </c>
      <c r="K1203">
        <v>1</v>
      </c>
      <c r="L1203" t="s">
        <v>131</v>
      </c>
      <c r="M1203" s="50">
        <v>44875</v>
      </c>
      <c r="N1203" s="50">
        <v>2958465</v>
      </c>
      <c r="P1203">
        <v>0</v>
      </c>
      <c r="U1203">
        <v>4</v>
      </c>
      <c r="V1203">
        <v>1</v>
      </c>
      <c r="W1203" t="s">
        <v>132</v>
      </c>
      <c r="X1203">
        <v>0</v>
      </c>
    </row>
    <row r="1204" spans="1:24" x14ac:dyDescent="0.25">
      <c r="A1204">
        <v>1</v>
      </c>
      <c r="B1204" s="13">
        <v>590920300928</v>
      </c>
      <c r="C1204">
        <v>30</v>
      </c>
      <c r="D1204" s="13">
        <v>5957303009</v>
      </c>
      <c r="F1204" t="s">
        <v>130</v>
      </c>
      <c r="G1204">
        <v>0</v>
      </c>
      <c r="H1204">
        <v>100</v>
      </c>
      <c r="K1204">
        <v>1</v>
      </c>
      <c r="L1204" t="s">
        <v>131</v>
      </c>
      <c r="M1204" s="50">
        <v>44875</v>
      </c>
      <c r="N1204" s="50">
        <v>2958465</v>
      </c>
      <c r="P1204">
        <v>0</v>
      </c>
      <c r="U1204">
        <v>4</v>
      </c>
      <c r="V1204">
        <v>1</v>
      </c>
      <c r="W1204" t="s">
        <v>132</v>
      </c>
      <c r="X1204">
        <v>0</v>
      </c>
    </row>
    <row r="1205" spans="1:24" x14ac:dyDescent="0.25">
      <c r="A1205">
        <v>1</v>
      </c>
      <c r="B1205" s="13">
        <v>590920300928</v>
      </c>
      <c r="C1205">
        <v>40</v>
      </c>
      <c r="D1205" s="13">
        <v>5957093009</v>
      </c>
      <c r="F1205" t="s">
        <v>130</v>
      </c>
      <c r="G1205">
        <v>0</v>
      </c>
      <c r="H1205">
        <v>100</v>
      </c>
      <c r="K1205">
        <v>1</v>
      </c>
      <c r="L1205" t="s">
        <v>131</v>
      </c>
      <c r="M1205" s="50">
        <v>44875</v>
      </c>
      <c r="N1205" s="50">
        <v>2958465</v>
      </c>
      <c r="P1205">
        <v>0</v>
      </c>
      <c r="U1205">
        <v>4</v>
      </c>
      <c r="V1205">
        <v>1</v>
      </c>
      <c r="W1205" t="s">
        <v>132</v>
      </c>
      <c r="X1205">
        <v>0</v>
      </c>
    </row>
    <row r="1206" spans="1:24" x14ac:dyDescent="0.25">
      <c r="A1206">
        <v>1</v>
      </c>
      <c r="B1206" s="13">
        <v>590920300928</v>
      </c>
      <c r="C1206">
        <v>50</v>
      </c>
      <c r="D1206" s="13">
        <v>1018034</v>
      </c>
      <c r="F1206" t="s">
        <v>130</v>
      </c>
      <c r="G1206">
        <v>0</v>
      </c>
      <c r="H1206">
        <v>100</v>
      </c>
      <c r="K1206">
        <v>4</v>
      </c>
      <c r="L1206" t="s">
        <v>131</v>
      </c>
      <c r="M1206" s="50">
        <v>44875</v>
      </c>
      <c r="N1206" s="50">
        <v>2958465</v>
      </c>
      <c r="P1206">
        <v>0</v>
      </c>
      <c r="U1206">
        <v>4</v>
      </c>
      <c r="V1206">
        <v>1</v>
      </c>
      <c r="W1206" t="s">
        <v>132</v>
      </c>
      <c r="X1206">
        <v>0</v>
      </c>
    </row>
    <row r="1207" spans="1:24" x14ac:dyDescent="0.25">
      <c r="A1207">
        <v>1</v>
      </c>
      <c r="B1207" s="13">
        <v>590920300928</v>
      </c>
      <c r="C1207">
        <v>60</v>
      </c>
      <c r="D1207" s="13">
        <v>1018359</v>
      </c>
      <c r="F1207" t="s">
        <v>130</v>
      </c>
      <c r="G1207">
        <v>0</v>
      </c>
      <c r="H1207">
        <v>100</v>
      </c>
      <c r="K1207">
        <v>10</v>
      </c>
      <c r="L1207" t="s">
        <v>131</v>
      </c>
      <c r="M1207" s="50">
        <v>44875</v>
      </c>
      <c r="N1207" s="50">
        <v>2958465</v>
      </c>
      <c r="P1207">
        <v>0</v>
      </c>
      <c r="U1207">
        <v>4</v>
      </c>
      <c r="V1207">
        <v>1</v>
      </c>
      <c r="W1207" t="s">
        <v>132</v>
      </c>
      <c r="X1207">
        <v>0</v>
      </c>
    </row>
    <row r="1208" spans="1:24" x14ac:dyDescent="0.25">
      <c r="A1208">
        <v>1</v>
      </c>
      <c r="B1208" s="13">
        <v>590920300928</v>
      </c>
      <c r="C1208">
        <v>70</v>
      </c>
      <c r="D1208" s="13">
        <v>1022213</v>
      </c>
      <c r="F1208" t="s">
        <v>130</v>
      </c>
      <c r="G1208">
        <v>0</v>
      </c>
      <c r="H1208">
        <v>100</v>
      </c>
      <c r="K1208">
        <v>5.5919999999999996</v>
      </c>
      <c r="L1208" t="s">
        <v>131</v>
      </c>
      <c r="M1208" s="50">
        <v>44875</v>
      </c>
      <c r="N1208" s="50">
        <v>2958465</v>
      </c>
      <c r="P1208">
        <v>0</v>
      </c>
      <c r="U1208">
        <v>4</v>
      </c>
      <c r="V1208">
        <v>1</v>
      </c>
      <c r="W1208" t="s">
        <v>132</v>
      </c>
      <c r="X1208">
        <v>0</v>
      </c>
    </row>
    <row r="1209" spans="1:24" x14ac:dyDescent="0.25">
      <c r="A1209">
        <v>1</v>
      </c>
      <c r="B1209" s="13">
        <v>590920300928</v>
      </c>
      <c r="C1209">
        <v>80</v>
      </c>
      <c r="D1209" s="13">
        <v>12165628</v>
      </c>
      <c r="F1209" t="s">
        <v>130</v>
      </c>
      <c r="G1209">
        <v>0</v>
      </c>
      <c r="H1209">
        <v>100</v>
      </c>
      <c r="K1209">
        <v>1</v>
      </c>
      <c r="L1209" t="s">
        <v>131</v>
      </c>
      <c r="M1209" s="50">
        <v>44875</v>
      </c>
      <c r="N1209" s="50">
        <v>2958465</v>
      </c>
      <c r="P1209">
        <v>0</v>
      </c>
      <c r="U1209">
        <v>4</v>
      </c>
      <c r="V1209">
        <v>1</v>
      </c>
      <c r="W1209" t="s">
        <v>132</v>
      </c>
      <c r="X1209">
        <v>0</v>
      </c>
    </row>
    <row r="1210" spans="1:24" x14ac:dyDescent="0.25">
      <c r="A1210">
        <v>1</v>
      </c>
      <c r="B1210" s="13">
        <v>590920300019</v>
      </c>
      <c r="C1210">
        <v>10</v>
      </c>
      <c r="D1210" s="13">
        <v>5957163099</v>
      </c>
      <c r="F1210" t="s">
        <v>130</v>
      </c>
      <c r="G1210">
        <v>0</v>
      </c>
      <c r="H1210">
        <v>100</v>
      </c>
      <c r="K1210">
        <v>2</v>
      </c>
      <c r="L1210" t="s">
        <v>131</v>
      </c>
      <c r="M1210" s="50">
        <v>44875</v>
      </c>
      <c r="N1210" s="50">
        <v>2958465</v>
      </c>
      <c r="P1210">
        <v>0</v>
      </c>
      <c r="U1210">
        <v>4</v>
      </c>
      <c r="V1210">
        <v>1</v>
      </c>
      <c r="W1210" t="s">
        <v>132</v>
      </c>
      <c r="X1210">
        <v>0</v>
      </c>
    </row>
    <row r="1211" spans="1:24" x14ac:dyDescent="0.25">
      <c r="A1211">
        <v>1</v>
      </c>
      <c r="B1211" s="13">
        <v>590920300019</v>
      </c>
      <c r="C1211">
        <v>20</v>
      </c>
      <c r="D1211" s="13">
        <v>5957333099</v>
      </c>
      <c r="F1211" t="s">
        <v>130</v>
      </c>
      <c r="G1211">
        <v>0</v>
      </c>
      <c r="H1211">
        <v>100</v>
      </c>
      <c r="K1211">
        <v>1</v>
      </c>
      <c r="L1211" t="s">
        <v>131</v>
      </c>
      <c r="M1211" s="50">
        <v>44875</v>
      </c>
      <c r="N1211" s="50">
        <v>2958465</v>
      </c>
      <c r="P1211">
        <v>0</v>
      </c>
      <c r="U1211">
        <v>4</v>
      </c>
      <c r="V1211">
        <v>1</v>
      </c>
      <c r="W1211" t="s">
        <v>132</v>
      </c>
      <c r="X1211">
        <v>0</v>
      </c>
    </row>
    <row r="1212" spans="1:24" x14ac:dyDescent="0.25">
      <c r="A1212">
        <v>1</v>
      </c>
      <c r="B1212" s="13">
        <v>590920300019</v>
      </c>
      <c r="C1212">
        <v>30</v>
      </c>
      <c r="D1212" s="13">
        <v>5957303099</v>
      </c>
      <c r="F1212" t="s">
        <v>130</v>
      </c>
      <c r="G1212">
        <v>0</v>
      </c>
      <c r="H1212">
        <v>100</v>
      </c>
      <c r="K1212">
        <v>1</v>
      </c>
      <c r="L1212" t="s">
        <v>131</v>
      </c>
      <c r="M1212" s="50">
        <v>44875</v>
      </c>
      <c r="N1212" s="50">
        <v>2958465</v>
      </c>
      <c r="P1212">
        <v>0</v>
      </c>
      <c r="U1212">
        <v>4</v>
      </c>
      <c r="V1212">
        <v>1</v>
      </c>
      <c r="W1212" t="s">
        <v>132</v>
      </c>
      <c r="X1212">
        <v>0</v>
      </c>
    </row>
    <row r="1213" spans="1:24" x14ac:dyDescent="0.25">
      <c r="A1213">
        <v>1</v>
      </c>
      <c r="B1213" s="13">
        <v>590920300019</v>
      </c>
      <c r="C1213">
        <v>40</v>
      </c>
      <c r="D1213" s="13">
        <v>1022219</v>
      </c>
      <c r="F1213" t="s">
        <v>130</v>
      </c>
      <c r="G1213">
        <v>0</v>
      </c>
      <c r="H1213">
        <v>100</v>
      </c>
      <c r="K1213">
        <v>1</v>
      </c>
      <c r="L1213" t="s">
        <v>131</v>
      </c>
      <c r="M1213" s="50">
        <v>44875</v>
      </c>
      <c r="N1213" s="50">
        <v>2958465</v>
      </c>
      <c r="P1213">
        <v>0</v>
      </c>
      <c r="U1213">
        <v>4</v>
      </c>
      <c r="V1213">
        <v>1</v>
      </c>
      <c r="W1213" t="s">
        <v>132</v>
      </c>
      <c r="X1213">
        <v>0</v>
      </c>
    </row>
    <row r="1214" spans="1:24" x14ac:dyDescent="0.25">
      <c r="A1214">
        <v>1</v>
      </c>
      <c r="B1214" s="13">
        <v>590920300019</v>
      </c>
      <c r="C1214">
        <v>50</v>
      </c>
      <c r="D1214" s="13">
        <v>1018034</v>
      </c>
      <c r="F1214" t="s">
        <v>130</v>
      </c>
      <c r="G1214">
        <v>0</v>
      </c>
      <c r="H1214">
        <v>100</v>
      </c>
      <c r="K1214">
        <v>4</v>
      </c>
      <c r="L1214" t="s">
        <v>131</v>
      </c>
      <c r="M1214" s="50">
        <v>44875</v>
      </c>
      <c r="N1214" s="50">
        <v>2958465</v>
      </c>
      <c r="P1214">
        <v>0</v>
      </c>
      <c r="U1214">
        <v>4</v>
      </c>
      <c r="V1214">
        <v>1</v>
      </c>
      <c r="W1214" t="s">
        <v>132</v>
      </c>
      <c r="X1214">
        <v>0</v>
      </c>
    </row>
    <row r="1215" spans="1:24" x14ac:dyDescent="0.25">
      <c r="A1215">
        <v>1</v>
      </c>
      <c r="B1215" s="13">
        <v>590920300019</v>
      </c>
      <c r="C1215">
        <v>60</v>
      </c>
      <c r="D1215" s="13">
        <v>1018359</v>
      </c>
      <c r="F1215" t="s">
        <v>130</v>
      </c>
      <c r="G1215">
        <v>0</v>
      </c>
      <c r="H1215">
        <v>100</v>
      </c>
      <c r="K1215">
        <v>10</v>
      </c>
      <c r="L1215" t="s">
        <v>131</v>
      </c>
      <c r="M1215" s="50">
        <v>44875</v>
      </c>
      <c r="N1215" s="50">
        <v>2958465</v>
      </c>
      <c r="P1215">
        <v>0</v>
      </c>
      <c r="U1215">
        <v>4</v>
      </c>
      <c r="V1215">
        <v>1</v>
      </c>
      <c r="W1215" t="s">
        <v>132</v>
      </c>
      <c r="X1215">
        <v>0</v>
      </c>
    </row>
    <row r="1216" spans="1:24" x14ac:dyDescent="0.25">
      <c r="A1216">
        <v>1</v>
      </c>
      <c r="B1216" s="13">
        <v>590920300019</v>
      </c>
      <c r="C1216">
        <v>70</v>
      </c>
      <c r="D1216" s="13">
        <v>1022213</v>
      </c>
      <c r="F1216" t="s">
        <v>130</v>
      </c>
      <c r="G1216">
        <v>0</v>
      </c>
      <c r="H1216">
        <v>100</v>
      </c>
      <c r="K1216">
        <v>5.5919999999999996</v>
      </c>
      <c r="L1216" t="s">
        <v>131</v>
      </c>
      <c r="M1216" s="50">
        <v>44875</v>
      </c>
      <c r="N1216" s="50">
        <v>2958465</v>
      </c>
      <c r="P1216">
        <v>0</v>
      </c>
      <c r="U1216">
        <v>4</v>
      </c>
      <c r="V1216">
        <v>1</v>
      </c>
      <c r="W1216" t="s">
        <v>132</v>
      </c>
      <c r="X1216">
        <v>0</v>
      </c>
    </row>
    <row r="1217" spans="1:24" x14ac:dyDescent="0.25">
      <c r="A1217">
        <v>1</v>
      </c>
      <c r="B1217" s="13">
        <v>590920300019</v>
      </c>
      <c r="C1217">
        <v>80</v>
      </c>
      <c r="D1217" s="13">
        <v>12165619</v>
      </c>
      <c r="F1217" t="s">
        <v>130</v>
      </c>
      <c r="G1217">
        <v>0</v>
      </c>
      <c r="H1217">
        <v>100</v>
      </c>
      <c r="K1217">
        <v>1</v>
      </c>
      <c r="L1217" t="s">
        <v>131</v>
      </c>
      <c r="M1217" s="50">
        <v>44875</v>
      </c>
      <c r="N1217" s="50">
        <v>2958465</v>
      </c>
      <c r="P1217">
        <v>0</v>
      </c>
      <c r="U1217">
        <v>4</v>
      </c>
      <c r="V1217">
        <v>1</v>
      </c>
      <c r="W1217" t="s">
        <v>132</v>
      </c>
      <c r="X1217">
        <v>0</v>
      </c>
    </row>
    <row r="1218" spans="1:24" x14ac:dyDescent="0.25">
      <c r="A1218">
        <v>1</v>
      </c>
      <c r="B1218" s="13">
        <v>590920300119</v>
      </c>
      <c r="C1218">
        <v>10</v>
      </c>
      <c r="D1218" s="13">
        <v>5957163001</v>
      </c>
      <c r="F1218" t="s">
        <v>130</v>
      </c>
      <c r="G1218">
        <v>0</v>
      </c>
      <c r="H1218">
        <v>100</v>
      </c>
      <c r="K1218">
        <v>2</v>
      </c>
      <c r="L1218" t="s">
        <v>131</v>
      </c>
      <c r="M1218" s="50">
        <v>44875</v>
      </c>
      <c r="N1218" s="50">
        <v>2958465</v>
      </c>
      <c r="P1218">
        <v>0</v>
      </c>
      <c r="U1218">
        <v>4</v>
      </c>
      <c r="V1218">
        <v>1</v>
      </c>
      <c r="W1218" t="s">
        <v>132</v>
      </c>
      <c r="X1218">
        <v>0</v>
      </c>
    </row>
    <row r="1219" spans="1:24" x14ac:dyDescent="0.25">
      <c r="A1219">
        <v>1</v>
      </c>
      <c r="B1219" s="13">
        <v>590920300119</v>
      </c>
      <c r="C1219">
        <v>20</v>
      </c>
      <c r="D1219" s="13">
        <v>5957333001</v>
      </c>
      <c r="F1219" t="s">
        <v>130</v>
      </c>
      <c r="G1219">
        <v>0</v>
      </c>
      <c r="H1219">
        <v>100</v>
      </c>
      <c r="K1219">
        <v>1</v>
      </c>
      <c r="L1219" t="s">
        <v>131</v>
      </c>
      <c r="M1219" s="50">
        <v>44875</v>
      </c>
      <c r="N1219" s="50">
        <v>2958465</v>
      </c>
      <c r="P1219">
        <v>0</v>
      </c>
      <c r="U1219">
        <v>4</v>
      </c>
      <c r="V1219">
        <v>1</v>
      </c>
      <c r="W1219" t="s">
        <v>132</v>
      </c>
      <c r="X1219">
        <v>0</v>
      </c>
    </row>
    <row r="1220" spans="1:24" x14ac:dyDescent="0.25">
      <c r="A1220">
        <v>1</v>
      </c>
      <c r="B1220" s="13">
        <v>590920300119</v>
      </c>
      <c r="C1220">
        <v>30</v>
      </c>
      <c r="D1220" s="13">
        <v>5957303001</v>
      </c>
      <c r="F1220" t="s">
        <v>130</v>
      </c>
      <c r="G1220">
        <v>0</v>
      </c>
      <c r="H1220">
        <v>100</v>
      </c>
      <c r="K1220">
        <v>1</v>
      </c>
      <c r="L1220" t="s">
        <v>131</v>
      </c>
      <c r="M1220" s="50">
        <v>44875</v>
      </c>
      <c r="N1220" s="50">
        <v>2958465</v>
      </c>
      <c r="P1220">
        <v>0</v>
      </c>
      <c r="U1220">
        <v>4</v>
      </c>
      <c r="V1220">
        <v>1</v>
      </c>
      <c r="W1220" t="s">
        <v>132</v>
      </c>
      <c r="X1220">
        <v>0</v>
      </c>
    </row>
    <row r="1221" spans="1:24" x14ac:dyDescent="0.25">
      <c r="A1221">
        <v>1</v>
      </c>
      <c r="B1221" s="13">
        <v>590920300119</v>
      </c>
      <c r="C1221">
        <v>40</v>
      </c>
      <c r="D1221" s="13">
        <v>5957093001</v>
      </c>
      <c r="F1221" t="s">
        <v>130</v>
      </c>
      <c r="G1221">
        <v>0</v>
      </c>
      <c r="H1221">
        <v>100</v>
      </c>
      <c r="K1221">
        <v>1</v>
      </c>
      <c r="L1221" t="s">
        <v>131</v>
      </c>
      <c r="M1221" s="50">
        <v>44875</v>
      </c>
      <c r="N1221" s="50">
        <v>2958465</v>
      </c>
      <c r="P1221">
        <v>0</v>
      </c>
      <c r="U1221">
        <v>4</v>
      </c>
      <c r="V1221">
        <v>1</v>
      </c>
      <c r="W1221" t="s">
        <v>132</v>
      </c>
      <c r="X1221">
        <v>0</v>
      </c>
    </row>
    <row r="1222" spans="1:24" x14ac:dyDescent="0.25">
      <c r="A1222">
        <v>1</v>
      </c>
      <c r="B1222" s="13">
        <v>590920300119</v>
      </c>
      <c r="C1222">
        <v>50</v>
      </c>
      <c r="D1222" s="13">
        <v>1018034</v>
      </c>
      <c r="F1222" t="s">
        <v>130</v>
      </c>
      <c r="G1222">
        <v>0</v>
      </c>
      <c r="H1222">
        <v>100</v>
      </c>
      <c r="K1222">
        <v>4</v>
      </c>
      <c r="L1222" t="s">
        <v>131</v>
      </c>
      <c r="M1222" s="50">
        <v>44875</v>
      </c>
      <c r="N1222" s="50">
        <v>2958465</v>
      </c>
      <c r="P1222">
        <v>0</v>
      </c>
      <c r="U1222">
        <v>4</v>
      </c>
      <c r="V1222">
        <v>1</v>
      </c>
      <c r="W1222" t="s">
        <v>132</v>
      </c>
      <c r="X1222">
        <v>0</v>
      </c>
    </row>
    <row r="1223" spans="1:24" x14ac:dyDescent="0.25">
      <c r="A1223">
        <v>1</v>
      </c>
      <c r="B1223" s="13">
        <v>590920300119</v>
      </c>
      <c r="C1223">
        <v>60</v>
      </c>
      <c r="D1223" s="13">
        <v>1018359</v>
      </c>
      <c r="F1223" t="s">
        <v>130</v>
      </c>
      <c r="G1223">
        <v>0</v>
      </c>
      <c r="H1223">
        <v>100</v>
      </c>
      <c r="K1223">
        <v>10</v>
      </c>
      <c r="L1223" t="s">
        <v>131</v>
      </c>
      <c r="M1223" s="50">
        <v>44875</v>
      </c>
      <c r="N1223" s="50">
        <v>2958465</v>
      </c>
      <c r="P1223">
        <v>0</v>
      </c>
      <c r="U1223">
        <v>4</v>
      </c>
      <c r="V1223">
        <v>1</v>
      </c>
      <c r="W1223" t="s">
        <v>132</v>
      </c>
      <c r="X1223">
        <v>0</v>
      </c>
    </row>
    <row r="1224" spans="1:24" x14ac:dyDescent="0.25">
      <c r="A1224">
        <v>1</v>
      </c>
      <c r="B1224" s="13">
        <v>590920300119</v>
      </c>
      <c r="C1224">
        <v>70</v>
      </c>
      <c r="D1224" s="13">
        <v>1022213</v>
      </c>
      <c r="F1224" t="s">
        <v>130</v>
      </c>
      <c r="G1224">
        <v>0</v>
      </c>
      <c r="H1224">
        <v>100</v>
      </c>
      <c r="K1224">
        <v>5.5919999999999996</v>
      </c>
      <c r="L1224" t="s">
        <v>131</v>
      </c>
      <c r="M1224" s="50">
        <v>44875</v>
      </c>
      <c r="N1224" s="50">
        <v>2958465</v>
      </c>
      <c r="P1224">
        <v>0</v>
      </c>
      <c r="U1224">
        <v>4</v>
      </c>
      <c r="V1224">
        <v>1</v>
      </c>
      <c r="W1224" t="s">
        <v>132</v>
      </c>
      <c r="X1224">
        <v>0</v>
      </c>
    </row>
    <row r="1225" spans="1:24" x14ac:dyDescent="0.25">
      <c r="A1225">
        <v>1</v>
      </c>
      <c r="B1225" s="13">
        <v>590920300119</v>
      </c>
      <c r="C1225">
        <v>80</v>
      </c>
      <c r="D1225" s="13">
        <v>12165619</v>
      </c>
      <c r="F1225" t="s">
        <v>130</v>
      </c>
      <c r="G1225">
        <v>0</v>
      </c>
      <c r="H1225">
        <v>100</v>
      </c>
      <c r="K1225">
        <v>1</v>
      </c>
      <c r="L1225" t="s">
        <v>131</v>
      </c>
      <c r="M1225" s="50">
        <v>44875</v>
      </c>
      <c r="N1225" s="50">
        <v>2958465</v>
      </c>
      <c r="P1225">
        <v>0</v>
      </c>
      <c r="U1225">
        <v>4</v>
      </c>
      <c r="V1225">
        <v>1</v>
      </c>
      <c r="W1225" t="s">
        <v>132</v>
      </c>
      <c r="X1225">
        <v>0</v>
      </c>
    </row>
    <row r="1226" spans="1:24" x14ac:dyDescent="0.25">
      <c r="A1226">
        <v>1</v>
      </c>
      <c r="B1226" s="13">
        <v>590920300219</v>
      </c>
      <c r="C1226">
        <v>10</v>
      </c>
      <c r="D1226" s="13">
        <v>5957163002</v>
      </c>
      <c r="F1226" t="s">
        <v>130</v>
      </c>
      <c r="G1226">
        <v>0</v>
      </c>
      <c r="H1226">
        <v>100</v>
      </c>
      <c r="K1226">
        <v>2</v>
      </c>
      <c r="L1226" t="s">
        <v>131</v>
      </c>
      <c r="M1226" s="50">
        <v>44875</v>
      </c>
      <c r="N1226" s="50">
        <v>2958465</v>
      </c>
      <c r="P1226">
        <v>0</v>
      </c>
      <c r="U1226">
        <v>4</v>
      </c>
      <c r="V1226">
        <v>1</v>
      </c>
      <c r="W1226" t="s">
        <v>132</v>
      </c>
      <c r="X1226">
        <v>0</v>
      </c>
    </row>
    <row r="1227" spans="1:24" x14ac:dyDescent="0.25">
      <c r="A1227">
        <v>1</v>
      </c>
      <c r="B1227" s="13">
        <v>590920300219</v>
      </c>
      <c r="C1227">
        <v>20</v>
      </c>
      <c r="D1227" s="13">
        <v>5957333002</v>
      </c>
      <c r="F1227" t="s">
        <v>130</v>
      </c>
      <c r="G1227">
        <v>0</v>
      </c>
      <c r="H1227">
        <v>100</v>
      </c>
      <c r="K1227">
        <v>1</v>
      </c>
      <c r="L1227" t="s">
        <v>131</v>
      </c>
      <c r="M1227" s="50">
        <v>44875</v>
      </c>
      <c r="N1227" s="50">
        <v>2958465</v>
      </c>
      <c r="P1227">
        <v>0</v>
      </c>
      <c r="U1227">
        <v>4</v>
      </c>
      <c r="V1227">
        <v>1</v>
      </c>
      <c r="W1227" t="s">
        <v>132</v>
      </c>
      <c r="X1227">
        <v>0</v>
      </c>
    </row>
    <row r="1228" spans="1:24" x14ac:dyDescent="0.25">
      <c r="A1228">
        <v>1</v>
      </c>
      <c r="B1228" s="13">
        <v>590920300219</v>
      </c>
      <c r="C1228">
        <v>30</v>
      </c>
      <c r="D1228" s="13">
        <v>5957303002</v>
      </c>
      <c r="F1228" t="s">
        <v>130</v>
      </c>
      <c r="G1228">
        <v>0</v>
      </c>
      <c r="H1228">
        <v>100</v>
      </c>
      <c r="K1228">
        <v>1</v>
      </c>
      <c r="L1228" t="s">
        <v>131</v>
      </c>
      <c r="M1228" s="50">
        <v>44875</v>
      </c>
      <c r="N1228" s="50">
        <v>2958465</v>
      </c>
      <c r="P1228">
        <v>0</v>
      </c>
      <c r="U1228">
        <v>4</v>
      </c>
      <c r="V1228">
        <v>1</v>
      </c>
      <c r="W1228" t="s">
        <v>132</v>
      </c>
      <c r="X1228">
        <v>0</v>
      </c>
    </row>
    <row r="1229" spans="1:24" x14ac:dyDescent="0.25">
      <c r="A1229">
        <v>1</v>
      </c>
      <c r="B1229" s="13">
        <v>590920300219</v>
      </c>
      <c r="C1229">
        <v>40</v>
      </c>
      <c r="D1229" s="13">
        <v>5957093002</v>
      </c>
      <c r="F1229" t="s">
        <v>130</v>
      </c>
      <c r="G1229">
        <v>0</v>
      </c>
      <c r="H1229">
        <v>100</v>
      </c>
      <c r="K1229">
        <v>1</v>
      </c>
      <c r="L1229" t="s">
        <v>131</v>
      </c>
      <c r="M1229" s="50">
        <v>44875</v>
      </c>
      <c r="N1229" s="50">
        <v>2958465</v>
      </c>
      <c r="P1229">
        <v>0</v>
      </c>
      <c r="U1229">
        <v>4</v>
      </c>
      <c r="V1229">
        <v>1</v>
      </c>
      <c r="W1229" t="s">
        <v>132</v>
      </c>
      <c r="X1229">
        <v>0</v>
      </c>
    </row>
    <row r="1230" spans="1:24" x14ac:dyDescent="0.25">
      <c r="A1230">
        <v>1</v>
      </c>
      <c r="B1230" s="13">
        <v>590920300219</v>
      </c>
      <c r="C1230">
        <v>50</v>
      </c>
      <c r="D1230" s="13">
        <v>1018034</v>
      </c>
      <c r="F1230" t="s">
        <v>130</v>
      </c>
      <c r="G1230">
        <v>0</v>
      </c>
      <c r="H1230">
        <v>100</v>
      </c>
      <c r="K1230">
        <v>4</v>
      </c>
      <c r="L1230" t="s">
        <v>131</v>
      </c>
      <c r="M1230" s="50">
        <v>44875</v>
      </c>
      <c r="N1230" s="50">
        <v>2958465</v>
      </c>
      <c r="P1230">
        <v>0</v>
      </c>
      <c r="U1230">
        <v>4</v>
      </c>
      <c r="V1230">
        <v>1</v>
      </c>
      <c r="W1230" t="s">
        <v>132</v>
      </c>
      <c r="X1230">
        <v>0</v>
      </c>
    </row>
    <row r="1231" spans="1:24" x14ac:dyDescent="0.25">
      <c r="A1231">
        <v>1</v>
      </c>
      <c r="B1231" s="13">
        <v>590920300219</v>
      </c>
      <c r="C1231">
        <v>60</v>
      </c>
      <c r="D1231" s="13">
        <v>1022356</v>
      </c>
      <c r="F1231" t="s">
        <v>130</v>
      </c>
      <c r="G1231">
        <v>0</v>
      </c>
      <c r="H1231">
        <v>100</v>
      </c>
      <c r="K1231">
        <v>10</v>
      </c>
      <c r="L1231" t="s">
        <v>131</v>
      </c>
      <c r="M1231" s="50">
        <v>44875</v>
      </c>
      <c r="N1231" s="50">
        <v>2958465</v>
      </c>
      <c r="P1231">
        <v>0</v>
      </c>
      <c r="U1231">
        <v>4</v>
      </c>
      <c r="V1231">
        <v>1</v>
      </c>
      <c r="W1231" t="s">
        <v>132</v>
      </c>
      <c r="X1231">
        <v>0</v>
      </c>
    </row>
    <row r="1232" spans="1:24" x14ac:dyDescent="0.25">
      <c r="A1232">
        <v>1</v>
      </c>
      <c r="B1232" s="13">
        <v>590920300219</v>
      </c>
      <c r="C1232">
        <v>70</v>
      </c>
      <c r="D1232" s="13">
        <v>1022213</v>
      </c>
      <c r="F1232" t="s">
        <v>130</v>
      </c>
      <c r="G1232">
        <v>0</v>
      </c>
      <c r="H1232">
        <v>100</v>
      </c>
      <c r="K1232">
        <v>5.5919999999999996</v>
      </c>
      <c r="L1232" t="s">
        <v>131</v>
      </c>
      <c r="M1232" s="50">
        <v>44875</v>
      </c>
      <c r="N1232" s="50">
        <v>2958465</v>
      </c>
      <c r="P1232">
        <v>0</v>
      </c>
      <c r="U1232">
        <v>4</v>
      </c>
      <c r="V1232">
        <v>1</v>
      </c>
      <c r="W1232" t="s">
        <v>132</v>
      </c>
      <c r="X1232">
        <v>0</v>
      </c>
    </row>
    <row r="1233" spans="1:24" x14ac:dyDescent="0.25">
      <c r="A1233">
        <v>1</v>
      </c>
      <c r="B1233" s="13">
        <v>590920300219</v>
      </c>
      <c r="C1233">
        <v>80</v>
      </c>
      <c r="D1233" s="13">
        <v>12165619</v>
      </c>
      <c r="F1233" t="s">
        <v>130</v>
      </c>
      <c r="G1233">
        <v>0</v>
      </c>
      <c r="H1233">
        <v>100</v>
      </c>
      <c r="K1233">
        <v>1</v>
      </c>
      <c r="L1233" t="s">
        <v>131</v>
      </c>
      <c r="M1233" s="50">
        <v>44875</v>
      </c>
      <c r="N1233" s="50">
        <v>2958465</v>
      </c>
      <c r="P1233">
        <v>0</v>
      </c>
      <c r="U1233">
        <v>4</v>
      </c>
      <c r="V1233">
        <v>1</v>
      </c>
      <c r="W1233" t="s">
        <v>132</v>
      </c>
      <c r="X1233">
        <v>0</v>
      </c>
    </row>
    <row r="1234" spans="1:24" x14ac:dyDescent="0.25">
      <c r="A1234">
        <v>1</v>
      </c>
      <c r="B1234" s="13">
        <v>590920300319</v>
      </c>
      <c r="C1234">
        <v>10</v>
      </c>
      <c r="D1234" s="13">
        <v>5957163003</v>
      </c>
      <c r="F1234" t="s">
        <v>130</v>
      </c>
      <c r="G1234">
        <v>0</v>
      </c>
      <c r="H1234">
        <v>100</v>
      </c>
      <c r="K1234">
        <v>2</v>
      </c>
      <c r="L1234" t="s">
        <v>131</v>
      </c>
      <c r="M1234" s="50">
        <v>44875</v>
      </c>
      <c r="N1234" s="50">
        <v>2958465</v>
      </c>
      <c r="P1234">
        <v>0</v>
      </c>
      <c r="U1234">
        <v>4</v>
      </c>
      <c r="V1234">
        <v>1</v>
      </c>
      <c r="W1234" t="s">
        <v>132</v>
      </c>
      <c r="X1234">
        <v>0</v>
      </c>
    </row>
    <row r="1235" spans="1:24" x14ac:dyDescent="0.25">
      <c r="A1235">
        <v>1</v>
      </c>
      <c r="B1235" s="13">
        <v>590920300319</v>
      </c>
      <c r="C1235">
        <v>20</v>
      </c>
      <c r="D1235" s="13">
        <v>5957333003</v>
      </c>
      <c r="F1235" t="s">
        <v>130</v>
      </c>
      <c r="G1235">
        <v>0</v>
      </c>
      <c r="H1235">
        <v>100</v>
      </c>
      <c r="K1235">
        <v>1</v>
      </c>
      <c r="L1235" t="s">
        <v>131</v>
      </c>
      <c r="M1235" s="50">
        <v>44875</v>
      </c>
      <c r="N1235" s="50">
        <v>2958465</v>
      </c>
      <c r="P1235">
        <v>0</v>
      </c>
      <c r="U1235">
        <v>4</v>
      </c>
      <c r="V1235">
        <v>1</v>
      </c>
      <c r="W1235" t="s">
        <v>132</v>
      </c>
      <c r="X1235">
        <v>0</v>
      </c>
    </row>
    <row r="1236" spans="1:24" x14ac:dyDescent="0.25">
      <c r="A1236">
        <v>1</v>
      </c>
      <c r="B1236" s="13">
        <v>590920300319</v>
      </c>
      <c r="C1236">
        <v>30</v>
      </c>
      <c r="D1236" s="13">
        <v>5957303003</v>
      </c>
      <c r="F1236" t="s">
        <v>130</v>
      </c>
      <c r="G1236">
        <v>0</v>
      </c>
      <c r="H1236">
        <v>100</v>
      </c>
      <c r="K1236">
        <v>1</v>
      </c>
      <c r="L1236" t="s">
        <v>131</v>
      </c>
      <c r="M1236" s="50">
        <v>44875</v>
      </c>
      <c r="N1236" s="50">
        <v>2958465</v>
      </c>
      <c r="P1236">
        <v>0</v>
      </c>
      <c r="U1236">
        <v>4</v>
      </c>
      <c r="V1236">
        <v>1</v>
      </c>
      <c r="W1236" t="s">
        <v>132</v>
      </c>
      <c r="X1236">
        <v>0</v>
      </c>
    </row>
    <row r="1237" spans="1:24" x14ac:dyDescent="0.25">
      <c r="A1237">
        <v>1</v>
      </c>
      <c r="B1237" s="13">
        <v>590920300319</v>
      </c>
      <c r="C1237">
        <v>40</v>
      </c>
      <c r="D1237" s="13">
        <v>5957093003</v>
      </c>
      <c r="F1237" t="s">
        <v>130</v>
      </c>
      <c r="G1237">
        <v>0</v>
      </c>
      <c r="H1237">
        <v>100</v>
      </c>
      <c r="K1237">
        <v>1</v>
      </c>
      <c r="L1237" t="s">
        <v>131</v>
      </c>
      <c r="M1237" s="50">
        <v>44875</v>
      </c>
      <c r="N1237" s="50">
        <v>2958465</v>
      </c>
      <c r="P1237">
        <v>0</v>
      </c>
      <c r="U1237">
        <v>4</v>
      </c>
      <c r="V1237">
        <v>1</v>
      </c>
      <c r="W1237" t="s">
        <v>132</v>
      </c>
      <c r="X1237">
        <v>0</v>
      </c>
    </row>
    <row r="1238" spans="1:24" x14ac:dyDescent="0.25">
      <c r="A1238">
        <v>1</v>
      </c>
      <c r="B1238" s="13">
        <v>590920300319</v>
      </c>
      <c r="C1238">
        <v>50</v>
      </c>
      <c r="D1238" s="13">
        <v>1018034</v>
      </c>
      <c r="F1238" t="s">
        <v>130</v>
      </c>
      <c r="G1238">
        <v>0</v>
      </c>
      <c r="H1238">
        <v>100</v>
      </c>
      <c r="K1238">
        <v>4</v>
      </c>
      <c r="L1238" t="s">
        <v>131</v>
      </c>
      <c r="M1238" s="50">
        <v>44875</v>
      </c>
      <c r="N1238" s="50">
        <v>2958465</v>
      </c>
      <c r="P1238">
        <v>0</v>
      </c>
      <c r="U1238">
        <v>4</v>
      </c>
      <c r="V1238">
        <v>1</v>
      </c>
      <c r="W1238" t="s">
        <v>132</v>
      </c>
      <c r="X1238">
        <v>0</v>
      </c>
    </row>
    <row r="1239" spans="1:24" x14ac:dyDescent="0.25">
      <c r="A1239">
        <v>1</v>
      </c>
      <c r="B1239" s="13">
        <v>590920300319</v>
      </c>
      <c r="C1239">
        <v>60</v>
      </c>
      <c r="D1239" s="13">
        <v>1018359</v>
      </c>
      <c r="F1239" t="s">
        <v>130</v>
      </c>
      <c r="G1239">
        <v>0</v>
      </c>
      <c r="H1239">
        <v>100</v>
      </c>
      <c r="K1239">
        <v>10</v>
      </c>
      <c r="L1239" t="s">
        <v>131</v>
      </c>
      <c r="M1239" s="50">
        <v>44875</v>
      </c>
      <c r="N1239" s="50">
        <v>2958465</v>
      </c>
      <c r="P1239">
        <v>0</v>
      </c>
      <c r="U1239">
        <v>4</v>
      </c>
      <c r="V1239">
        <v>1</v>
      </c>
      <c r="W1239" t="s">
        <v>132</v>
      </c>
      <c r="X1239">
        <v>0</v>
      </c>
    </row>
    <row r="1240" spans="1:24" x14ac:dyDescent="0.25">
      <c r="A1240">
        <v>1</v>
      </c>
      <c r="B1240" s="13">
        <v>590920300319</v>
      </c>
      <c r="C1240">
        <v>70</v>
      </c>
      <c r="D1240" s="13">
        <v>1022213</v>
      </c>
      <c r="F1240" t="s">
        <v>130</v>
      </c>
      <c r="G1240">
        <v>0</v>
      </c>
      <c r="H1240">
        <v>100</v>
      </c>
      <c r="K1240">
        <v>5.5919999999999996</v>
      </c>
      <c r="L1240" t="s">
        <v>131</v>
      </c>
      <c r="M1240" s="50">
        <v>44875</v>
      </c>
      <c r="N1240" s="50">
        <v>2958465</v>
      </c>
      <c r="P1240">
        <v>0</v>
      </c>
      <c r="U1240">
        <v>4</v>
      </c>
      <c r="V1240">
        <v>1</v>
      </c>
      <c r="W1240" t="s">
        <v>132</v>
      </c>
      <c r="X1240">
        <v>0</v>
      </c>
    </row>
    <row r="1241" spans="1:24" x14ac:dyDescent="0.25">
      <c r="A1241">
        <v>1</v>
      </c>
      <c r="B1241" s="13">
        <v>590920300319</v>
      </c>
      <c r="C1241">
        <v>80</v>
      </c>
      <c r="D1241" s="13">
        <v>12165619</v>
      </c>
      <c r="F1241" t="s">
        <v>130</v>
      </c>
      <c r="G1241">
        <v>0</v>
      </c>
      <c r="H1241">
        <v>100</v>
      </c>
      <c r="K1241">
        <v>1</v>
      </c>
      <c r="L1241" t="s">
        <v>131</v>
      </c>
      <c r="M1241" s="50">
        <v>44875</v>
      </c>
      <c r="N1241" s="50">
        <v>2958465</v>
      </c>
      <c r="P1241">
        <v>0</v>
      </c>
      <c r="U1241">
        <v>4</v>
      </c>
      <c r="V1241">
        <v>1</v>
      </c>
      <c r="W1241" t="s">
        <v>132</v>
      </c>
      <c r="X1241">
        <v>0</v>
      </c>
    </row>
    <row r="1242" spans="1:24" x14ac:dyDescent="0.25">
      <c r="A1242">
        <v>1</v>
      </c>
      <c r="B1242" s="13">
        <v>590920300419</v>
      </c>
      <c r="C1242">
        <v>10</v>
      </c>
      <c r="D1242" s="13">
        <v>5957163004</v>
      </c>
      <c r="F1242" t="s">
        <v>130</v>
      </c>
      <c r="G1242">
        <v>0</v>
      </c>
      <c r="H1242">
        <v>100</v>
      </c>
      <c r="K1242">
        <v>2</v>
      </c>
      <c r="L1242" t="s">
        <v>131</v>
      </c>
      <c r="M1242" s="50">
        <v>44875</v>
      </c>
      <c r="N1242" s="50">
        <v>2958465</v>
      </c>
      <c r="P1242">
        <v>0</v>
      </c>
      <c r="U1242">
        <v>4</v>
      </c>
      <c r="V1242">
        <v>1</v>
      </c>
      <c r="W1242" t="s">
        <v>132</v>
      </c>
      <c r="X1242">
        <v>0</v>
      </c>
    </row>
    <row r="1243" spans="1:24" x14ac:dyDescent="0.25">
      <c r="A1243">
        <v>1</v>
      </c>
      <c r="B1243" s="13">
        <v>590920300419</v>
      </c>
      <c r="C1243">
        <v>20</v>
      </c>
      <c r="D1243" s="13">
        <v>5957333004</v>
      </c>
      <c r="F1243" t="s">
        <v>130</v>
      </c>
      <c r="G1243">
        <v>0</v>
      </c>
      <c r="H1243">
        <v>100</v>
      </c>
      <c r="K1243">
        <v>1</v>
      </c>
      <c r="L1243" t="s">
        <v>131</v>
      </c>
      <c r="M1243" s="50">
        <v>44875</v>
      </c>
      <c r="N1243" s="50">
        <v>2958465</v>
      </c>
      <c r="P1243">
        <v>0</v>
      </c>
      <c r="U1243">
        <v>4</v>
      </c>
      <c r="V1243">
        <v>1</v>
      </c>
      <c r="W1243" t="s">
        <v>132</v>
      </c>
      <c r="X1243">
        <v>0</v>
      </c>
    </row>
    <row r="1244" spans="1:24" x14ac:dyDescent="0.25">
      <c r="A1244">
        <v>1</v>
      </c>
      <c r="B1244" s="13">
        <v>590920300419</v>
      </c>
      <c r="C1244">
        <v>30</v>
      </c>
      <c r="D1244" s="13">
        <v>5957303004</v>
      </c>
      <c r="F1244" t="s">
        <v>130</v>
      </c>
      <c r="G1244">
        <v>0</v>
      </c>
      <c r="H1244">
        <v>100</v>
      </c>
      <c r="K1244">
        <v>1</v>
      </c>
      <c r="L1244" t="s">
        <v>131</v>
      </c>
      <c r="M1244" s="50">
        <v>44875</v>
      </c>
      <c r="N1244" s="50">
        <v>2958465</v>
      </c>
      <c r="P1244">
        <v>0</v>
      </c>
      <c r="U1244">
        <v>4</v>
      </c>
      <c r="V1244">
        <v>1</v>
      </c>
      <c r="W1244" t="s">
        <v>132</v>
      </c>
      <c r="X1244">
        <v>0</v>
      </c>
    </row>
    <row r="1245" spans="1:24" x14ac:dyDescent="0.25">
      <c r="A1245">
        <v>1</v>
      </c>
      <c r="B1245" s="13">
        <v>590920300419</v>
      </c>
      <c r="C1245">
        <v>40</v>
      </c>
      <c r="D1245" s="13">
        <v>5957093004</v>
      </c>
      <c r="F1245" t="s">
        <v>130</v>
      </c>
      <c r="G1245">
        <v>0</v>
      </c>
      <c r="H1245">
        <v>100</v>
      </c>
      <c r="K1245">
        <v>1</v>
      </c>
      <c r="L1245" t="s">
        <v>131</v>
      </c>
      <c r="M1245" s="50">
        <v>44875</v>
      </c>
      <c r="N1245" s="50">
        <v>2958465</v>
      </c>
      <c r="P1245">
        <v>0</v>
      </c>
      <c r="U1245">
        <v>4</v>
      </c>
      <c r="V1245">
        <v>1</v>
      </c>
      <c r="W1245" t="s">
        <v>132</v>
      </c>
      <c r="X1245">
        <v>0</v>
      </c>
    </row>
    <row r="1246" spans="1:24" x14ac:dyDescent="0.25">
      <c r="A1246">
        <v>1</v>
      </c>
      <c r="B1246" s="13">
        <v>590920300419</v>
      </c>
      <c r="C1246">
        <v>50</v>
      </c>
      <c r="D1246" s="13">
        <v>1018034</v>
      </c>
      <c r="F1246" t="s">
        <v>130</v>
      </c>
      <c r="G1246">
        <v>0</v>
      </c>
      <c r="H1246">
        <v>100</v>
      </c>
      <c r="K1246">
        <v>4</v>
      </c>
      <c r="L1246" t="s">
        <v>131</v>
      </c>
      <c r="M1246" s="50">
        <v>44875</v>
      </c>
      <c r="N1246" s="50">
        <v>2958465</v>
      </c>
      <c r="P1246">
        <v>0</v>
      </c>
      <c r="U1246">
        <v>4</v>
      </c>
      <c r="V1246">
        <v>1</v>
      </c>
      <c r="W1246" t="s">
        <v>132</v>
      </c>
      <c r="X1246">
        <v>0</v>
      </c>
    </row>
    <row r="1247" spans="1:24" x14ac:dyDescent="0.25">
      <c r="A1247">
        <v>1</v>
      </c>
      <c r="B1247" s="13">
        <v>590920300419</v>
      </c>
      <c r="C1247">
        <v>60</v>
      </c>
      <c r="D1247" s="13">
        <v>1022356</v>
      </c>
      <c r="F1247" t="s">
        <v>130</v>
      </c>
      <c r="G1247">
        <v>0</v>
      </c>
      <c r="H1247">
        <v>100</v>
      </c>
      <c r="K1247">
        <v>10</v>
      </c>
      <c r="L1247" t="s">
        <v>131</v>
      </c>
      <c r="M1247" s="50">
        <v>44875</v>
      </c>
      <c r="N1247" s="50">
        <v>2958465</v>
      </c>
      <c r="P1247">
        <v>0</v>
      </c>
      <c r="U1247">
        <v>4</v>
      </c>
      <c r="V1247">
        <v>1</v>
      </c>
      <c r="W1247" t="s">
        <v>132</v>
      </c>
      <c r="X1247">
        <v>0</v>
      </c>
    </row>
    <row r="1248" spans="1:24" x14ac:dyDescent="0.25">
      <c r="A1248">
        <v>1</v>
      </c>
      <c r="B1248" s="13">
        <v>590920300419</v>
      </c>
      <c r="C1248">
        <v>70</v>
      </c>
      <c r="D1248" s="13">
        <v>1022213</v>
      </c>
      <c r="F1248" t="s">
        <v>130</v>
      </c>
      <c r="G1248">
        <v>0</v>
      </c>
      <c r="H1248">
        <v>100</v>
      </c>
      <c r="K1248">
        <v>5.5919999999999996</v>
      </c>
      <c r="L1248" t="s">
        <v>131</v>
      </c>
      <c r="M1248" s="50">
        <v>44875</v>
      </c>
      <c r="N1248" s="50">
        <v>2958465</v>
      </c>
      <c r="P1248">
        <v>0</v>
      </c>
      <c r="U1248">
        <v>4</v>
      </c>
      <c r="V1248">
        <v>1</v>
      </c>
      <c r="W1248" t="s">
        <v>132</v>
      </c>
      <c r="X1248">
        <v>0</v>
      </c>
    </row>
    <row r="1249" spans="1:24" x14ac:dyDescent="0.25">
      <c r="A1249">
        <v>1</v>
      </c>
      <c r="B1249" s="13">
        <v>590920300419</v>
      </c>
      <c r="C1249">
        <v>80</v>
      </c>
      <c r="D1249" s="13">
        <v>12165619</v>
      </c>
      <c r="F1249" t="s">
        <v>130</v>
      </c>
      <c r="G1249">
        <v>0</v>
      </c>
      <c r="H1249">
        <v>100</v>
      </c>
      <c r="K1249">
        <v>1</v>
      </c>
      <c r="L1249" t="s">
        <v>131</v>
      </c>
      <c r="M1249" s="50">
        <v>44875</v>
      </c>
      <c r="N1249" s="50">
        <v>2958465</v>
      </c>
      <c r="P1249">
        <v>0</v>
      </c>
      <c r="U1249">
        <v>4</v>
      </c>
      <c r="V1249">
        <v>1</v>
      </c>
      <c r="W1249" t="s">
        <v>132</v>
      </c>
      <c r="X1249">
        <v>0</v>
      </c>
    </row>
    <row r="1250" spans="1:24" x14ac:dyDescent="0.25">
      <c r="A1250">
        <v>1</v>
      </c>
      <c r="B1250" s="13">
        <v>590920300519</v>
      </c>
      <c r="C1250">
        <v>10</v>
      </c>
      <c r="D1250" s="13">
        <v>5957163005</v>
      </c>
      <c r="F1250" t="s">
        <v>130</v>
      </c>
      <c r="G1250">
        <v>0</v>
      </c>
      <c r="H1250">
        <v>100</v>
      </c>
      <c r="K1250">
        <v>2</v>
      </c>
      <c r="L1250" t="s">
        <v>131</v>
      </c>
      <c r="M1250" s="50">
        <v>44875</v>
      </c>
      <c r="N1250" s="50">
        <v>2958465</v>
      </c>
      <c r="P1250">
        <v>0</v>
      </c>
      <c r="U1250">
        <v>4</v>
      </c>
      <c r="V1250">
        <v>1</v>
      </c>
      <c r="W1250" t="s">
        <v>132</v>
      </c>
      <c r="X1250">
        <v>0</v>
      </c>
    </row>
    <row r="1251" spans="1:24" x14ac:dyDescent="0.25">
      <c r="A1251">
        <v>1</v>
      </c>
      <c r="B1251" s="13">
        <v>590920300519</v>
      </c>
      <c r="C1251">
        <v>20</v>
      </c>
      <c r="D1251" s="13">
        <v>5957333005</v>
      </c>
      <c r="F1251" t="s">
        <v>130</v>
      </c>
      <c r="G1251">
        <v>0</v>
      </c>
      <c r="H1251">
        <v>100</v>
      </c>
      <c r="K1251">
        <v>1</v>
      </c>
      <c r="L1251" t="s">
        <v>131</v>
      </c>
      <c r="M1251" s="50">
        <v>44875</v>
      </c>
      <c r="N1251" s="50">
        <v>2958465</v>
      </c>
      <c r="P1251">
        <v>0</v>
      </c>
      <c r="U1251">
        <v>4</v>
      </c>
      <c r="V1251">
        <v>1</v>
      </c>
      <c r="W1251" t="s">
        <v>132</v>
      </c>
      <c r="X1251">
        <v>0</v>
      </c>
    </row>
    <row r="1252" spans="1:24" x14ac:dyDescent="0.25">
      <c r="A1252">
        <v>1</v>
      </c>
      <c r="B1252" s="13">
        <v>590920300519</v>
      </c>
      <c r="C1252">
        <v>30</v>
      </c>
      <c r="D1252" s="13">
        <v>5957303005</v>
      </c>
      <c r="F1252" t="s">
        <v>130</v>
      </c>
      <c r="G1252">
        <v>0</v>
      </c>
      <c r="H1252">
        <v>100</v>
      </c>
      <c r="K1252">
        <v>1</v>
      </c>
      <c r="L1252" t="s">
        <v>131</v>
      </c>
      <c r="M1252" s="50">
        <v>44875</v>
      </c>
      <c r="N1252" s="50">
        <v>2958465</v>
      </c>
      <c r="P1252">
        <v>0</v>
      </c>
      <c r="U1252">
        <v>4</v>
      </c>
      <c r="V1252">
        <v>1</v>
      </c>
      <c r="W1252" t="s">
        <v>132</v>
      </c>
      <c r="X1252">
        <v>0</v>
      </c>
    </row>
    <row r="1253" spans="1:24" x14ac:dyDescent="0.25">
      <c r="A1253">
        <v>1</v>
      </c>
      <c r="B1253" s="13">
        <v>590920300519</v>
      </c>
      <c r="C1253">
        <v>40</v>
      </c>
      <c r="D1253" s="13">
        <v>5957093005</v>
      </c>
      <c r="F1253" t="s">
        <v>130</v>
      </c>
      <c r="G1253">
        <v>0</v>
      </c>
      <c r="H1253">
        <v>100</v>
      </c>
      <c r="K1253">
        <v>1</v>
      </c>
      <c r="L1253" t="s">
        <v>131</v>
      </c>
      <c r="M1253" s="50">
        <v>44875</v>
      </c>
      <c r="N1253" s="50">
        <v>2958465</v>
      </c>
      <c r="P1253">
        <v>0</v>
      </c>
      <c r="U1253">
        <v>4</v>
      </c>
      <c r="V1253">
        <v>1</v>
      </c>
      <c r="W1253" t="s">
        <v>132</v>
      </c>
      <c r="X1253">
        <v>0</v>
      </c>
    </row>
    <row r="1254" spans="1:24" x14ac:dyDescent="0.25">
      <c r="A1254">
        <v>1</v>
      </c>
      <c r="B1254" s="13">
        <v>590920300519</v>
      </c>
      <c r="C1254">
        <v>50</v>
      </c>
      <c r="D1254" s="13">
        <v>1018034</v>
      </c>
      <c r="F1254" t="s">
        <v>130</v>
      </c>
      <c r="G1254">
        <v>0</v>
      </c>
      <c r="H1254">
        <v>100</v>
      </c>
      <c r="K1254">
        <v>4</v>
      </c>
      <c r="L1254" t="s">
        <v>131</v>
      </c>
      <c r="M1254" s="50">
        <v>44875</v>
      </c>
      <c r="N1254" s="50">
        <v>2958465</v>
      </c>
      <c r="P1254">
        <v>0</v>
      </c>
      <c r="U1254">
        <v>4</v>
      </c>
      <c r="V1254">
        <v>1</v>
      </c>
      <c r="W1254" t="s">
        <v>132</v>
      </c>
      <c r="X1254">
        <v>0</v>
      </c>
    </row>
    <row r="1255" spans="1:24" x14ac:dyDescent="0.25">
      <c r="A1255">
        <v>1</v>
      </c>
      <c r="B1255" s="13">
        <v>590920300519</v>
      </c>
      <c r="C1255">
        <v>60</v>
      </c>
      <c r="D1255" s="13">
        <v>1022356</v>
      </c>
      <c r="F1255" t="s">
        <v>130</v>
      </c>
      <c r="G1255">
        <v>0</v>
      </c>
      <c r="H1255">
        <v>100</v>
      </c>
      <c r="K1255">
        <v>10</v>
      </c>
      <c r="L1255" t="s">
        <v>131</v>
      </c>
      <c r="M1255" s="50">
        <v>44875</v>
      </c>
      <c r="N1255" s="50">
        <v>2958465</v>
      </c>
      <c r="P1255">
        <v>0</v>
      </c>
      <c r="U1255">
        <v>4</v>
      </c>
      <c r="V1255">
        <v>1</v>
      </c>
      <c r="W1255" t="s">
        <v>132</v>
      </c>
      <c r="X1255">
        <v>0</v>
      </c>
    </row>
    <row r="1256" spans="1:24" x14ac:dyDescent="0.25">
      <c r="A1256">
        <v>1</v>
      </c>
      <c r="B1256" s="13">
        <v>590920300519</v>
      </c>
      <c r="C1256">
        <v>70</v>
      </c>
      <c r="D1256" s="13">
        <v>1022213</v>
      </c>
      <c r="F1256" t="s">
        <v>130</v>
      </c>
      <c r="G1256">
        <v>0</v>
      </c>
      <c r="H1256">
        <v>100</v>
      </c>
      <c r="K1256">
        <v>5.5919999999999996</v>
      </c>
      <c r="L1256" t="s">
        <v>131</v>
      </c>
      <c r="M1256" s="50">
        <v>44875</v>
      </c>
      <c r="N1256" s="50">
        <v>2958465</v>
      </c>
      <c r="P1256">
        <v>0</v>
      </c>
      <c r="U1256">
        <v>4</v>
      </c>
      <c r="V1256">
        <v>1</v>
      </c>
      <c r="W1256" t="s">
        <v>132</v>
      </c>
      <c r="X1256">
        <v>0</v>
      </c>
    </row>
    <row r="1257" spans="1:24" x14ac:dyDescent="0.25">
      <c r="A1257">
        <v>1</v>
      </c>
      <c r="B1257" s="13">
        <v>590920300519</v>
      </c>
      <c r="C1257">
        <v>80</v>
      </c>
      <c r="D1257" s="13">
        <v>12165619</v>
      </c>
      <c r="F1257" t="s">
        <v>130</v>
      </c>
      <c r="G1257">
        <v>0</v>
      </c>
      <c r="H1257">
        <v>100</v>
      </c>
      <c r="K1257">
        <v>1</v>
      </c>
      <c r="L1257" t="s">
        <v>131</v>
      </c>
      <c r="M1257" s="50">
        <v>44875</v>
      </c>
      <c r="N1257" s="50">
        <v>2958465</v>
      </c>
      <c r="P1257">
        <v>0</v>
      </c>
      <c r="U1257">
        <v>4</v>
      </c>
      <c r="V1257">
        <v>1</v>
      </c>
      <c r="W1257" t="s">
        <v>132</v>
      </c>
      <c r="X1257">
        <v>0</v>
      </c>
    </row>
    <row r="1258" spans="1:24" x14ac:dyDescent="0.25">
      <c r="A1258">
        <v>1</v>
      </c>
      <c r="B1258" s="13">
        <v>590920300619</v>
      </c>
      <c r="C1258">
        <v>10</v>
      </c>
      <c r="D1258" s="13">
        <v>5957163006</v>
      </c>
      <c r="F1258" t="s">
        <v>130</v>
      </c>
      <c r="G1258">
        <v>0</v>
      </c>
      <c r="H1258">
        <v>100</v>
      </c>
      <c r="K1258">
        <v>2</v>
      </c>
      <c r="L1258" t="s">
        <v>131</v>
      </c>
      <c r="M1258" s="50">
        <v>44875</v>
      </c>
      <c r="N1258" s="50">
        <v>2958465</v>
      </c>
      <c r="P1258">
        <v>0</v>
      </c>
      <c r="U1258">
        <v>4</v>
      </c>
      <c r="V1258">
        <v>1</v>
      </c>
      <c r="W1258" t="s">
        <v>132</v>
      </c>
      <c r="X1258">
        <v>0</v>
      </c>
    </row>
    <row r="1259" spans="1:24" x14ac:dyDescent="0.25">
      <c r="A1259">
        <v>1</v>
      </c>
      <c r="B1259" s="13">
        <v>590920300619</v>
      </c>
      <c r="C1259">
        <v>20</v>
      </c>
      <c r="D1259" s="13">
        <v>5957333006</v>
      </c>
      <c r="F1259" t="s">
        <v>130</v>
      </c>
      <c r="G1259">
        <v>0</v>
      </c>
      <c r="H1259">
        <v>100</v>
      </c>
      <c r="K1259">
        <v>1</v>
      </c>
      <c r="L1259" t="s">
        <v>131</v>
      </c>
      <c r="M1259" s="50">
        <v>44875</v>
      </c>
      <c r="N1259" s="50">
        <v>2958465</v>
      </c>
      <c r="P1259">
        <v>0</v>
      </c>
      <c r="U1259">
        <v>4</v>
      </c>
      <c r="V1259">
        <v>1</v>
      </c>
      <c r="W1259" t="s">
        <v>132</v>
      </c>
      <c r="X1259">
        <v>0</v>
      </c>
    </row>
    <row r="1260" spans="1:24" x14ac:dyDescent="0.25">
      <c r="A1260">
        <v>1</v>
      </c>
      <c r="B1260" s="13">
        <v>590920300619</v>
      </c>
      <c r="C1260">
        <v>30</v>
      </c>
      <c r="D1260" s="13">
        <v>5957303006</v>
      </c>
      <c r="F1260" t="s">
        <v>130</v>
      </c>
      <c r="G1260">
        <v>0</v>
      </c>
      <c r="H1260">
        <v>100</v>
      </c>
      <c r="K1260">
        <v>1</v>
      </c>
      <c r="L1260" t="s">
        <v>131</v>
      </c>
      <c r="M1260" s="50">
        <v>44875</v>
      </c>
      <c r="N1260" s="50">
        <v>2958465</v>
      </c>
      <c r="P1260">
        <v>0</v>
      </c>
      <c r="U1260">
        <v>4</v>
      </c>
      <c r="V1260">
        <v>1</v>
      </c>
      <c r="W1260" t="s">
        <v>132</v>
      </c>
      <c r="X1260">
        <v>0</v>
      </c>
    </row>
    <row r="1261" spans="1:24" x14ac:dyDescent="0.25">
      <c r="A1261">
        <v>1</v>
      </c>
      <c r="B1261" s="13">
        <v>590920300619</v>
      </c>
      <c r="C1261">
        <v>40</v>
      </c>
      <c r="D1261" s="13">
        <v>5957093006</v>
      </c>
      <c r="F1261" t="s">
        <v>130</v>
      </c>
      <c r="G1261">
        <v>0</v>
      </c>
      <c r="H1261">
        <v>100</v>
      </c>
      <c r="K1261">
        <v>1</v>
      </c>
      <c r="L1261" t="s">
        <v>131</v>
      </c>
      <c r="M1261" s="50">
        <v>44875</v>
      </c>
      <c r="N1261" s="50">
        <v>2958465</v>
      </c>
      <c r="P1261">
        <v>0</v>
      </c>
      <c r="U1261">
        <v>4</v>
      </c>
      <c r="V1261">
        <v>1</v>
      </c>
      <c r="W1261" t="s">
        <v>132</v>
      </c>
      <c r="X1261">
        <v>0</v>
      </c>
    </row>
    <row r="1262" spans="1:24" x14ac:dyDescent="0.25">
      <c r="A1262">
        <v>1</v>
      </c>
      <c r="B1262" s="13">
        <v>590920300619</v>
      </c>
      <c r="C1262">
        <v>50</v>
      </c>
      <c r="D1262" s="13">
        <v>1018034</v>
      </c>
      <c r="F1262" t="s">
        <v>130</v>
      </c>
      <c r="G1262">
        <v>0</v>
      </c>
      <c r="H1262">
        <v>100</v>
      </c>
      <c r="K1262">
        <v>4</v>
      </c>
      <c r="L1262" t="s">
        <v>131</v>
      </c>
      <c r="M1262" s="50">
        <v>44875</v>
      </c>
      <c r="N1262" s="50">
        <v>2958465</v>
      </c>
      <c r="P1262">
        <v>0</v>
      </c>
      <c r="U1262">
        <v>4</v>
      </c>
      <c r="V1262">
        <v>1</v>
      </c>
      <c r="W1262" t="s">
        <v>132</v>
      </c>
      <c r="X1262">
        <v>0</v>
      </c>
    </row>
    <row r="1263" spans="1:24" x14ac:dyDescent="0.25">
      <c r="A1263">
        <v>1</v>
      </c>
      <c r="B1263" s="13">
        <v>590920300619</v>
      </c>
      <c r="C1263">
        <v>60</v>
      </c>
      <c r="D1263" s="13">
        <v>1018359</v>
      </c>
      <c r="F1263" t="s">
        <v>130</v>
      </c>
      <c r="G1263">
        <v>0</v>
      </c>
      <c r="H1263">
        <v>100</v>
      </c>
      <c r="K1263">
        <v>10</v>
      </c>
      <c r="L1263" t="s">
        <v>131</v>
      </c>
      <c r="M1263" s="50">
        <v>44875</v>
      </c>
      <c r="N1263" s="50">
        <v>2958465</v>
      </c>
      <c r="P1263">
        <v>0</v>
      </c>
      <c r="U1263">
        <v>4</v>
      </c>
      <c r="V1263">
        <v>1</v>
      </c>
      <c r="W1263" t="s">
        <v>132</v>
      </c>
      <c r="X1263">
        <v>0</v>
      </c>
    </row>
    <row r="1264" spans="1:24" x14ac:dyDescent="0.25">
      <c r="A1264">
        <v>1</v>
      </c>
      <c r="B1264" s="13">
        <v>590920300619</v>
      </c>
      <c r="C1264">
        <v>70</v>
      </c>
      <c r="D1264" s="13">
        <v>1022213</v>
      </c>
      <c r="F1264" t="s">
        <v>130</v>
      </c>
      <c r="G1264">
        <v>0</v>
      </c>
      <c r="H1264">
        <v>100</v>
      </c>
      <c r="K1264">
        <v>5.5919999999999996</v>
      </c>
      <c r="L1264" t="s">
        <v>131</v>
      </c>
      <c r="M1264" s="50">
        <v>44875</v>
      </c>
      <c r="N1264" s="50">
        <v>2958465</v>
      </c>
      <c r="P1264">
        <v>0</v>
      </c>
      <c r="U1264">
        <v>4</v>
      </c>
      <c r="V1264">
        <v>1</v>
      </c>
      <c r="W1264" t="s">
        <v>132</v>
      </c>
      <c r="X1264">
        <v>0</v>
      </c>
    </row>
    <row r="1265" spans="1:24" x14ac:dyDescent="0.25">
      <c r="A1265">
        <v>1</v>
      </c>
      <c r="B1265" s="13">
        <v>590920300619</v>
      </c>
      <c r="C1265">
        <v>80</v>
      </c>
      <c r="D1265" s="13">
        <v>12165619</v>
      </c>
      <c r="F1265" t="s">
        <v>130</v>
      </c>
      <c r="G1265">
        <v>0</v>
      </c>
      <c r="H1265">
        <v>100</v>
      </c>
      <c r="K1265">
        <v>1</v>
      </c>
      <c r="L1265" t="s">
        <v>131</v>
      </c>
      <c r="M1265" s="50">
        <v>44875</v>
      </c>
      <c r="N1265" s="50">
        <v>2958465</v>
      </c>
      <c r="P1265">
        <v>0</v>
      </c>
      <c r="U1265">
        <v>4</v>
      </c>
      <c r="V1265">
        <v>1</v>
      </c>
      <c r="W1265" t="s">
        <v>132</v>
      </c>
      <c r="X1265">
        <v>0</v>
      </c>
    </row>
    <row r="1266" spans="1:24" x14ac:dyDescent="0.25">
      <c r="A1266">
        <v>1</v>
      </c>
      <c r="B1266" s="13">
        <v>590920300719</v>
      </c>
      <c r="C1266">
        <v>10</v>
      </c>
      <c r="D1266" s="13">
        <v>5957163007</v>
      </c>
      <c r="F1266" t="s">
        <v>130</v>
      </c>
      <c r="G1266">
        <v>0</v>
      </c>
      <c r="H1266">
        <v>100</v>
      </c>
      <c r="K1266">
        <v>2</v>
      </c>
      <c r="L1266" t="s">
        <v>131</v>
      </c>
      <c r="M1266" s="50">
        <v>44875</v>
      </c>
      <c r="N1266" s="50">
        <v>2958465</v>
      </c>
      <c r="P1266">
        <v>0</v>
      </c>
      <c r="U1266">
        <v>4</v>
      </c>
      <c r="V1266">
        <v>1</v>
      </c>
      <c r="W1266" t="s">
        <v>132</v>
      </c>
      <c r="X1266">
        <v>0</v>
      </c>
    </row>
    <row r="1267" spans="1:24" x14ac:dyDescent="0.25">
      <c r="A1267">
        <v>1</v>
      </c>
      <c r="B1267" s="13">
        <v>590920300719</v>
      </c>
      <c r="C1267">
        <v>20</v>
      </c>
      <c r="D1267" s="13">
        <v>5957333007</v>
      </c>
      <c r="F1267" t="s">
        <v>130</v>
      </c>
      <c r="G1267">
        <v>0</v>
      </c>
      <c r="H1267">
        <v>100</v>
      </c>
      <c r="K1267">
        <v>1</v>
      </c>
      <c r="L1267" t="s">
        <v>131</v>
      </c>
      <c r="M1267" s="50">
        <v>44875</v>
      </c>
      <c r="N1267" s="50">
        <v>2958465</v>
      </c>
      <c r="P1267">
        <v>0</v>
      </c>
      <c r="U1267">
        <v>4</v>
      </c>
      <c r="V1267">
        <v>1</v>
      </c>
      <c r="W1267" t="s">
        <v>132</v>
      </c>
      <c r="X1267">
        <v>0</v>
      </c>
    </row>
    <row r="1268" spans="1:24" x14ac:dyDescent="0.25">
      <c r="A1268">
        <v>1</v>
      </c>
      <c r="B1268" s="13">
        <v>590920300719</v>
      </c>
      <c r="C1268">
        <v>30</v>
      </c>
      <c r="D1268" s="13">
        <v>5957303007</v>
      </c>
      <c r="F1268" t="s">
        <v>130</v>
      </c>
      <c r="G1268">
        <v>0</v>
      </c>
      <c r="H1268">
        <v>100</v>
      </c>
      <c r="K1268">
        <v>1</v>
      </c>
      <c r="L1268" t="s">
        <v>131</v>
      </c>
      <c r="M1268" s="50">
        <v>44875</v>
      </c>
      <c r="N1268" s="50">
        <v>2958465</v>
      </c>
      <c r="P1268">
        <v>0</v>
      </c>
      <c r="U1268">
        <v>4</v>
      </c>
      <c r="V1268">
        <v>1</v>
      </c>
      <c r="W1268" t="s">
        <v>132</v>
      </c>
      <c r="X1268">
        <v>0</v>
      </c>
    </row>
    <row r="1269" spans="1:24" x14ac:dyDescent="0.25">
      <c r="A1269">
        <v>1</v>
      </c>
      <c r="B1269" s="13">
        <v>590920300719</v>
      </c>
      <c r="C1269">
        <v>40</v>
      </c>
      <c r="D1269" s="13">
        <v>5957093007</v>
      </c>
      <c r="F1269" t="s">
        <v>130</v>
      </c>
      <c r="G1269">
        <v>0</v>
      </c>
      <c r="H1269">
        <v>100</v>
      </c>
      <c r="K1269">
        <v>1</v>
      </c>
      <c r="L1269" t="s">
        <v>131</v>
      </c>
      <c r="M1269" s="50">
        <v>44875</v>
      </c>
      <c r="N1269" s="50">
        <v>2958465</v>
      </c>
      <c r="P1269">
        <v>0</v>
      </c>
      <c r="U1269">
        <v>4</v>
      </c>
      <c r="V1269">
        <v>1</v>
      </c>
      <c r="W1269" t="s">
        <v>132</v>
      </c>
      <c r="X1269">
        <v>0</v>
      </c>
    </row>
    <row r="1270" spans="1:24" x14ac:dyDescent="0.25">
      <c r="A1270">
        <v>1</v>
      </c>
      <c r="B1270" s="13">
        <v>590920300719</v>
      </c>
      <c r="C1270">
        <v>50</v>
      </c>
      <c r="D1270" s="13">
        <v>1018034</v>
      </c>
      <c r="F1270" t="s">
        <v>130</v>
      </c>
      <c r="G1270">
        <v>0</v>
      </c>
      <c r="H1270">
        <v>100</v>
      </c>
      <c r="K1270">
        <v>4</v>
      </c>
      <c r="L1270" t="s">
        <v>131</v>
      </c>
      <c r="M1270" s="50">
        <v>44875</v>
      </c>
      <c r="N1270" s="50">
        <v>2958465</v>
      </c>
      <c r="P1270">
        <v>0</v>
      </c>
      <c r="U1270">
        <v>4</v>
      </c>
      <c r="V1270">
        <v>1</v>
      </c>
      <c r="W1270" t="s">
        <v>132</v>
      </c>
      <c r="X1270">
        <v>0</v>
      </c>
    </row>
    <row r="1271" spans="1:24" x14ac:dyDescent="0.25">
      <c r="A1271">
        <v>1</v>
      </c>
      <c r="B1271" s="13">
        <v>590920300719</v>
      </c>
      <c r="C1271">
        <v>60</v>
      </c>
      <c r="D1271" s="13">
        <v>1018359</v>
      </c>
      <c r="F1271" t="s">
        <v>130</v>
      </c>
      <c r="G1271">
        <v>0</v>
      </c>
      <c r="H1271">
        <v>100</v>
      </c>
      <c r="K1271">
        <v>10</v>
      </c>
      <c r="L1271" t="s">
        <v>131</v>
      </c>
      <c r="M1271" s="50">
        <v>44875</v>
      </c>
      <c r="N1271" s="50">
        <v>2958465</v>
      </c>
      <c r="P1271">
        <v>0</v>
      </c>
      <c r="U1271">
        <v>4</v>
      </c>
      <c r="V1271">
        <v>1</v>
      </c>
      <c r="W1271" t="s">
        <v>132</v>
      </c>
      <c r="X1271">
        <v>0</v>
      </c>
    </row>
    <row r="1272" spans="1:24" x14ac:dyDescent="0.25">
      <c r="A1272">
        <v>1</v>
      </c>
      <c r="B1272" s="13">
        <v>590920300719</v>
      </c>
      <c r="C1272">
        <v>70</v>
      </c>
      <c r="D1272" s="13">
        <v>1022213</v>
      </c>
      <c r="F1272" t="s">
        <v>130</v>
      </c>
      <c r="G1272">
        <v>0</v>
      </c>
      <c r="H1272">
        <v>100</v>
      </c>
      <c r="K1272">
        <v>5.5919999999999996</v>
      </c>
      <c r="L1272" t="s">
        <v>131</v>
      </c>
      <c r="M1272" s="50">
        <v>44875</v>
      </c>
      <c r="N1272" s="50">
        <v>2958465</v>
      </c>
      <c r="P1272">
        <v>0</v>
      </c>
      <c r="U1272">
        <v>4</v>
      </c>
      <c r="V1272">
        <v>1</v>
      </c>
      <c r="W1272" t="s">
        <v>132</v>
      </c>
      <c r="X1272">
        <v>0</v>
      </c>
    </row>
    <row r="1273" spans="1:24" x14ac:dyDescent="0.25">
      <c r="A1273">
        <v>1</v>
      </c>
      <c r="B1273" s="13">
        <v>590920300719</v>
      </c>
      <c r="C1273">
        <v>80</v>
      </c>
      <c r="D1273" s="13">
        <v>12165619</v>
      </c>
      <c r="F1273" t="s">
        <v>130</v>
      </c>
      <c r="G1273">
        <v>0</v>
      </c>
      <c r="H1273">
        <v>100</v>
      </c>
      <c r="K1273">
        <v>1</v>
      </c>
      <c r="L1273" t="s">
        <v>131</v>
      </c>
      <c r="M1273" s="50">
        <v>44875</v>
      </c>
      <c r="N1273" s="50">
        <v>2958465</v>
      </c>
      <c r="P1273">
        <v>0</v>
      </c>
      <c r="U1273">
        <v>4</v>
      </c>
      <c r="V1273">
        <v>1</v>
      </c>
      <c r="W1273" t="s">
        <v>132</v>
      </c>
      <c r="X1273">
        <v>0</v>
      </c>
    </row>
    <row r="1274" spans="1:24" x14ac:dyDescent="0.25">
      <c r="A1274">
        <v>1</v>
      </c>
      <c r="B1274" s="13">
        <v>590920300819</v>
      </c>
      <c r="C1274">
        <v>10</v>
      </c>
      <c r="D1274" s="13">
        <v>5957163008</v>
      </c>
      <c r="F1274" t="s">
        <v>130</v>
      </c>
      <c r="G1274">
        <v>0</v>
      </c>
      <c r="H1274">
        <v>100</v>
      </c>
      <c r="K1274">
        <v>2</v>
      </c>
      <c r="L1274" t="s">
        <v>131</v>
      </c>
      <c r="M1274" s="50">
        <v>44875</v>
      </c>
      <c r="N1274" s="50">
        <v>2958465</v>
      </c>
      <c r="P1274">
        <v>0</v>
      </c>
      <c r="U1274">
        <v>4</v>
      </c>
      <c r="V1274">
        <v>1</v>
      </c>
      <c r="W1274" t="s">
        <v>132</v>
      </c>
      <c r="X1274">
        <v>0</v>
      </c>
    </row>
    <row r="1275" spans="1:24" x14ac:dyDescent="0.25">
      <c r="A1275">
        <v>1</v>
      </c>
      <c r="B1275" s="13">
        <v>590920300819</v>
      </c>
      <c r="C1275">
        <v>20</v>
      </c>
      <c r="D1275" s="13">
        <v>5957333008</v>
      </c>
      <c r="F1275" t="s">
        <v>130</v>
      </c>
      <c r="G1275">
        <v>0</v>
      </c>
      <c r="H1275">
        <v>100</v>
      </c>
      <c r="K1275">
        <v>1</v>
      </c>
      <c r="L1275" t="s">
        <v>131</v>
      </c>
      <c r="M1275" s="50">
        <v>44875</v>
      </c>
      <c r="N1275" s="50">
        <v>2958465</v>
      </c>
      <c r="P1275">
        <v>0</v>
      </c>
      <c r="U1275">
        <v>4</v>
      </c>
      <c r="V1275">
        <v>1</v>
      </c>
      <c r="W1275" t="s">
        <v>132</v>
      </c>
      <c r="X1275">
        <v>0</v>
      </c>
    </row>
    <row r="1276" spans="1:24" x14ac:dyDescent="0.25">
      <c r="A1276">
        <v>1</v>
      </c>
      <c r="B1276" s="13">
        <v>590920300819</v>
      </c>
      <c r="C1276">
        <v>30</v>
      </c>
      <c r="D1276" s="13">
        <v>5957303008</v>
      </c>
      <c r="F1276" t="s">
        <v>130</v>
      </c>
      <c r="G1276">
        <v>0</v>
      </c>
      <c r="H1276">
        <v>100</v>
      </c>
      <c r="K1276">
        <v>1</v>
      </c>
      <c r="L1276" t="s">
        <v>131</v>
      </c>
      <c r="M1276" s="50">
        <v>44875</v>
      </c>
      <c r="N1276" s="50">
        <v>2958465</v>
      </c>
      <c r="P1276">
        <v>0</v>
      </c>
      <c r="U1276">
        <v>4</v>
      </c>
      <c r="V1276">
        <v>1</v>
      </c>
      <c r="W1276" t="s">
        <v>132</v>
      </c>
      <c r="X1276">
        <v>0</v>
      </c>
    </row>
    <row r="1277" spans="1:24" x14ac:dyDescent="0.25">
      <c r="A1277">
        <v>1</v>
      </c>
      <c r="B1277" s="13">
        <v>590920300819</v>
      </c>
      <c r="C1277">
        <v>40</v>
      </c>
      <c r="D1277" s="13">
        <v>5957093008</v>
      </c>
      <c r="F1277" t="s">
        <v>130</v>
      </c>
      <c r="G1277">
        <v>0</v>
      </c>
      <c r="H1277">
        <v>100</v>
      </c>
      <c r="K1277">
        <v>1</v>
      </c>
      <c r="L1277" t="s">
        <v>131</v>
      </c>
      <c r="M1277" s="50">
        <v>44875</v>
      </c>
      <c r="N1277" s="50">
        <v>2958465</v>
      </c>
      <c r="P1277">
        <v>0</v>
      </c>
      <c r="U1277">
        <v>4</v>
      </c>
      <c r="V1277">
        <v>1</v>
      </c>
      <c r="W1277" t="s">
        <v>132</v>
      </c>
      <c r="X1277">
        <v>0</v>
      </c>
    </row>
    <row r="1278" spans="1:24" x14ac:dyDescent="0.25">
      <c r="A1278">
        <v>1</v>
      </c>
      <c r="B1278" s="13">
        <v>590920300819</v>
      </c>
      <c r="C1278">
        <v>50</v>
      </c>
      <c r="D1278" s="13">
        <v>1018034</v>
      </c>
      <c r="F1278" t="s">
        <v>130</v>
      </c>
      <c r="G1278">
        <v>0</v>
      </c>
      <c r="H1278">
        <v>100</v>
      </c>
      <c r="K1278">
        <v>4</v>
      </c>
      <c r="L1278" t="s">
        <v>131</v>
      </c>
      <c r="M1278" s="50">
        <v>44875</v>
      </c>
      <c r="N1278" s="50">
        <v>2958465</v>
      </c>
      <c r="P1278">
        <v>0</v>
      </c>
      <c r="U1278">
        <v>4</v>
      </c>
      <c r="V1278">
        <v>1</v>
      </c>
      <c r="W1278" t="s">
        <v>132</v>
      </c>
      <c r="X1278">
        <v>0</v>
      </c>
    </row>
    <row r="1279" spans="1:24" x14ac:dyDescent="0.25">
      <c r="A1279">
        <v>1</v>
      </c>
      <c r="B1279" s="13">
        <v>590920300819</v>
      </c>
      <c r="C1279">
        <v>60</v>
      </c>
      <c r="D1279" s="13">
        <v>1022356</v>
      </c>
      <c r="F1279" t="s">
        <v>130</v>
      </c>
      <c r="G1279">
        <v>0</v>
      </c>
      <c r="H1279">
        <v>100</v>
      </c>
      <c r="K1279">
        <v>10</v>
      </c>
      <c r="L1279" t="s">
        <v>131</v>
      </c>
      <c r="M1279" s="50">
        <v>44875</v>
      </c>
      <c r="N1279" s="50">
        <v>2958465</v>
      </c>
      <c r="P1279">
        <v>0</v>
      </c>
      <c r="U1279">
        <v>4</v>
      </c>
      <c r="V1279">
        <v>1</v>
      </c>
      <c r="W1279" t="s">
        <v>132</v>
      </c>
      <c r="X1279">
        <v>0</v>
      </c>
    </row>
    <row r="1280" spans="1:24" x14ac:dyDescent="0.25">
      <c r="A1280">
        <v>1</v>
      </c>
      <c r="B1280" s="13">
        <v>590920300819</v>
      </c>
      <c r="C1280">
        <v>70</v>
      </c>
      <c r="D1280" s="13">
        <v>1022213</v>
      </c>
      <c r="F1280" t="s">
        <v>130</v>
      </c>
      <c r="G1280">
        <v>0</v>
      </c>
      <c r="H1280">
        <v>100</v>
      </c>
      <c r="K1280">
        <v>5.5919999999999996</v>
      </c>
      <c r="L1280" t="s">
        <v>131</v>
      </c>
      <c r="M1280" s="50">
        <v>44875</v>
      </c>
      <c r="N1280" s="50">
        <v>2958465</v>
      </c>
      <c r="P1280">
        <v>0</v>
      </c>
      <c r="U1280">
        <v>4</v>
      </c>
      <c r="V1280">
        <v>1</v>
      </c>
      <c r="W1280" t="s">
        <v>132</v>
      </c>
      <c r="X1280">
        <v>0</v>
      </c>
    </row>
    <row r="1281" spans="1:24" x14ac:dyDescent="0.25">
      <c r="A1281">
        <v>1</v>
      </c>
      <c r="B1281" s="13">
        <v>590920300819</v>
      </c>
      <c r="C1281">
        <v>80</v>
      </c>
      <c r="D1281" s="13">
        <v>12165619</v>
      </c>
      <c r="F1281" t="s">
        <v>130</v>
      </c>
      <c r="G1281">
        <v>0</v>
      </c>
      <c r="H1281">
        <v>100</v>
      </c>
      <c r="K1281">
        <v>1</v>
      </c>
      <c r="L1281" t="s">
        <v>131</v>
      </c>
      <c r="M1281" s="50">
        <v>44875</v>
      </c>
      <c r="N1281" s="50">
        <v>2958465</v>
      </c>
      <c r="P1281">
        <v>0</v>
      </c>
      <c r="U1281">
        <v>4</v>
      </c>
      <c r="V1281">
        <v>1</v>
      </c>
      <c r="W1281" t="s">
        <v>132</v>
      </c>
      <c r="X1281">
        <v>0</v>
      </c>
    </row>
    <row r="1282" spans="1:24" x14ac:dyDescent="0.25">
      <c r="A1282">
        <v>1</v>
      </c>
      <c r="B1282" s="13">
        <v>590920300919</v>
      </c>
      <c r="C1282">
        <v>10</v>
      </c>
      <c r="D1282" s="13">
        <v>5957163009</v>
      </c>
      <c r="F1282" t="s">
        <v>130</v>
      </c>
      <c r="G1282">
        <v>0</v>
      </c>
      <c r="H1282">
        <v>100</v>
      </c>
      <c r="K1282">
        <v>2</v>
      </c>
      <c r="L1282" t="s">
        <v>131</v>
      </c>
      <c r="M1282" s="50">
        <v>44875</v>
      </c>
      <c r="N1282" s="50">
        <v>2958465</v>
      </c>
      <c r="P1282">
        <v>0</v>
      </c>
      <c r="U1282">
        <v>4</v>
      </c>
      <c r="V1282">
        <v>1</v>
      </c>
      <c r="W1282" t="s">
        <v>132</v>
      </c>
      <c r="X1282">
        <v>0</v>
      </c>
    </row>
    <row r="1283" spans="1:24" x14ac:dyDescent="0.25">
      <c r="A1283">
        <v>1</v>
      </c>
      <c r="B1283" s="13">
        <v>590920300919</v>
      </c>
      <c r="C1283">
        <v>20</v>
      </c>
      <c r="D1283" s="13">
        <v>5957333009</v>
      </c>
      <c r="F1283" t="s">
        <v>130</v>
      </c>
      <c r="G1283">
        <v>0</v>
      </c>
      <c r="H1283">
        <v>100</v>
      </c>
      <c r="K1283">
        <v>1</v>
      </c>
      <c r="L1283" t="s">
        <v>131</v>
      </c>
      <c r="M1283" s="50">
        <v>44875</v>
      </c>
      <c r="N1283" s="50">
        <v>2958465</v>
      </c>
      <c r="P1283">
        <v>0</v>
      </c>
      <c r="U1283">
        <v>4</v>
      </c>
      <c r="V1283">
        <v>1</v>
      </c>
      <c r="W1283" t="s">
        <v>132</v>
      </c>
      <c r="X1283">
        <v>0</v>
      </c>
    </row>
    <row r="1284" spans="1:24" x14ac:dyDescent="0.25">
      <c r="A1284">
        <v>1</v>
      </c>
      <c r="B1284" s="13">
        <v>590920300919</v>
      </c>
      <c r="C1284">
        <v>30</v>
      </c>
      <c r="D1284" s="13">
        <v>5957303009</v>
      </c>
      <c r="F1284" t="s">
        <v>130</v>
      </c>
      <c r="G1284">
        <v>0</v>
      </c>
      <c r="H1284">
        <v>100</v>
      </c>
      <c r="K1284">
        <v>1</v>
      </c>
      <c r="L1284" t="s">
        <v>131</v>
      </c>
      <c r="M1284" s="50">
        <v>44875</v>
      </c>
      <c r="N1284" s="50">
        <v>2958465</v>
      </c>
      <c r="P1284">
        <v>0</v>
      </c>
      <c r="U1284">
        <v>4</v>
      </c>
      <c r="V1284">
        <v>1</v>
      </c>
      <c r="W1284" t="s">
        <v>132</v>
      </c>
      <c r="X1284">
        <v>0</v>
      </c>
    </row>
    <row r="1285" spans="1:24" x14ac:dyDescent="0.25">
      <c r="A1285">
        <v>1</v>
      </c>
      <c r="B1285" s="13">
        <v>590920300919</v>
      </c>
      <c r="C1285">
        <v>40</v>
      </c>
      <c r="D1285" s="13">
        <v>5957093009</v>
      </c>
      <c r="F1285" t="s">
        <v>130</v>
      </c>
      <c r="G1285">
        <v>0</v>
      </c>
      <c r="H1285">
        <v>100</v>
      </c>
      <c r="K1285">
        <v>1</v>
      </c>
      <c r="L1285" t="s">
        <v>131</v>
      </c>
      <c r="M1285" s="50">
        <v>44875</v>
      </c>
      <c r="N1285" s="50">
        <v>2958465</v>
      </c>
      <c r="P1285">
        <v>0</v>
      </c>
      <c r="U1285">
        <v>4</v>
      </c>
      <c r="V1285">
        <v>1</v>
      </c>
      <c r="W1285" t="s">
        <v>132</v>
      </c>
      <c r="X1285">
        <v>0</v>
      </c>
    </row>
    <row r="1286" spans="1:24" x14ac:dyDescent="0.25">
      <c r="A1286">
        <v>1</v>
      </c>
      <c r="B1286" s="13">
        <v>590920300919</v>
      </c>
      <c r="C1286">
        <v>50</v>
      </c>
      <c r="D1286" s="13">
        <v>1018034</v>
      </c>
      <c r="F1286" t="s">
        <v>130</v>
      </c>
      <c r="G1286">
        <v>0</v>
      </c>
      <c r="H1286">
        <v>100</v>
      </c>
      <c r="K1286">
        <v>4</v>
      </c>
      <c r="L1286" t="s">
        <v>131</v>
      </c>
      <c r="M1286" s="50">
        <v>44875</v>
      </c>
      <c r="N1286" s="50">
        <v>2958465</v>
      </c>
      <c r="P1286">
        <v>0</v>
      </c>
      <c r="U1286">
        <v>4</v>
      </c>
      <c r="V1286">
        <v>1</v>
      </c>
      <c r="W1286" t="s">
        <v>132</v>
      </c>
      <c r="X1286">
        <v>0</v>
      </c>
    </row>
    <row r="1287" spans="1:24" x14ac:dyDescent="0.25">
      <c r="A1287">
        <v>1</v>
      </c>
      <c r="B1287" s="13">
        <v>590920300919</v>
      </c>
      <c r="C1287">
        <v>60</v>
      </c>
      <c r="D1287" s="13">
        <v>1018359</v>
      </c>
      <c r="F1287" t="s">
        <v>130</v>
      </c>
      <c r="G1287">
        <v>0</v>
      </c>
      <c r="H1287">
        <v>100</v>
      </c>
      <c r="K1287">
        <v>10</v>
      </c>
      <c r="L1287" t="s">
        <v>131</v>
      </c>
      <c r="M1287" s="50">
        <v>44875</v>
      </c>
      <c r="N1287" s="50">
        <v>2958465</v>
      </c>
      <c r="P1287">
        <v>0</v>
      </c>
      <c r="U1287">
        <v>4</v>
      </c>
      <c r="V1287">
        <v>1</v>
      </c>
      <c r="W1287" t="s">
        <v>132</v>
      </c>
      <c r="X1287">
        <v>0</v>
      </c>
    </row>
    <row r="1288" spans="1:24" x14ac:dyDescent="0.25">
      <c r="A1288">
        <v>1</v>
      </c>
      <c r="B1288" s="13">
        <v>590920300919</v>
      </c>
      <c r="C1288">
        <v>70</v>
      </c>
      <c r="D1288" s="13">
        <v>1022213</v>
      </c>
      <c r="F1288" t="s">
        <v>130</v>
      </c>
      <c r="G1288">
        <v>0</v>
      </c>
      <c r="H1288">
        <v>100</v>
      </c>
      <c r="K1288">
        <v>5.5919999999999996</v>
      </c>
      <c r="L1288" t="s">
        <v>131</v>
      </c>
      <c r="M1288" s="50">
        <v>44875</v>
      </c>
      <c r="N1288" s="50">
        <v>2958465</v>
      </c>
      <c r="P1288">
        <v>0</v>
      </c>
      <c r="U1288">
        <v>4</v>
      </c>
      <c r="V1288">
        <v>1</v>
      </c>
      <c r="W1288" t="s">
        <v>132</v>
      </c>
      <c r="X1288">
        <v>0</v>
      </c>
    </row>
    <row r="1289" spans="1:24" x14ac:dyDescent="0.25">
      <c r="A1289">
        <v>1</v>
      </c>
      <c r="B1289" s="13">
        <v>590920300919</v>
      </c>
      <c r="C1289">
        <v>80</v>
      </c>
      <c r="D1289" s="13">
        <v>12165619</v>
      </c>
      <c r="F1289" t="s">
        <v>130</v>
      </c>
      <c r="G1289">
        <v>0</v>
      </c>
      <c r="H1289">
        <v>100</v>
      </c>
      <c r="K1289">
        <v>1</v>
      </c>
      <c r="L1289" t="s">
        <v>131</v>
      </c>
      <c r="M1289" s="50">
        <v>44875</v>
      </c>
      <c r="N1289" s="50">
        <v>2958465</v>
      </c>
      <c r="P1289">
        <v>0</v>
      </c>
      <c r="U1289">
        <v>4</v>
      </c>
      <c r="V1289">
        <v>1</v>
      </c>
      <c r="W1289" t="s">
        <v>132</v>
      </c>
      <c r="X1289">
        <v>0</v>
      </c>
    </row>
    <row r="1290" spans="1:24" x14ac:dyDescent="0.25">
      <c r="A1290">
        <v>1</v>
      </c>
      <c r="B1290" s="13">
        <v>590920301019</v>
      </c>
      <c r="C1290">
        <v>10</v>
      </c>
      <c r="D1290" s="13">
        <v>5957163010</v>
      </c>
      <c r="F1290" t="s">
        <v>130</v>
      </c>
      <c r="G1290">
        <v>0</v>
      </c>
      <c r="H1290">
        <v>100</v>
      </c>
      <c r="K1290">
        <v>2</v>
      </c>
      <c r="L1290" t="s">
        <v>131</v>
      </c>
      <c r="M1290" s="50">
        <v>44875</v>
      </c>
      <c r="N1290" s="50">
        <v>2958465</v>
      </c>
      <c r="P1290">
        <v>0</v>
      </c>
      <c r="U1290">
        <v>4</v>
      </c>
      <c r="V1290">
        <v>1</v>
      </c>
      <c r="W1290" t="s">
        <v>132</v>
      </c>
      <c r="X1290">
        <v>0</v>
      </c>
    </row>
    <row r="1291" spans="1:24" x14ac:dyDescent="0.25">
      <c r="A1291">
        <v>1</v>
      </c>
      <c r="B1291" s="13">
        <v>590920301019</v>
      </c>
      <c r="C1291">
        <v>20</v>
      </c>
      <c r="D1291" s="13">
        <v>5957333010</v>
      </c>
      <c r="F1291" t="s">
        <v>130</v>
      </c>
      <c r="G1291">
        <v>0</v>
      </c>
      <c r="H1291">
        <v>100</v>
      </c>
      <c r="K1291">
        <v>1</v>
      </c>
      <c r="L1291" t="s">
        <v>131</v>
      </c>
      <c r="M1291" s="50">
        <v>44875</v>
      </c>
      <c r="N1291" s="50">
        <v>2958465</v>
      </c>
      <c r="P1291">
        <v>0</v>
      </c>
      <c r="U1291">
        <v>4</v>
      </c>
      <c r="V1291">
        <v>1</v>
      </c>
      <c r="W1291" t="s">
        <v>132</v>
      </c>
      <c r="X1291">
        <v>0</v>
      </c>
    </row>
    <row r="1292" spans="1:24" x14ac:dyDescent="0.25">
      <c r="A1292">
        <v>1</v>
      </c>
      <c r="B1292" s="13">
        <v>590920301019</v>
      </c>
      <c r="C1292">
        <v>30</v>
      </c>
      <c r="D1292" s="13">
        <v>5957303010</v>
      </c>
      <c r="F1292" t="s">
        <v>130</v>
      </c>
      <c r="G1292">
        <v>0</v>
      </c>
      <c r="H1292">
        <v>100</v>
      </c>
      <c r="K1292">
        <v>1</v>
      </c>
      <c r="L1292" t="s">
        <v>131</v>
      </c>
      <c r="M1292" s="50">
        <v>44875</v>
      </c>
      <c r="N1292" s="50">
        <v>2958465</v>
      </c>
      <c r="P1292">
        <v>0</v>
      </c>
      <c r="U1292">
        <v>4</v>
      </c>
      <c r="V1292">
        <v>1</v>
      </c>
      <c r="W1292" t="s">
        <v>132</v>
      </c>
      <c r="X1292">
        <v>0</v>
      </c>
    </row>
    <row r="1293" spans="1:24" x14ac:dyDescent="0.25">
      <c r="A1293">
        <v>1</v>
      </c>
      <c r="B1293" s="13">
        <v>590920301019</v>
      </c>
      <c r="C1293">
        <v>40</v>
      </c>
      <c r="D1293" s="13">
        <v>5957093010</v>
      </c>
      <c r="F1293" t="s">
        <v>130</v>
      </c>
      <c r="G1293">
        <v>0</v>
      </c>
      <c r="H1293">
        <v>100</v>
      </c>
      <c r="K1293">
        <v>1</v>
      </c>
      <c r="L1293" t="s">
        <v>131</v>
      </c>
      <c r="M1293" s="50">
        <v>44875</v>
      </c>
      <c r="N1293" s="50">
        <v>2958465</v>
      </c>
      <c r="P1293">
        <v>0</v>
      </c>
      <c r="U1293">
        <v>4</v>
      </c>
      <c r="V1293">
        <v>1</v>
      </c>
      <c r="W1293" t="s">
        <v>132</v>
      </c>
      <c r="X1293">
        <v>0</v>
      </c>
    </row>
    <row r="1294" spans="1:24" x14ac:dyDescent="0.25">
      <c r="A1294">
        <v>1</v>
      </c>
      <c r="B1294" s="13">
        <v>590920301019</v>
      </c>
      <c r="C1294">
        <v>50</v>
      </c>
      <c r="D1294" s="13">
        <v>1018034</v>
      </c>
      <c r="F1294" t="s">
        <v>130</v>
      </c>
      <c r="G1294">
        <v>0</v>
      </c>
      <c r="H1294">
        <v>100</v>
      </c>
      <c r="K1294">
        <v>4</v>
      </c>
      <c r="L1294" t="s">
        <v>131</v>
      </c>
      <c r="M1294" s="50">
        <v>44875</v>
      </c>
      <c r="N1294" s="50">
        <v>2958465</v>
      </c>
      <c r="P1294">
        <v>0</v>
      </c>
      <c r="U1294">
        <v>4</v>
      </c>
      <c r="V1294">
        <v>1</v>
      </c>
      <c r="W1294" t="s">
        <v>132</v>
      </c>
      <c r="X1294">
        <v>0</v>
      </c>
    </row>
    <row r="1295" spans="1:24" x14ac:dyDescent="0.25">
      <c r="A1295">
        <v>1</v>
      </c>
      <c r="B1295" s="13">
        <v>590920301019</v>
      </c>
      <c r="C1295">
        <v>60</v>
      </c>
      <c r="D1295" s="13">
        <v>1018359</v>
      </c>
      <c r="F1295" t="s">
        <v>130</v>
      </c>
      <c r="G1295">
        <v>0</v>
      </c>
      <c r="H1295">
        <v>100</v>
      </c>
      <c r="K1295">
        <v>10</v>
      </c>
      <c r="L1295" t="s">
        <v>131</v>
      </c>
      <c r="M1295" s="50">
        <v>44875</v>
      </c>
      <c r="N1295" s="50">
        <v>2958465</v>
      </c>
      <c r="P1295">
        <v>0</v>
      </c>
      <c r="U1295">
        <v>4</v>
      </c>
      <c r="V1295">
        <v>1</v>
      </c>
      <c r="W1295" t="s">
        <v>132</v>
      </c>
      <c r="X1295">
        <v>0</v>
      </c>
    </row>
    <row r="1296" spans="1:24" x14ac:dyDescent="0.25">
      <c r="A1296">
        <v>1</v>
      </c>
      <c r="B1296" s="13">
        <v>590920301019</v>
      </c>
      <c r="C1296">
        <v>70</v>
      </c>
      <c r="D1296" s="13">
        <v>1022213</v>
      </c>
      <c r="F1296" t="s">
        <v>130</v>
      </c>
      <c r="G1296">
        <v>0</v>
      </c>
      <c r="H1296">
        <v>100</v>
      </c>
      <c r="K1296">
        <v>5.5919999999999996</v>
      </c>
      <c r="L1296" t="s">
        <v>131</v>
      </c>
      <c r="M1296" s="50">
        <v>44875</v>
      </c>
      <c r="N1296" s="50">
        <v>2958465</v>
      </c>
      <c r="P1296">
        <v>0</v>
      </c>
      <c r="U1296">
        <v>4</v>
      </c>
      <c r="V1296">
        <v>1</v>
      </c>
      <c r="W1296" t="s">
        <v>132</v>
      </c>
      <c r="X1296">
        <v>0</v>
      </c>
    </row>
    <row r="1297" spans="1:24" x14ac:dyDescent="0.25">
      <c r="A1297">
        <v>1</v>
      </c>
      <c r="B1297" s="13">
        <v>590920301019</v>
      </c>
      <c r="C1297">
        <v>80</v>
      </c>
      <c r="D1297" s="13">
        <v>12165619</v>
      </c>
      <c r="F1297" t="s">
        <v>130</v>
      </c>
      <c r="G1297">
        <v>0</v>
      </c>
      <c r="H1297">
        <v>100</v>
      </c>
      <c r="K1297">
        <v>1</v>
      </c>
      <c r="L1297" t="s">
        <v>131</v>
      </c>
      <c r="M1297" s="50">
        <v>44875</v>
      </c>
      <c r="N1297" s="50">
        <v>2958465</v>
      </c>
      <c r="P1297">
        <v>0</v>
      </c>
      <c r="U1297">
        <v>4</v>
      </c>
      <c r="V1297">
        <v>1</v>
      </c>
      <c r="W1297" t="s">
        <v>132</v>
      </c>
      <c r="X1297">
        <v>0</v>
      </c>
    </row>
    <row r="1298" spans="1:24" x14ac:dyDescent="0.25">
      <c r="A1298">
        <v>1</v>
      </c>
      <c r="B1298" s="13">
        <v>590920300013</v>
      </c>
      <c r="C1298">
        <v>10</v>
      </c>
      <c r="D1298" s="13">
        <v>5957163099</v>
      </c>
      <c r="F1298" t="s">
        <v>130</v>
      </c>
      <c r="G1298">
        <v>0</v>
      </c>
      <c r="H1298">
        <v>100</v>
      </c>
      <c r="K1298">
        <v>2</v>
      </c>
      <c r="L1298" t="s">
        <v>131</v>
      </c>
      <c r="M1298" s="50">
        <v>44875</v>
      </c>
      <c r="N1298" s="50">
        <v>2958465</v>
      </c>
      <c r="P1298">
        <v>0</v>
      </c>
      <c r="U1298">
        <v>4</v>
      </c>
      <c r="V1298">
        <v>1</v>
      </c>
      <c r="W1298" t="s">
        <v>132</v>
      </c>
      <c r="X1298">
        <v>0</v>
      </c>
    </row>
    <row r="1299" spans="1:24" x14ac:dyDescent="0.25">
      <c r="A1299">
        <v>1</v>
      </c>
      <c r="B1299" s="13">
        <v>590920300013</v>
      </c>
      <c r="C1299">
        <v>20</v>
      </c>
      <c r="D1299" s="13">
        <v>5957333099</v>
      </c>
      <c r="F1299" t="s">
        <v>130</v>
      </c>
      <c r="G1299">
        <v>0</v>
      </c>
      <c r="H1299">
        <v>100</v>
      </c>
      <c r="K1299">
        <v>1</v>
      </c>
      <c r="L1299" t="s">
        <v>131</v>
      </c>
      <c r="M1299" s="50">
        <v>44875</v>
      </c>
      <c r="N1299" s="50">
        <v>2958465</v>
      </c>
      <c r="P1299">
        <v>0</v>
      </c>
      <c r="U1299">
        <v>4</v>
      </c>
      <c r="V1299">
        <v>1</v>
      </c>
      <c r="W1299" t="s">
        <v>132</v>
      </c>
      <c r="X1299">
        <v>0</v>
      </c>
    </row>
    <row r="1300" spans="1:24" x14ac:dyDescent="0.25">
      <c r="A1300">
        <v>1</v>
      </c>
      <c r="B1300" s="13">
        <v>590920300013</v>
      </c>
      <c r="C1300">
        <v>30</v>
      </c>
      <c r="D1300" s="13">
        <v>5957303099</v>
      </c>
      <c r="F1300" t="s">
        <v>130</v>
      </c>
      <c r="G1300">
        <v>0</v>
      </c>
      <c r="H1300">
        <v>100</v>
      </c>
      <c r="K1300">
        <v>1</v>
      </c>
      <c r="L1300" t="s">
        <v>131</v>
      </c>
      <c r="M1300" s="50">
        <v>44875</v>
      </c>
      <c r="N1300" s="50">
        <v>2958465</v>
      </c>
      <c r="P1300">
        <v>0</v>
      </c>
      <c r="U1300">
        <v>4</v>
      </c>
      <c r="V1300">
        <v>1</v>
      </c>
      <c r="W1300" t="s">
        <v>132</v>
      </c>
      <c r="X1300">
        <v>0</v>
      </c>
    </row>
    <row r="1301" spans="1:24" x14ac:dyDescent="0.25">
      <c r="A1301">
        <v>1</v>
      </c>
      <c r="B1301" s="13">
        <v>590920300013</v>
      </c>
      <c r="C1301">
        <v>40</v>
      </c>
      <c r="D1301" s="13">
        <v>1022219</v>
      </c>
      <c r="F1301" t="s">
        <v>130</v>
      </c>
      <c r="G1301">
        <v>0</v>
      </c>
      <c r="H1301">
        <v>100</v>
      </c>
      <c r="K1301">
        <v>1</v>
      </c>
      <c r="L1301" t="s">
        <v>131</v>
      </c>
      <c r="M1301" s="50">
        <v>44875</v>
      </c>
      <c r="N1301" s="50">
        <v>2958465</v>
      </c>
      <c r="P1301">
        <v>0</v>
      </c>
      <c r="U1301">
        <v>4</v>
      </c>
      <c r="V1301">
        <v>1</v>
      </c>
      <c r="W1301" t="s">
        <v>132</v>
      </c>
      <c r="X1301">
        <v>0</v>
      </c>
    </row>
    <row r="1302" spans="1:24" x14ac:dyDescent="0.25">
      <c r="A1302">
        <v>1</v>
      </c>
      <c r="B1302" s="13">
        <v>590920300013</v>
      </c>
      <c r="C1302">
        <v>50</v>
      </c>
      <c r="D1302" s="13">
        <v>1018034</v>
      </c>
      <c r="F1302" t="s">
        <v>130</v>
      </c>
      <c r="G1302">
        <v>0</v>
      </c>
      <c r="H1302">
        <v>100</v>
      </c>
      <c r="K1302">
        <v>4</v>
      </c>
      <c r="L1302" t="s">
        <v>131</v>
      </c>
      <c r="M1302" s="50">
        <v>44875</v>
      </c>
      <c r="N1302" s="50">
        <v>2958465</v>
      </c>
      <c r="P1302">
        <v>0</v>
      </c>
      <c r="U1302">
        <v>4</v>
      </c>
      <c r="V1302">
        <v>1</v>
      </c>
      <c r="W1302" t="s">
        <v>132</v>
      </c>
      <c r="X1302">
        <v>0</v>
      </c>
    </row>
    <row r="1303" spans="1:24" x14ac:dyDescent="0.25">
      <c r="A1303">
        <v>1</v>
      </c>
      <c r="B1303" s="13">
        <v>590920300013</v>
      </c>
      <c r="C1303">
        <v>60</v>
      </c>
      <c r="D1303" s="13">
        <v>1018359</v>
      </c>
      <c r="F1303" t="s">
        <v>130</v>
      </c>
      <c r="G1303">
        <v>0</v>
      </c>
      <c r="H1303">
        <v>100</v>
      </c>
      <c r="K1303">
        <v>10</v>
      </c>
      <c r="L1303" t="s">
        <v>131</v>
      </c>
      <c r="M1303" s="50">
        <v>44875</v>
      </c>
      <c r="N1303" s="50">
        <v>2958465</v>
      </c>
      <c r="P1303">
        <v>0</v>
      </c>
      <c r="U1303">
        <v>4</v>
      </c>
      <c r="V1303">
        <v>1</v>
      </c>
      <c r="W1303" t="s">
        <v>132</v>
      </c>
      <c r="X1303">
        <v>0</v>
      </c>
    </row>
    <row r="1304" spans="1:24" x14ac:dyDescent="0.25">
      <c r="A1304">
        <v>1</v>
      </c>
      <c r="B1304" s="13">
        <v>590920300013</v>
      </c>
      <c r="C1304">
        <v>70</v>
      </c>
      <c r="D1304" s="13">
        <v>1022213</v>
      </c>
      <c r="F1304" t="s">
        <v>130</v>
      </c>
      <c r="G1304">
        <v>0</v>
      </c>
      <c r="H1304">
        <v>100</v>
      </c>
      <c r="K1304">
        <v>5.5919999999999996</v>
      </c>
      <c r="L1304" t="s">
        <v>131</v>
      </c>
      <c r="M1304" s="50">
        <v>44875</v>
      </c>
      <c r="N1304" s="50">
        <v>2958465</v>
      </c>
      <c r="P1304">
        <v>0</v>
      </c>
      <c r="U1304">
        <v>4</v>
      </c>
      <c r="V1304">
        <v>1</v>
      </c>
      <c r="W1304" t="s">
        <v>132</v>
      </c>
      <c r="X1304">
        <v>0</v>
      </c>
    </row>
    <row r="1305" spans="1:24" x14ac:dyDescent="0.25">
      <c r="A1305">
        <v>1</v>
      </c>
      <c r="B1305" s="13">
        <v>590920300013</v>
      </c>
      <c r="C1305">
        <v>80</v>
      </c>
      <c r="D1305" s="13">
        <v>18102165613</v>
      </c>
      <c r="F1305" t="s">
        <v>130</v>
      </c>
      <c r="G1305">
        <v>0</v>
      </c>
      <c r="H1305">
        <v>100</v>
      </c>
      <c r="K1305">
        <v>1</v>
      </c>
      <c r="L1305" t="s">
        <v>131</v>
      </c>
      <c r="M1305" s="50">
        <v>44875</v>
      </c>
      <c r="N1305" s="50">
        <v>2958465</v>
      </c>
      <c r="P1305">
        <v>0</v>
      </c>
      <c r="U1305">
        <v>4</v>
      </c>
      <c r="V1305">
        <v>1</v>
      </c>
      <c r="W1305" t="s">
        <v>132</v>
      </c>
      <c r="X1305">
        <v>0</v>
      </c>
    </row>
    <row r="1306" spans="1:24" x14ac:dyDescent="0.25">
      <c r="A1306">
        <v>1</v>
      </c>
      <c r="B1306" s="13">
        <v>590920300313</v>
      </c>
      <c r="C1306">
        <v>10</v>
      </c>
      <c r="D1306" s="13">
        <v>5957163003</v>
      </c>
      <c r="F1306" t="s">
        <v>130</v>
      </c>
      <c r="G1306">
        <v>0</v>
      </c>
      <c r="H1306">
        <v>100</v>
      </c>
      <c r="K1306">
        <v>2</v>
      </c>
      <c r="L1306" t="s">
        <v>131</v>
      </c>
      <c r="M1306" s="50">
        <v>44875</v>
      </c>
      <c r="N1306" s="50">
        <v>2958465</v>
      </c>
      <c r="P1306">
        <v>0</v>
      </c>
      <c r="U1306">
        <v>4</v>
      </c>
      <c r="V1306">
        <v>1</v>
      </c>
      <c r="W1306" t="s">
        <v>132</v>
      </c>
      <c r="X1306">
        <v>0</v>
      </c>
    </row>
    <row r="1307" spans="1:24" x14ac:dyDescent="0.25">
      <c r="A1307">
        <v>1</v>
      </c>
      <c r="B1307" s="13">
        <v>590920300313</v>
      </c>
      <c r="C1307">
        <v>20</v>
      </c>
      <c r="D1307" s="13">
        <v>5957333003</v>
      </c>
      <c r="F1307" t="s">
        <v>130</v>
      </c>
      <c r="G1307">
        <v>0</v>
      </c>
      <c r="H1307">
        <v>100</v>
      </c>
      <c r="K1307">
        <v>1</v>
      </c>
      <c r="L1307" t="s">
        <v>131</v>
      </c>
      <c r="M1307" s="50">
        <v>44875</v>
      </c>
      <c r="N1307" s="50">
        <v>2958465</v>
      </c>
      <c r="P1307">
        <v>0</v>
      </c>
      <c r="U1307">
        <v>4</v>
      </c>
      <c r="V1307">
        <v>1</v>
      </c>
      <c r="W1307" t="s">
        <v>132</v>
      </c>
      <c r="X1307">
        <v>0</v>
      </c>
    </row>
    <row r="1308" spans="1:24" x14ac:dyDescent="0.25">
      <c r="A1308">
        <v>1</v>
      </c>
      <c r="B1308" s="13">
        <v>590920300313</v>
      </c>
      <c r="C1308">
        <v>30</v>
      </c>
      <c r="D1308" s="13">
        <v>5957303003</v>
      </c>
      <c r="F1308" t="s">
        <v>130</v>
      </c>
      <c r="G1308">
        <v>0</v>
      </c>
      <c r="H1308">
        <v>100</v>
      </c>
      <c r="K1308">
        <v>1</v>
      </c>
      <c r="L1308" t="s">
        <v>131</v>
      </c>
      <c r="M1308" s="50">
        <v>44875</v>
      </c>
      <c r="N1308" s="50">
        <v>2958465</v>
      </c>
      <c r="P1308">
        <v>0</v>
      </c>
      <c r="U1308">
        <v>4</v>
      </c>
      <c r="V1308">
        <v>1</v>
      </c>
      <c r="W1308" t="s">
        <v>132</v>
      </c>
      <c r="X1308">
        <v>0</v>
      </c>
    </row>
    <row r="1309" spans="1:24" x14ac:dyDescent="0.25">
      <c r="A1309">
        <v>1</v>
      </c>
      <c r="B1309" s="13">
        <v>590920300313</v>
      </c>
      <c r="C1309">
        <v>40</v>
      </c>
      <c r="D1309" s="13">
        <v>5957093003</v>
      </c>
      <c r="F1309" t="s">
        <v>130</v>
      </c>
      <c r="G1309">
        <v>0</v>
      </c>
      <c r="H1309">
        <v>100</v>
      </c>
      <c r="K1309">
        <v>1</v>
      </c>
      <c r="L1309" t="s">
        <v>131</v>
      </c>
      <c r="M1309" s="50">
        <v>44875</v>
      </c>
      <c r="N1309" s="50">
        <v>2958465</v>
      </c>
      <c r="P1309">
        <v>0</v>
      </c>
      <c r="U1309">
        <v>4</v>
      </c>
      <c r="V1309">
        <v>1</v>
      </c>
      <c r="W1309" t="s">
        <v>132</v>
      </c>
      <c r="X1309">
        <v>0</v>
      </c>
    </row>
    <row r="1310" spans="1:24" x14ac:dyDescent="0.25">
      <c r="A1310">
        <v>1</v>
      </c>
      <c r="B1310" s="13">
        <v>590920300313</v>
      </c>
      <c r="C1310">
        <v>50</v>
      </c>
      <c r="D1310" s="13">
        <v>1018034</v>
      </c>
      <c r="F1310" t="s">
        <v>130</v>
      </c>
      <c r="G1310">
        <v>0</v>
      </c>
      <c r="H1310">
        <v>100</v>
      </c>
      <c r="K1310">
        <v>4</v>
      </c>
      <c r="L1310" t="s">
        <v>131</v>
      </c>
      <c r="M1310" s="50">
        <v>44875</v>
      </c>
      <c r="N1310" s="50">
        <v>2958465</v>
      </c>
      <c r="P1310">
        <v>0</v>
      </c>
      <c r="U1310">
        <v>4</v>
      </c>
      <c r="V1310">
        <v>1</v>
      </c>
      <c r="W1310" t="s">
        <v>132</v>
      </c>
      <c r="X1310">
        <v>0</v>
      </c>
    </row>
    <row r="1311" spans="1:24" x14ac:dyDescent="0.25">
      <c r="A1311">
        <v>1</v>
      </c>
      <c r="B1311" s="13">
        <v>590920300313</v>
      </c>
      <c r="C1311">
        <v>60</v>
      </c>
      <c r="D1311" s="13">
        <v>1018359</v>
      </c>
      <c r="F1311" t="s">
        <v>130</v>
      </c>
      <c r="G1311">
        <v>0</v>
      </c>
      <c r="H1311">
        <v>100</v>
      </c>
      <c r="K1311">
        <v>10</v>
      </c>
      <c r="L1311" t="s">
        <v>131</v>
      </c>
      <c r="M1311" s="50">
        <v>44875</v>
      </c>
      <c r="N1311" s="50">
        <v>2958465</v>
      </c>
      <c r="P1311">
        <v>0</v>
      </c>
      <c r="U1311">
        <v>4</v>
      </c>
      <c r="V1311">
        <v>1</v>
      </c>
      <c r="W1311" t="s">
        <v>132</v>
      </c>
      <c r="X1311">
        <v>0</v>
      </c>
    </row>
    <row r="1312" spans="1:24" x14ac:dyDescent="0.25">
      <c r="A1312">
        <v>1</v>
      </c>
      <c r="B1312" s="13">
        <v>590920300313</v>
      </c>
      <c r="C1312">
        <v>70</v>
      </c>
      <c r="D1312" s="13">
        <v>1022213</v>
      </c>
      <c r="F1312" t="s">
        <v>130</v>
      </c>
      <c r="G1312">
        <v>0</v>
      </c>
      <c r="H1312">
        <v>100</v>
      </c>
      <c r="K1312">
        <v>5.5919999999999996</v>
      </c>
      <c r="L1312" t="s">
        <v>131</v>
      </c>
      <c r="M1312" s="50">
        <v>44875</v>
      </c>
      <c r="N1312" s="50">
        <v>2958465</v>
      </c>
      <c r="P1312">
        <v>0</v>
      </c>
      <c r="U1312">
        <v>4</v>
      </c>
      <c r="V1312">
        <v>1</v>
      </c>
      <c r="W1312" t="s">
        <v>132</v>
      </c>
      <c r="X1312">
        <v>0</v>
      </c>
    </row>
    <row r="1313" spans="1:24" x14ac:dyDescent="0.25">
      <c r="A1313">
        <v>1</v>
      </c>
      <c r="B1313" s="13">
        <v>590920300313</v>
      </c>
      <c r="C1313">
        <v>80</v>
      </c>
      <c r="D1313" s="13">
        <v>18102165613</v>
      </c>
      <c r="F1313" t="s">
        <v>130</v>
      </c>
      <c r="G1313">
        <v>0</v>
      </c>
      <c r="H1313">
        <v>100</v>
      </c>
      <c r="K1313">
        <v>1</v>
      </c>
      <c r="L1313" t="s">
        <v>131</v>
      </c>
      <c r="M1313" s="50">
        <v>44875</v>
      </c>
      <c r="N1313" s="50">
        <v>2958465</v>
      </c>
      <c r="P1313">
        <v>0</v>
      </c>
      <c r="U1313">
        <v>4</v>
      </c>
      <c r="V1313">
        <v>1</v>
      </c>
      <c r="W1313" t="s">
        <v>132</v>
      </c>
      <c r="X1313">
        <v>0</v>
      </c>
    </row>
    <row r="1314" spans="1:24" x14ac:dyDescent="0.25">
      <c r="A1314">
        <v>1</v>
      </c>
      <c r="B1314" s="13">
        <v>590920300413</v>
      </c>
      <c r="C1314">
        <v>10</v>
      </c>
      <c r="D1314" s="13">
        <v>5957163004</v>
      </c>
      <c r="F1314" t="s">
        <v>130</v>
      </c>
      <c r="G1314">
        <v>0</v>
      </c>
      <c r="H1314">
        <v>100</v>
      </c>
      <c r="K1314">
        <v>2</v>
      </c>
      <c r="L1314" t="s">
        <v>131</v>
      </c>
      <c r="M1314" s="50">
        <v>44875</v>
      </c>
      <c r="N1314" s="50">
        <v>2958465</v>
      </c>
      <c r="P1314">
        <v>0</v>
      </c>
      <c r="U1314">
        <v>4</v>
      </c>
      <c r="V1314">
        <v>1</v>
      </c>
      <c r="W1314" t="s">
        <v>132</v>
      </c>
      <c r="X1314">
        <v>0</v>
      </c>
    </row>
    <row r="1315" spans="1:24" x14ac:dyDescent="0.25">
      <c r="A1315">
        <v>1</v>
      </c>
      <c r="B1315" s="13">
        <v>590920300413</v>
      </c>
      <c r="C1315">
        <v>20</v>
      </c>
      <c r="D1315" s="13">
        <v>5957333004</v>
      </c>
      <c r="F1315" t="s">
        <v>130</v>
      </c>
      <c r="G1315">
        <v>0</v>
      </c>
      <c r="H1315">
        <v>100</v>
      </c>
      <c r="K1315">
        <v>1</v>
      </c>
      <c r="L1315" t="s">
        <v>131</v>
      </c>
      <c r="M1315" s="50">
        <v>44875</v>
      </c>
      <c r="N1315" s="50">
        <v>2958465</v>
      </c>
      <c r="P1315">
        <v>0</v>
      </c>
      <c r="U1315">
        <v>4</v>
      </c>
      <c r="V1315">
        <v>1</v>
      </c>
      <c r="W1315" t="s">
        <v>132</v>
      </c>
      <c r="X1315">
        <v>0</v>
      </c>
    </row>
    <row r="1316" spans="1:24" x14ac:dyDescent="0.25">
      <c r="A1316">
        <v>1</v>
      </c>
      <c r="B1316" s="13">
        <v>590920300413</v>
      </c>
      <c r="C1316">
        <v>30</v>
      </c>
      <c r="D1316" s="13">
        <v>5957303004</v>
      </c>
      <c r="F1316" t="s">
        <v>130</v>
      </c>
      <c r="G1316">
        <v>0</v>
      </c>
      <c r="H1316">
        <v>100</v>
      </c>
      <c r="K1316">
        <v>1</v>
      </c>
      <c r="L1316" t="s">
        <v>131</v>
      </c>
      <c r="M1316" s="50">
        <v>44875</v>
      </c>
      <c r="N1316" s="50">
        <v>2958465</v>
      </c>
      <c r="P1316">
        <v>0</v>
      </c>
      <c r="U1316">
        <v>4</v>
      </c>
      <c r="V1316">
        <v>1</v>
      </c>
      <c r="W1316" t="s">
        <v>132</v>
      </c>
      <c r="X1316">
        <v>0</v>
      </c>
    </row>
    <row r="1317" spans="1:24" x14ac:dyDescent="0.25">
      <c r="A1317">
        <v>1</v>
      </c>
      <c r="B1317" s="13">
        <v>590920300413</v>
      </c>
      <c r="C1317">
        <v>40</v>
      </c>
      <c r="D1317" s="13">
        <v>5957093004</v>
      </c>
      <c r="F1317" t="s">
        <v>130</v>
      </c>
      <c r="G1317">
        <v>0</v>
      </c>
      <c r="H1317">
        <v>100</v>
      </c>
      <c r="K1317">
        <v>1</v>
      </c>
      <c r="L1317" t="s">
        <v>131</v>
      </c>
      <c r="M1317" s="50">
        <v>44875</v>
      </c>
      <c r="N1317" s="50">
        <v>2958465</v>
      </c>
      <c r="P1317">
        <v>0</v>
      </c>
      <c r="U1317">
        <v>4</v>
      </c>
      <c r="V1317">
        <v>1</v>
      </c>
      <c r="W1317" t="s">
        <v>132</v>
      </c>
      <c r="X1317">
        <v>0</v>
      </c>
    </row>
    <row r="1318" spans="1:24" x14ac:dyDescent="0.25">
      <c r="A1318">
        <v>1</v>
      </c>
      <c r="B1318" s="13">
        <v>590920300413</v>
      </c>
      <c r="C1318">
        <v>50</v>
      </c>
      <c r="D1318" s="13">
        <v>1018034</v>
      </c>
      <c r="F1318" t="s">
        <v>130</v>
      </c>
      <c r="G1318">
        <v>0</v>
      </c>
      <c r="H1318">
        <v>100</v>
      </c>
      <c r="K1318">
        <v>4</v>
      </c>
      <c r="L1318" t="s">
        <v>131</v>
      </c>
      <c r="M1318" s="50">
        <v>44875</v>
      </c>
      <c r="N1318" s="50">
        <v>2958465</v>
      </c>
      <c r="P1318">
        <v>0</v>
      </c>
      <c r="U1318">
        <v>4</v>
      </c>
      <c r="V1318">
        <v>1</v>
      </c>
      <c r="W1318" t="s">
        <v>132</v>
      </c>
      <c r="X1318">
        <v>0</v>
      </c>
    </row>
    <row r="1319" spans="1:24" x14ac:dyDescent="0.25">
      <c r="A1319">
        <v>1</v>
      </c>
      <c r="B1319" s="13">
        <v>590920300413</v>
      </c>
      <c r="C1319">
        <v>60</v>
      </c>
      <c r="D1319" s="13">
        <v>1022356</v>
      </c>
      <c r="F1319" t="s">
        <v>130</v>
      </c>
      <c r="G1319">
        <v>0</v>
      </c>
      <c r="H1319">
        <v>100</v>
      </c>
      <c r="K1319">
        <v>10</v>
      </c>
      <c r="L1319" t="s">
        <v>131</v>
      </c>
      <c r="M1319" s="50">
        <v>44875</v>
      </c>
      <c r="N1319" s="50">
        <v>2958465</v>
      </c>
      <c r="P1319">
        <v>0</v>
      </c>
      <c r="U1319">
        <v>4</v>
      </c>
      <c r="V1319">
        <v>1</v>
      </c>
      <c r="W1319" t="s">
        <v>132</v>
      </c>
      <c r="X1319">
        <v>0</v>
      </c>
    </row>
    <row r="1320" spans="1:24" x14ac:dyDescent="0.25">
      <c r="A1320">
        <v>1</v>
      </c>
      <c r="B1320" s="13">
        <v>590920300413</v>
      </c>
      <c r="C1320">
        <v>70</v>
      </c>
      <c r="D1320" s="13">
        <v>1022213</v>
      </c>
      <c r="F1320" t="s">
        <v>130</v>
      </c>
      <c r="G1320">
        <v>0</v>
      </c>
      <c r="H1320">
        <v>100</v>
      </c>
      <c r="K1320">
        <v>5.5919999999999996</v>
      </c>
      <c r="L1320" t="s">
        <v>131</v>
      </c>
      <c r="M1320" s="50">
        <v>44875</v>
      </c>
      <c r="N1320" s="50">
        <v>2958465</v>
      </c>
      <c r="P1320">
        <v>0</v>
      </c>
      <c r="U1320">
        <v>4</v>
      </c>
      <c r="V1320">
        <v>1</v>
      </c>
      <c r="W1320" t="s">
        <v>132</v>
      </c>
      <c r="X1320">
        <v>0</v>
      </c>
    </row>
    <row r="1321" spans="1:24" x14ac:dyDescent="0.25">
      <c r="A1321">
        <v>1</v>
      </c>
      <c r="B1321" s="13">
        <v>590920300413</v>
      </c>
      <c r="C1321">
        <v>80</v>
      </c>
      <c r="D1321" s="13">
        <v>18102165613</v>
      </c>
      <c r="F1321" t="s">
        <v>130</v>
      </c>
      <c r="G1321">
        <v>0</v>
      </c>
      <c r="H1321">
        <v>100</v>
      </c>
      <c r="K1321">
        <v>1</v>
      </c>
      <c r="L1321" t="s">
        <v>131</v>
      </c>
      <c r="M1321" s="50">
        <v>44875</v>
      </c>
      <c r="N1321" s="50">
        <v>2958465</v>
      </c>
      <c r="P1321">
        <v>0</v>
      </c>
      <c r="U1321">
        <v>4</v>
      </c>
      <c r="V1321">
        <v>1</v>
      </c>
      <c r="W1321" t="s">
        <v>132</v>
      </c>
      <c r="X1321">
        <v>0</v>
      </c>
    </row>
    <row r="1322" spans="1:24" x14ac:dyDescent="0.25">
      <c r="A1322">
        <v>1</v>
      </c>
      <c r="B1322" s="13">
        <v>590920300513</v>
      </c>
      <c r="C1322">
        <v>10</v>
      </c>
      <c r="D1322" s="13">
        <v>5957163005</v>
      </c>
      <c r="F1322" t="s">
        <v>130</v>
      </c>
      <c r="G1322">
        <v>0</v>
      </c>
      <c r="H1322">
        <v>100</v>
      </c>
      <c r="K1322">
        <v>2</v>
      </c>
      <c r="L1322" t="s">
        <v>131</v>
      </c>
      <c r="M1322" s="50">
        <v>44875</v>
      </c>
      <c r="N1322" s="50">
        <v>2958465</v>
      </c>
      <c r="P1322">
        <v>0</v>
      </c>
      <c r="U1322">
        <v>4</v>
      </c>
      <c r="V1322">
        <v>1</v>
      </c>
      <c r="W1322" t="s">
        <v>132</v>
      </c>
      <c r="X1322">
        <v>0</v>
      </c>
    </row>
    <row r="1323" spans="1:24" x14ac:dyDescent="0.25">
      <c r="A1323">
        <v>1</v>
      </c>
      <c r="B1323" s="13">
        <v>590920300513</v>
      </c>
      <c r="C1323">
        <v>20</v>
      </c>
      <c r="D1323" s="13">
        <v>5957333005</v>
      </c>
      <c r="F1323" t="s">
        <v>130</v>
      </c>
      <c r="G1323">
        <v>0</v>
      </c>
      <c r="H1323">
        <v>100</v>
      </c>
      <c r="K1323">
        <v>1</v>
      </c>
      <c r="L1323" t="s">
        <v>131</v>
      </c>
      <c r="M1323" s="50">
        <v>44875</v>
      </c>
      <c r="N1323" s="50">
        <v>2958465</v>
      </c>
      <c r="P1323">
        <v>0</v>
      </c>
      <c r="U1323">
        <v>4</v>
      </c>
      <c r="V1323">
        <v>1</v>
      </c>
      <c r="W1323" t="s">
        <v>132</v>
      </c>
      <c r="X1323">
        <v>0</v>
      </c>
    </row>
    <row r="1324" spans="1:24" x14ac:dyDescent="0.25">
      <c r="A1324">
        <v>1</v>
      </c>
      <c r="B1324" s="13">
        <v>590920300513</v>
      </c>
      <c r="C1324">
        <v>30</v>
      </c>
      <c r="D1324" s="13">
        <v>5957303005</v>
      </c>
      <c r="F1324" t="s">
        <v>130</v>
      </c>
      <c r="G1324">
        <v>0</v>
      </c>
      <c r="H1324">
        <v>100</v>
      </c>
      <c r="K1324">
        <v>1</v>
      </c>
      <c r="L1324" t="s">
        <v>131</v>
      </c>
      <c r="M1324" s="50">
        <v>44875</v>
      </c>
      <c r="N1324" s="50">
        <v>2958465</v>
      </c>
      <c r="P1324">
        <v>0</v>
      </c>
      <c r="U1324">
        <v>4</v>
      </c>
      <c r="V1324">
        <v>1</v>
      </c>
      <c r="W1324" t="s">
        <v>132</v>
      </c>
      <c r="X1324">
        <v>0</v>
      </c>
    </row>
    <row r="1325" spans="1:24" x14ac:dyDescent="0.25">
      <c r="A1325">
        <v>1</v>
      </c>
      <c r="B1325" s="13">
        <v>590920300513</v>
      </c>
      <c r="C1325">
        <v>40</v>
      </c>
      <c r="D1325" s="13">
        <v>5957093005</v>
      </c>
      <c r="F1325" t="s">
        <v>130</v>
      </c>
      <c r="G1325">
        <v>0</v>
      </c>
      <c r="H1325">
        <v>100</v>
      </c>
      <c r="K1325">
        <v>1</v>
      </c>
      <c r="L1325" t="s">
        <v>131</v>
      </c>
      <c r="M1325" s="50">
        <v>44875</v>
      </c>
      <c r="N1325" s="50">
        <v>2958465</v>
      </c>
      <c r="P1325">
        <v>0</v>
      </c>
      <c r="U1325">
        <v>4</v>
      </c>
      <c r="V1325">
        <v>1</v>
      </c>
      <c r="W1325" t="s">
        <v>132</v>
      </c>
      <c r="X1325">
        <v>0</v>
      </c>
    </row>
    <row r="1326" spans="1:24" x14ac:dyDescent="0.25">
      <c r="A1326">
        <v>1</v>
      </c>
      <c r="B1326" s="13">
        <v>590920300513</v>
      </c>
      <c r="C1326">
        <v>50</v>
      </c>
      <c r="D1326" s="13">
        <v>1018034</v>
      </c>
      <c r="F1326" t="s">
        <v>130</v>
      </c>
      <c r="G1326">
        <v>0</v>
      </c>
      <c r="H1326">
        <v>100</v>
      </c>
      <c r="K1326">
        <v>4</v>
      </c>
      <c r="L1326" t="s">
        <v>131</v>
      </c>
      <c r="M1326" s="50">
        <v>44875</v>
      </c>
      <c r="N1326" s="50">
        <v>2958465</v>
      </c>
      <c r="P1326">
        <v>0</v>
      </c>
      <c r="U1326">
        <v>4</v>
      </c>
      <c r="V1326">
        <v>1</v>
      </c>
      <c r="W1326" t="s">
        <v>132</v>
      </c>
      <c r="X1326">
        <v>0</v>
      </c>
    </row>
    <row r="1327" spans="1:24" x14ac:dyDescent="0.25">
      <c r="A1327">
        <v>1</v>
      </c>
      <c r="B1327" s="13">
        <v>590920300513</v>
      </c>
      <c r="C1327">
        <v>60</v>
      </c>
      <c r="D1327" s="13">
        <v>1022356</v>
      </c>
      <c r="F1327" t="s">
        <v>130</v>
      </c>
      <c r="G1327">
        <v>0</v>
      </c>
      <c r="H1327">
        <v>100</v>
      </c>
      <c r="K1327">
        <v>10</v>
      </c>
      <c r="L1327" t="s">
        <v>131</v>
      </c>
      <c r="M1327" s="50">
        <v>44875</v>
      </c>
      <c r="N1327" s="50">
        <v>2958465</v>
      </c>
      <c r="P1327">
        <v>0</v>
      </c>
      <c r="U1327">
        <v>4</v>
      </c>
      <c r="V1327">
        <v>1</v>
      </c>
      <c r="W1327" t="s">
        <v>132</v>
      </c>
      <c r="X1327">
        <v>0</v>
      </c>
    </row>
    <row r="1328" spans="1:24" x14ac:dyDescent="0.25">
      <c r="A1328">
        <v>1</v>
      </c>
      <c r="B1328" s="13">
        <v>590920300513</v>
      </c>
      <c r="C1328">
        <v>70</v>
      </c>
      <c r="D1328" s="13">
        <v>1022213</v>
      </c>
      <c r="F1328" t="s">
        <v>130</v>
      </c>
      <c r="G1328">
        <v>0</v>
      </c>
      <c r="H1328">
        <v>100</v>
      </c>
      <c r="K1328">
        <v>5.5919999999999996</v>
      </c>
      <c r="L1328" t="s">
        <v>131</v>
      </c>
      <c r="M1328" s="50">
        <v>44875</v>
      </c>
      <c r="N1328" s="50">
        <v>2958465</v>
      </c>
      <c r="P1328">
        <v>0</v>
      </c>
      <c r="U1328">
        <v>4</v>
      </c>
      <c r="V1328">
        <v>1</v>
      </c>
      <c r="W1328" t="s">
        <v>132</v>
      </c>
      <c r="X1328">
        <v>0</v>
      </c>
    </row>
    <row r="1329" spans="1:24" x14ac:dyDescent="0.25">
      <c r="A1329">
        <v>1</v>
      </c>
      <c r="B1329" s="13">
        <v>590920300513</v>
      </c>
      <c r="C1329">
        <v>80</v>
      </c>
      <c r="D1329" s="13">
        <v>18102165613</v>
      </c>
      <c r="F1329" t="s">
        <v>130</v>
      </c>
      <c r="G1329">
        <v>0</v>
      </c>
      <c r="H1329">
        <v>100</v>
      </c>
      <c r="K1329">
        <v>1</v>
      </c>
      <c r="L1329" t="s">
        <v>131</v>
      </c>
      <c r="M1329" s="50">
        <v>44875</v>
      </c>
      <c r="N1329" s="50">
        <v>2958465</v>
      </c>
      <c r="P1329">
        <v>0</v>
      </c>
      <c r="U1329">
        <v>4</v>
      </c>
      <c r="V1329">
        <v>1</v>
      </c>
      <c r="W1329" t="s">
        <v>132</v>
      </c>
      <c r="X1329">
        <v>0</v>
      </c>
    </row>
    <row r="1330" spans="1:24" x14ac:dyDescent="0.25">
      <c r="A1330">
        <v>1</v>
      </c>
      <c r="B1330" s="13">
        <v>590920300813</v>
      </c>
      <c r="C1330">
        <v>10</v>
      </c>
      <c r="D1330" s="13">
        <v>5957163008</v>
      </c>
      <c r="F1330" t="s">
        <v>130</v>
      </c>
      <c r="G1330">
        <v>0</v>
      </c>
      <c r="H1330">
        <v>100</v>
      </c>
      <c r="K1330">
        <v>2</v>
      </c>
      <c r="L1330" t="s">
        <v>131</v>
      </c>
      <c r="M1330" s="50">
        <v>44875</v>
      </c>
      <c r="N1330" s="50">
        <v>2958465</v>
      </c>
      <c r="P1330">
        <v>0</v>
      </c>
      <c r="U1330">
        <v>4</v>
      </c>
      <c r="V1330">
        <v>1</v>
      </c>
      <c r="W1330" t="s">
        <v>132</v>
      </c>
      <c r="X1330">
        <v>0</v>
      </c>
    </row>
    <row r="1331" spans="1:24" x14ac:dyDescent="0.25">
      <c r="A1331">
        <v>1</v>
      </c>
      <c r="B1331" s="13">
        <v>590920300813</v>
      </c>
      <c r="C1331">
        <v>20</v>
      </c>
      <c r="D1331" s="13">
        <v>5957333008</v>
      </c>
      <c r="F1331" t="s">
        <v>130</v>
      </c>
      <c r="G1331">
        <v>0</v>
      </c>
      <c r="H1331">
        <v>100</v>
      </c>
      <c r="K1331">
        <v>1</v>
      </c>
      <c r="L1331" t="s">
        <v>131</v>
      </c>
      <c r="M1331" s="50">
        <v>44875</v>
      </c>
      <c r="N1331" s="50">
        <v>2958465</v>
      </c>
      <c r="P1331">
        <v>0</v>
      </c>
      <c r="U1331">
        <v>4</v>
      </c>
      <c r="V1331">
        <v>1</v>
      </c>
      <c r="W1331" t="s">
        <v>132</v>
      </c>
      <c r="X1331">
        <v>0</v>
      </c>
    </row>
    <row r="1332" spans="1:24" x14ac:dyDescent="0.25">
      <c r="A1332">
        <v>1</v>
      </c>
      <c r="B1332" s="13">
        <v>590920300813</v>
      </c>
      <c r="C1332">
        <v>30</v>
      </c>
      <c r="D1332" s="13">
        <v>5957303008</v>
      </c>
      <c r="F1332" t="s">
        <v>130</v>
      </c>
      <c r="G1332">
        <v>0</v>
      </c>
      <c r="H1332">
        <v>100</v>
      </c>
      <c r="K1332">
        <v>1</v>
      </c>
      <c r="L1332" t="s">
        <v>131</v>
      </c>
      <c r="M1332" s="50">
        <v>44875</v>
      </c>
      <c r="N1332" s="50">
        <v>2958465</v>
      </c>
      <c r="P1332">
        <v>0</v>
      </c>
      <c r="U1332">
        <v>4</v>
      </c>
      <c r="V1332">
        <v>1</v>
      </c>
      <c r="W1332" t="s">
        <v>132</v>
      </c>
      <c r="X1332">
        <v>0</v>
      </c>
    </row>
    <row r="1333" spans="1:24" x14ac:dyDescent="0.25">
      <c r="A1333">
        <v>1</v>
      </c>
      <c r="B1333" s="13">
        <v>590920300813</v>
      </c>
      <c r="C1333">
        <v>40</v>
      </c>
      <c r="D1333" s="13">
        <v>5957093008</v>
      </c>
      <c r="F1333" t="s">
        <v>130</v>
      </c>
      <c r="G1333">
        <v>0</v>
      </c>
      <c r="H1333">
        <v>100</v>
      </c>
      <c r="K1333">
        <v>1</v>
      </c>
      <c r="L1333" t="s">
        <v>131</v>
      </c>
      <c r="M1333" s="50">
        <v>44875</v>
      </c>
      <c r="N1333" s="50">
        <v>2958465</v>
      </c>
      <c r="P1333">
        <v>0</v>
      </c>
      <c r="U1333">
        <v>4</v>
      </c>
      <c r="V1333">
        <v>1</v>
      </c>
      <c r="W1333" t="s">
        <v>132</v>
      </c>
      <c r="X1333">
        <v>0</v>
      </c>
    </row>
    <row r="1334" spans="1:24" x14ac:dyDescent="0.25">
      <c r="A1334">
        <v>1</v>
      </c>
      <c r="B1334" s="13">
        <v>590920300813</v>
      </c>
      <c r="C1334">
        <v>50</v>
      </c>
      <c r="D1334" s="13">
        <v>1018034</v>
      </c>
      <c r="F1334" t="s">
        <v>130</v>
      </c>
      <c r="G1334">
        <v>0</v>
      </c>
      <c r="H1334">
        <v>100</v>
      </c>
      <c r="K1334">
        <v>4</v>
      </c>
      <c r="L1334" t="s">
        <v>131</v>
      </c>
      <c r="M1334" s="50">
        <v>44875</v>
      </c>
      <c r="N1334" s="50">
        <v>2958465</v>
      </c>
      <c r="P1334">
        <v>0</v>
      </c>
      <c r="U1334">
        <v>4</v>
      </c>
      <c r="V1334">
        <v>1</v>
      </c>
      <c r="W1334" t="s">
        <v>132</v>
      </c>
      <c r="X1334">
        <v>0</v>
      </c>
    </row>
    <row r="1335" spans="1:24" x14ac:dyDescent="0.25">
      <c r="A1335">
        <v>1</v>
      </c>
      <c r="B1335" s="13">
        <v>590920300813</v>
      </c>
      <c r="C1335">
        <v>60</v>
      </c>
      <c r="D1335" s="13">
        <v>1022356</v>
      </c>
      <c r="F1335" t="s">
        <v>130</v>
      </c>
      <c r="G1335">
        <v>0</v>
      </c>
      <c r="H1335">
        <v>100</v>
      </c>
      <c r="K1335">
        <v>10</v>
      </c>
      <c r="L1335" t="s">
        <v>131</v>
      </c>
      <c r="M1335" s="50">
        <v>44875</v>
      </c>
      <c r="N1335" s="50">
        <v>2958465</v>
      </c>
      <c r="P1335">
        <v>0</v>
      </c>
      <c r="U1335">
        <v>4</v>
      </c>
      <c r="V1335">
        <v>1</v>
      </c>
      <c r="W1335" t="s">
        <v>132</v>
      </c>
      <c r="X1335">
        <v>0</v>
      </c>
    </row>
    <row r="1336" spans="1:24" x14ac:dyDescent="0.25">
      <c r="A1336">
        <v>1</v>
      </c>
      <c r="B1336" s="13">
        <v>590920300813</v>
      </c>
      <c r="C1336">
        <v>70</v>
      </c>
      <c r="D1336" s="13">
        <v>1022213</v>
      </c>
      <c r="F1336" t="s">
        <v>130</v>
      </c>
      <c r="G1336">
        <v>0</v>
      </c>
      <c r="H1336">
        <v>100</v>
      </c>
      <c r="K1336">
        <v>5.5919999999999996</v>
      </c>
      <c r="L1336" t="s">
        <v>131</v>
      </c>
      <c r="M1336" s="50">
        <v>44875</v>
      </c>
      <c r="N1336" s="50">
        <v>2958465</v>
      </c>
      <c r="P1336">
        <v>0</v>
      </c>
      <c r="U1336">
        <v>4</v>
      </c>
      <c r="V1336">
        <v>1</v>
      </c>
      <c r="W1336" t="s">
        <v>132</v>
      </c>
      <c r="X1336">
        <v>0</v>
      </c>
    </row>
    <row r="1337" spans="1:24" x14ac:dyDescent="0.25">
      <c r="A1337">
        <v>1</v>
      </c>
      <c r="B1337" s="13">
        <v>590920300813</v>
      </c>
      <c r="C1337">
        <v>80</v>
      </c>
      <c r="D1337" s="13">
        <v>18102165613</v>
      </c>
      <c r="F1337" t="s">
        <v>130</v>
      </c>
      <c r="G1337">
        <v>0</v>
      </c>
      <c r="H1337">
        <v>100</v>
      </c>
      <c r="K1337">
        <v>1</v>
      </c>
      <c r="L1337" t="s">
        <v>131</v>
      </c>
      <c r="M1337" s="50">
        <v>44875</v>
      </c>
      <c r="N1337" s="50">
        <v>2958465</v>
      </c>
      <c r="P1337">
        <v>0</v>
      </c>
      <c r="U1337">
        <v>4</v>
      </c>
      <c r="V1337">
        <v>1</v>
      </c>
      <c r="W1337" t="s">
        <v>132</v>
      </c>
      <c r="X1337">
        <v>0</v>
      </c>
    </row>
    <row r="1338" spans="1:24" x14ac:dyDescent="0.25">
      <c r="A1338">
        <v>1</v>
      </c>
      <c r="B1338" s="13">
        <v>590920300913</v>
      </c>
      <c r="C1338">
        <v>10</v>
      </c>
      <c r="D1338" s="13">
        <v>5957163009</v>
      </c>
      <c r="F1338" t="s">
        <v>130</v>
      </c>
      <c r="G1338">
        <v>0</v>
      </c>
      <c r="H1338">
        <v>100</v>
      </c>
      <c r="K1338">
        <v>2</v>
      </c>
      <c r="L1338" t="s">
        <v>131</v>
      </c>
      <c r="M1338" s="50">
        <v>44875</v>
      </c>
      <c r="N1338" s="50">
        <v>2958465</v>
      </c>
      <c r="P1338">
        <v>0</v>
      </c>
      <c r="U1338">
        <v>4</v>
      </c>
      <c r="V1338">
        <v>1</v>
      </c>
      <c r="W1338" t="s">
        <v>132</v>
      </c>
      <c r="X1338">
        <v>0</v>
      </c>
    </row>
    <row r="1339" spans="1:24" x14ac:dyDescent="0.25">
      <c r="A1339">
        <v>1</v>
      </c>
      <c r="B1339" s="13">
        <v>590920300913</v>
      </c>
      <c r="C1339">
        <v>20</v>
      </c>
      <c r="D1339" s="13">
        <v>5957333009</v>
      </c>
      <c r="F1339" t="s">
        <v>130</v>
      </c>
      <c r="G1339">
        <v>0</v>
      </c>
      <c r="H1339">
        <v>100</v>
      </c>
      <c r="K1339">
        <v>1</v>
      </c>
      <c r="L1339" t="s">
        <v>131</v>
      </c>
      <c r="M1339" s="50">
        <v>44875</v>
      </c>
      <c r="N1339" s="50">
        <v>2958465</v>
      </c>
      <c r="P1339">
        <v>0</v>
      </c>
      <c r="U1339">
        <v>4</v>
      </c>
      <c r="V1339">
        <v>1</v>
      </c>
      <c r="W1339" t="s">
        <v>132</v>
      </c>
      <c r="X1339">
        <v>0</v>
      </c>
    </row>
    <row r="1340" spans="1:24" x14ac:dyDescent="0.25">
      <c r="A1340">
        <v>1</v>
      </c>
      <c r="B1340" s="13">
        <v>590920300913</v>
      </c>
      <c r="C1340">
        <v>30</v>
      </c>
      <c r="D1340" s="13">
        <v>5957303009</v>
      </c>
      <c r="F1340" t="s">
        <v>130</v>
      </c>
      <c r="G1340">
        <v>0</v>
      </c>
      <c r="H1340">
        <v>100</v>
      </c>
      <c r="K1340">
        <v>1</v>
      </c>
      <c r="L1340" t="s">
        <v>131</v>
      </c>
      <c r="M1340" s="50">
        <v>44875</v>
      </c>
      <c r="N1340" s="50">
        <v>2958465</v>
      </c>
      <c r="P1340">
        <v>0</v>
      </c>
      <c r="U1340">
        <v>4</v>
      </c>
      <c r="V1340">
        <v>1</v>
      </c>
      <c r="W1340" t="s">
        <v>132</v>
      </c>
      <c r="X1340">
        <v>0</v>
      </c>
    </row>
    <row r="1341" spans="1:24" x14ac:dyDescent="0.25">
      <c r="A1341">
        <v>1</v>
      </c>
      <c r="B1341" s="13">
        <v>590920300913</v>
      </c>
      <c r="C1341">
        <v>40</v>
      </c>
      <c r="D1341" s="13">
        <v>5957093009</v>
      </c>
      <c r="F1341" t="s">
        <v>130</v>
      </c>
      <c r="G1341">
        <v>0</v>
      </c>
      <c r="H1341">
        <v>100</v>
      </c>
      <c r="K1341">
        <v>1</v>
      </c>
      <c r="L1341" t="s">
        <v>131</v>
      </c>
      <c r="M1341" s="50">
        <v>44875</v>
      </c>
      <c r="N1341" s="50">
        <v>2958465</v>
      </c>
      <c r="P1341">
        <v>0</v>
      </c>
      <c r="U1341">
        <v>4</v>
      </c>
      <c r="V1341">
        <v>1</v>
      </c>
      <c r="W1341" t="s">
        <v>132</v>
      </c>
      <c r="X1341">
        <v>0</v>
      </c>
    </row>
    <row r="1342" spans="1:24" x14ac:dyDescent="0.25">
      <c r="A1342">
        <v>1</v>
      </c>
      <c r="B1342" s="13">
        <v>590920300913</v>
      </c>
      <c r="C1342">
        <v>50</v>
      </c>
      <c r="D1342" s="13">
        <v>1018034</v>
      </c>
      <c r="F1342" t="s">
        <v>130</v>
      </c>
      <c r="G1342">
        <v>0</v>
      </c>
      <c r="H1342">
        <v>100</v>
      </c>
      <c r="K1342">
        <v>4</v>
      </c>
      <c r="L1342" t="s">
        <v>131</v>
      </c>
      <c r="M1342" s="50">
        <v>44875</v>
      </c>
      <c r="N1342" s="50">
        <v>2958465</v>
      </c>
      <c r="P1342">
        <v>0</v>
      </c>
      <c r="U1342">
        <v>4</v>
      </c>
      <c r="V1342">
        <v>1</v>
      </c>
      <c r="W1342" t="s">
        <v>132</v>
      </c>
      <c r="X1342">
        <v>0</v>
      </c>
    </row>
    <row r="1343" spans="1:24" x14ac:dyDescent="0.25">
      <c r="A1343">
        <v>1</v>
      </c>
      <c r="B1343" s="13">
        <v>590920300913</v>
      </c>
      <c r="C1343">
        <v>60</v>
      </c>
      <c r="D1343" s="13">
        <v>1018359</v>
      </c>
      <c r="F1343" t="s">
        <v>130</v>
      </c>
      <c r="G1343">
        <v>0</v>
      </c>
      <c r="H1343">
        <v>100</v>
      </c>
      <c r="K1343">
        <v>10</v>
      </c>
      <c r="L1343" t="s">
        <v>131</v>
      </c>
      <c r="M1343" s="50">
        <v>44875</v>
      </c>
      <c r="N1343" s="50">
        <v>2958465</v>
      </c>
      <c r="P1343">
        <v>0</v>
      </c>
      <c r="U1343">
        <v>4</v>
      </c>
      <c r="V1343">
        <v>1</v>
      </c>
      <c r="W1343" t="s">
        <v>132</v>
      </c>
      <c r="X1343">
        <v>0</v>
      </c>
    </row>
    <row r="1344" spans="1:24" x14ac:dyDescent="0.25">
      <c r="A1344">
        <v>1</v>
      </c>
      <c r="B1344" s="13">
        <v>590920300913</v>
      </c>
      <c r="C1344">
        <v>70</v>
      </c>
      <c r="D1344" s="13">
        <v>1022213</v>
      </c>
      <c r="F1344" t="s">
        <v>130</v>
      </c>
      <c r="G1344">
        <v>0</v>
      </c>
      <c r="H1344">
        <v>100</v>
      </c>
      <c r="K1344">
        <v>5.5919999999999996</v>
      </c>
      <c r="L1344" t="s">
        <v>131</v>
      </c>
      <c r="M1344" s="50">
        <v>44875</v>
      </c>
      <c r="N1344" s="50">
        <v>2958465</v>
      </c>
      <c r="P1344">
        <v>0</v>
      </c>
      <c r="U1344">
        <v>4</v>
      </c>
      <c r="V1344">
        <v>1</v>
      </c>
      <c r="W1344" t="s">
        <v>132</v>
      </c>
      <c r="X1344">
        <v>0</v>
      </c>
    </row>
    <row r="1345" spans="1:24" x14ac:dyDescent="0.25">
      <c r="A1345">
        <v>1</v>
      </c>
      <c r="B1345" s="13">
        <v>590920300913</v>
      </c>
      <c r="C1345">
        <v>80</v>
      </c>
      <c r="D1345" s="13">
        <v>18102165613</v>
      </c>
      <c r="F1345" t="s">
        <v>130</v>
      </c>
      <c r="G1345">
        <v>0</v>
      </c>
      <c r="H1345">
        <v>100</v>
      </c>
      <c r="K1345">
        <v>1</v>
      </c>
      <c r="L1345" t="s">
        <v>131</v>
      </c>
      <c r="M1345" s="50">
        <v>44875</v>
      </c>
      <c r="N1345" s="50">
        <v>2958465</v>
      </c>
      <c r="P1345">
        <v>0</v>
      </c>
      <c r="U1345">
        <v>4</v>
      </c>
      <c r="V1345">
        <v>1</v>
      </c>
      <c r="W1345" t="s">
        <v>132</v>
      </c>
      <c r="X1345">
        <v>0</v>
      </c>
    </row>
    <row r="1346" spans="1:24" x14ac:dyDescent="0.25">
      <c r="A1346">
        <v>1</v>
      </c>
      <c r="B1346" s="13">
        <v>590920300015</v>
      </c>
      <c r="C1346">
        <v>10</v>
      </c>
      <c r="D1346" s="13">
        <v>5957163099</v>
      </c>
      <c r="F1346" t="s">
        <v>130</v>
      </c>
      <c r="G1346">
        <v>0</v>
      </c>
      <c r="H1346">
        <v>100</v>
      </c>
      <c r="K1346">
        <v>2</v>
      </c>
      <c r="L1346" t="s">
        <v>131</v>
      </c>
      <c r="M1346" s="50">
        <v>44875</v>
      </c>
      <c r="N1346" s="50">
        <v>2958465</v>
      </c>
      <c r="P1346">
        <v>0</v>
      </c>
      <c r="U1346">
        <v>4</v>
      </c>
      <c r="V1346">
        <v>1</v>
      </c>
      <c r="W1346" t="s">
        <v>132</v>
      </c>
      <c r="X1346">
        <v>0</v>
      </c>
    </row>
    <row r="1347" spans="1:24" x14ac:dyDescent="0.25">
      <c r="A1347">
        <v>1</v>
      </c>
      <c r="B1347" s="13">
        <v>590920300015</v>
      </c>
      <c r="C1347">
        <v>20</v>
      </c>
      <c r="D1347" s="13">
        <v>5957333099</v>
      </c>
      <c r="F1347" t="s">
        <v>130</v>
      </c>
      <c r="G1347">
        <v>0</v>
      </c>
      <c r="H1347">
        <v>100</v>
      </c>
      <c r="K1347">
        <v>1</v>
      </c>
      <c r="L1347" t="s">
        <v>131</v>
      </c>
      <c r="M1347" s="50">
        <v>44875</v>
      </c>
      <c r="N1347" s="50">
        <v>2958465</v>
      </c>
      <c r="P1347">
        <v>0</v>
      </c>
      <c r="U1347">
        <v>4</v>
      </c>
      <c r="V1347">
        <v>1</v>
      </c>
      <c r="W1347" t="s">
        <v>132</v>
      </c>
      <c r="X1347">
        <v>0</v>
      </c>
    </row>
    <row r="1348" spans="1:24" x14ac:dyDescent="0.25">
      <c r="A1348">
        <v>1</v>
      </c>
      <c r="B1348" s="13">
        <v>590920300015</v>
      </c>
      <c r="C1348">
        <v>30</v>
      </c>
      <c r="D1348" s="13">
        <v>5957303099</v>
      </c>
      <c r="F1348" t="s">
        <v>130</v>
      </c>
      <c r="G1348">
        <v>0</v>
      </c>
      <c r="H1348">
        <v>100</v>
      </c>
      <c r="K1348">
        <v>1</v>
      </c>
      <c r="L1348" t="s">
        <v>131</v>
      </c>
      <c r="M1348" s="50">
        <v>44875</v>
      </c>
      <c r="N1348" s="50">
        <v>2958465</v>
      </c>
      <c r="P1348">
        <v>0</v>
      </c>
      <c r="U1348">
        <v>4</v>
      </c>
      <c r="V1348">
        <v>1</v>
      </c>
      <c r="W1348" t="s">
        <v>132</v>
      </c>
      <c r="X1348">
        <v>0</v>
      </c>
    </row>
    <row r="1349" spans="1:24" x14ac:dyDescent="0.25">
      <c r="A1349">
        <v>1</v>
      </c>
      <c r="B1349" s="13">
        <v>590920300015</v>
      </c>
      <c r="C1349">
        <v>40</v>
      </c>
      <c r="D1349" s="13">
        <v>1022219</v>
      </c>
      <c r="F1349" t="s">
        <v>130</v>
      </c>
      <c r="G1349">
        <v>0</v>
      </c>
      <c r="H1349">
        <v>100</v>
      </c>
      <c r="K1349">
        <v>1</v>
      </c>
      <c r="L1349" t="s">
        <v>131</v>
      </c>
      <c r="M1349" s="50">
        <v>44875</v>
      </c>
      <c r="N1349" s="50">
        <v>2958465</v>
      </c>
      <c r="P1349">
        <v>0</v>
      </c>
      <c r="U1349">
        <v>4</v>
      </c>
      <c r="V1349">
        <v>1</v>
      </c>
      <c r="W1349" t="s">
        <v>132</v>
      </c>
      <c r="X1349">
        <v>0</v>
      </c>
    </row>
    <row r="1350" spans="1:24" x14ac:dyDescent="0.25">
      <c r="A1350">
        <v>1</v>
      </c>
      <c r="B1350" s="13">
        <v>590920300015</v>
      </c>
      <c r="C1350">
        <v>50</v>
      </c>
      <c r="D1350" s="13">
        <v>1018034</v>
      </c>
      <c r="F1350" t="s">
        <v>130</v>
      </c>
      <c r="G1350">
        <v>0</v>
      </c>
      <c r="H1350">
        <v>100</v>
      </c>
      <c r="K1350">
        <v>4</v>
      </c>
      <c r="L1350" t="s">
        <v>131</v>
      </c>
      <c r="M1350" s="50">
        <v>44875</v>
      </c>
      <c r="N1350" s="50">
        <v>2958465</v>
      </c>
      <c r="P1350">
        <v>0</v>
      </c>
      <c r="U1350">
        <v>4</v>
      </c>
      <c r="V1350">
        <v>1</v>
      </c>
      <c r="W1350" t="s">
        <v>132</v>
      </c>
      <c r="X1350">
        <v>0</v>
      </c>
    </row>
    <row r="1351" spans="1:24" x14ac:dyDescent="0.25">
      <c r="A1351">
        <v>1</v>
      </c>
      <c r="B1351" s="13">
        <v>590920300015</v>
      </c>
      <c r="C1351">
        <v>60</v>
      </c>
      <c r="D1351" s="13">
        <v>1018359</v>
      </c>
      <c r="F1351" t="s">
        <v>130</v>
      </c>
      <c r="G1351">
        <v>0</v>
      </c>
      <c r="H1351">
        <v>100</v>
      </c>
      <c r="K1351">
        <v>10</v>
      </c>
      <c r="L1351" t="s">
        <v>131</v>
      </c>
      <c r="M1351" s="50">
        <v>44875</v>
      </c>
      <c r="N1351" s="50">
        <v>2958465</v>
      </c>
      <c r="P1351">
        <v>0</v>
      </c>
      <c r="U1351">
        <v>4</v>
      </c>
      <c r="V1351">
        <v>1</v>
      </c>
      <c r="W1351" t="s">
        <v>132</v>
      </c>
      <c r="X1351">
        <v>0</v>
      </c>
    </row>
    <row r="1352" spans="1:24" x14ac:dyDescent="0.25">
      <c r="A1352">
        <v>1</v>
      </c>
      <c r="B1352" s="13">
        <v>590920300015</v>
      </c>
      <c r="C1352">
        <v>70</v>
      </c>
      <c r="D1352" s="13">
        <v>1022213</v>
      </c>
      <c r="F1352" t="s">
        <v>130</v>
      </c>
      <c r="G1352">
        <v>0</v>
      </c>
      <c r="H1352">
        <v>100</v>
      </c>
      <c r="K1352">
        <v>5.5919999999999996</v>
      </c>
      <c r="L1352" t="s">
        <v>131</v>
      </c>
      <c r="M1352" s="50">
        <v>44875</v>
      </c>
      <c r="N1352" s="50">
        <v>2958465</v>
      </c>
      <c r="P1352">
        <v>0</v>
      </c>
      <c r="U1352">
        <v>4</v>
      </c>
      <c r="V1352">
        <v>1</v>
      </c>
      <c r="W1352" t="s">
        <v>132</v>
      </c>
      <c r="X1352">
        <v>0</v>
      </c>
    </row>
    <row r="1353" spans="1:24" x14ac:dyDescent="0.25">
      <c r="A1353">
        <v>1</v>
      </c>
      <c r="B1353" s="13">
        <v>590920300015</v>
      </c>
      <c r="C1353">
        <v>80</v>
      </c>
      <c r="D1353" s="13">
        <v>18102165615</v>
      </c>
      <c r="F1353" t="s">
        <v>130</v>
      </c>
      <c r="G1353">
        <v>0</v>
      </c>
      <c r="H1353">
        <v>100</v>
      </c>
      <c r="K1353">
        <v>1</v>
      </c>
      <c r="L1353" t="s">
        <v>131</v>
      </c>
      <c r="M1353" s="50">
        <v>44875</v>
      </c>
      <c r="N1353" s="50">
        <v>2958465</v>
      </c>
      <c r="P1353">
        <v>0</v>
      </c>
      <c r="U1353">
        <v>4</v>
      </c>
      <c r="V1353">
        <v>1</v>
      </c>
      <c r="W1353" t="s">
        <v>132</v>
      </c>
      <c r="X1353">
        <v>0</v>
      </c>
    </row>
    <row r="1354" spans="1:24" x14ac:dyDescent="0.25">
      <c r="A1354">
        <v>1</v>
      </c>
      <c r="B1354" s="13">
        <v>590920300315</v>
      </c>
      <c r="C1354">
        <v>10</v>
      </c>
      <c r="D1354" s="13">
        <v>5957163003</v>
      </c>
      <c r="F1354" t="s">
        <v>130</v>
      </c>
      <c r="G1354">
        <v>0</v>
      </c>
      <c r="H1354">
        <v>100</v>
      </c>
      <c r="K1354">
        <v>2</v>
      </c>
      <c r="L1354" t="s">
        <v>131</v>
      </c>
      <c r="M1354" s="50">
        <v>44875</v>
      </c>
      <c r="N1354" s="50">
        <v>2958465</v>
      </c>
      <c r="P1354">
        <v>0</v>
      </c>
      <c r="U1354">
        <v>4</v>
      </c>
      <c r="V1354">
        <v>1</v>
      </c>
      <c r="W1354" t="s">
        <v>132</v>
      </c>
      <c r="X1354">
        <v>0</v>
      </c>
    </row>
    <row r="1355" spans="1:24" x14ac:dyDescent="0.25">
      <c r="A1355">
        <v>1</v>
      </c>
      <c r="B1355" s="13">
        <v>590920300315</v>
      </c>
      <c r="C1355">
        <v>20</v>
      </c>
      <c r="D1355" s="13">
        <v>5957333003</v>
      </c>
      <c r="F1355" t="s">
        <v>130</v>
      </c>
      <c r="G1355">
        <v>0</v>
      </c>
      <c r="H1355">
        <v>100</v>
      </c>
      <c r="K1355">
        <v>1</v>
      </c>
      <c r="L1355" t="s">
        <v>131</v>
      </c>
      <c r="M1355" s="50">
        <v>44875</v>
      </c>
      <c r="N1355" s="50">
        <v>2958465</v>
      </c>
      <c r="P1355">
        <v>0</v>
      </c>
      <c r="U1355">
        <v>4</v>
      </c>
      <c r="V1355">
        <v>1</v>
      </c>
      <c r="W1355" t="s">
        <v>132</v>
      </c>
      <c r="X1355">
        <v>0</v>
      </c>
    </row>
    <row r="1356" spans="1:24" x14ac:dyDescent="0.25">
      <c r="A1356">
        <v>1</v>
      </c>
      <c r="B1356" s="13">
        <v>590920300315</v>
      </c>
      <c r="C1356">
        <v>30</v>
      </c>
      <c r="D1356" s="13">
        <v>5957303003</v>
      </c>
      <c r="F1356" t="s">
        <v>130</v>
      </c>
      <c r="G1356">
        <v>0</v>
      </c>
      <c r="H1356">
        <v>100</v>
      </c>
      <c r="K1356">
        <v>1</v>
      </c>
      <c r="L1356" t="s">
        <v>131</v>
      </c>
      <c r="M1356" s="50">
        <v>44875</v>
      </c>
      <c r="N1356" s="50">
        <v>2958465</v>
      </c>
      <c r="P1356">
        <v>0</v>
      </c>
      <c r="U1356">
        <v>4</v>
      </c>
      <c r="V1356">
        <v>1</v>
      </c>
      <c r="W1356" t="s">
        <v>132</v>
      </c>
      <c r="X1356">
        <v>0</v>
      </c>
    </row>
    <row r="1357" spans="1:24" x14ac:dyDescent="0.25">
      <c r="A1357">
        <v>1</v>
      </c>
      <c r="B1357" s="13">
        <v>590920300315</v>
      </c>
      <c r="C1357">
        <v>40</v>
      </c>
      <c r="D1357" s="13">
        <v>5957093003</v>
      </c>
      <c r="F1357" t="s">
        <v>130</v>
      </c>
      <c r="G1357">
        <v>0</v>
      </c>
      <c r="H1357">
        <v>100</v>
      </c>
      <c r="K1357">
        <v>1</v>
      </c>
      <c r="L1357" t="s">
        <v>131</v>
      </c>
      <c r="M1357" s="50">
        <v>44875</v>
      </c>
      <c r="N1357" s="50">
        <v>2958465</v>
      </c>
      <c r="P1357">
        <v>0</v>
      </c>
      <c r="U1357">
        <v>4</v>
      </c>
      <c r="V1357">
        <v>1</v>
      </c>
      <c r="W1357" t="s">
        <v>132</v>
      </c>
      <c r="X1357">
        <v>0</v>
      </c>
    </row>
    <row r="1358" spans="1:24" x14ac:dyDescent="0.25">
      <c r="A1358">
        <v>1</v>
      </c>
      <c r="B1358" s="13">
        <v>590920300315</v>
      </c>
      <c r="C1358">
        <v>50</v>
      </c>
      <c r="D1358" s="13">
        <v>1018034</v>
      </c>
      <c r="F1358" t="s">
        <v>130</v>
      </c>
      <c r="G1358">
        <v>0</v>
      </c>
      <c r="H1358">
        <v>100</v>
      </c>
      <c r="K1358">
        <v>4</v>
      </c>
      <c r="L1358" t="s">
        <v>131</v>
      </c>
      <c r="M1358" s="50">
        <v>44875</v>
      </c>
      <c r="N1358" s="50">
        <v>2958465</v>
      </c>
      <c r="P1358">
        <v>0</v>
      </c>
      <c r="U1358">
        <v>4</v>
      </c>
      <c r="V1358">
        <v>1</v>
      </c>
      <c r="W1358" t="s">
        <v>132</v>
      </c>
      <c r="X1358">
        <v>0</v>
      </c>
    </row>
    <row r="1359" spans="1:24" x14ac:dyDescent="0.25">
      <c r="A1359">
        <v>1</v>
      </c>
      <c r="B1359" s="13">
        <v>590920300315</v>
      </c>
      <c r="C1359">
        <v>60</v>
      </c>
      <c r="D1359" s="13">
        <v>1018359</v>
      </c>
      <c r="F1359" t="s">
        <v>130</v>
      </c>
      <c r="G1359">
        <v>0</v>
      </c>
      <c r="H1359">
        <v>100</v>
      </c>
      <c r="K1359">
        <v>10</v>
      </c>
      <c r="L1359" t="s">
        <v>131</v>
      </c>
      <c r="M1359" s="50">
        <v>44875</v>
      </c>
      <c r="N1359" s="50">
        <v>2958465</v>
      </c>
      <c r="P1359">
        <v>0</v>
      </c>
      <c r="U1359">
        <v>4</v>
      </c>
      <c r="V1359">
        <v>1</v>
      </c>
      <c r="W1359" t="s">
        <v>132</v>
      </c>
      <c r="X1359">
        <v>0</v>
      </c>
    </row>
    <row r="1360" spans="1:24" x14ac:dyDescent="0.25">
      <c r="A1360">
        <v>1</v>
      </c>
      <c r="B1360" s="13">
        <v>590920300315</v>
      </c>
      <c r="C1360">
        <v>70</v>
      </c>
      <c r="D1360" s="13">
        <v>1022213</v>
      </c>
      <c r="F1360" t="s">
        <v>130</v>
      </c>
      <c r="G1360">
        <v>0</v>
      </c>
      <c r="H1360">
        <v>100</v>
      </c>
      <c r="K1360">
        <v>5.5919999999999996</v>
      </c>
      <c r="L1360" t="s">
        <v>131</v>
      </c>
      <c r="M1360" s="50">
        <v>44875</v>
      </c>
      <c r="N1360" s="50">
        <v>2958465</v>
      </c>
      <c r="P1360">
        <v>0</v>
      </c>
      <c r="U1360">
        <v>4</v>
      </c>
      <c r="V1360">
        <v>1</v>
      </c>
      <c r="W1360" t="s">
        <v>132</v>
      </c>
      <c r="X1360">
        <v>0</v>
      </c>
    </row>
    <row r="1361" spans="1:24" x14ac:dyDescent="0.25">
      <c r="A1361">
        <v>1</v>
      </c>
      <c r="B1361" s="13">
        <v>590920300315</v>
      </c>
      <c r="C1361">
        <v>80</v>
      </c>
      <c r="D1361" s="13">
        <v>18102165615</v>
      </c>
      <c r="F1361" t="s">
        <v>130</v>
      </c>
      <c r="G1361">
        <v>0</v>
      </c>
      <c r="H1361">
        <v>100</v>
      </c>
      <c r="K1361">
        <v>1</v>
      </c>
      <c r="L1361" t="s">
        <v>131</v>
      </c>
      <c r="M1361" s="50">
        <v>44875</v>
      </c>
      <c r="N1361" s="50">
        <v>2958465</v>
      </c>
      <c r="P1361">
        <v>0</v>
      </c>
      <c r="U1361">
        <v>4</v>
      </c>
      <c r="V1361">
        <v>1</v>
      </c>
      <c r="W1361" t="s">
        <v>132</v>
      </c>
      <c r="X1361">
        <v>0</v>
      </c>
    </row>
    <row r="1362" spans="1:24" x14ac:dyDescent="0.25">
      <c r="A1362">
        <v>1</v>
      </c>
      <c r="B1362" s="13">
        <v>590920300515</v>
      </c>
      <c r="C1362">
        <v>10</v>
      </c>
      <c r="D1362" s="13">
        <v>5957163005</v>
      </c>
      <c r="F1362" t="s">
        <v>130</v>
      </c>
      <c r="G1362">
        <v>0</v>
      </c>
      <c r="H1362">
        <v>100</v>
      </c>
      <c r="K1362">
        <v>2</v>
      </c>
      <c r="L1362" t="s">
        <v>131</v>
      </c>
      <c r="M1362" s="50">
        <v>44875</v>
      </c>
      <c r="N1362" s="50">
        <v>2958465</v>
      </c>
      <c r="P1362">
        <v>0</v>
      </c>
      <c r="U1362">
        <v>4</v>
      </c>
      <c r="V1362">
        <v>1</v>
      </c>
      <c r="W1362" t="s">
        <v>132</v>
      </c>
      <c r="X1362">
        <v>0</v>
      </c>
    </row>
    <row r="1363" spans="1:24" x14ac:dyDescent="0.25">
      <c r="A1363">
        <v>1</v>
      </c>
      <c r="B1363" s="13">
        <v>590920300515</v>
      </c>
      <c r="C1363">
        <v>20</v>
      </c>
      <c r="D1363" s="13">
        <v>5957333005</v>
      </c>
      <c r="F1363" t="s">
        <v>130</v>
      </c>
      <c r="G1363">
        <v>0</v>
      </c>
      <c r="H1363">
        <v>100</v>
      </c>
      <c r="K1363">
        <v>1</v>
      </c>
      <c r="L1363" t="s">
        <v>131</v>
      </c>
      <c r="M1363" s="50">
        <v>44875</v>
      </c>
      <c r="N1363" s="50">
        <v>2958465</v>
      </c>
      <c r="P1363">
        <v>0</v>
      </c>
      <c r="U1363">
        <v>4</v>
      </c>
      <c r="V1363">
        <v>1</v>
      </c>
      <c r="W1363" t="s">
        <v>132</v>
      </c>
      <c r="X1363">
        <v>0</v>
      </c>
    </row>
    <row r="1364" spans="1:24" x14ac:dyDescent="0.25">
      <c r="A1364">
        <v>1</v>
      </c>
      <c r="B1364" s="13">
        <v>590920300515</v>
      </c>
      <c r="C1364">
        <v>30</v>
      </c>
      <c r="D1364" s="13">
        <v>5957303005</v>
      </c>
      <c r="F1364" t="s">
        <v>130</v>
      </c>
      <c r="G1364">
        <v>0</v>
      </c>
      <c r="H1364">
        <v>100</v>
      </c>
      <c r="K1364">
        <v>1</v>
      </c>
      <c r="L1364" t="s">
        <v>131</v>
      </c>
      <c r="M1364" s="50">
        <v>44875</v>
      </c>
      <c r="N1364" s="50">
        <v>2958465</v>
      </c>
      <c r="P1364">
        <v>0</v>
      </c>
      <c r="U1364">
        <v>4</v>
      </c>
      <c r="V1364">
        <v>1</v>
      </c>
      <c r="W1364" t="s">
        <v>132</v>
      </c>
      <c r="X1364">
        <v>0</v>
      </c>
    </row>
    <row r="1365" spans="1:24" x14ac:dyDescent="0.25">
      <c r="A1365">
        <v>1</v>
      </c>
      <c r="B1365" s="13">
        <v>590920300515</v>
      </c>
      <c r="C1365">
        <v>40</v>
      </c>
      <c r="D1365" s="13">
        <v>5957093005</v>
      </c>
      <c r="F1365" t="s">
        <v>130</v>
      </c>
      <c r="G1365">
        <v>0</v>
      </c>
      <c r="H1365">
        <v>100</v>
      </c>
      <c r="K1365">
        <v>1</v>
      </c>
      <c r="L1365" t="s">
        <v>131</v>
      </c>
      <c r="M1365" s="50">
        <v>44875</v>
      </c>
      <c r="N1365" s="50">
        <v>2958465</v>
      </c>
      <c r="P1365">
        <v>0</v>
      </c>
      <c r="U1365">
        <v>4</v>
      </c>
      <c r="V1365">
        <v>1</v>
      </c>
      <c r="W1365" t="s">
        <v>132</v>
      </c>
      <c r="X1365">
        <v>0</v>
      </c>
    </row>
    <row r="1366" spans="1:24" x14ac:dyDescent="0.25">
      <c r="A1366">
        <v>1</v>
      </c>
      <c r="B1366" s="13">
        <v>590920300515</v>
      </c>
      <c r="C1366">
        <v>50</v>
      </c>
      <c r="D1366" s="13">
        <v>1018034</v>
      </c>
      <c r="F1366" t="s">
        <v>130</v>
      </c>
      <c r="G1366">
        <v>0</v>
      </c>
      <c r="H1366">
        <v>100</v>
      </c>
      <c r="K1366">
        <v>4</v>
      </c>
      <c r="L1366" t="s">
        <v>131</v>
      </c>
      <c r="M1366" s="50">
        <v>44875</v>
      </c>
      <c r="N1366" s="50">
        <v>2958465</v>
      </c>
      <c r="P1366">
        <v>0</v>
      </c>
      <c r="U1366">
        <v>4</v>
      </c>
      <c r="V1366">
        <v>1</v>
      </c>
      <c r="W1366" t="s">
        <v>132</v>
      </c>
      <c r="X1366">
        <v>0</v>
      </c>
    </row>
    <row r="1367" spans="1:24" x14ac:dyDescent="0.25">
      <c r="A1367">
        <v>1</v>
      </c>
      <c r="B1367" s="13">
        <v>590920300515</v>
      </c>
      <c r="C1367">
        <v>60</v>
      </c>
      <c r="D1367" s="13">
        <v>1022356</v>
      </c>
      <c r="F1367" t="s">
        <v>130</v>
      </c>
      <c r="G1367">
        <v>0</v>
      </c>
      <c r="H1367">
        <v>100</v>
      </c>
      <c r="K1367">
        <v>10</v>
      </c>
      <c r="L1367" t="s">
        <v>131</v>
      </c>
      <c r="M1367" s="50">
        <v>44875</v>
      </c>
      <c r="N1367" s="50">
        <v>2958465</v>
      </c>
      <c r="P1367">
        <v>0</v>
      </c>
      <c r="U1367">
        <v>4</v>
      </c>
      <c r="V1367">
        <v>1</v>
      </c>
      <c r="W1367" t="s">
        <v>132</v>
      </c>
      <c r="X1367">
        <v>0</v>
      </c>
    </row>
    <row r="1368" spans="1:24" x14ac:dyDescent="0.25">
      <c r="A1368">
        <v>1</v>
      </c>
      <c r="B1368" s="13">
        <v>590920300515</v>
      </c>
      <c r="C1368">
        <v>70</v>
      </c>
      <c r="D1368" s="13">
        <v>1022213</v>
      </c>
      <c r="F1368" t="s">
        <v>130</v>
      </c>
      <c r="G1368">
        <v>0</v>
      </c>
      <c r="H1368">
        <v>100</v>
      </c>
      <c r="K1368">
        <v>5.5919999999999996</v>
      </c>
      <c r="L1368" t="s">
        <v>131</v>
      </c>
      <c r="M1368" s="50">
        <v>44875</v>
      </c>
      <c r="N1368" s="50">
        <v>2958465</v>
      </c>
      <c r="P1368">
        <v>0</v>
      </c>
      <c r="U1368">
        <v>4</v>
      </c>
      <c r="V1368">
        <v>1</v>
      </c>
      <c r="W1368" t="s">
        <v>132</v>
      </c>
      <c r="X1368">
        <v>0</v>
      </c>
    </row>
    <row r="1369" spans="1:24" x14ac:dyDescent="0.25">
      <c r="A1369">
        <v>1</v>
      </c>
      <c r="B1369" s="13">
        <v>590920300515</v>
      </c>
      <c r="C1369">
        <v>80</v>
      </c>
      <c r="D1369" s="13">
        <v>18102165615</v>
      </c>
      <c r="F1369" t="s">
        <v>130</v>
      </c>
      <c r="G1369">
        <v>0</v>
      </c>
      <c r="H1369">
        <v>100</v>
      </c>
      <c r="K1369">
        <v>1</v>
      </c>
      <c r="L1369" t="s">
        <v>131</v>
      </c>
      <c r="M1369" s="50">
        <v>44875</v>
      </c>
      <c r="N1369" s="50">
        <v>2958465</v>
      </c>
      <c r="P1369">
        <v>0</v>
      </c>
      <c r="U1369">
        <v>4</v>
      </c>
      <c r="V1369">
        <v>1</v>
      </c>
      <c r="W1369" t="s">
        <v>132</v>
      </c>
      <c r="X1369">
        <v>0</v>
      </c>
    </row>
    <row r="1370" spans="1:24" x14ac:dyDescent="0.25">
      <c r="A1370">
        <v>1</v>
      </c>
      <c r="B1370" s="13">
        <v>590920300915</v>
      </c>
      <c r="C1370">
        <v>10</v>
      </c>
      <c r="D1370" s="13">
        <v>5957163009</v>
      </c>
      <c r="F1370" t="s">
        <v>130</v>
      </c>
      <c r="G1370">
        <v>0</v>
      </c>
      <c r="H1370">
        <v>100</v>
      </c>
      <c r="K1370">
        <v>2</v>
      </c>
      <c r="L1370" t="s">
        <v>131</v>
      </c>
      <c r="M1370" s="50">
        <v>44875</v>
      </c>
      <c r="N1370" s="50">
        <v>2958465</v>
      </c>
      <c r="P1370">
        <v>0</v>
      </c>
      <c r="U1370">
        <v>4</v>
      </c>
      <c r="V1370">
        <v>1</v>
      </c>
      <c r="W1370" t="s">
        <v>132</v>
      </c>
      <c r="X1370">
        <v>0</v>
      </c>
    </row>
    <row r="1371" spans="1:24" x14ac:dyDescent="0.25">
      <c r="A1371">
        <v>1</v>
      </c>
      <c r="B1371" s="13">
        <v>590920300915</v>
      </c>
      <c r="C1371">
        <v>20</v>
      </c>
      <c r="D1371" s="13">
        <v>5957333009</v>
      </c>
      <c r="F1371" t="s">
        <v>130</v>
      </c>
      <c r="G1371">
        <v>0</v>
      </c>
      <c r="H1371">
        <v>100</v>
      </c>
      <c r="K1371">
        <v>1</v>
      </c>
      <c r="L1371" t="s">
        <v>131</v>
      </c>
      <c r="M1371" s="50">
        <v>44875</v>
      </c>
      <c r="N1371" s="50">
        <v>2958465</v>
      </c>
      <c r="P1371">
        <v>0</v>
      </c>
      <c r="U1371">
        <v>4</v>
      </c>
      <c r="V1371">
        <v>1</v>
      </c>
      <c r="W1371" t="s">
        <v>132</v>
      </c>
      <c r="X1371">
        <v>0</v>
      </c>
    </row>
    <row r="1372" spans="1:24" x14ac:dyDescent="0.25">
      <c r="A1372">
        <v>1</v>
      </c>
      <c r="B1372" s="13">
        <v>590920300915</v>
      </c>
      <c r="C1372">
        <v>30</v>
      </c>
      <c r="D1372" s="13">
        <v>5957303009</v>
      </c>
      <c r="F1372" t="s">
        <v>130</v>
      </c>
      <c r="G1372">
        <v>0</v>
      </c>
      <c r="H1372">
        <v>100</v>
      </c>
      <c r="K1372">
        <v>1</v>
      </c>
      <c r="L1372" t="s">
        <v>131</v>
      </c>
      <c r="M1372" s="50">
        <v>44875</v>
      </c>
      <c r="N1372" s="50">
        <v>2958465</v>
      </c>
      <c r="P1372">
        <v>0</v>
      </c>
      <c r="U1372">
        <v>4</v>
      </c>
      <c r="V1372">
        <v>1</v>
      </c>
      <c r="W1372" t="s">
        <v>132</v>
      </c>
      <c r="X1372">
        <v>0</v>
      </c>
    </row>
    <row r="1373" spans="1:24" x14ac:dyDescent="0.25">
      <c r="A1373">
        <v>1</v>
      </c>
      <c r="B1373" s="13">
        <v>590920300915</v>
      </c>
      <c r="C1373">
        <v>40</v>
      </c>
      <c r="D1373" s="13">
        <v>5957093009</v>
      </c>
      <c r="F1373" t="s">
        <v>130</v>
      </c>
      <c r="G1373">
        <v>0</v>
      </c>
      <c r="H1373">
        <v>100</v>
      </c>
      <c r="K1373">
        <v>1</v>
      </c>
      <c r="L1373" t="s">
        <v>131</v>
      </c>
      <c r="M1373" s="50">
        <v>44875</v>
      </c>
      <c r="N1373" s="50">
        <v>2958465</v>
      </c>
      <c r="P1373">
        <v>0</v>
      </c>
      <c r="U1373">
        <v>4</v>
      </c>
      <c r="V1373">
        <v>1</v>
      </c>
      <c r="W1373" t="s">
        <v>132</v>
      </c>
      <c r="X1373">
        <v>0</v>
      </c>
    </row>
    <row r="1374" spans="1:24" x14ac:dyDescent="0.25">
      <c r="A1374">
        <v>1</v>
      </c>
      <c r="B1374" s="13">
        <v>590920300915</v>
      </c>
      <c r="C1374">
        <v>50</v>
      </c>
      <c r="D1374" s="13">
        <v>1018034</v>
      </c>
      <c r="F1374" t="s">
        <v>130</v>
      </c>
      <c r="G1374">
        <v>0</v>
      </c>
      <c r="H1374">
        <v>100</v>
      </c>
      <c r="K1374">
        <v>4</v>
      </c>
      <c r="L1374" t="s">
        <v>131</v>
      </c>
      <c r="M1374" s="50">
        <v>44875</v>
      </c>
      <c r="N1374" s="50">
        <v>2958465</v>
      </c>
      <c r="P1374">
        <v>0</v>
      </c>
      <c r="U1374">
        <v>4</v>
      </c>
      <c r="V1374">
        <v>1</v>
      </c>
      <c r="W1374" t="s">
        <v>132</v>
      </c>
      <c r="X1374">
        <v>0</v>
      </c>
    </row>
    <row r="1375" spans="1:24" x14ac:dyDescent="0.25">
      <c r="A1375">
        <v>1</v>
      </c>
      <c r="B1375" s="13">
        <v>590920300915</v>
      </c>
      <c r="C1375">
        <v>60</v>
      </c>
      <c r="D1375" s="13">
        <v>1018359</v>
      </c>
      <c r="F1375" t="s">
        <v>130</v>
      </c>
      <c r="G1375">
        <v>0</v>
      </c>
      <c r="H1375">
        <v>100</v>
      </c>
      <c r="K1375">
        <v>10</v>
      </c>
      <c r="L1375" t="s">
        <v>131</v>
      </c>
      <c r="M1375" s="50">
        <v>44875</v>
      </c>
      <c r="N1375" s="50">
        <v>2958465</v>
      </c>
      <c r="P1375">
        <v>0</v>
      </c>
      <c r="U1375">
        <v>4</v>
      </c>
      <c r="V1375">
        <v>1</v>
      </c>
      <c r="W1375" t="s">
        <v>132</v>
      </c>
      <c r="X1375">
        <v>0</v>
      </c>
    </row>
    <row r="1376" spans="1:24" x14ac:dyDescent="0.25">
      <c r="A1376">
        <v>1</v>
      </c>
      <c r="B1376" s="13">
        <v>590920300915</v>
      </c>
      <c r="C1376">
        <v>70</v>
      </c>
      <c r="D1376" s="13">
        <v>1022213</v>
      </c>
      <c r="F1376" t="s">
        <v>130</v>
      </c>
      <c r="G1376">
        <v>0</v>
      </c>
      <c r="H1376">
        <v>100</v>
      </c>
      <c r="K1376">
        <v>5.5919999999999996</v>
      </c>
      <c r="L1376" t="s">
        <v>131</v>
      </c>
      <c r="M1376" s="50">
        <v>44875</v>
      </c>
      <c r="N1376" s="50">
        <v>2958465</v>
      </c>
      <c r="P1376">
        <v>0</v>
      </c>
      <c r="U1376">
        <v>4</v>
      </c>
      <c r="V1376">
        <v>1</v>
      </c>
      <c r="W1376" t="s">
        <v>132</v>
      </c>
      <c r="X1376">
        <v>0</v>
      </c>
    </row>
    <row r="1377" spans="1:24" x14ac:dyDescent="0.25">
      <c r="A1377">
        <v>1</v>
      </c>
      <c r="B1377" s="13">
        <v>590920300915</v>
      </c>
      <c r="C1377">
        <v>80</v>
      </c>
      <c r="D1377" s="13">
        <v>18102165615</v>
      </c>
      <c r="F1377" t="s">
        <v>130</v>
      </c>
      <c r="G1377">
        <v>0</v>
      </c>
      <c r="H1377">
        <v>100</v>
      </c>
      <c r="K1377">
        <v>1</v>
      </c>
      <c r="L1377" t="s">
        <v>131</v>
      </c>
      <c r="M1377" s="50">
        <v>44875</v>
      </c>
      <c r="N1377" s="50">
        <v>2958465</v>
      </c>
      <c r="P1377">
        <v>0</v>
      </c>
      <c r="U1377">
        <v>4</v>
      </c>
      <c r="V1377">
        <v>1</v>
      </c>
      <c r="W1377" t="s">
        <v>132</v>
      </c>
      <c r="X1377">
        <v>0</v>
      </c>
    </row>
    <row r="1378" spans="1:24" x14ac:dyDescent="0.25">
      <c r="A1378">
        <v>1</v>
      </c>
      <c r="B1378" s="13">
        <v>590920300038</v>
      </c>
      <c r="C1378">
        <v>10</v>
      </c>
      <c r="D1378" s="13">
        <v>5957163099</v>
      </c>
      <c r="F1378" t="s">
        <v>130</v>
      </c>
      <c r="G1378">
        <v>0</v>
      </c>
      <c r="H1378">
        <v>100</v>
      </c>
      <c r="K1378">
        <v>2</v>
      </c>
      <c r="L1378" t="s">
        <v>131</v>
      </c>
      <c r="M1378" s="50">
        <v>44875</v>
      </c>
      <c r="N1378" s="50">
        <v>2958465</v>
      </c>
      <c r="P1378">
        <v>0</v>
      </c>
      <c r="U1378">
        <v>4</v>
      </c>
      <c r="V1378">
        <v>1</v>
      </c>
      <c r="W1378" t="s">
        <v>132</v>
      </c>
      <c r="X1378">
        <v>0</v>
      </c>
    </row>
    <row r="1379" spans="1:24" x14ac:dyDescent="0.25">
      <c r="A1379">
        <v>1</v>
      </c>
      <c r="B1379" s="13">
        <v>590920300038</v>
      </c>
      <c r="C1379">
        <v>20</v>
      </c>
      <c r="D1379" s="13">
        <v>5957333099</v>
      </c>
      <c r="F1379" t="s">
        <v>130</v>
      </c>
      <c r="G1379">
        <v>0</v>
      </c>
      <c r="H1379">
        <v>100</v>
      </c>
      <c r="K1379">
        <v>1</v>
      </c>
      <c r="L1379" t="s">
        <v>131</v>
      </c>
      <c r="M1379" s="50">
        <v>44875</v>
      </c>
      <c r="N1379" s="50">
        <v>2958465</v>
      </c>
      <c r="P1379">
        <v>0</v>
      </c>
      <c r="U1379">
        <v>4</v>
      </c>
      <c r="V1379">
        <v>1</v>
      </c>
      <c r="W1379" t="s">
        <v>132</v>
      </c>
      <c r="X1379">
        <v>0</v>
      </c>
    </row>
    <row r="1380" spans="1:24" x14ac:dyDescent="0.25">
      <c r="A1380">
        <v>1</v>
      </c>
      <c r="B1380" s="13">
        <v>590920300038</v>
      </c>
      <c r="C1380">
        <v>30</v>
      </c>
      <c r="D1380" s="13">
        <v>5957303099</v>
      </c>
      <c r="F1380" t="s">
        <v>130</v>
      </c>
      <c r="G1380">
        <v>0</v>
      </c>
      <c r="H1380">
        <v>100</v>
      </c>
      <c r="K1380">
        <v>1</v>
      </c>
      <c r="L1380" t="s">
        <v>131</v>
      </c>
      <c r="M1380" s="50">
        <v>44875</v>
      </c>
      <c r="N1380" s="50">
        <v>2958465</v>
      </c>
      <c r="P1380">
        <v>0</v>
      </c>
      <c r="U1380">
        <v>4</v>
      </c>
      <c r="V1380">
        <v>1</v>
      </c>
      <c r="W1380" t="s">
        <v>132</v>
      </c>
      <c r="X1380">
        <v>0</v>
      </c>
    </row>
    <row r="1381" spans="1:24" x14ac:dyDescent="0.25">
      <c r="A1381">
        <v>1</v>
      </c>
      <c r="B1381" s="13">
        <v>590920300038</v>
      </c>
      <c r="C1381">
        <v>40</v>
      </c>
      <c r="D1381" s="13">
        <v>1022219</v>
      </c>
      <c r="F1381" t="s">
        <v>130</v>
      </c>
      <c r="G1381">
        <v>0</v>
      </c>
      <c r="H1381">
        <v>100</v>
      </c>
      <c r="K1381">
        <v>1</v>
      </c>
      <c r="L1381" t="s">
        <v>131</v>
      </c>
      <c r="M1381" s="50">
        <v>44875</v>
      </c>
      <c r="N1381" s="50">
        <v>2958465</v>
      </c>
      <c r="P1381">
        <v>0</v>
      </c>
      <c r="U1381">
        <v>4</v>
      </c>
      <c r="V1381">
        <v>1</v>
      </c>
      <c r="W1381" t="s">
        <v>132</v>
      </c>
      <c r="X1381">
        <v>0</v>
      </c>
    </row>
    <row r="1382" spans="1:24" x14ac:dyDescent="0.25">
      <c r="A1382">
        <v>1</v>
      </c>
      <c r="B1382" s="13">
        <v>590920300038</v>
      </c>
      <c r="C1382">
        <v>50</v>
      </c>
      <c r="D1382" s="13">
        <v>1018034</v>
      </c>
      <c r="F1382" t="s">
        <v>130</v>
      </c>
      <c r="G1382">
        <v>0</v>
      </c>
      <c r="H1382">
        <v>100</v>
      </c>
      <c r="K1382">
        <v>4</v>
      </c>
      <c r="L1382" t="s">
        <v>131</v>
      </c>
      <c r="M1382" s="50">
        <v>44875</v>
      </c>
      <c r="N1382" s="50">
        <v>2958465</v>
      </c>
      <c r="P1382">
        <v>0</v>
      </c>
      <c r="U1382">
        <v>4</v>
      </c>
      <c r="V1382">
        <v>1</v>
      </c>
      <c r="W1382" t="s">
        <v>132</v>
      </c>
      <c r="X1382">
        <v>0</v>
      </c>
    </row>
    <row r="1383" spans="1:24" x14ac:dyDescent="0.25">
      <c r="A1383">
        <v>1</v>
      </c>
      <c r="B1383" s="13">
        <v>590920300038</v>
      </c>
      <c r="C1383">
        <v>60</v>
      </c>
      <c r="D1383" s="13">
        <v>1018359</v>
      </c>
      <c r="F1383" t="s">
        <v>130</v>
      </c>
      <c r="G1383">
        <v>0</v>
      </c>
      <c r="H1383">
        <v>100</v>
      </c>
      <c r="K1383">
        <v>10</v>
      </c>
      <c r="L1383" t="s">
        <v>131</v>
      </c>
      <c r="M1383" s="50">
        <v>44875</v>
      </c>
      <c r="N1383" s="50">
        <v>2958465</v>
      </c>
      <c r="P1383">
        <v>0</v>
      </c>
      <c r="U1383">
        <v>4</v>
      </c>
      <c r="V1383">
        <v>1</v>
      </c>
      <c r="W1383" t="s">
        <v>132</v>
      </c>
      <c r="X1383">
        <v>0</v>
      </c>
    </row>
    <row r="1384" spans="1:24" x14ac:dyDescent="0.25">
      <c r="A1384">
        <v>1</v>
      </c>
      <c r="B1384" s="13">
        <v>590920300038</v>
      </c>
      <c r="C1384">
        <v>70</v>
      </c>
      <c r="D1384" s="13">
        <v>1022213</v>
      </c>
      <c r="F1384" t="s">
        <v>130</v>
      </c>
      <c r="G1384">
        <v>0</v>
      </c>
      <c r="H1384">
        <v>100</v>
      </c>
      <c r="K1384">
        <v>5.5919999999999996</v>
      </c>
      <c r="L1384" t="s">
        <v>131</v>
      </c>
      <c r="M1384" s="50">
        <v>44875</v>
      </c>
      <c r="N1384" s="50">
        <v>2958465</v>
      </c>
      <c r="P1384">
        <v>0</v>
      </c>
      <c r="U1384">
        <v>4</v>
      </c>
      <c r="V1384">
        <v>1</v>
      </c>
      <c r="W1384" t="s">
        <v>132</v>
      </c>
      <c r="X1384">
        <v>0</v>
      </c>
    </row>
    <row r="1385" spans="1:24" x14ac:dyDescent="0.25">
      <c r="A1385">
        <v>1</v>
      </c>
      <c r="B1385" s="13">
        <v>590920300038</v>
      </c>
      <c r="C1385">
        <v>80</v>
      </c>
      <c r="D1385" s="13">
        <v>12165638</v>
      </c>
      <c r="F1385" t="s">
        <v>130</v>
      </c>
      <c r="G1385">
        <v>0</v>
      </c>
      <c r="H1385">
        <v>100</v>
      </c>
      <c r="K1385">
        <v>1</v>
      </c>
      <c r="L1385" t="s">
        <v>131</v>
      </c>
      <c r="M1385" s="50">
        <v>44875</v>
      </c>
      <c r="N1385" s="50">
        <v>2958465</v>
      </c>
      <c r="P1385">
        <v>0</v>
      </c>
      <c r="U1385">
        <v>4</v>
      </c>
      <c r="V1385">
        <v>1</v>
      </c>
      <c r="W1385" t="s">
        <v>132</v>
      </c>
      <c r="X1385">
        <v>0</v>
      </c>
    </row>
    <row r="1386" spans="1:24" x14ac:dyDescent="0.25">
      <c r="A1386">
        <v>1</v>
      </c>
      <c r="B1386" s="13">
        <v>590920300338</v>
      </c>
      <c r="C1386">
        <v>10</v>
      </c>
      <c r="D1386" s="13">
        <v>5957163003</v>
      </c>
      <c r="F1386" t="s">
        <v>130</v>
      </c>
      <c r="G1386">
        <v>0</v>
      </c>
      <c r="H1386">
        <v>100</v>
      </c>
      <c r="K1386">
        <v>2</v>
      </c>
      <c r="L1386" t="s">
        <v>131</v>
      </c>
      <c r="M1386" s="50">
        <v>44875</v>
      </c>
      <c r="N1386" s="50">
        <v>2958465</v>
      </c>
      <c r="P1386">
        <v>0</v>
      </c>
      <c r="U1386">
        <v>4</v>
      </c>
      <c r="V1386">
        <v>1</v>
      </c>
      <c r="W1386" t="s">
        <v>132</v>
      </c>
      <c r="X1386">
        <v>0</v>
      </c>
    </row>
    <row r="1387" spans="1:24" x14ac:dyDescent="0.25">
      <c r="A1387">
        <v>1</v>
      </c>
      <c r="B1387" s="13">
        <v>590920300338</v>
      </c>
      <c r="C1387">
        <v>20</v>
      </c>
      <c r="D1387" s="13">
        <v>5957333003</v>
      </c>
      <c r="F1387" t="s">
        <v>130</v>
      </c>
      <c r="G1387">
        <v>0</v>
      </c>
      <c r="H1387">
        <v>100</v>
      </c>
      <c r="K1387">
        <v>1</v>
      </c>
      <c r="L1387" t="s">
        <v>131</v>
      </c>
      <c r="M1387" s="50">
        <v>44875</v>
      </c>
      <c r="N1387" s="50">
        <v>2958465</v>
      </c>
      <c r="P1387">
        <v>0</v>
      </c>
      <c r="U1387">
        <v>4</v>
      </c>
      <c r="V1387">
        <v>1</v>
      </c>
      <c r="W1387" t="s">
        <v>132</v>
      </c>
      <c r="X1387">
        <v>0</v>
      </c>
    </row>
    <row r="1388" spans="1:24" x14ac:dyDescent="0.25">
      <c r="A1388">
        <v>1</v>
      </c>
      <c r="B1388" s="13">
        <v>590920300338</v>
      </c>
      <c r="C1388">
        <v>30</v>
      </c>
      <c r="D1388" s="13">
        <v>5957303003</v>
      </c>
      <c r="F1388" t="s">
        <v>130</v>
      </c>
      <c r="G1388">
        <v>0</v>
      </c>
      <c r="H1388">
        <v>100</v>
      </c>
      <c r="K1388">
        <v>1</v>
      </c>
      <c r="L1388" t="s">
        <v>131</v>
      </c>
      <c r="M1388" s="50">
        <v>44875</v>
      </c>
      <c r="N1388" s="50">
        <v>2958465</v>
      </c>
      <c r="P1388">
        <v>0</v>
      </c>
      <c r="U1388">
        <v>4</v>
      </c>
      <c r="V1388">
        <v>1</v>
      </c>
      <c r="W1388" t="s">
        <v>132</v>
      </c>
      <c r="X1388">
        <v>0</v>
      </c>
    </row>
    <row r="1389" spans="1:24" x14ac:dyDescent="0.25">
      <c r="A1389">
        <v>1</v>
      </c>
      <c r="B1389" s="13">
        <v>590920300338</v>
      </c>
      <c r="C1389">
        <v>40</v>
      </c>
      <c r="D1389" s="13">
        <v>5957093003</v>
      </c>
      <c r="F1389" t="s">
        <v>130</v>
      </c>
      <c r="G1389">
        <v>0</v>
      </c>
      <c r="H1389">
        <v>100</v>
      </c>
      <c r="K1389">
        <v>1</v>
      </c>
      <c r="L1389" t="s">
        <v>131</v>
      </c>
      <c r="M1389" s="50">
        <v>44875</v>
      </c>
      <c r="N1389" s="50">
        <v>2958465</v>
      </c>
      <c r="P1389">
        <v>0</v>
      </c>
      <c r="U1389">
        <v>4</v>
      </c>
      <c r="V1389">
        <v>1</v>
      </c>
      <c r="W1389" t="s">
        <v>132</v>
      </c>
      <c r="X1389">
        <v>0</v>
      </c>
    </row>
    <row r="1390" spans="1:24" x14ac:dyDescent="0.25">
      <c r="A1390">
        <v>1</v>
      </c>
      <c r="B1390" s="13">
        <v>590920300338</v>
      </c>
      <c r="C1390">
        <v>50</v>
      </c>
      <c r="D1390" s="13">
        <v>1018034</v>
      </c>
      <c r="F1390" t="s">
        <v>130</v>
      </c>
      <c r="G1390">
        <v>0</v>
      </c>
      <c r="H1390">
        <v>100</v>
      </c>
      <c r="K1390">
        <v>4</v>
      </c>
      <c r="L1390" t="s">
        <v>131</v>
      </c>
      <c r="M1390" s="50">
        <v>44875</v>
      </c>
      <c r="N1390" s="50">
        <v>2958465</v>
      </c>
      <c r="P1390">
        <v>0</v>
      </c>
      <c r="U1390">
        <v>4</v>
      </c>
      <c r="V1390">
        <v>1</v>
      </c>
      <c r="W1390" t="s">
        <v>132</v>
      </c>
      <c r="X1390">
        <v>0</v>
      </c>
    </row>
    <row r="1391" spans="1:24" x14ac:dyDescent="0.25">
      <c r="A1391">
        <v>1</v>
      </c>
      <c r="B1391" s="13">
        <v>590920300338</v>
      </c>
      <c r="C1391">
        <v>60</v>
      </c>
      <c r="D1391" s="13">
        <v>1018359</v>
      </c>
      <c r="F1391" t="s">
        <v>130</v>
      </c>
      <c r="G1391">
        <v>0</v>
      </c>
      <c r="H1391">
        <v>100</v>
      </c>
      <c r="K1391">
        <v>10</v>
      </c>
      <c r="L1391" t="s">
        <v>131</v>
      </c>
      <c r="M1391" s="50">
        <v>44875</v>
      </c>
      <c r="N1391" s="50">
        <v>2958465</v>
      </c>
      <c r="P1391">
        <v>0</v>
      </c>
      <c r="U1391">
        <v>4</v>
      </c>
      <c r="V1391">
        <v>1</v>
      </c>
      <c r="W1391" t="s">
        <v>132</v>
      </c>
      <c r="X1391">
        <v>0</v>
      </c>
    </row>
    <row r="1392" spans="1:24" x14ac:dyDescent="0.25">
      <c r="A1392">
        <v>1</v>
      </c>
      <c r="B1392" s="13">
        <v>590920300338</v>
      </c>
      <c r="C1392">
        <v>70</v>
      </c>
      <c r="D1392" s="13">
        <v>1022213</v>
      </c>
      <c r="F1392" t="s">
        <v>130</v>
      </c>
      <c r="G1392">
        <v>0</v>
      </c>
      <c r="H1392">
        <v>100</v>
      </c>
      <c r="K1392">
        <v>5.5919999999999996</v>
      </c>
      <c r="L1392" t="s">
        <v>131</v>
      </c>
      <c r="M1392" s="50">
        <v>44875</v>
      </c>
      <c r="N1392" s="50">
        <v>2958465</v>
      </c>
      <c r="P1392">
        <v>0</v>
      </c>
      <c r="U1392">
        <v>4</v>
      </c>
      <c r="V1392">
        <v>1</v>
      </c>
      <c r="W1392" t="s">
        <v>132</v>
      </c>
      <c r="X1392">
        <v>0</v>
      </c>
    </row>
    <row r="1393" spans="1:24" x14ac:dyDescent="0.25">
      <c r="A1393">
        <v>1</v>
      </c>
      <c r="B1393" s="13">
        <v>590920300338</v>
      </c>
      <c r="C1393">
        <v>80</v>
      </c>
      <c r="D1393" s="13">
        <v>12165638</v>
      </c>
      <c r="F1393" t="s">
        <v>130</v>
      </c>
      <c r="G1393">
        <v>0</v>
      </c>
      <c r="H1393">
        <v>100</v>
      </c>
      <c r="K1393">
        <v>1</v>
      </c>
      <c r="L1393" t="s">
        <v>131</v>
      </c>
      <c r="M1393" s="50">
        <v>44875</v>
      </c>
      <c r="N1393" s="50">
        <v>2958465</v>
      </c>
      <c r="P1393">
        <v>0</v>
      </c>
      <c r="U1393">
        <v>4</v>
      </c>
      <c r="V1393">
        <v>1</v>
      </c>
      <c r="W1393" t="s">
        <v>132</v>
      </c>
      <c r="X1393">
        <v>0</v>
      </c>
    </row>
    <row r="1394" spans="1:24" x14ac:dyDescent="0.25">
      <c r="A1394">
        <v>1</v>
      </c>
      <c r="B1394" s="13">
        <v>590920300538</v>
      </c>
      <c r="C1394">
        <v>10</v>
      </c>
      <c r="D1394" s="13">
        <v>5957163005</v>
      </c>
      <c r="F1394" t="s">
        <v>130</v>
      </c>
      <c r="G1394">
        <v>0</v>
      </c>
      <c r="H1394">
        <v>100</v>
      </c>
      <c r="K1394">
        <v>2</v>
      </c>
      <c r="L1394" t="s">
        <v>131</v>
      </c>
      <c r="M1394" s="50">
        <v>44875</v>
      </c>
      <c r="N1394" s="50">
        <v>2958465</v>
      </c>
      <c r="P1394">
        <v>0</v>
      </c>
      <c r="U1394">
        <v>4</v>
      </c>
      <c r="V1394">
        <v>1</v>
      </c>
      <c r="W1394" t="s">
        <v>132</v>
      </c>
      <c r="X1394">
        <v>0</v>
      </c>
    </row>
    <row r="1395" spans="1:24" x14ac:dyDescent="0.25">
      <c r="A1395">
        <v>1</v>
      </c>
      <c r="B1395" s="13">
        <v>590920300538</v>
      </c>
      <c r="C1395">
        <v>20</v>
      </c>
      <c r="D1395" s="13">
        <v>5957333005</v>
      </c>
      <c r="F1395" t="s">
        <v>130</v>
      </c>
      <c r="G1395">
        <v>0</v>
      </c>
      <c r="H1395">
        <v>100</v>
      </c>
      <c r="K1395">
        <v>1</v>
      </c>
      <c r="L1395" t="s">
        <v>131</v>
      </c>
      <c r="M1395" s="50">
        <v>44875</v>
      </c>
      <c r="N1395" s="50">
        <v>2958465</v>
      </c>
      <c r="P1395">
        <v>0</v>
      </c>
      <c r="U1395">
        <v>4</v>
      </c>
      <c r="V1395">
        <v>1</v>
      </c>
      <c r="W1395" t="s">
        <v>132</v>
      </c>
      <c r="X1395">
        <v>0</v>
      </c>
    </row>
    <row r="1396" spans="1:24" x14ac:dyDescent="0.25">
      <c r="A1396">
        <v>1</v>
      </c>
      <c r="B1396" s="13">
        <v>590920300538</v>
      </c>
      <c r="C1396">
        <v>30</v>
      </c>
      <c r="D1396" s="13">
        <v>5957303005</v>
      </c>
      <c r="F1396" t="s">
        <v>130</v>
      </c>
      <c r="G1396">
        <v>0</v>
      </c>
      <c r="H1396">
        <v>100</v>
      </c>
      <c r="K1396">
        <v>1</v>
      </c>
      <c r="L1396" t="s">
        <v>131</v>
      </c>
      <c r="M1396" s="50">
        <v>44875</v>
      </c>
      <c r="N1396" s="50">
        <v>2958465</v>
      </c>
      <c r="P1396">
        <v>0</v>
      </c>
      <c r="U1396">
        <v>4</v>
      </c>
      <c r="V1396">
        <v>1</v>
      </c>
      <c r="W1396" t="s">
        <v>132</v>
      </c>
      <c r="X1396">
        <v>0</v>
      </c>
    </row>
    <row r="1397" spans="1:24" x14ac:dyDescent="0.25">
      <c r="A1397">
        <v>1</v>
      </c>
      <c r="B1397" s="13">
        <v>590920300538</v>
      </c>
      <c r="C1397">
        <v>40</v>
      </c>
      <c r="D1397" s="13">
        <v>5957093005</v>
      </c>
      <c r="F1397" t="s">
        <v>130</v>
      </c>
      <c r="G1397">
        <v>0</v>
      </c>
      <c r="H1397">
        <v>100</v>
      </c>
      <c r="K1397">
        <v>1</v>
      </c>
      <c r="L1397" t="s">
        <v>131</v>
      </c>
      <c r="M1397" s="50">
        <v>44875</v>
      </c>
      <c r="N1397" s="50">
        <v>2958465</v>
      </c>
      <c r="P1397">
        <v>0</v>
      </c>
      <c r="U1397">
        <v>4</v>
      </c>
      <c r="V1397">
        <v>1</v>
      </c>
      <c r="W1397" t="s">
        <v>132</v>
      </c>
      <c r="X1397">
        <v>0</v>
      </c>
    </row>
    <row r="1398" spans="1:24" x14ac:dyDescent="0.25">
      <c r="A1398">
        <v>1</v>
      </c>
      <c r="B1398" s="13">
        <v>590920300538</v>
      </c>
      <c r="C1398">
        <v>50</v>
      </c>
      <c r="D1398" s="13">
        <v>1018034</v>
      </c>
      <c r="F1398" t="s">
        <v>130</v>
      </c>
      <c r="G1398">
        <v>0</v>
      </c>
      <c r="H1398">
        <v>100</v>
      </c>
      <c r="K1398">
        <v>4</v>
      </c>
      <c r="L1398" t="s">
        <v>131</v>
      </c>
      <c r="M1398" s="50">
        <v>44875</v>
      </c>
      <c r="N1398" s="50">
        <v>2958465</v>
      </c>
      <c r="P1398">
        <v>0</v>
      </c>
      <c r="U1398">
        <v>4</v>
      </c>
      <c r="V1398">
        <v>1</v>
      </c>
      <c r="W1398" t="s">
        <v>132</v>
      </c>
      <c r="X1398">
        <v>0</v>
      </c>
    </row>
    <row r="1399" spans="1:24" x14ac:dyDescent="0.25">
      <c r="A1399">
        <v>1</v>
      </c>
      <c r="B1399" s="13">
        <v>590920300538</v>
      </c>
      <c r="C1399">
        <v>60</v>
      </c>
      <c r="D1399" s="13">
        <v>1022356</v>
      </c>
      <c r="F1399" t="s">
        <v>130</v>
      </c>
      <c r="G1399">
        <v>0</v>
      </c>
      <c r="H1399">
        <v>100</v>
      </c>
      <c r="K1399">
        <v>10</v>
      </c>
      <c r="L1399" t="s">
        <v>131</v>
      </c>
      <c r="M1399" s="50">
        <v>44875</v>
      </c>
      <c r="N1399" s="50">
        <v>2958465</v>
      </c>
      <c r="P1399">
        <v>0</v>
      </c>
      <c r="U1399">
        <v>4</v>
      </c>
      <c r="V1399">
        <v>1</v>
      </c>
      <c r="W1399" t="s">
        <v>132</v>
      </c>
      <c r="X1399">
        <v>0</v>
      </c>
    </row>
    <row r="1400" spans="1:24" x14ac:dyDescent="0.25">
      <c r="A1400">
        <v>1</v>
      </c>
      <c r="B1400" s="13">
        <v>590920300538</v>
      </c>
      <c r="C1400">
        <v>70</v>
      </c>
      <c r="D1400" s="13">
        <v>1022213</v>
      </c>
      <c r="F1400" t="s">
        <v>130</v>
      </c>
      <c r="G1400">
        <v>0</v>
      </c>
      <c r="H1400">
        <v>100</v>
      </c>
      <c r="K1400">
        <v>5.5919999999999996</v>
      </c>
      <c r="L1400" t="s">
        <v>131</v>
      </c>
      <c r="M1400" s="50">
        <v>44875</v>
      </c>
      <c r="N1400" s="50">
        <v>2958465</v>
      </c>
      <c r="P1400">
        <v>0</v>
      </c>
      <c r="U1400">
        <v>4</v>
      </c>
      <c r="V1400">
        <v>1</v>
      </c>
      <c r="W1400" t="s">
        <v>132</v>
      </c>
      <c r="X1400">
        <v>0</v>
      </c>
    </row>
    <row r="1401" spans="1:24" x14ac:dyDescent="0.25">
      <c r="A1401">
        <v>1</v>
      </c>
      <c r="B1401" s="13">
        <v>590920300538</v>
      </c>
      <c r="C1401">
        <v>80</v>
      </c>
      <c r="D1401" s="13">
        <v>12165638</v>
      </c>
      <c r="F1401" t="s">
        <v>130</v>
      </c>
      <c r="G1401">
        <v>0</v>
      </c>
      <c r="H1401">
        <v>100</v>
      </c>
      <c r="K1401">
        <v>1</v>
      </c>
      <c r="L1401" t="s">
        <v>131</v>
      </c>
      <c r="M1401" s="50">
        <v>44875</v>
      </c>
      <c r="N1401" s="50">
        <v>2958465</v>
      </c>
      <c r="P1401">
        <v>0</v>
      </c>
      <c r="U1401">
        <v>4</v>
      </c>
      <c r="V1401">
        <v>1</v>
      </c>
      <c r="W1401" t="s">
        <v>132</v>
      </c>
      <c r="X1401">
        <v>0</v>
      </c>
    </row>
    <row r="1402" spans="1:24" x14ac:dyDescent="0.25">
      <c r="A1402">
        <v>1</v>
      </c>
      <c r="B1402" s="13">
        <v>590920300938</v>
      </c>
      <c r="C1402">
        <v>10</v>
      </c>
      <c r="D1402" s="13">
        <v>5957163009</v>
      </c>
      <c r="F1402" t="s">
        <v>130</v>
      </c>
      <c r="G1402">
        <v>0</v>
      </c>
      <c r="H1402">
        <v>100</v>
      </c>
      <c r="K1402">
        <v>2</v>
      </c>
      <c r="L1402" t="s">
        <v>131</v>
      </c>
      <c r="M1402" s="50">
        <v>44875</v>
      </c>
      <c r="N1402" s="50">
        <v>2958465</v>
      </c>
      <c r="P1402">
        <v>0</v>
      </c>
      <c r="U1402">
        <v>4</v>
      </c>
      <c r="V1402">
        <v>1</v>
      </c>
      <c r="W1402" t="s">
        <v>132</v>
      </c>
      <c r="X1402">
        <v>0</v>
      </c>
    </row>
    <row r="1403" spans="1:24" x14ac:dyDescent="0.25">
      <c r="A1403">
        <v>1</v>
      </c>
      <c r="B1403" s="13">
        <v>590920300938</v>
      </c>
      <c r="C1403">
        <v>20</v>
      </c>
      <c r="D1403" s="13">
        <v>5957333009</v>
      </c>
      <c r="F1403" t="s">
        <v>130</v>
      </c>
      <c r="G1403">
        <v>0</v>
      </c>
      <c r="H1403">
        <v>100</v>
      </c>
      <c r="K1403">
        <v>1</v>
      </c>
      <c r="L1403" t="s">
        <v>131</v>
      </c>
      <c r="M1403" s="50">
        <v>44875</v>
      </c>
      <c r="N1403" s="50">
        <v>2958465</v>
      </c>
      <c r="P1403">
        <v>0</v>
      </c>
      <c r="U1403">
        <v>4</v>
      </c>
      <c r="V1403">
        <v>1</v>
      </c>
      <c r="W1403" t="s">
        <v>132</v>
      </c>
      <c r="X1403">
        <v>0</v>
      </c>
    </row>
    <row r="1404" spans="1:24" x14ac:dyDescent="0.25">
      <c r="A1404">
        <v>1</v>
      </c>
      <c r="B1404" s="13">
        <v>590920300938</v>
      </c>
      <c r="C1404">
        <v>30</v>
      </c>
      <c r="D1404" s="13">
        <v>5957303009</v>
      </c>
      <c r="F1404" t="s">
        <v>130</v>
      </c>
      <c r="G1404">
        <v>0</v>
      </c>
      <c r="H1404">
        <v>100</v>
      </c>
      <c r="K1404">
        <v>1</v>
      </c>
      <c r="L1404" t="s">
        <v>131</v>
      </c>
      <c r="M1404" s="50">
        <v>44875</v>
      </c>
      <c r="N1404" s="50">
        <v>2958465</v>
      </c>
      <c r="P1404">
        <v>0</v>
      </c>
      <c r="U1404">
        <v>4</v>
      </c>
      <c r="V1404">
        <v>1</v>
      </c>
      <c r="W1404" t="s">
        <v>132</v>
      </c>
      <c r="X1404">
        <v>0</v>
      </c>
    </row>
    <row r="1405" spans="1:24" x14ac:dyDescent="0.25">
      <c r="A1405">
        <v>1</v>
      </c>
      <c r="B1405" s="13">
        <v>590920300938</v>
      </c>
      <c r="C1405">
        <v>40</v>
      </c>
      <c r="D1405" s="13">
        <v>5957093009</v>
      </c>
      <c r="F1405" t="s">
        <v>130</v>
      </c>
      <c r="G1405">
        <v>0</v>
      </c>
      <c r="H1405">
        <v>100</v>
      </c>
      <c r="K1405">
        <v>1</v>
      </c>
      <c r="L1405" t="s">
        <v>131</v>
      </c>
      <c r="M1405" s="50">
        <v>44875</v>
      </c>
      <c r="N1405" s="50">
        <v>2958465</v>
      </c>
      <c r="P1405">
        <v>0</v>
      </c>
      <c r="U1405">
        <v>4</v>
      </c>
      <c r="V1405">
        <v>1</v>
      </c>
      <c r="W1405" t="s">
        <v>132</v>
      </c>
      <c r="X1405">
        <v>0</v>
      </c>
    </row>
    <row r="1406" spans="1:24" x14ac:dyDescent="0.25">
      <c r="A1406">
        <v>1</v>
      </c>
      <c r="B1406" s="13">
        <v>590920300938</v>
      </c>
      <c r="C1406">
        <v>50</v>
      </c>
      <c r="D1406" s="13">
        <v>1018034</v>
      </c>
      <c r="F1406" t="s">
        <v>130</v>
      </c>
      <c r="G1406">
        <v>0</v>
      </c>
      <c r="H1406">
        <v>100</v>
      </c>
      <c r="K1406">
        <v>4</v>
      </c>
      <c r="L1406" t="s">
        <v>131</v>
      </c>
      <c r="M1406" s="50">
        <v>44875</v>
      </c>
      <c r="N1406" s="50">
        <v>2958465</v>
      </c>
      <c r="P1406">
        <v>0</v>
      </c>
      <c r="U1406">
        <v>4</v>
      </c>
      <c r="V1406">
        <v>1</v>
      </c>
      <c r="W1406" t="s">
        <v>132</v>
      </c>
      <c r="X1406">
        <v>0</v>
      </c>
    </row>
    <row r="1407" spans="1:24" x14ac:dyDescent="0.25">
      <c r="A1407">
        <v>1</v>
      </c>
      <c r="B1407" s="13">
        <v>590920300938</v>
      </c>
      <c r="C1407">
        <v>60</v>
      </c>
      <c r="D1407" s="13">
        <v>1018359</v>
      </c>
      <c r="F1407" t="s">
        <v>130</v>
      </c>
      <c r="G1407">
        <v>0</v>
      </c>
      <c r="H1407">
        <v>100</v>
      </c>
      <c r="K1407">
        <v>10</v>
      </c>
      <c r="L1407" t="s">
        <v>131</v>
      </c>
      <c r="M1407" s="50">
        <v>44875</v>
      </c>
      <c r="N1407" s="50">
        <v>2958465</v>
      </c>
      <c r="P1407">
        <v>0</v>
      </c>
      <c r="U1407">
        <v>4</v>
      </c>
      <c r="V1407">
        <v>1</v>
      </c>
      <c r="W1407" t="s">
        <v>132</v>
      </c>
      <c r="X1407">
        <v>0</v>
      </c>
    </row>
    <row r="1408" spans="1:24" x14ac:dyDescent="0.25">
      <c r="A1408">
        <v>1</v>
      </c>
      <c r="B1408" s="13">
        <v>590920300938</v>
      </c>
      <c r="C1408">
        <v>70</v>
      </c>
      <c r="D1408" s="13">
        <v>1022213</v>
      </c>
      <c r="F1408" t="s">
        <v>130</v>
      </c>
      <c r="G1408">
        <v>0</v>
      </c>
      <c r="H1408">
        <v>100</v>
      </c>
      <c r="K1408">
        <v>5.5919999999999996</v>
      </c>
      <c r="L1408" t="s">
        <v>131</v>
      </c>
      <c r="M1408" s="50">
        <v>44875</v>
      </c>
      <c r="N1408" s="50">
        <v>2958465</v>
      </c>
      <c r="P1408">
        <v>0</v>
      </c>
      <c r="U1408">
        <v>4</v>
      </c>
      <c r="V1408">
        <v>1</v>
      </c>
      <c r="W1408" t="s">
        <v>132</v>
      </c>
      <c r="X1408">
        <v>0</v>
      </c>
    </row>
    <row r="1409" spans="1:24" x14ac:dyDescent="0.25">
      <c r="A1409">
        <v>1</v>
      </c>
      <c r="B1409" s="13">
        <v>590920300938</v>
      </c>
      <c r="C1409">
        <v>80</v>
      </c>
      <c r="D1409" s="13">
        <v>12165638</v>
      </c>
      <c r="F1409" t="s">
        <v>130</v>
      </c>
      <c r="G1409">
        <v>0</v>
      </c>
      <c r="H1409">
        <v>100</v>
      </c>
      <c r="K1409">
        <v>1</v>
      </c>
      <c r="L1409" t="s">
        <v>131</v>
      </c>
      <c r="M1409" s="50">
        <v>44875</v>
      </c>
      <c r="N1409" s="50">
        <v>2958465</v>
      </c>
      <c r="P1409">
        <v>0</v>
      </c>
      <c r="U1409">
        <v>4</v>
      </c>
      <c r="V1409">
        <v>1</v>
      </c>
      <c r="W1409" t="s">
        <v>132</v>
      </c>
      <c r="X1409">
        <v>0</v>
      </c>
    </row>
    <row r="1410" spans="1:24" x14ac:dyDescent="0.25">
      <c r="A1410">
        <v>1</v>
      </c>
      <c r="B1410" s="13">
        <v>590920300044</v>
      </c>
      <c r="C1410">
        <v>10</v>
      </c>
      <c r="D1410" s="13">
        <v>5957163099</v>
      </c>
      <c r="F1410" t="s">
        <v>130</v>
      </c>
      <c r="G1410">
        <v>0</v>
      </c>
      <c r="H1410">
        <v>100</v>
      </c>
      <c r="K1410">
        <v>2</v>
      </c>
      <c r="L1410" t="s">
        <v>131</v>
      </c>
      <c r="M1410" s="50">
        <v>44875</v>
      </c>
      <c r="N1410" s="50">
        <v>2958465</v>
      </c>
      <c r="P1410">
        <v>0</v>
      </c>
      <c r="U1410">
        <v>4</v>
      </c>
      <c r="V1410">
        <v>1</v>
      </c>
      <c r="W1410" t="s">
        <v>132</v>
      </c>
      <c r="X1410">
        <v>0</v>
      </c>
    </row>
    <row r="1411" spans="1:24" x14ac:dyDescent="0.25">
      <c r="A1411">
        <v>1</v>
      </c>
      <c r="B1411" s="13">
        <v>590920300044</v>
      </c>
      <c r="C1411">
        <v>20</v>
      </c>
      <c r="D1411" s="13">
        <v>5957333099</v>
      </c>
      <c r="F1411" t="s">
        <v>130</v>
      </c>
      <c r="G1411">
        <v>0</v>
      </c>
      <c r="H1411">
        <v>100</v>
      </c>
      <c r="K1411">
        <v>1</v>
      </c>
      <c r="L1411" t="s">
        <v>131</v>
      </c>
      <c r="M1411" s="50">
        <v>44875</v>
      </c>
      <c r="N1411" s="50">
        <v>2958465</v>
      </c>
      <c r="P1411">
        <v>0</v>
      </c>
      <c r="U1411">
        <v>4</v>
      </c>
      <c r="V1411">
        <v>1</v>
      </c>
      <c r="W1411" t="s">
        <v>132</v>
      </c>
      <c r="X1411">
        <v>0</v>
      </c>
    </row>
    <row r="1412" spans="1:24" x14ac:dyDescent="0.25">
      <c r="A1412">
        <v>1</v>
      </c>
      <c r="B1412" s="13">
        <v>590920300044</v>
      </c>
      <c r="C1412">
        <v>30</v>
      </c>
      <c r="D1412" s="13">
        <v>5957303099</v>
      </c>
      <c r="F1412" t="s">
        <v>130</v>
      </c>
      <c r="G1412">
        <v>0</v>
      </c>
      <c r="H1412">
        <v>100</v>
      </c>
      <c r="K1412">
        <v>1</v>
      </c>
      <c r="L1412" t="s">
        <v>131</v>
      </c>
      <c r="M1412" s="50">
        <v>44875</v>
      </c>
      <c r="N1412" s="50">
        <v>2958465</v>
      </c>
      <c r="P1412">
        <v>0</v>
      </c>
      <c r="U1412">
        <v>4</v>
      </c>
      <c r="V1412">
        <v>1</v>
      </c>
      <c r="W1412" t="s">
        <v>132</v>
      </c>
      <c r="X1412">
        <v>0</v>
      </c>
    </row>
    <row r="1413" spans="1:24" x14ac:dyDescent="0.25">
      <c r="A1413">
        <v>1</v>
      </c>
      <c r="B1413" s="13">
        <v>590920300044</v>
      </c>
      <c r="C1413">
        <v>40</v>
      </c>
      <c r="D1413" s="13">
        <v>1022219</v>
      </c>
      <c r="F1413" t="s">
        <v>130</v>
      </c>
      <c r="G1413">
        <v>0</v>
      </c>
      <c r="H1413">
        <v>100</v>
      </c>
      <c r="K1413">
        <v>1</v>
      </c>
      <c r="L1413" t="s">
        <v>131</v>
      </c>
      <c r="M1413" s="50">
        <v>44875</v>
      </c>
      <c r="N1413" s="50">
        <v>2958465</v>
      </c>
      <c r="P1413">
        <v>0</v>
      </c>
      <c r="U1413">
        <v>4</v>
      </c>
      <c r="V1413">
        <v>1</v>
      </c>
      <c r="W1413" t="s">
        <v>132</v>
      </c>
      <c r="X1413">
        <v>0</v>
      </c>
    </row>
    <row r="1414" spans="1:24" x14ac:dyDescent="0.25">
      <c r="A1414">
        <v>1</v>
      </c>
      <c r="B1414" s="13">
        <v>590920300044</v>
      </c>
      <c r="C1414">
        <v>50</v>
      </c>
      <c r="D1414" s="13">
        <v>1018034</v>
      </c>
      <c r="F1414" t="s">
        <v>130</v>
      </c>
      <c r="G1414">
        <v>0</v>
      </c>
      <c r="H1414">
        <v>100</v>
      </c>
      <c r="K1414">
        <v>4</v>
      </c>
      <c r="L1414" t="s">
        <v>131</v>
      </c>
      <c r="M1414" s="50">
        <v>44875</v>
      </c>
      <c r="N1414" s="50">
        <v>2958465</v>
      </c>
      <c r="P1414">
        <v>0</v>
      </c>
      <c r="U1414">
        <v>4</v>
      </c>
      <c r="V1414">
        <v>1</v>
      </c>
      <c r="W1414" t="s">
        <v>132</v>
      </c>
      <c r="X1414">
        <v>0</v>
      </c>
    </row>
    <row r="1415" spans="1:24" x14ac:dyDescent="0.25">
      <c r="A1415">
        <v>1</v>
      </c>
      <c r="B1415" s="13">
        <v>590920300044</v>
      </c>
      <c r="C1415">
        <v>60</v>
      </c>
      <c r="D1415" s="13">
        <v>1018359</v>
      </c>
      <c r="F1415" t="s">
        <v>130</v>
      </c>
      <c r="G1415">
        <v>0</v>
      </c>
      <c r="H1415">
        <v>100</v>
      </c>
      <c r="K1415">
        <v>10</v>
      </c>
      <c r="L1415" t="s">
        <v>131</v>
      </c>
      <c r="M1415" s="50">
        <v>44875</v>
      </c>
      <c r="N1415" s="50">
        <v>2958465</v>
      </c>
      <c r="P1415">
        <v>0</v>
      </c>
      <c r="U1415">
        <v>4</v>
      </c>
      <c r="V1415">
        <v>1</v>
      </c>
      <c r="W1415" t="s">
        <v>132</v>
      </c>
      <c r="X1415">
        <v>0</v>
      </c>
    </row>
    <row r="1416" spans="1:24" x14ac:dyDescent="0.25">
      <c r="A1416">
        <v>1</v>
      </c>
      <c r="B1416" s="13">
        <v>590920300044</v>
      </c>
      <c r="C1416">
        <v>70</v>
      </c>
      <c r="D1416" s="13">
        <v>1022213</v>
      </c>
      <c r="F1416" t="s">
        <v>130</v>
      </c>
      <c r="G1416">
        <v>0</v>
      </c>
      <c r="H1416">
        <v>100</v>
      </c>
      <c r="K1416">
        <v>5.5919999999999996</v>
      </c>
      <c r="L1416" t="s">
        <v>131</v>
      </c>
      <c r="M1416" s="50">
        <v>44875</v>
      </c>
      <c r="N1416" s="50">
        <v>2958465</v>
      </c>
      <c r="P1416">
        <v>0</v>
      </c>
      <c r="U1416">
        <v>4</v>
      </c>
      <c r="V1416">
        <v>1</v>
      </c>
      <c r="W1416" t="s">
        <v>132</v>
      </c>
      <c r="X1416">
        <v>0</v>
      </c>
    </row>
    <row r="1417" spans="1:24" x14ac:dyDescent="0.25">
      <c r="A1417">
        <v>1</v>
      </c>
      <c r="B1417" s="13">
        <v>590920300044</v>
      </c>
      <c r="C1417">
        <v>80</v>
      </c>
      <c r="D1417" s="13">
        <v>12165644</v>
      </c>
      <c r="F1417" t="s">
        <v>130</v>
      </c>
      <c r="G1417">
        <v>0</v>
      </c>
      <c r="H1417">
        <v>100</v>
      </c>
      <c r="K1417">
        <v>1</v>
      </c>
      <c r="L1417" t="s">
        <v>131</v>
      </c>
      <c r="M1417" s="50">
        <v>44875</v>
      </c>
      <c r="N1417" s="50">
        <v>2958465</v>
      </c>
      <c r="P1417">
        <v>0</v>
      </c>
      <c r="U1417">
        <v>4</v>
      </c>
      <c r="V1417">
        <v>1</v>
      </c>
      <c r="W1417" t="s">
        <v>132</v>
      </c>
      <c r="X1417">
        <v>0</v>
      </c>
    </row>
    <row r="1418" spans="1:24" x14ac:dyDescent="0.25">
      <c r="A1418">
        <v>1</v>
      </c>
      <c r="B1418" s="13">
        <v>590920300344</v>
      </c>
      <c r="C1418">
        <v>10</v>
      </c>
      <c r="D1418" s="13">
        <v>5957163003</v>
      </c>
      <c r="F1418" t="s">
        <v>130</v>
      </c>
      <c r="G1418">
        <v>0</v>
      </c>
      <c r="H1418">
        <v>100</v>
      </c>
      <c r="K1418">
        <v>2</v>
      </c>
      <c r="L1418" t="s">
        <v>131</v>
      </c>
      <c r="M1418" s="50">
        <v>44875</v>
      </c>
      <c r="N1418" s="50">
        <v>2958465</v>
      </c>
      <c r="P1418">
        <v>0</v>
      </c>
      <c r="U1418">
        <v>4</v>
      </c>
      <c r="V1418">
        <v>1</v>
      </c>
      <c r="W1418" t="s">
        <v>132</v>
      </c>
      <c r="X1418">
        <v>0</v>
      </c>
    </row>
    <row r="1419" spans="1:24" x14ac:dyDescent="0.25">
      <c r="A1419">
        <v>1</v>
      </c>
      <c r="B1419" s="13">
        <v>590920300344</v>
      </c>
      <c r="C1419">
        <v>20</v>
      </c>
      <c r="D1419" s="13">
        <v>5957333003</v>
      </c>
      <c r="F1419" t="s">
        <v>130</v>
      </c>
      <c r="G1419">
        <v>0</v>
      </c>
      <c r="H1419">
        <v>100</v>
      </c>
      <c r="K1419">
        <v>1</v>
      </c>
      <c r="L1419" t="s">
        <v>131</v>
      </c>
      <c r="M1419" s="50">
        <v>44875</v>
      </c>
      <c r="N1419" s="50">
        <v>2958465</v>
      </c>
      <c r="P1419">
        <v>0</v>
      </c>
      <c r="U1419">
        <v>4</v>
      </c>
      <c r="V1419">
        <v>1</v>
      </c>
      <c r="W1419" t="s">
        <v>132</v>
      </c>
      <c r="X1419">
        <v>0</v>
      </c>
    </row>
    <row r="1420" spans="1:24" x14ac:dyDescent="0.25">
      <c r="A1420">
        <v>1</v>
      </c>
      <c r="B1420" s="13">
        <v>590920300344</v>
      </c>
      <c r="C1420">
        <v>30</v>
      </c>
      <c r="D1420" s="13">
        <v>5957303003</v>
      </c>
      <c r="F1420" t="s">
        <v>130</v>
      </c>
      <c r="G1420">
        <v>0</v>
      </c>
      <c r="H1420">
        <v>100</v>
      </c>
      <c r="K1420">
        <v>1</v>
      </c>
      <c r="L1420" t="s">
        <v>131</v>
      </c>
      <c r="M1420" s="50">
        <v>44875</v>
      </c>
      <c r="N1420" s="50">
        <v>2958465</v>
      </c>
      <c r="P1420">
        <v>0</v>
      </c>
      <c r="U1420">
        <v>4</v>
      </c>
      <c r="V1420">
        <v>1</v>
      </c>
      <c r="W1420" t="s">
        <v>132</v>
      </c>
      <c r="X1420">
        <v>0</v>
      </c>
    </row>
    <row r="1421" spans="1:24" x14ac:dyDescent="0.25">
      <c r="A1421">
        <v>1</v>
      </c>
      <c r="B1421" s="13">
        <v>590920300344</v>
      </c>
      <c r="C1421">
        <v>40</v>
      </c>
      <c r="D1421" s="13">
        <v>5957093003</v>
      </c>
      <c r="F1421" t="s">
        <v>130</v>
      </c>
      <c r="G1421">
        <v>0</v>
      </c>
      <c r="H1421">
        <v>100</v>
      </c>
      <c r="K1421">
        <v>1</v>
      </c>
      <c r="L1421" t="s">
        <v>131</v>
      </c>
      <c r="M1421" s="50">
        <v>44875</v>
      </c>
      <c r="N1421" s="50">
        <v>2958465</v>
      </c>
      <c r="P1421">
        <v>0</v>
      </c>
      <c r="U1421">
        <v>4</v>
      </c>
      <c r="V1421">
        <v>1</v>
      </c>
      <c r="W1421" t="s">
        <v>132</v>
      </c>
      <c r="X1421">
        <v>0</v>
      </c>
    </row>
    <row r="1422" spans="1:24" x14ac:dyDescent="0.25">
      <c r="A1422">
        <v>1</v>
      </c>
      <c r="B1422" s="13">
        <v>590920300344</v>
      </c>
      <c r="C1422">
        <v>50</v>
      </c>
      <c r="D1422" s="13">
        <v>1018034</v>
      </c>
      <c r="F1422" t="s">
        <v>130</v>
      </c>
      <c r="G1422">
        <v>0</v>
      </c>
      <c r="H1422">
        <v>100</v>
      </c>
      <c r="K1422">
        <v>4</v>
      </c>
      <c r="L1422" t="s">
        <v>131</v>
      </c>
      <c r="M1422" s="50">
        <v>44875</v>
      </c>
      <c r="N1422" s="50">
        <v>2958465</v>
      </c>
      <c r="P1422">
        <v>0</v>
      </c>
      <c r="U1422">
        <v>4</v>
      </c>
      <c r="V1422">
        <v>1</v>
      </c>
      <c r="W1422" t="s">
        <v>132</v>
      </c>
      <c r="X1422">
        <v>0</v>
      </c>
    </row>
    <row r="1423" spans="1:24" x14ac:dyDescent="0.25">
      <c r="A1423">
        <v>1</v>
      </c>
      <c r="B1423" s="13">
        <v>590920300344</v>
      </c>
      <c r="C1423">
        <v>60</v>
      </c>
      <c r="D1423" s="13">
        <v>1018359</v>
      </c>
      <c r="F1423" t="s">
        <v>130</v>
      </c>
      <c r="G1423">
        <v>0</v>
      </c>
      <c r="H1423">
        <v>100</v>
      </c>
      <c r="K1423">
        <v>10</v>
      </c>
      <c r="L1423" t="s">
        <v>131</v>
      </c>
      <c r="M1423" s="50">
        <v>44875</v>
      </c>
      <c r="N1423" s="50">
        <v>2958465</v>
      </c>
      <c r="P1423">
        <v>0</v>
      </c>
      <c r="U1423">
        <v>4</v>
      </c>
      <c r="V1423">
        <v>1</v>
      </c>
      <c r="W1423" t="s">
        <v>132</v>
      </c>
      <c r="X1423">
        <v>0</v>
      </c>
    </row>
    <row r="1424" spans="1:24" x14ac:dyDescent="0.25">
      <c r="A1424">
        <v>1</v>
      </c>
      <c r="B1424" s="13">
        <v>590920300344</v>
      </c>
      <c r="C1424">
        <v>70</v>
      </c>
      <c r="D1424" s="13">
        <v>1022213</v>
      </c>
      <c r="F1424" t="s">
        <v>130</v>
      </c>
      <c r="G1424">
        <v>0</v>
      </c>
      <c r="H1424">
        <v>100</v>
      </c>
      <c r="K1424">
        <v>5.5919999999999996</v>
      </c>
      <c r="L1424" t="s">
        <v>131</v>
      </c>
      <c r="M1424" s="50">
        <v>44875</v>
      </c>
      <c r="N1424" s="50">
        <v>2958465</v>
      </c>
      <c r="P1424">
        <v>0</v>
      </c>
      <c r="U1424">
        <v>4</v>
      </c>
      <c r="V1424">
        <v>1</v>
      </c>
      <c r="W1424" t="s">
        <v>132</v>
      </c>
      <c r="X1424">
        <v>0</v>
      </c>
    </row>
    <row r="1425" spans="1:24" x14ac:dyDescent="0.25">
      <c r="A1425">
        <v>1</v>
      </c>
      <c r="B1425" s="13">
        <v>590920300344</v>
      </c>
      <c r="C1425">
        <v>80</v>
      </c>
      <c r="D1425" s="13">
        <v>12165644</v>
      </c>
      <c r="F1425" t="s">
        <v>130</v>
      </c>
      <c r="G1425">
        <v>0</v>
      </c>
      <c r="H1425">
        <v>100</v>
      </c>
      <c r="K1425">
        <v>1</v>
      </c>
      <c r="L1425" t="s">
        <v>131</v>
      </c>
      <c r="M1425" s="50">
        <v>44875</v>
      </c>
      <c r="N1425" s="50">
        <v>2958465</v>
      </c>
      <c r="P1425">
        <v>0</v>
      </c>
      <c r="U1425">
        <v>4</v>
      </c>
      <c r="V1425">
        <v>1</v>
      </c>
      <c r="W1425" t="s">
        <v>132</v>
      </c>
      <c r="X1425">
        <v>0</v>
      </c>
    </row>
    <row r="1426" spans="1:24" x14ac:dyDescent="0.25">
      <c r="A1426">
        <v>1</v>
      </c>
      <c r="B1426" s="13">
        <v>590920300544</v>
      </c>
      <c r="C1426">
        <v>10</v>
      </c>
      <c r="D1426" s="13">
        <v>5957163005</v>
      </c>
      <c r="F1426" t="s">
        <v>130</v>
      </c>
      <c r="G1426">
        <v>0</v>
      </c>
      <c r="H1426">
        <v>100</v>
      </c>
      <c r="K1426">
        <v>2</v>
      </c>
      <c r="L1426" t="s">
        <v>131</v>
      </c>
      <c r="M1426" s="50">
        <v>44875</v>
      </c>
      <c r="N1426" s="50">
        <v>2958465</v>
      </c>
      <c r="P1426">
        <v>0</v>
      </c>
      <c r="U1426">
        <v>4</v>
      </c>
      <c r="V1426">
        <v>1</v>
      </c>
      <c r="W1426" t="s">
        <v>132</v>
      </c>
      <c r="X1426">
        <v>0</v>
      </c>
    </row>
    <row r="1427" spans="1:24" x14ac:dyDescent="0.25">
      <c r="A1427">
        <v>1</v>
      </c>
      <c r="B1427" s="13">
        <v>590920300544</v>
      </c>
      <c r="C1427">
        <v>20</v>
      </c>
      <c r="D1427" s="13">
        <v>5957333005</v>
      </c>
      <c r="F1427" t="s">
        <v>130</v>
      </c>
      <c r="G1427">
        <v>0</v>
      </c>
      <c r="H1427">
        <v>100</v>
      </c>
      <c r="K1427">
        <v>1</v>
      </c>
      <c r="L1427" t="s">
        <v>131</v>
      </c>
      <c r="M1427" s="50">
        <v>44875</v>
      </c>
      <c r="N1427" s="50">
        <v>2958465</v>
      </c>
      <c r="P1427">
        <v>0</v>
      </c>
      <c r="U1427">
        <v>4</v>
      </c>
      <c r="V1427">
        <v>1</v>
      </c>
      <c r="W1427" t="s">
        <v>132</v>
      </c>
      <c r="X1427">
        <v>0</v>
      </c>
    </row>
    <row r="1428" spans="1:24" x14ac:dyDescent="0.25">
      <c r="A1428">
        <v>1</v>
      </c>
      <c r="B1428" s="13">
        <v>590920300544</v>
      </c>
      <c r="C1428">
        <v>30</v>
      </c>
      <c r="D1428" s="13">
        <v>5957303005</v>
      </c>
      <c r="F1428" t="s">
        <v>130</v>
      </c>
      <c r="G1428">
        <v>0</v>
      </c>
      <c r="H1428">
        <v>100</v>
      </c>
      <c r="K1428">
        <v>1</v>
      </c>
      <c r="L1428" t="s">
        <v>131</v>
      </c>
      <c r="M1428" s="50">
        <v>44875</v>
      </c>
      <c r="N1428" s="50">
        <v>2958465</v>
      </c>
      <c r="P1428">
        <v>0</v>
      </c>
      <c r="U1428">
        <v>4</v>
      </c>
      <c r="V1428">
        <v>1</v>
      </c>
      <c r="W1428" t="s">
        <v>132</v>
      </c>
      <c r="X1428">
        <v>0</v>
      </c>
    </row>
    <row r="1429" spans="1:24" x14ac:dyDescent="0.25">
      <c r="A1429">
        <v>1</v>
      </c>
      <c r="B1429" s="13">
        <v>590920300544</v>
      </c>
      <c r="C1429">
        <v>40</v>
      </c>
      <c r="D1429" s="13">
        <v>5957093005</v>
      </c>
      <c r="F1429" t="s">
        <v>130</v>
      </c>
      <c r="G1429">
        <v>0</v>
      </c>
      <c r="H1429">
        <v>100</v>
      </c>
      <c r="K1429">
        <v>1</v>
      </c>
      <c r="L1429" t="s">
        <v>131</v>
      </c>
      <c r="M1429" s="50">
        <v>44875</v>
      </c>
      <c r="N1429" s="50">
        <v>2958465</v>
      </c>
      <c r="P1429">
        <v>0</v>
      </c>
      <c r="U1429">
        <v>4</v>
      </c>
      <c r="V1429">
        <v>1</v>
      </c>
      <c r="W1429" t="s">
        <v>132</v>
      </c>
      <c r="X1429">
        <v>0</v>
      </c>
    </row>
    <row r="1430" spans="1:24" x14ac:dyDescent="0.25">
      <c r="A1430">
        <v>1</v>
      </c>
      <c r="B1430" s="13">
        <v>590920300544</v>
      </c>
      <c r="C1430">
        <v>50</v>
      </c>
      <c r="D1430" s="13">
        <v>1018034</v>
      </c>
      <c r="F1430" t="s">
        <v>130</v>
      </c>
      <c r="G1430">
        <v>0</v>
      </c>
      <c r="H1430">
        <v>100</v>
      </c>
      <c r="K1430">
        <v>4</v>
      </c>
      <c r="L1430" t="s">
        <v>131</v>
      </c>
      <c r="M1430" s="50">
        <v>44875</v>
      </c>
      <c r="N1430" s="50">
        <v>2958465</v>
      </c>
      <c r="P1430">
        <v>0</v>
      </c>
      <c r="U1430">
        <v>4</v>
      </c>
      <c r="V1430">
        <v>1</v>
      </c>
      <c r="W1430" t="s">
        <v>132</v>
      </c>
      <c r="X1430">
        <v>0</v>
      </c>
    </row>
    <row r="1431" spans="1:24" x14ac:dyDescent="0.25">
      <c r="A1431">
        <v>1</v>
      </c>
      <c r="B1431" s="13">
        <v>590920300544</v>
      </c>
      <c r="C1431">
        <v>60</v>
      </c>
      <c r="D1431" s="13">
        <v>1022356</v>
      </c>
      <c r="F1431" t="s">
        <v>130</v>
      </c>
      <c r="G1431">
        <v>0</v>
      </c>
      <c r="H1431">
        <v>100</v>
      </c>
      <c r="K1431">
        <v>10</v>
      </c>
      <c r="L1431" t="s">
        <v>131</v>
      </c>
      <c r="M1431" s="50">
        <v>44875</v>
      </c>
      <c r="N1431" s="50">
        <v>2958465</v>
      </c>
      <c r="P1431">
        <v>0</v>
      </c>
      <c r="U1431">
        <v>4</v>
      </c>
      <c r="V1431">
        <v>1</v>
      </c>
      <c r="W1431" t="s">
        <v>132</v>
      </c>
      <c r="X1431">
        <v>0</v>
      </c>
    </row>
    <row r="1432" spans="1:24" x14ac:dyDescent="0.25">
      <c r="A1432">
        <v>1</v>
      </c>
      <c r="B1432" s="13">
        <v>590920300544</v>
      </c>
      <c r="C1432">
        <v>70</v>
      </c>
      <c r="D1432" s="13">
        <v>1022213</v>
      </c>
      <c r="F1432" t="s">
        <v>130</v>
      </c>
      <c r="G1432">
        <v>0</v>
      </c>
      <c r="H1432">
        <v>100</v>
      </c>
      <c r="K1432">
        <v>5.5919999999999996</v>
      </c>
      <c r="L1432" t="s">
        <v>131</v>
      </c>
      <c r="M1432" s="50">
        <v>44875</v>
      </c>
      <c r="N1432" s="50">
        <v>2958465</v>
      </c>
      <c r="P1432">
        <v>0</v>
      </c>
      <c r="U1432">
        <v>4</v>
      </c>
      <c r="V1432">
        <v>1</v>
      </c>
      <c r="W1432" t="s">
        <v>132</v>
      </c>
      <c r="X1432">
        <v>0</v>
      </c>
    </row>
    <row r="1433" spans="1:24" x14ac:dyDescent="0.25">
      <c r="A1433">
        <v>1</v>
      </c>
      <c r="B1433" s="13">
        <v>590920300544</v>
      </c>
      <c r="C1433">
        <v>80</v>
      </c>
      <c r="D1433" s="13">
        <v>12165644</v>
      </c>
      <c r="F1433" t="s">
        <v>130</v>
      </c>
      <c r="G1433">
        <v>0</v>
      </c>
      <c r="H1433">
        <v>100</v>
      </c>
      <c r="K1433">
        <v>1</v>
      </c>
      <c r="L1433" t="s">
        <v>131</v>
      </c>
      <c r="M1433" s="50">
        <v>44875</v>
      </c>
      <c r="N1433" s="50">
        <v>2958465</v>
      </c>
      <c r="P1433">
        <v>0</v>
      </c>
      <c r="U1433">
        <v>4</v>
      </c>
      <c r="V1433">
        <v>1</v>
      </c>
      <c r="W1433" t="s">
        <v>132</v>
      </c>
      <c r="X1433">
        <v>0</v>
      </c>
    </row>
    <row r="1434" spans="1:24" x14ac:dyDescent="0.25">
      <c r="A1434">
        <v>1</v>
      </c>
      <c r="B1434" s="13">
        <v>590920300844</v>
      </c>
      <c r="C1434">
        <v>10</v>
      </c>
      <c r="D1434" s="13">
        <v>5957163008</v>
      </c>
      <c r="F1434" t="s">
        <v>130</v>
      </c>
      <c r="G1434">
        <v>0</v>
      </c>
      <c r="H1434">
        <v>100</v>
      </c>
      <c r="K1434">
        <v>2</v>
      </c>
      <c r="L1434" t="s">
        <v>131</v>
      </c>
      <c r="M1434" s="50">
        <v>44875</v>
      </c>
      <c r="N1434" s="50">
        <v>2958465</v>
      </c>
      <c r="P1434">
        <v>0</v>
      </c>
      <c r="U1434">
        <v>4</v>
      </c>
      <c r="V1434">
        <v>1</v>
      </c>
      <c r="W1434" t="s">
        <v>132</v>
      </c>
      <c r="X1434">
        <v>0</v>
      </c>
    </row>
    <row r="1435" spans="1:24" x14ac:dyDescent="0.25">
      <c r="A1435">
        <v>1</v>
      </c>
      <c r="B1435" s="13">
        <v>590920300844</v>
      </c>
      <c r="C1435">
        <v>20</v>
      </c>
      <c r="D1435" s="13">
        <v>5957333008</v>
      </c>
      <c r="F1435" t="s">
        <v>130</v>
      </c>
      <c r="G1435">
        <v>0</v>
      </c>
      <c r="H1435">
        <v>100</v>
      </c>
      <c r="K1435">
        <v>1</v>
      </c>
      <c r="L1435" t="s">
        <v>131</v>
      </c>
      <c r="M1435" s="50">
        <v>44875</v>
      </c>
      <c r="N1435" s="50">
        <v>2958465</v>
      </c>
      <c r="P1435">
        <v>0</v>
      </c>
      <c r="U1435">
        <v>4</v>
      </c>
      <c r="V1435">
        <v>1</v>
      </c>
      <c r="W1435" t="s">
        <v>132</v>
      </c>
      <c r="X1435">
        <v>0</v>
      </c>
    </row>
    <row r="1436" spans="1:24" x14ac:dyDescent="0.25">
      <c r="A1436">
        <v>1</v>
      </c>
      <c r="B1436" s="13">
        <v>590920300844</v>
      </c>
      <c r="C1436">
        <v>30</v>
      </c>
      <c r="D1436" s="13">
        <v>5957303008</v>
      </c>
      <c r="F1436" t="s">
        <v>130</v>
      </c>
      <c r="G1436">
        <v>0</v>
      </c>
      <c r="H1436">
        <v>100</v>
      </c>
      <c r="K1436">
        <v>1</v>
      </c>
      <c r="L1436" t="s">
        <v>131</v>
      </c>
      <c r="M1436" s="50">
        <v>44875</v>
      </c>
      <c r="N1436" s="50">
        <v>2958465</v>
      </c>
      <c r="P1436">
        <v>0</v>
      </c>
      <c r="U1436">
        <v>4</v>
      </c>
      <c r="V1436">
        <v>1</v>
      </c>
      <c r="W1436" t="s">
        <v>132</v>
      </c>
      <c r="X1436">
        <v>0</v>
      </c>
    </row>
    <row r="1437" spans="1:24" x14ac:dyDescent="0.25">
      <c r="A1437">
        <v>1</v>
      </c>
      <c r="B1437" s="13">
        <v>590920300844</v>
      </c>
      <c r="C1437">
        <v>40</v>
      </c>
      <c r="D1437" s="13">
        <v>5957093008</v>
      </c>
      <c r="F1437" t="s">
        <v>130</v>
      </c>
      <c r="G1437">
        <v>0</v>
      </c>
      <c r="H1437">
        <v>100</v>
      </c>
      <c r="K1437">
        <v>1</v>
      </c>
      <c r="L1437" t="s">
        <v>131</v>
      </c>
      <c r="M1437" s="50">
        <v>44875</v>
      </c>
      <c r="N1437" s="50">
        <v>2958465</v>
      </c>
      <c r="P1437">
        <v>0</v>
      </c>
      <c r="U1437">
        <v>4</v>
      </c>
      <c r="V1437">
        <v>1</v>
      </c>
      <c r="W1437" t="s">
        <v>132</v>
      </c>
      <c r="X1437">
        <v>0</v>
      </c>
    </row>
    <row r="1438" spans="1:24" x14ac:dyDescent="0.25">
      <c r="A1438">
        <v>1</v>
      </c>
      <c r="B1438" s="13">
        <v>590920300844</v>
      </c>
      <c r="C1438">
        <v>50</v>
      </c>
      <c r="D1438" s="13">
        <v>1018034</v>
      </c>
      <c r="F1438" t="s">
        <v>130</v>
      </c>
      <c r="G1438">
        <v>0</v>
      </c>
      <c r="H1438">
        <v>100</v>
      </c>
      <c r="K1438">
        <v>4</v>
      </c>
      <c r="L1438" t="s">
        <v>131</v>
      </c>
      <c r="M1438" s="50">
        <v>44875</v>
      </c>
      <c r="N1438" s="50">
        <v>2958465</v>
      </c>
      <c r="P1438">
        <v>0</v>
      </c>
      <c r="U1438">
        <v>4</v>
      </c>
      <c r="V1438">
        <v>1</v>
      </c>
      <c r="W1438" t="s">
        <v>132</v>
      </c>
      <c r="X1438">
        <v>0</v>
      </c>
    </row>
    <row r="1439" spans="1:24" x14ac:dyDescent="0.25">
      <c r="A1439">
        <v>1</v>
      </c>
      <c r="B1439" s="13">
        <v>590920300844</v>
      </c>
      <c r="C1439">
        <v>60</v>
      </c>
      <c r="D1439" s="13">
        <v>1022356</v>
      </c>
      <c r="F1439" t="s">
        <v>130</v>
      </c>
      <c r="G1439">
        <v>0</v>
      </c>
      <c r="H1439">
        <v>100</v>
      </c>
      <c r="K1439">
        <v>10</v>
      </c>
      <c r="L1439" t="s">
        <v>131</v>
      </c>
      <c r="M1439" s="50">
        <v>44875</v>
      </c>
      <c r="N1439" s="50">
        <v>2958465</v>
      </c>
      <c r="P1439">
        <v>0</v>
      </c>
      <c r="U1439">
        <v>4</v>
      </c>
      <c r="V1439">
        <v>1</v>
      </c>
      <c r="W1439" t="s">
        <v>132</v>
      </c>
      <c r="X1439">
        <v>0</v>
      </c>
    </row>
    <row r="1440" spans="1:24" x14ac:dyDescent="0.25">
      <c r="A1440">
        <v>1</v>
      </c>
      <c r="B1440" s="13">
        <v>590920300844</v>
      </c>
      <c r="C1440">
        <v>70</v>
      </c>
      <c r="D1440" s="13">
        <v>1022213</v>
      </c>
      <c r="F1440" t="s">
        <v>130</v>
      </c>
      <c r="G1440">
        <v>0</v>
      </c>
      <c r="H1440">
        <v>100</v>
      </c>
      <c r="K1440">
        <v>5.5919999999999996</v>
      </c>
      <c r="L1440" t="s">
        <v>131</v>
      </c>
      <c r="M1440" s="50">
        <v>44875</v>
      </c>
      <c r="N1440" s="50">
        <v>2958465</v>
      </c>
      <c r="P1440">
        <v>0</v>
      </c>
      <c r="U1440">
        <v>4</v>
      </c>
      <c r="V1440">
        <v>1</v>
      </c>
      <c r="W1440" t="s">
        <v>132</v>
      </c>
      <c r="X1440">
        <v>0</v>
      </c>
    </row>
    <row r="1441" spans="1:24" x14ac:dyDescent="0.25">
      <c r="A1441">
        <v>1</v>
      </c>
      <c r="B1441" s="13">
        <v>590920300844</v>
      </c>
      <c r="C1441">
        <v>80</v>
      </c>
      <c r="D1441" s="13">
        <v>12165644</v>
      </c>
      <c r="F1441" t="s">
        <v>130</v>
      </c>
      <c r="G1441">
        <v>0</v>
      </c>
      <c r="H1441">
        <v>100</v>
      </c>
      <c r="K1441">
        <v>1</v>
      </c>
      <c r="L1441" t="s">
        <v>131</v>
      </c>
      <c r="M1441" s="50">
        <v>44875</v>
      </c>
      <c r="N1441" s="50">
        <v>2958465</v>
      </c>
      <c r="P1441">
        <v>0</v>
      </c>
      <c r="U1441">
        <v>4</v>
      </c>
      <c r="V1441">
        <v>1</v>
      </c>
      <c r="W1441" t="s">
        <v>132</v>
      </c>
      <c r="X1441">
        <v>0</v>
      </c>
    </row>
    <row r="1442" spans="1:24" x14ac:dyDescent="0.25">
      <c r="A1442">
        <v>1</v>
      </c>
      <c r="B1442" s="13">
        <v>590920300944</v>
      </c>
      <c r="C1442">
        <v>10</v>
      </c>
      <c r="D1442" s="13">
        <v>5957163009</v>
      </c>
      <c r="F1442" t="s">
        <v>130</v>
      </c>
      <c r="G1442">
        <v>0</v>
      </c>
      <c r="H1442">
        <v>100</v>
      </c>
      <c r="K1442">
        <v>2</v>
      </c>
      <c r="L1442" t="s">
        <v>131</v>
      </c>
      <c r="M1442" s="50">
        <v>44875</v>
      </c>
      <c r="N1442" s="50">
        <v>2958465</v>
      </c>
      <c r="P1442">
        <v>0</v>
      </c>
      <c r="U1442">
        <v>4</v>
      </c>
      <c r="V1442">
        <v>1</v>
      </c>
      <c r="W1442" t="s">
        <v>132</v>
      </c>
      <c r="X1442">
        <v>0</v>
      </c>
    </row>
    <row r="1443" spans="1:24" x14ac:dyDescent="0.25">
      <c r="A1443">
        <v>1</v>
      </c>
      <c r="B1443" s="13">
        <v>590920300944</v>
      </c>
      <c r="C1443">
        <v>20</v>
      </c>
      <c r="D1443" s="13">
        <v>5957333009</v>
      </c>
      <c r="F1443" t="s">
        <v>130</v>
      </c>
      <c r="G1443">
        <v>0</v>
      </c>
      <c r="H1443">
        <v>100</v>
      </c>
      <c r="K1443">
        <v>1</v>
      </c>
      <c r="L1443" t="s">
        <v>131</v>
      </c>
      <c r="M1443" s="50">
        <v>44875</v>
      </c>
      <c r="N1443" s="50">
        <v>2958465</v>
      </c>
      <c r="P1443">
        <v>0</v>
      </c>
      <c r="U1443">
        <v>4</v>
      </c>
      <c r="V1443">
        <v>1</v>
      </c>
      <c r="W1443" t="s">
        <v>132</v>
      </c>
      <c r="X1443">
        <v>0</v>
      </c>
    </row>
    <row r="1444" spans="1:24" x14ac:dyDescent="0.25">
      <c r="A1444">
        <v>1</v>
      </c>
      <c r="B1444" s="13">
        <v>590920300944</v>
      </c>
      <c r="C1444">
        <v>30</v>
      </c>
      <c r="D1444" s="13">
        <v>5957303009</v>
      </c>
      <c r="F1444" t="s">
        <v>130</v>
      </c>
      <c r="G1444">
        <v>0</v>
      </c>
      <c r="H1444">
        <v>100</v>
      </c>
      <c r="K1444">
        <v>1</v>
      </c>
      <c r="L1444" t="s">
        <v>131</v>
      </c>
      <c r="M1444" s="50">
        <v>44875</v>
      </c>
      <c r="N1444" s="50">
        <v>2958465</v>
      </c>
      <c r="P1444">
        <v>0</v>
      </c>
      <c r="U1444">
        <v>4</v>
      </c>
      <c r="V1444">
        <v>1</v>
      </c>
      <c r="W1444" t="s">
        <v>132</v>
      </c>
      <c r="X1444">
        <v>0</v>
      </c>
    </row>
    <row r="1445" spans="1:24" x14ac:dyDescent="0.25">
      <c r="A1445">
        <v>1</v>
      </c>
      <c r="B1445" s="13">
        <v>590920300944</v>
      </c>
      <c r="C1445">
        <v>40</v>
      </c>
      <c r="D1445" s="13">
        <v>5957093009</v>
      </c>
      <c r="F1445" t="s">
        <v>130</v>
      </c>
      <c r="G1445">
        <v>0</v>
      </c>
      <c r="H1445">
        <v>100</v>
      </c>
      <c r="K1445">
        <v>1</v>
      </c>
      <c r="L1445" t="s">
        <v>131</v>
      </c>
      <c r="M1445" s="50">
        <v>44875</v>
      </c>
      <c r="N1445" s="50">
        <v>2958465</v>
      </c>
      <c r="P1445">
        <v>0</v>
      </c>
      <c r="U1445">
        <v>4</v>
      </c>
      <c r="V1445">
        <v>1</v>
      </c>
      <c r="W1445" t="s">
        <v>132</v>
      </c>
      <c r="X1445">
        <v>0</v>
      </c>
    </row>
    <row r="1446" spans="1:24" x14ac:dyDescent="0.25">
      <c r="A1446">
        <v>1</v>
      </c>
      <c r="B1446" s="13">
        <v>590920300944</v>
      </c>
      <c r="C1446">
        <v>50</v>
      </c>
      <c r="D1446" s="13">
        <v>1018034</v>
      </c>
      <c r="F1446" t="s">
        <v>130</v>
      </c>
      <c r="G1446">
        <v>0</v>
      </c>
      <c r="H1446">
        <v>100</v>
      </c>
      <c r="K1446">
        <v>4</v>
      </c>
      <c r="L1446" t="s">
        <v>131</v>
      </c>
      <c r="M1446" s="50">
        <v>44875</v>
      </c>
      <c r="N1446" s="50">
        <v>2958465</v>
      </c>
      <c r="P1446">
        <v>0</v>
      </c>
      <c r="U1446">
        <v>4</v>
      </c>
      <c r="V1446">
        <v>1</v>
      </c>
      <c r="W1446" t="s">
        <v>132</v>
      </c>
      <c r="X1446">
        <v>0</v>
      </c>
    </row>
    <row r="1447" spans="1:24" x14ac:dyDescent="0.25">
      <c r="A1447">
        <v>1</v>
      </c>
      <c r="B1447" s="13">
        <v>590920300944</v>
      </c>
      <c r="C1447">
        <v>60</v>
      </c>
      <c r="D1447" s="13">
        <v>1018359</v>
      </c>
      <c r="F1447" t="s">
        <v>130</v>
      </c>
      <c r="G1447">
        <v>0</v>
      </c>
      <c r="H1447">
        <v>100</v>
      </c>
      <c r="K1447">
        <v>10</v>
      </c>
      <c r="L1447" t="s">
        <v>131</v>
      </c>
      <c r="M1447" s="50">
        <v>44875</v>
      </c>
      <c r="N1447" s="50">
        <v>2958465</v>
      </c>
      <c r="P1447">
        <v>0</v>
      </c>
      <c r="U1447">
        <v>4</v>
      </c>
      <c r="V1447">
        <v>1</v>
      </c>
      <c r="W1447" t="s">
        <v>132</v>
      </c>
      <c r="X1447">
        <v>0</v>
      </c>
    </row>
    <row r="1448" spans="1:24" x14ac:dyDescent="0.25">
      <c r="A1448">
        <v>1</v>
      </c>
      <c r="B1448" s="13">
        <v>590920300944</v>
      </c>
      <c r="C1448">
        <v>70</v>
      </c>
      <c r="D1448" s="13">
        <v>1022213</v>
      </c>
      <c r="F1448" t="s">
        <v>130</v>
      </c>
      <c r="G1448">
        <v>0</v>
      </c>
      <c r="H1448">
        <v>100</v>
      </c>
      <c r="K1448">
        <v>5.5919999999999996</v>
      </c>
      <c r="L1448" t="s">
        <v>131</v>
      </c>
      <c r="M1448" s="50">
        <v>44875</v>
      </c>
      <c r="N1448" s="50">
        <v>2958465</v>
      </c>
      <c r="P1448">
        <v>0</v>
      </c>
      <c r="U1448">
        <v>4</v>
      </c>
      <c r="V1448">
        <v>1</v>
      </c>
      <c r="W1448" t="s">
        <v>132</v>
      </c>
      <c r="X1448">
        <v>0</v>
      </c>
    </row>
    <row r="1449" spans="1:24" x14ac:dyDescent="0.25">
      <c r="A1449">
        <v>1</v>
      </c>
      <c r="B1449" s="13">
        <v>590920300944</v>
      </c>
      <c r="C1449">
        <v>80</v>
      </c>
      <c r="D1449" s="13">
        <v>12165644</v>
      </c>
      <c r="F1449" t="s">
        <v>130</v>
      </c>
      <c r="G1449">
        <v>0</v>
      </c>
      <c r="H1449">
        <v>100</v>
      </c>
      <c r="K1449">
        <v>1</v>
      </c>
      <c r="L1449" t="s">
        <v>131</v>
      </c>
      <c r="M1449" s="50">
        <v>44875</v>
      </c>
      <c r="N1449" s="50">
        <v>2958465</v>
      </c>
      <c r="P1449">
        <v>0</v>
      </c>
      <c r="U1449">
        <v>4</v>
      </c>
      <c r="V1449">
        <v>1</v>
      </c>
      <c r="W1449" t="s">
        <v>132</v>
      </c>
      <c r="X1449">
        <v>0</v>
      </c>
    </row>
    <row r="1450" spans="1:24" x14ac:dyDescent="0.25">
      <c r="A1450">
        <v>1</v>
      </c>
      <c r="B1450" s="13">
        <v>590920300010</v>
      </c>
      <c r="C1450">
        <v>10</v>
      </c>
      <c r="D1450" s="13">
        <v>5957163099</v>
      </c>
      <c r="F1450" t="s">
        <v>130</v>
      </c>
      <c r="G1450">
        <v>0</v>
      </c>
      <c r="H1450">
        <v>100</v>
      </c>
      <c r="K1450">
        <v>2</v>
      </c>
      <c r="L1450" t="s">
        <v>131</v>
      </c>
      <c r="M1450" s="50">
        <v>44875</v>
      </c>
      <c r="N1450" s="50">
        <v>2958465</v>
      </c>
      <c r="P1450">
        <v>0</v>
      </c>
      <c r="U1450">
        <v>4</v>
      </c>
      <c r="V1450">
        <v>1</v>
      </c>
      <c r="W1450" t="s">
        <v>132</v>
      </c>
      <c r="X1450">
        <v>0</v>
      </c>
    </row>
    <row r="1451" spans="1:24" x14ac:dyDescent="0.25">
      <c r="A1451">
        <v>1</v>
      </c>
      <c r="B1451" s="13">
        <v>590920300010</v>
      </c>
      <c r="C1451">
        <v>20</v>
      </c>
      <c r="D1451" s="13">
        <v>5957333099</v>
      </c>
      <c r="F1451" t="s">
        <v>130</v>
      </c>
      <c r="G1451">
        <v>0</v>
      </c>
      <c r="H1451">
        <v>100</v>
      </c>
      <c r="K1451">
        <v>1</v>
      </c>
      <c r="L1451" t="s">
        <v>131</v>
      </c>
      <c r="M1451" s="50">
        <v>44875</v>
      </c>
      <c r="N1451" s="50">
        <v>2958465</v>
      </c>
      <c r="P1451">
        <v>0</v>
      </c>
      <c r="U1451">
        <v>4</v>
      </c>
      <c r="V1451">
        <v>1</v>
      </c>
      <c r="W1451" t="s">
        <v>132</v>
      </c>
      <c r="X1451">
        <v>0</v>
      </c>
    </row>
    <row r="1452" spans="1:24" x14ac:dyDescent="0.25">
      <c r="A1452">
        <v>1</v>
      </c>
      <c r="B1452" s="13">
        <v>590920300010</v>
      </c>
      <c r="C1452">
        <v>30</v>
      </c>
      <c r="D1452" s="13">
        <v>5957303099</v>
      </c>
      <c r="F1452" t="s">
        <v>130</v>
      </c>
      <c r="G1452">
        <v>0</v>
      </c>
      <c r="H1452">
        <v>100</v>
      </c>
      <c r="K1452">
        <v>1</v>
      </c>
      <c r="L1452" t="s">
        <v>131</v>
      </c>
      <c r="M1452" s="50">
        <v>44875</v>
      </c>
      <c r="N1452" s="50">
        <v>2958465</v>
      </c>
      <c r="P1452">
        <v>0</v>
      </c>
      <c r="U1452">
        <v>4</v>
      </c>
      <c r="V1452">
        <v>1</v>
      </c>
      <c r="W1452" t="s">
        <v>132</v>
      </c>
      <c r="X1452">
        <v>0</v>
      </c>
    </row>
    <row r="1453" spans="1:24" x14ac:dyDescent="0.25">
      <c r="A1453">
        <v>1</v>
      </c>
      <c r="B1453" s="13">
        <v>590920300010</v>
      </c>
      <c r="C1453">
        <v>40</v>
      </c>
      <c r="D1453" s="13">
        <v>1022219</v>
      </c>
      <c r="F1453" t="s">
        <v>130</v>
      </c>
      <c r="G1453">
        <v>0</v>
      </c>
      <c r="H1453">
        <v>100</v>
      </c>
      <c r="K1453">
        <v>1</v>
      </c>
      <c r="L1453" t="s">
        <v>131</v>
      </c>
      <c r="M1453" s="50">
        <v>44875</v>
      </c>
      <c r="N1453" s="50">
        <v>2958465</v>
      </c>
      <c r="P1453">
        <v>0</v>
      </c>
      <c r="U1453">
        <v>4</v>
      </c>
      <c r="V1453">
        <v>1</v>
      </c>
      <c r="W1453" t="s">
        <v>132</v>
      </c>
      <c r="X1453">
        <v>0</v>
      </c>
    </row>
    <row r="1454" spans="1:24" x14ac:dyDescent="0.25">
      <c r="A1454">
        <v>1</v>
      </c>
      <c r="B1454" s="13">
        <v>590920300010</v>
      </c>
      <c r="C1454">
        <v>50</v>
      </c>
      <c r="D1454" s="13">
        <v>1018034</v>
      </c>
      <c r="F1454" t="s">
        <v>130</v>
      </c>
      <c r="G1454">
        <v>0</v>
      </c>
      <c r="H1454">
        <v>100</v>
      </c>
      <c r="K1454">
        <v>4</v>
      </c>
      <c r="L1454" t="s">
        <v>131</v>
      </c>
      <c r="M1454" s="50">
        <v>44875</v>
      </c>
      <c r="N1454" s="50">
        <v>2958465</v>
      </c>
      <c r="P1454">
        <v>0</v>
      </c>
      <c r="U1454">
        <v>4</v>
      </c>
      <c r="V1454">
        <v>1</v>
      </c>
      <c r="W1454" t="s">
        <v>132</v>
      </c>
      <c r="X1454">
        <v>0</v>
      </c>
    </row>
    <row r="1455" spans="1:24" x14ac:dyDescent="0.25">
      <c r="A1455">
        <v>1</v>
      </c>
      <c r="B1455" s="13">
        <v>590920300010</v>
      </c>
      <c r="C1455">
        <v>60</v>
      </c>
      <c r="D1455" s="13">
        <v>1018359</v>
      </c>
      <c r="F1455" t="s">
        <v>130</v>
      </c>
      <c r="G1455">
        <v>0</v>
      </c>
      <c r="H1455">
        <v>100</v>
      </c>
      <c r="K1455">
        <v>10</v>
      </c>
      <c r="L1455" t="s">
        <v>131</v>
      </c>
      <c r="M1455" s="50">
        <v>44875</v>
      </c>
      <c r="N1455" s="50">
        <v>2958465</v>
      </c>
      <c r="P1455">
        <v>0</v>
      </c>
      <c r="U1455">
        <v>4</v>
      </c>
      <c r="V1455">
        <v>1</v>
      </c>
      <c r="W1455" t="s">
        <v>132</v>
      </c>
      <c r="X1455">
        <v>0</v>
      </c>
    </row>
    <row r="1456" spans="1:24" x14ac:dyDescent="0.25">
      <c r="A1456">
        <v>1</v>
      </c>
      <c r="B1456" s="13">
        <v>590920300010</v>
      </c>
      <c r="C1456">
        <v>70</v>
      </c>
      <c r="D1456" s="13">
        <v>1022213</v>
      </c>
      <c r="F1456" t="s">
        <v>130</v>
      </c>
      <c r="G1456">
        <v>0</v>
      </c>
      <c r="H1456">
        <v>100</v>
      </c>
      <c r="K1456">
        <v>5.5919999999999996</v>
      </c>
      <c r="L1456" t="s">
        <v>131</v>
      </c>
      <c r="M1456" s="50">
        <v>44875</v>
      </c>
      <c r="N1456" s="50">
        <v>2958465</v>
      </c>
      <c r="P1456">
        <v>0</v>
      </c>
      <c r="U1456">
        <v>4</v>
      </c>
      <c r="V1456">
        <v>1</v>
      </c>
      <c r="W1456" t="s">
        <v>132</v>
      </c>
      <c r="X1456">
        <v>0</v>
      </c>
    </row>
    <row r="1457" spans="1:24" x14ac:dyDescent="0.25">
      <c r="A1457">
        <v>1</v>
      </c>
      <c r="B1457" s="13">
        <v>590920300010</v>
      </c>
      <c r="C1457">
        <v>80</v>
      </c>
      <c r="D1457" s="13">
        <v>12165610</v>
      </c>
      <c r="F1457" t="s">
        <v>130</v>
      </c>
      <c r="G1457">
        <v>0</v>
      </c>
      <c r="H1457">
        <v>100</v>
      </c>
      <c r="K1457">
        <v>1</v>
      </c>
      <c r="L1457" t="s">
        <v>131</v>
      </c>
      <c r="M1457" s="50">
        <v>44875</v>
      </c>
      <c r="N1457" s="50">
        <v>2958465</v>
      </c>
      <c r="P1457">
        <v>0</v>
      </c>
      <c r="U1457">
        <v>4</v>
      </c>
      <c r="V1457">
        <v>1</v>
      </c>
      <c r="W1457" t="s">
        <v>132</v>
      </c>
      <c r="X1457">
        <v>0</v>
      </c>
    </row>
    <row r="1458" spans="1:24" x14ac:dyDescent="0.25">
      <c r="A1458">
        <v>1</v>
      </c>
      <c r="B1458" s="13">
        <v>590920300210</v>
      </c>
      <c r="C1458">
        <v>10</v>
      </c>
      <c r="D1458" s="13">
        <v>5957163002</v>
      </c>
      <c r="F1458" t="s">
        <v>130</v>
      </c>
      <c r="G1458">
        <v>0</v>
      </c>
      <c r="H1458">
        <v>100</v>
      </c>
      <c r="K1458">
        <v>2</v>
      </c>
      <c r="L1458" t="s">
        <v>131</v>
      </c>
      <c r="M1458" s="50">
        <v>44875</v>
      </c>
      <c r="N1458" s="50">
        <v>2958465</v>
      </c>
      <c r="P1458">
        <v>0</v>
      </c>
      <c r="U1458">
        <v>4</v>
      </c>
      <c r="V1458">
        <v>1</v>
      </c>
      <c r="W1458" t="s">
        <v>132</v>
      </c>
      <c r="X1458">
        <v>0</v>
      </c>
    </row>
    <row r="1459" spans="1:24" x14ac:dyDescent="0.25">
      <c r="A1459">
        <v>1</v>
      </c>
      <c r="B1459" s="13">
        <v>590920300210</v>
      </c>
      <c r="C1459">
        <v>20</v>
      </c>
      <c r="D1459" s="13">
        <v>5957333002</v>
      </c>
      <c r="F1459" t="s">
        <v>130</v>
      </c>
      <c r="G1459">
        <v>0</v>
      </c>
      <c r="H1459">
        <v>100</v>
      </c>
      <c r="K1459">
        <v>1</v>
      </c>
      <c r="L1459" t="s">
        <v>131</v>
      </c>
      <c r="M1459" s="50">
        <v>44875</v>
      </c>
      <c r="N1459" s="50">
        <v>2958465</v>
      </c>
      <c r="P1459">
        <v>0</v>
      </c>
      <c r="U1459">
        <v>4</v>
      </c>
      <c r="V1459">
        <v>1</v>
      </c>
      <c r="W1459" t="s">
        <v>132</v>
      </c>
      <c r="X1459">
        <v>0</v>
      </c>
    </row>
    <row r="1460" spans="1:24" x14ac:dyDescent="0.25">
      <c r="A1460">
        <v>1</v>
      </c>
      <c r="B1460" s="13">
        <v>590920300210</v>
      </c>
      <c r="C1460">
        <v>30</v>
      </c>
      <c r="D1460" s="13">
        <v>5957303002</v>
      </c>
      <c r="F1460" t="s">
        <v>130</v>
      </c>
      <c r="G1460">
        <v>0</v>
      </c>
      <c r="H1460">
        <v>100</v>
      </c>
      <c r="K1460">
        <v>1</v>
      </c>
      <c r="L1460" t="s">
        <v>131</v>
      </c>
      <c r="M1460" s="50">
        <v>44875</v>
      </c>
      <c r="N1460" s="50">
        <v>2958465</v>
      </c>
      <c r="P1460">
        <v>0</v>
      </c>
      <c r="U1460">
        <v>4</v>
      </c>
      <c r="V1460">
        <v>1</v>
      </c>
      <c r="W1460" t="s">
        <v>132</v>
      </c>
      <c r="X1460">
        <v>0</v>
      </c>
    </row>
    <row r="1461" spans="1:24" x14ac:dyDescent="0.25">
      <c r="A1461">
        <v>1</v>
      </c>
      <c r="B1461" s="13">
        <v>590920300210</v>
      </c>
      <c r="C1461">
        <v>40</v>
      </c>
      <c r="D1461" s="13">
        <v>5957093002</v>
      </c>
      <c r="F1461" t="s">
        <v>130</v>
      </c>
      <c r="G1461">
        <v>0</v>
      </c>
      <c r="H1461">
        <v>100</v>
      </c>
      <c r="K1461">
        <v>1</v>
      </c>
      <c r="L1461" t="s">
        <v>131</v>
      </c>
      <c r="M1461" s="50">
        <v>44875</v>
      </c>
      <c r="N1461" s="50">
        <v>2958465</v>
      </c>
      <c r="P1461">
        <v>0</v>
      </c>
      <c r="U1461">
        <v>4</v>
      </c>
      <c r="V1461">
        <v>1</v>
      </c>
      <c r="W1461" t="s">
        <v>132</v>
      </c>
      <c r="X1461">
        <v>0</v>
      </c>
    </row>
    <row r="1462" spans="1:24" x14ac:dyDescent="0.25">
      <c r="A1462">
        <v>1</v>
      </c>
      <c r="B1462" s="13">
        <v>590920300210</v>
      </c>
      <c r="C1462">
        <v>50</v>
      </c>
      <c r="D1462" s="13">
        <v>1018034</v>
      </c>
      <c r="F1462" t="s">
        <v>130</v>
      </c>
      <c r="G1462">
        <v>0</v>
      </c>
      <c r="H1462">
        <v>100</v>
      </c>
      <c r="K1462">
        <v>4</v>
      </c>
      <c r="L1462" t="s">
        <v>131</v>
      </c>
      <c r="M1462" s="50">
        <v>44875</v>
      </c>
      <c r="N1462" s="50">
        <v>2958465</v>
      </c>
      <c r="P1462">
        <v>0</v>
      </c>
      <c r="U1462">
        <v>4</v>
      </c>
      <c r="V1462">
        <v>1</v>
      </c>
      <c r="W1462" t="s">
        <v>132</v>
      </c>
      <c r="X1462">
        <v>0</v>
      </c>
    </row>
    <row r="1463" spans="1:24" x14ac:dyDescent="0.25">
      <c r="A1463">
        <v>1</v>
      </c>
      <c r="B1463" s="13">
        <v>590920300210</v>
      </c>
      <c r="C1463">
        <v>60</v>
      </c>
      <c r="D1463" s="13">
        <v>1022356</v>
      </c>
      <c r="F1463" t="s">
        <v>130</v>
      </c>
      <c r="G1463">
        <v>0</v>
      </c>
      <c r="H1463">
        <v>100</v>
      </c>
      <c r="K1463">
        <v>10</v>
      </c>
      <c r="L1463" t="s">
        <v>131</v>
      </c>
      <c r="M1463" s="50">
        <v>44875</v>
      </c>
      <c r="N1463" s="50">
        <v>2958465</v>
      </c>
      <c r="P1463">
        <v>0</v>
      </c>
      <c r="U1463">
        <v>4</v>
      </c>
      <c r="V1463">
        <v>1</v>
      </c>
      <c r="W1463" t="s">
        <v>132</v>
      </c>
      <c r="X1463">
        <v>0</v>
      </c>
    </row>
    <row r="1464" spans="1:24" x14ac:dyDescent="0.25">
      <c r="A1464">
        <v>1</v>
      </c>
      <c r="B1464" s="13">
        <v>590920300210</v>
      </c>
      <c r="C1464">
        <v>70</v>
      </c>
      <c r="D1464" s="13">
        <v>1022213</v>
      </c>
      <c r="F1464" t="s">
        <v>130</v>
      </c>
      <c r="G1464">
        <v>0</v>
      </c>
      <c r="H1464">
        <v>100</v>
      </c>
      <c r="K1464">
        <v>5.5919999999999996</v>
      </c>
      <c r="L1464" t="s">
        <v>131</v>
      </c>
      <c r="M1464" s="50">
        <v>44875</v>
      </c>
      <c r="N1464" s="50">
        <v>2958465</v>
      </c>
      <c r="P1464">
        <v>0</v>
      </c>
      <c r="U1464">
        <v>4</v>
      </c>
      <c r="V1464">
        <v>1</v>
      </c>
      <c r="W1464" t="s">
        <v>132</v>
      </c>
      <c r="X1464">
        <v>0</v>
      </c>
    </row>
    <row r="1465" spans="1:24" x14ac:dyDescent="0.25">
      <c r="A1465">
        <v>1</v>
      </c>
      <c r="B1465" s="13">
        <v>590920300210</v>
      </c>
      <c r="C1465">
        <v>80</v>
      </c>
      <c r="D1465" s="13">
        <v>12165610</v>
      </c>
      <c r="F1465" t="s">
        <v>130</v>
      </c>
      <c r="G1465">
        <v>0</v>
      </c>
      <c r="H1465">
        <v>100</v>
      </c>
      <c r="K1465">
        <v>1</v>
      </c>
      <c r="L1465" t="s">
        <v>131</v>
      </c>
      <c r="M1465" s="50">
        <v>44875</v>
      </c>
      <c r="N1465" s="50">
        <v>2958465</v>
      </c>
      <c r="P1465">
        <v>0</v>
      </c>
      <c r="U1465">
        <v>4</v>
      </c>
      <c r="V1465">
        <v>1</v>
      </c>
      <c r="W1465" t="s">
        <v>132</v>
      </c>
      <c r="X1465">
        <v>0</v>
      </c>
    </row>
    <row r="1466" spans="1:24" x14ac:dyDescent="0.25">
      <c r="A1466">
        <v>1</v>
      </c>
      <c r="B1466" s="13">
        <v>590920300310</v>
      </c>
      <c r="C1466">
        <v>10</v>
      </c>
      <c r="D1466" s="13">
        <v>5957163003</v>
      </c>
      <c r="F1466" t="s">
        <v>130</v>
      </c>
      <c r="G1466">
        <v>0</v>
      </c>
      <c r="H1466">
        <v>100</v>
      </c>
      <c r="K1466">
        <v>2</v>
      </c>
      <c r="L1466" t="s">
        <v>131</v>
      </c>
      <c r="M1466" s="50">
        <v>44875</v>
      </c>
      <c r="N1466" s="50">
        <v>2958465</v>
      </c>
      <c r="P1466">
        <v>0</v>
      </c>
      <c r="U1466">
        <v>4</v>
      </c>
      <c r="V1466">
        <v>1</v>
      </c>
      <c r="W1466" t="s">
        <v>132</v>
      </c>
      <c r="X1466">
        <v>0</v>
      </c>
    </row>
    <row r="1467" spans="1:24" x14ac:dyDescent="0.25">
      <c r="A1467">
        <v>1</v>
      </c>
      <c r="B1467" s="13">
        <v>590920300310</v>
      </c>
      <c r="C1467">
        <v>20</v>
      </c>
      <c r="D1467" s="13">
        <v>5957333003</v>
      </c>
      <c r="F1467" t="s">
        <v>130</v>
      </c>
      <c r="G1467">
        <v>0</v>
      </c>
      <c r="H1467">
        <v>100</v>
      </c>
      <c r="K1467">
        <v>1</v>
      </c>
      <c r="L1467" t="s">
        <v>131</v>
      </c>
      <c r="M1467" s="50">
        <v>44875</v>
      </c>
      <c r="N1467" s="50">
        <v>2958465</v>
      </c>
      <c r="P1467">
        <v>0</v>
      </c>
      <c r="U1467">
        <v>4</v>
      </c>
      <c r="V1467">
        <v>1</v>
      </c>
      <c r="W1467" t="s">
        <v>132</v>
      </c>
      <c r="X1467">
        <v>0</v>
      </c>
    </row>
    <row r="1468" spans="1:24" x14ac:dyDescent="0.25">
      <c r="A1468">
        <v>1</v>
      </c>
      <c r="B1468" s="13">
        <v>590920300310</v>
      </c>
      <c r="C1468">
        <v>30</v>
      </c>
      <c r="D1468" s="13">
        <v>5957303003</v>
      </c>
      <c r="F1468" t="s">
        <v>130</v>
      </c>
      <c r="G1468">
        <v>0</v>
      </c>
      <c r="H1468">
        <v>100</v>
      </c>
      <c r="K1468">
        <v>1</v>
      </c>
      <c r="L1468" t="s">
        <v>131</v>
      </c>
      <c r="M1468" s="50">
        <v>44875</v>
      </c>
      <c r="N1468" s="50">
        <v>2958465</v>
      </c>
      <c r="P1468">
        <v>0</v>
      </c>
      <c r="U1468">
        <v>4</v>
      </c>
      <c r="V1468">
        <v>1</v>
      </c>
      <c r="W1468" t="s">
        <v>132</v>
      </c>
      <c r="X1468">
        <v>0</v>
      </c>
    </row>
    <row r="1469" spans="1:24" x14ac:dyDescent="0.25">
      <c r="A1469">
        <v>1</v>
      </c>
      <c r="B1469" s="13">
        <v>590920300310</v>
      </c>
      <c r="C1469">
        <v>40</v>
      </c>
      <c r="D1469" s="13">
        <v>5957093003</v>
      </c>
      <c r="F1469" t="s">
        <v>130</v>
      </c>
      <c r="G1469">
        <v>0</v>
      </c>
      <c r="H1469">
        <v>100</v>
      </c>
      <c r="K1469">
        <v>1</v>
      </c>
      <c r="L1469" t="s">
        <v>131</v>
      </c>
      <c r="M1469" s="50">
        <v>44875</v>
      </c>
      <c r="N1469" s="50">
        <v>2958465</v>
      </c>
      <c r="P1469">
        <v>0</v>
      </c>
      <c r="U1469">
        <v>4</v>
      </c>
      <c r="V1469">
        <v>1</v>
      </c>
      <c r="W1469" t="s">
        <v>132</v>
      </c>
      <c r="X1469">
        <v>0</v>
      </c>
    </row>
    <row r="1470" spans="1:24" x14ac:dyDescent="0.25">
      <c r="A1470">
        <v>1</v>
      </c>
      <c r="B1470" s="13">
        <v>590920300310</v>
      </c>
      <c r="C1470">
        <v>50</v>
      </c>
      <c r="D1470" s="13">
        <v>1018034</v>
      </c>
      <c r="F1470" t="s">
        <v>130</v>
      </c>
      <c r="G1470">
        <v>0</v>
      </c>
      <c r="H1470">
        <v>100</v>
      </c>
      <c r="K1470">
        <v>4</v>
      </c>
      <c r="L1470" t="s">
        <v>131</v>
      </c>
      <c r="M1470" s="50">
        <v>44875</v>
      </c>
      <c r="N1470" s="50">
        <v>2958465</v>
      </c>
      <c r="P1470">
        <v>0</v>
      </c>
      <c r="U1470">
        <v>4</v>
      </c>
      <c r="V1470">
        <v>1</v>
      </c>
      <c r="W1470" t="s">
        <v>132</v>
      </c>
      <c r="X1470">
        <v>0</v>
      </c>
    </row>
    <row r="1471" spans="1:24" x14ac:dyDescent="0.25">
      <c r="A1471">
        <v>1</v>
      </c>
      <c r="B1471" s="13">
        <v>590920300310</v>
      </c>
      <c r="C1471">
        <v>60</v>
      </c>
      <c r="D1471" s="13">
        <v>1018359</v>
      </c>
      <c r="F1471" t="s">
        <v>130</v>
      </c>
      <c r="G1471">
        <v>0</v>
      </c>
      <c r="H1471">
        <v>100</v>
      </c>
      <c r="K1471">
        <v>10</v>
      </c>
      <c r="L1471" t="s">
        <v>131</v>
      </c>
      <c r="M1471" s="50">
        <v>44875</v>
      </c>
      <c r="N1471" s="50">
        <v>2958465</v>
      </c>
      <c r="P1471">
        <v>0</v>
      </c>
      <c r="U1471">
        <v>4</v>
      </c>
      <c r="V1471">
        <v>1</v>
      </c>
      <c r="W1471" t="s">
        <v>132</v>
      </c>
      <c r="X1471">
        <v>0</v>
      </c>
    </row>
    <row r="1472" spans="1:24" x14ac:dyDescent="0.25">
      <c r="A1472">
        <v>1</v>
      </c>
      <c r="B1472" s="13">
        <v>590920300310</v>
      </c>
      <c r="C1472">
        <v>70</v>
      </c>
      <c r="D1472" s="13">
        <v>1022213</v>
      </c>
      <c r="F1472" t="s">
        <v>130</v>
      </c>
      <c r="G1472">
        <v>0</v>
      </c>
      <c r="H1472">
        <v>100</v>
      </c>
      <c r="K1472">
        <v>5.5919999999999996</v>
      </c>
      <c r="L1472" t="s">
        <v>131</v>
      </c>
      <c r="M1472" s="50">
        <v>44875</v>
      </c>
      <c r="N1472" s="50">
        <v>2958465</v>
      </c>
      <c r="P1472">
        <v>0</v>
      </c>
      <c r="U1472">
        <v>4</v>
      </c>
      <c r="V1472">
        <v>1</v>
      </c>
      <c r="W1472" t="s">
        <v>132</v>
      </c>
      <c r="X1472">
        <v>0</v>
      </c>
    </row>
    <row r="1473" spans="1:24" x14ac:dyDescent="0.25">
      <c r="A1473">
        <v>1</v>
      </c>
      <c r="B1473" s="13">
        <v>590920300310</v>
      </c>
      <c r="C1473">
        <v>80</v>
      </c>
      <c r="D1473" s="13">
        <v>12165610</v>
      </c>
      <c r="F1473" t="s">
        <v>130</v>
      </c>
      <c r="G1473">
        <v>0</v>
      </c>
      <c r="H1473">
        <v>100</v>
      </c>
      <c r="K1473">
        <v>1</v>
      </c>
      <c r="L1473" t="s">
        <v>131</v>
      </c>
      <c r="M1473" s="50">
        <v>44875</v>
      </c>
      <c r="N1473" s="50">
        <v>2958465</v>
      </c>
      <c r="P1473">
        <v>0</v>
      </c>
      <c r="U1473">
        <v>4</v>
      </c>
      <c r="V1473">
        <v>1</v>
      </c>
      <c r="W1473" t="s">
        <v>132</v>
      </c>
      <c r="X1473">
        <v>0</v>
      </c>
    </row>
    <row r="1474" spans="1:24" x14ac:dyDescent="0.25">
      <c r="A1474">
        <v>1</v>
      </c>
      <c r="B1474" s="13">
        <v>590920300510</v>
      </c>
      <c r="C1474">
        <v>10</v>
      </c>
      <c r="D1474" s="13">
        <v>5957163005</v>
      </c>
      <c r="F1474" t="s">
        <v>130</v>
      </c>
      <c r="G1474">
        <v>0</v>
      </c>
      <c r="H1474">
        <v>100</v>
      </c>
      <c r="K1474">
        <v>2</v>
      </c>
      <c r="L1474" t="s">
        <v>131</v>
      </c>
      <c r="M1474" s="50">
        <v>44875</v>
      </c>
      <c r="N1474" s="50">
        <v>2958465</v>
      </c>
      <c r="P1474">
        <v>0</v>
      </c>
      <c r="U1474">
        <v>4</v>
      </c>
      <c r="V1474">
        <v>1</v>
      </c>
      <c r="W1474" t="s">
        <v>132</v>
      </c>
      <c r="X1474">
        <v>0</v>
      </c>
    </row>
    <row r="1475" spans="1:24" x14ac:dyDescent="0.25">
      <c r="A1475">
        <v>1</v>
      </c>
      <c r="B1475" s="13">
        <v>590920300510</v>
      </c>
      <c r="C1475">
        <v>20</v>
      </c>
      <c r="D1475" s="13">
        <v>5957333005</v>
      </c>
      <c r="F1475" t="s">
        <v>130</v>
      </c>
      <c r="G1475">
        <v>0</v>
      </c>
      <c r="H1475">
        <v>100</v>
      </c>
      <c r="K1475">
        <v>1</v>
      </c>
      <c r="L1475" t="s">
        <v>131</v>
      </c>
      <c r="M1475" s="50">
        <v>44875</v>
      </c>
      <c r="N1475" s="50">
        <v>2958465</v>
      </c>
      <c r="P1475">
        <v>0</v>
      </c>
      <c r="U1475">
        <v>4</v>
      </c>
      <c r="V1475">
        <v>1</v>
      </c>
      <c r="W1475" t="s">
        <v>132</v>
      </c>
      <c r="X1475">
        <v>0</v>
      </c>
    </row>
    <row r="1476" spans="1:24" x14ac:dyDescent="0.25">
      <c r="A1476">
        <v>1</v>
      </c>
      <c r="B1476" s="13">
        <v>590920300510</v>
      </c>
      <c r="C1476">
        <v>30</v>
      </c>
      <c r="D1476" s="13">
        <v>5957303005</v>
      </c>
      <c r="F1476" t="s">
        <v>130</v>
      </c>
      <c r="G1476">
        <v>0</v>
      </c>
      <c r="H1476">
        <v>100</v>
      </c>
      <c r="K1476">
        <v>1</v>
      </c>
      <c r="L1476" t="s">
        <v>131</v>
      </c>
      <c r="M1476" s="50">
        <v>44875</v>
      </c>
      <c r="N1476" s="50">
        <v>2958465</v>
      </c>
      <c r="P1476">
        <v>0</v>
      </c>
      <c r="U1476">
        <v>4</v>
      </c>
      <c r="V1476">
        <v>1</v>
      </c>
      <c r="W1476" t="s">
        <v>132</v>
      </c>
      <c r="X1476">
        <v>0</v>
      </c>
    </row>
    <row r="1477" spans="1:24" x14ac:dyDescent="0.25">
      <c r="A1477">
        <v>1</v>
      </c>
      <c r="B1477" s="13">
        <v>590920300510</v>
      </c>
      <c r="C1477">
        <v>40</v>
      </c>
      <c r="D1477" s="13">
        <v>5957093005</v>
      </c>
      <c r="F1477" t="s">
        <v>130</v>
      </c>
      <c r="G1477">
        <v>0</v>
      </c>
      <c r="H1477">
        <v>100</v>
      </c>
      <c r="K1477">
        <v>1</v>
      </c>
      <c r="L1477" t="s">
        <v>131</v>
      </c>
      <c r="M1477" s="50">
        <v>44875</v>
      </c>
      <c r="N1477" s="50">
        <v>2958465</v>
      </c>
      <c r="P1477">
        <v>0</v>
      </c>
      <c r="U1477">
        <v>4</v>
      </c>
      <c r="V1477">
        <v>1</v>
      </c>
      <c r="W1477" t="s">
        <v>132</v>
      </c>
      <c r="X1477">
        <v>0</v>
      </c>
    </row>
    <row r="1478" spans="1:24" x14ac:dyDescent="0.25">
      <c r="A1478">
        <v>1</v>
      </c>
      <c r="B1478" s="13">
        <v>590920300510</v>
      </c>
      <c r="C1478">
        <v>50</v>
      </c>
      <c r="D1478" s="13">
        <v>1018034</v>
      </c>
      <c r="F1478" t="s">
        <v>130</v>
      </c>
      <c r="G1478">
        <v>0</v>
      </c>
      <c r="H1478">
        <v>100</v>
      </c>
      <c r="K1478">
        <v>4</v>
      </c>
      <c r="L1478" t="s">
        <v>131</v>
      </c>
      <c r="M1478" s="50">
        <v>44875</v>
      </c>
      <c r="N1478" s="50">
        <v>2958465</v>
      </c>
      <c r="P1478">
        <v>0</v>
      </c>
      <c r="U1478">
        <v>4</v>
      </c>
      <c r="V1478">
        <v>1</v>
      </c>
      <c r="W1478" t="s">
        <v>132</v>
      </c>
      <c r="X1478">
        <v>0</v>
      </c>
    </row>
    <row r="1479" spans="1:24" x14ac:dyDescent="0.25">
      <c r="A1479">
        <v>1</v>
      </c>
      <c r="B1479" s="13">
        <v>590920300510</v>
      </c>
      <c r="C1479">
        <v>60</v>
      </c>
      <c r="D1479" s="13">
        <v>1022356</v>
      </c>
      <c r="F1479" t="s">
        <v>130</v>
      </c>
      <c r="G1479">
        <v>0</v>
      </c>
      <c r="H1479">
        <v>100</v>
      </c>
      <c r="K1479">
        <v>10</v>
      </c>
      <c r="L1479" t="s">
        <v>131</v>
      </c>
      <c r="M1479" s="50">
        <v>44875</v>
      </c>
      <c r="N1479" s="50">
        <v>2958465</v>
      </c>
      <c r="P1479">
        <v>0</v>
      </c>
      <c r="U1479">
        <v>4</v>
      </c>
      <c r="V1479">
        <v>1</v>
      </c>
      <c r="W1479" t="s">
        <v>132</v>
      </c>
      <c r="X1479">
        <v>0</v>
      </c>
    </row>
    <row r="1480" spans="1:24" x14ac:dyDescent="0.25">
      <c r="A1480">
        <v>1</v>
      </c>
      <c r="B1480" s="13">
        <v>590920300510</v>
      </c>
      <c r="C1480">
        <v>70</v>
      </c>
      <c r="D1480" s="13">
        <v>1022213</v>
      </c>
      <c r="F1480" t="s">
        <v>130</v>
      </c>
      <c r="G1480">
        <v>0</v>
      </c>
      <c r="H1480">
        <v>100</v>
      </c>
      <c r="K1480">
        <v>5.5919999999999996</v>
      </c>
      <c r="L1480" t="s">
        <v>131</v>
      </c>
      <c r="M1480" s="50">
        <v>44875</v>
      </c>
      <c r="N1480" s="50">
        <v>2958465</v>
      </c>
      <c r="P1480">
        <v>0</v>
      </c>
      <c r="U1480">
        <v>4</v>
      </c>
      <c r="V1480">
        <v>1</v>
      </c>
      <c r="W1480" t="s">
        <v>132</v>
      </c>
      <c r="X1480">
        <v>0</v>
      </c>
    </row>
    <row r="1481" spans="1:24" x14ac:dyDescent="0.25">
      <c r="A1481">
        <v>1</v>
      </c>
      <c r="B1481" s="13">
        <v>590920300510</v>
      </c>
      <c r="C1481">
        <v>80</v>
      </c>
      <c r="D1481" s="13">
        <v>12165610</v>
      </c>
      <c r="F1481" t="s">
        <v>130</v>
      </c>
      <c r="G1481">
        <v>0</v>
      </c>
      <c r="H1481">
        <v>100</v>
      </c>
      <c r="K1481">
        <v>1</v>
      </c>
      <c r="L1481" t="s">
        <v>131</v>
      </c>
      <c r="M1481" s="50">
        <v>44875</v>
      </c>
      <c r="N1481" s="50">
        <v>2958465</v>
      </c>
      <c r="P1481">
        <v>0</v>
      </c>
      <c r="U1481">
        <v>4</v>
      </c>
      <c r="V1481">
        <v>1</v>
      </c>
      <c r="W1481" t="s">
        <v>132</v>
      </c>
      <c r="X1481">
        <v>0</v>
      </c>
    </row>
    <row r="1482" spans="1:24" x14ac:dyDescent="0.25">
      <c r="A1482">
        <v>1</v>
      </c>
      <c r="B1482" s="13">
        <v>590920300610</v>
      </c>
      <c r="C1482">
        <v>10</v>
      </c>
      <c r="D1482" s="13">
        <v>5957163006</v>
      </c>
      <c r="F1482" t="s">
        <v>130</v>
      </c>
      <c r="G1482">
        <v>0</v>
      </c>
      <c r="H1482">
        <v>100</v>
      </c>
      <c r="K1482">
        <v>2</v>
      </c>
      <c r="L1482" t="s">
        <v>131</v>
      </c>
      <c r="M1482" s="50">
        <v>44875</v>
      </c>
      <c r="N1482" s="50">
        <v>2958465</v>
      </c>
      <c r="P1482">
        <v>0</v>
      </c>
      <c r="U1482">
        <v>4</v>
      </c>
      <c r="V1482">
        <v>1</v>
      </c>
      <c r="W1482" t="s">
        <v>132</v>
      </c>
      <c r="X1482">
        <v>0</v>
      </c>
    </row>
    <row r="1483" spans="1:24" x14ac:dyDescent="0.25">
      <c r="A1483">
        <v>1</v>
      </c>
      <c r="B1483" s="13">
        <v>590920300610</v>
      </c>
      <c r="C1483">
        <v>20</v>
      </c>
      <c r="D1483" s="13">
        <v>5957333006</v>
      </c>
      <c r="F1483" t="s">
        <v>130</v>
      </c>
      <c r="G1483">
        <v>0</v>
      </c>
      <c r="H1483">
        <v>100</v>
      </c>
      <c r="K1483">
        <v>1</v>
      </c>
      <c r="L1483" t="s">
        <v>131</v>
      </c>
      <c r="M1483" s="50">
        <v>44875</v>
      </c>
      <c r="N1483" s="50">
        <v>2958465</v>
      </c>
      <c r="P1483">
        <v>0</v>
      </c>
      <c r="U1483">
        <v>4</v>
      </c>
      <c r="V1483">
        <v>1</v>
      </c>
      <c r="W1483" t="s">
        <v>132</v>
      </c>
      <c r="X1483">
        <v>0</v>
      </c>
    </row>
    <row r="1484" spans="1:24" x14ac:dyDescent="0.25">
      <c r="A1484">
        <v>1</v>
      </c>
      <c r="B1484" s="13">
        <v>590920300610</v>
      </c>
      <c r="C1484">
        <v>30</v>
      </c>
      <c r="D1484" s="13">
        <v>5957303006</v>
      </c>
      <c r="F1484" t="s">
        <v>130</v>
      </c>
      <c r="G1484">
        <v>0</v>
      </c>
      <c r="H1484">
        <v>100</v>
      </c>
      <c r="K1484">
        <v>1</v>
      </c>
      <c r="L1484" t="s">
        <v>131</v>
      </c>
      <c r="M1484" s="50">
        <v>44875</v>
      </c>
      <c r="N1484" s="50">
        <v>2958465</v>
      </c>
      <c r="P1484">
        <v>0</v>
      </c>
      <c r="U1484">
        <v>4</v>
      </c>
      <c r="V1484">
        <v>1</v>
      </c>
      <c r="W1484" t="s">
        <v>132</v>
      </c>
      <c r="X1484">
        <v>0</v>
      </c>
    </row>
    <row r="1485" spans="1:24" x14ac:dyDescent="0.25">
      <c r="A1485">
        <v>1</v>
      </c>
      <c r="B1485" s="13">
        <v>590920300610</v>
      </c>
      <c r="C1485">
        <v>40</v>
      </c>
      <c r="D1485" s="13">
        <v>5957093006</v>
      </c>
      <c r="F1485" t="s">
        <v>130</v>
      </c>
      <c r="G1485">
        <v>0</v>
      </c>
      <c r="H1485">
        <v>100</v>
      </c>
      <c r="K1485">
        <v>1</v>
      </c>
      <c r="L1485" t="s">
        <v>131</v>
      </c>
      <c r="M1485" s="50">
        <v>44875</v>
      </c>
      <c r="N1485" s="50">
        <v>2958465</v>
      </c>
      <c r="P1485">
        <v>0</v>
      </c>
      <c r="U1485">
        <v>4</v>
      </c>
      <c r="V1485">
        <v>1</v>
      </c>
      <c r="W1485" t="s">
        <v>132</v>
      </c>
      <c r="X1485">
        <v>0</v>
      </c>
    </row>
    <row r="1486" spans="1:24" x14ac:dyDescent="0.25">
      <c r="A1486">
        <v>1</v>
      </c>
      <c r="B1486" s="13">
        <v>590920300610</v>
      </c>
      <c r="C1486">
        <v>50</v>
      </c>
      <c r="D1486" s="13">
        <v>1018034</v>
      </c>
      <c r="F1486" t="s">
        <v>130</v>
      </c>
      <c r="G1486">
        <v>0</v>
      </c>
      <c r="H1486">
        <v>100</v>
      </c>
      <c r="K1486">
        <v>4</v>
      </c>
      <c r="L1486" t="s">
        <v>131</v>
      </c>
      <c r="M1486" s="50">
        <v>44875</v>
      </c>
      <c r="N1486" s="50">
        <v>2958465</v>
      </c>
      <c r="P1486">
        <v>0</v>
      </c>
      <c r="U1486">
        <v>4</v>
      </c>
      <c r="V1486">
        <v>1</v>
      </c>
      <c r="W1486" t="s">
        <v>132</v>
      </c>
      <c r="X1486">
        <v>0</v>
      </c>
    </row>
    <row r="1487" spans="1:24" x14ac:dyDescent="0.25">
      <c r="A1487">
        <v>1</v>
      </c>
      <c r="B1487" s="13">
        <v>590920300610</v>
      </c>
      <c r="C1487">
        <v>60</v>
      </c>
      <c r="D1487" s="13">
        <v>1018359</v>
      </c>
      <c r="F1487" t="s">
        <v>130</v>
      </c>
      <c r="G1487">
        <v>0</v>
      </c>
      <c r="H1487">
        <v>100</v>
      </c>
      <c r="K1487">
        <v>10</v>
      </c>
      <c r="L1487" t="s">
        <v>131</v>
      </c>
      <c r="M1487" s="50">
        <v>44875</v>
      </c>
      <c r="N1487" s="50">
        <v>2958465</v>
      </c>
      <c r="P1487">
        <v>0</v>
      </c>
      <c r="U1487">
        <v>4</v>
      </c>
      <c r="V1487">
        <v>1</v>
      </c>
      <c r="W1487" t="s">
        <v>132</v>
      </c>
      <c r="X1487">
        <v>0</v>
      </c>
    </row>
    <row r="1488" spans="1:24" x14ac:dyDescent="0.25">
      <c r="A1488">
        <v>1</v>
      </c>
      <c r="B1488" s="13">
        <v>590920300610</v>
      </c>
      <c r="C1488">
        <v>70</v>
      </c>
      <c r="D1488" s="13">
        <v>1022213</v>
      </c>
      <c r="F1488" t="s">
        <v>130</v>
      </c>
      <c r="G1488">
        <v>0</v>
      </c>
      <c r="H1488">
        <v>100</v>
      </c>
      <c r="K1488">
        <v>5.5919999999999996</v>
      </c>
      <c r="L1488" t="s">
        <v>131</v>
      </c>
      <c r="M1488" s="50">
        <v>44875</v>
      </c>
      <c r="N1488" s="50">
        <v>2958465</v>
      </c>
      <c r="P1488">
        <v>0</v>
      </c>
      <c r="U1488">
        <v>4</v>
      </c>
      <c r="V1488">
        <v>1</v>
      </c>
      <c r="W1488" t="s">
        <v>132</v>
      </c>
      <c r="X1488">
        <v>0</v>
      </c>
    </row>
    <row r="1489" spans="1:24" x14ac:dyDescent="0.25">
      <c r="A1489">
        <v>1</v>
      </c>
      <c r="B1489" s="13">
        <v>590920300610</v>
      </c>
      <c r="C1489">
        <v>80</v>
      </c>
      <c r="D1489" s="13">
        <v>12165610</v>
      </c>
      <c r="F1489" t="s">
        <v>130</v>
      </c>
      <c r="G1489">
        <v>0</v>
      </c>
      <c r="H1489">
        <v>100</v>
      </c>
      <c r="K1489">
        <v>1</v>
      </c>
      <c r="L1489" t="s">
        <v>131</v>
      </c>
      <c r="M1489" s="50">
        <v>44875</v>
      </c>
      <c r="N1489" s="50">
        <v>2958465</v>
      </c>
      <c r="P1489">
        <v>0</v>
      </c>
      <c r="U1489">
        <v>4</v>
      </c>
      <c r="V1489">
        <v>1</v>
      </c>
      <c r="W1489" t="s">
        <v>132</v>
      </c>
      <c r="X1489">
        <v>0</v>
      </c>
    </row>
    <row r="1490" spans="1:24" x14ac:dyDescent="0.25">
      <c r="A1490">
        <v>1</v>
      </c>
      <c r="B1490" s="13">
        <v>590920300710</v>
      </c>
      <c r="C1490">
        <v>10</v>
      </c>
      <c r="D1490" s="13">
        <v>5957163007</v>
      </c>
      <c r="F1490" t="s">
        <v>130</v>
      </c>
      <c r="G1490">
        <v>0</v>
      </c>
      <c r="H1490">
        <v>100</v>
      </c>
      <c r="K1490">
        <v>2</v>
      </c>
      <c r="L1490" t="s">
        <v>131</v>
      </c>
      <c r="M1490" s="50">
        <v>44875</v>
      </c>
      <c r="N1490" s="50">
        <v>2958465</v>
      </c>
      <c r="P1490">
        <v>0</v>
      </c>
      <c r="U1490">
        <v>4</v>
      </c>
      <c r="V1490">
        <v>1</v>
      </c>
      <c r="W1490" t="s">
        <v>132</v>
      </c>
      <c r="X1490">
        <v>0</v>
      </c>
    </row>
    <row r="1491" spans="1:24" x14ac:dyDescent="0.25">
      <c r="A1491">
        <v>1</v>
      </c>
      <c r="B1491" s="13">
        <v>590920300710</v>
      </c>
      <c r="C1491">
        <v>20</v>
      </c>
      <c r="D1491" s="13">
        <v>5957333007</v>
      </c>
      <c r="F1491" t="s">
        <v>130</v>
      </c>
      <c r="G1491">
        <v>0</v>
      </c>
      <c r="H1491">
        <v>100</v>
      </c>
      <c r="K1491">
        <v>1</v>
      </c>
      <c r="L1491" t="s">
        <v>131</v>
      </c>
      <c r="M1491" s="50">
        <v>44875</v>
      </c>
      <c r="N1491" s="50">
        <v>2958465</v>
      </c>
      <c r="P1491">
        <v>0</v>
      </c>
      <c r="U1491">
        <v>4</v>
      </c>
      <c r="V1491">
        <v>1</v>
      </c>
      <c r="W1491" t="s">
        <v>132</v>
      </c>
      <c r="X1491">
        <v>0</v>
      </c>
    </row>
    <row r="1492" spans="1:24" x14ac:dyDescent="0.25">
      <c r="A1492">
        <v>1</v>
      </c>
      <c r="B1492" s="13">
        <v>590920300710</v>
      </c>
      <c r="C1492">
        <v>30</v>
      </c>
      <c r="D1492" s="13">
        <v>5957303007</v>
      </c>
      <c r="F1492" t="s">
        <v>130</v>
      </c>
      <c r="G1492">
        <v>0</v>
      </c>
      <c r="H1492">
        <v>100</v>
      </c>
      <c r="K1492">
        <v>1</v>
      </c>
      <c r="L1492" t="s">
        <v>131</v>
      </c>
      <c r="M1492" s="50">
        <v>44875</v>
      </c>
      <c r="N1492" s="50">
        <v>2958465</v>
      </c>
      <c r="P1492">
        <v>0</v>
      </c>
      <c r="U1492">
        <v>4</v>
      </c>
      <c r="V1492">
        <v>1</v>
      </c>
      <c r="W1492" t="s">
        <v>132</v>
      </c>
      <c r="X1492">
        <v>0</v>
      </c>
    </row>
    <row r="1493" spans="1:24" x14ac:dyDescent="0.25">
      <c r="A1493">
        <v>1</v>
      </c>
      <c r="B1493" s="13">
        <v>590920300710</v>
      </c>
      <c r="C1493">
        <v>40</v>
      </c>
      <c r="D1493" s="13">
        <v>5957093007</v>
      </c>
      <c r="F1493" t="s">
        <v>130</v>
      </c>
      <c r="G1493">
        <v>0</v>
      </c>
      <c r="H1493">
        <v>100</v>
      </c>
      <c r="K1493">
        <v>1</v>
      </c>
      <c r="L1493" t="s">
        <v>131</v>
      </c>
      <c r="M1493" s="50">
        <v>44875</v>
      </c>
      <c r="N1493" s="50">
        <v>2958465</v>
      </c>
      <c r="P1493">
        <v>0</v>
      </c>
      <c r="U1493">
        <v>4</v>
      </c>
      <c r="V1493">
        <v>1</v>
      </c>
      <c r="W1493" t="s">
        <v>132</v>
      </c>
      <c r="X1493">
        <v>0</v>
      </c>
    </row>
    <row r="1494" spans="1:24" x14ac:dyDescent="0.25">
      <c r="A1494">
        <v>1</v>
      </c>
      <c r="B1494" s="13">
        <v>590920300710</v>
      </c>
      <c r="C1494">
        <v>50</v>
      </c>
      <c r="D1494" s="13">
        <v>1018034</v>
      </c>
      <c r="F1494" t="s">
        <v>130</v>
      </c>
      <c r="G1494">
        <v>0</v>
      </c>
      <c r="H1494">
        <v>100</v>
      </c>
      <c r="K1494">
        <v>4</v>
      </c>
      <c r="L1494" t="s">
        <v>131</v>
      </c>
      <c r="M1494" s="50">
        <v>44875</v>
      </c>
      <c r="N1494" s="50">
        <v>2958465</v>
      </c>
      <c r="P1494">
        <v>0</v>
      </c>
      <c r="U1494">
        <v>4</v>
      </c>
      <c r="V1494">
        <v>1</v>
      </c>
      <c r="W1494" t="s">
        <v>132</v>
      </c>
      <c r="X1494">
        <v>0</v>
      </c>
    </row>
    <row r="1495" spans="1:24" x14ac:dyDescent="0.25">
      <c r="A1495">
        <v>1</v>
      </c>
      <c r="B1495" s="13">
        <v>590920300710</v>
      </c>
      <c r="C1495">
        <v>60</v>
      </c>
      <c r="D1495" s="13">
        <v>1018359</v>
      </c>
      <c r="F1495" t="s">
        <v>130</v>
      </c>
      <c r="G1495">
        <v>0</v>
      </c>
      <c r="H1495">
        <v>100</v>
      </c>
      <c r="K1495">
        <v>10</v>
      </c>
      <c r="L1495" t="s">
        <v>131</v>
      </c>
      <c r="M1495" s="50">
        <v>44875</v>
      </c>
      <c r="N1495" s="50">
        <v>2958465</v>
      </c>
      <c r="P1495">
        <v>0</v>
      </c>
      <c r="U1495">
        <v>4</v>
      </c>
      <c r="V1495">
        <v>1</v>
      </c>
      <c r="W1495" t="s">
        <v>132</v>
      </c>
      <c r="X1495">
        <v>0</v>
      </c>
    </row>
    <row r="1496" spans="1:24" x14ac:dyDescent="0.25">
      <c r="A1496">
        <v>1</v>
      </c>
      <c r="B1496" s="13">
        <v>590920300710</v>
      </c>
      <c r="C1496">
        <v>70</v>
      </c>
      <c r="D1496" s="13">
        <v>1022213</v>
      </c>
      <c r="F1496" t="s">
        <v>130</v>
      </c>
      <c r="G1496">
        <v>0</v>
      </c>
      <c r="H1496">
        <v>100</v>
      </c>
      <c r="K1496">
        <v>5.5919999999999996</v>
      </c>
      <c r="L1496" t="s">
        <v>131</v>
      </c>
      <c r="M1496" s="50">
        <v>44875</v>
      </c>
      <c r="N1496" s="50">
        <v>2958465</v>
      </c>
      <c r="P1496">
        <v>0</v>
      </c>
      <c r="U1496">
        <v>4</v>
      </c>
      <c r="V1496">
        <v>1</v>
      </c>
      <c r="W1496" t="s">
        <v>132</v>
      </c>
      <c r="X1496">
        <v>0</v>
      </c>
    </row>
    <row r="1497" spans="1:24" x14ac:dyDescent="0.25">
      <c r="A1497">
        <v>1</v>
      </c>
      <c r="B1497" s="13">
        <v>590920300710</v>
      </c>
      <c r="C1497">
        <v>80</v>
      </c>
      <c r="D1497" s="13">
        <v>12165610</v>
      </c>
      <c r="F1497" t="s">
        <v>130</v>
      </c>
      <c r="G1497">
        <v>0</v>
      </c>
      <c r="H1497">
        <v>100</v>
      </c>
      <c r="K1497">
        <v>1</v>
      </c>
      <c r="L1497" t="s">
        <v>131</v>
      </c>
      <c r="M1497" s="50">
        <v>44875</v>
      </c>
      <c r="N1497" s="50">
        <v>2958465</v>
      </c>
      <c r="P1497">
        <v>0</v>
      </c>
      <c r="U1497">
        <v>4</v>
      </c>
      <c r="V1497">
        <v>1</v>
      </c>
      <c r="W1497" t="s">
        <v>132</v>
      </c>
      <c r="X1497">
        <v>0</v>
      </c>
    </row>
    <row r="1498" spans="1:24" x14ac:dyDescent="0.25">
      <c r="A1498">
        <v>1</v>
      </c>
      <c r="B1498" s="13">
        <v>590920300810</v>
      </c>
      <c r="C1498">
        <v>10</v>
      </c>
      <c r="D1498" s="13">
        <v>5957163008</v>
      </c>
      <c r="F1498" t="s">
        <v>130</v>
      </c>
      <c r="G1498">
        <v>0</v>
      </c>
      <c r="H1498">
        <v>100</v>
      </c>
      <c r="K1498">
        <v>2</v>
      </c>
      <c r="L1498" t="s">
        <v>131</v>
      </c>
      <c r="M1498" s="50">
        <v>44875</v>
      </c>
      <c r="N1498" s="50">
        <v>2958465</v>
      </c>
      <c r="P1498">
        <v>0</v>
      </c>
      <c r="U1498">
        <v>4</v>
      </c>
      <c r="V1498">
        <v>1</v>
      </c>
      <c r="W1498" t="s">
        <v>132</v>
      </c>
      <c r="X1498">
        <v>0</v>
      </c>
    </row>
    <row r="1499" spans="1:24" x14ac:dyDescent="0.25">
      <c r="A1499">
        <v>1</v>
      </c>
      <c r="B1499" s="13">
        <v>590920300810</v>
      </c>
      <c r="C1499">
        <v>20</v>
      </c>
      <c r="D1499" s="13">
        <v>5957333008</v>
      </c>
      <c r="F1499" t="s">
        <v>130</v>
      </c>
      <c r="G1499">
        <v>0</v>
      </c>
      <c r="H1499">
        <v>100</v>
      </c>
      <c r="K1499">
        <v>1</v>
      </c>
      <c r="L1499" t="s">
        <v>131</v>
      </c>
      <c r="M1499" s="50">
        <v>44875</v>
      </c>
      <c r="N1499" s="50">
        <v>2958465</v>
      </c>
      <c r="P1499">
        <v>0</v>
      </c>
      <c r="U1499">
        <v>4</v>
      </c>
      <c r="V1499">
        <v>1</v>
      </c>
      <c r="W1499" t="s">
        <v>132</v>
      </c>
      <c r="X1499">
        <v>0</v>
      </c>
    </row>
    <row r="1500" spans="1:24" x14ac:dyDescent="0.25">
      <c r="A1500">
        <v>1</v>
      </c>
      <c r="B1500" s="13">
        <v>590920300810</v>
      </c>
      <c r="C1500">
        <v>30</v>
      </c>
      <c r="D1500" s="13">
        <v>5957303008</v>
      </c>
      <c r="F1500" t="s">
        <v>130</v>
      </c>
      <c r="G1500">
        <v>0</v>
      </c>
      <c r="H1500">
        <v>100</v>
      </c>
      <c r="K1500">
        <v>1</v>
      </c>
      <c r="L1500" t="s">
        <v>131</v>
      </c>
      <c r="M1500" s="50">
        <v>44875</v>
      </c>
      <c r="N1500" s="50">
        <v>2958465</v>
      </c>
      <c r="P1500">
        <v>0</v>
      </c>
      <c r="U1500">
        <v>4</v>
      </c>
      <c r="V1500">
        <v>1</v>
      </c>
      <c r="W1500" t="s">
        <v>132</v>
      </c>
      <c r="X1500">
        <v>0</v>
      </c>
    </row>
    <row r="1501" spans="1:24" x14ac:dyDescent="0.25">
      <c r="A1501">
        <v>1</v>
      </c>
      <c r="B1501" s="13">
        <v>590920300810</v>
      </c>
      <c r="C1501">
        <v>40</v>
      </c>
      <c r="D1501" s="13">
        <v>5957093008</v>
      </c>
      <c r="F1501" t="s">
        <v>130</v>
      </c>
      <c r="G1501">
        <v>0</v>
      </c>
      <c r="H1501">
        <v>100</v>
      </c>
      <c r="K1501">
        <v>1</v>
      </c>
      <c r="L1501" t="s">
        <v>131</v>
      </c>
      <c r="M1501" s="50">
        <v>44875</v>
      </c>
      <c r="N1501" s="50">
        <v>2958465</v>
      </c>
      <c r="P1501">
        <v>0</v>
      </c>
      <c r="U1501">
        <v>4</v>
      </c>
      <c r="V1501">
        <v>1</v>
      </c>
      <c r="W1501" t="s">
        <v>132</v>
      </c>
      <c r="X1501">
        <v>0</v>
      </c>
    </row>
    <row r="1502" spans="1:24" x14ac:dyDescent="0.25">
      <c r="A1502">
        <v>1</v>
      </c>
      <c r="B1502" s="13">
        <v>590920300810</v>
      </c>
      <c r="C1502">
        <v>50</v>
      </c>
      <c r="D1502" s="13">
        <v>1018034</v>
      </c>
      <c r="F1502" t="s">
        <v>130</v>
      </c>
      <c r="G1502">
        <v>0</v>
      </c>
      <c r="H1502">
        <v>100</v>
      </c>
      <c r="K1502">
        <v>4</v>
      </c>
      <c r="L1502" t="s">
        <v>131</v>
      </c>
      <c r="M1502" s="50">
        <v>44875</v>
      </c>
      <c r="N1502" s="50">
        <v>2958465</v>
      </c>
      <c r="P1502">
        <v>0</v>
      </c>
      <c r="U1502">
        <v>4</v>
      </c>
      <c r="V1502">
        <v>1</v>
      </c>
      <c r="W1502" t="s">
        <v>132</v>
      </c>
      <c r="X1502">
        <v>0</v>
      </c>
    </row>
    <row r="1503" spans="1:24" x14ac:dyDescent="0.25">
      <c r="A1503">
        <v>1</v>
      </c>
      <c r="B1503" s="13">
        <v>590920300810</v>
      </c>
      <c r="C1503">
        <v>60</v>
      </c>
      <c r="D1503" s="13">
        <v>1022356</v>
      </c>
      <c r="F1503" t="s">
        <v>130</v>
      </c>
      <c r="G1503">
        <v>0</v>
      </c>
      <c r="H1503">
        <v>100</v>
      </c>
      <c r="K1503">
        <v>10</v>
      </c>
      <c r="L1503" t="s">
        <v>131</v>
      </c>
      <c r="M1503" s="50">
        <v>44875</v>
      </c>
      <c r="N1503" s="50">
        <v>2958465</v>
      </c>
      <c r="P1503">
        <v>0</v>
      </c>
      <c r="U1503">
        <v>4</v>
      </c>
      <c r="V1503">
        <v>1</v>
      </c>
      <c r="W1503" t="s">
        <v>132</v>
      </c>
      <c r="X1503">
        <v>0</v>
      </c>
    </row>
    <row r="1504" spans="1:24" x14ac:dyDescent="0.25">
      <c r="A1504">
        <v>1</v>
      </c>
      <c r="B1504" s="13">
        <v>590920300810</v>
      </c>
      <c r="C1504">
        <v>70</v>
      </c>
      <c r="D1504" s="13">
        <v>1022213</v>
      </c>
      <c r="F1504" t="s">
        <v>130</v>
      </c>
      <c r="G1504">
        <v>0</v>
      </c>
      <c r="H1504">
        <v>100</v>
      </c>
      <c r="K1504">
        <v>5.5919999999999996</v>
      </c>
      <c r="L1504" t="s">
        <v>131</v>
      </c>
      <c r="M1504" s="50">
        <v>44875</v>
      </c>
      <c r="N1504" s="50">
        <v>2958465</v>
      </c>
      <c r="P1504">
        <v>0</v>
      </c>
      <c r="U1504">
        <v>4</v>
      </c>
      <c r="V1504">
        <v>1</v>
      </c>
      <c r="W1504" t="s">
        <v>132</v>
      </c>
      <c r="X1504">
        <v>0</v>
      </c>
    </row>
    <row r="1505" spans="1:24" x14ac:dyDescent="0.25">
      <c r="A1505">
        <v>1</v>
      </c>
      <c r="B1505" s="13">
        <v>590920300810</v>
      </c>
      <c r="C1505">
        <v>80</v>
      </c>
      <c r="D1505" s="13">
        <v>12165610</v>
      </c>
      <c r="F1505" t="s">
        <v>130</v>
      </c>
      <c r="G1505">
        <v>0</v>
      </c>
      <c r="H1505">
        <v>100</v>
      </c>
      <c r="K1505">
        <v>1</v>
      </c>
      <c r="L1505" t="s">
        <v>131</v>
      </c>
      <c r="M1505" s="50">
        <v>44875</v>
      </c>
      <c r="N1505" s="50">
        <v>2958465</v>
      </c>
      <c r="P1505">
        <v>0</v>
      </c>
      <c r="U1505">
        <v>4</v>
      </c>
      <c r="V1505">
        <v>1</v>
      </c>
      <c r="W1505" t="s">
        <v>132</v>
      </c>
      <c r="X1505">
        <v>0</v>
      </c>
    </row>
    <row r="1506" spans="1:24" x14ac:dyDescent="0.25">
      <c r="A1506">
        <v>1</v>
      </c>
      <c r="B1506" s="13">
        <v>590920300910</v>
      </c>
      <c r="C1506">
        <v>10</v>
      </c>
      <c r="D1506" s="13">
        <v>5957163009</v>
      </c>
      <c r="F1506" t="s">
        <v>130</v>
      </c>
      <c r="G1506">
        <v>0</v>
      </c>
      <c r="H1506">
        <v>100</v>
      </c>
      <c r="K1506">
        <v>2</v>
      </c>
      <c r="L1506" t="s">
        <v>131</v>
      </c>
      <c r="M1506" s="50">
        <v>44875</v>
      </c>
      <c r="N1506" s="50">
        <v>2958465</v>
      </c>
      <c r="P1506">
        <v>0</v>
      </c>
      <c r="U1506">
        <v>4</v>
      </c>
      <c r="V1506">
        <v>1</v>
      </c>
      <c r="W1506" t="s">
        <v>132</v>
      </c>
      <c r="X1506">
        <v>0</v>
      </c>
    </row>
    <row r="1507" spans="1:24" x14ac:dyDescent="0.25">
      <c r="A1507">
        <v>1</v>
      </c>
      <c r="B1507" s="13">
        <v>590920300910</v>
      </c>
      <c r="C1507">
        <v>20</v>
      </c>
      <c r="D1507" s="13">
        <v>5957333009</v>
      </c>
      <c r="F1507" t="s">
        <v>130</v>
      </c>
      <c r="G1507">
        <v>0</v>
      </c>
      <c r="H1507">
        <v>100</v>
      </c>
      <c r="K1507">
        <v>1</v>
      </c>
      <c r="L1507" t="s">
        <v>131</v>
      </c>
      <c r="M1507" s="50">
        <v>44875</v>
      </c>
      <c r="N1507" s="50">
        <v>2958465</v>
      </c>
      <c r="P1507">
        <v>0</v>
      </c>
      <c r="U1507">
        <v>4</v>
      </c>
      <c r="V1507">
        <v>1</v>
      </c>
      <c r="W1507" t="s">
        <v>132</v>
      </c>
      <c r="X1507">
        <v>0</v>
      </c>
    </row>
    <row r="1508" spans="1:24" x14ac:dyDescent="0.25">
      <c r="A1508">
        <v>1</v>
      </c>
      <c r="B1508" s="13">
        <v>590920300910</v>
      </c>
      <c r="C1508">
        <v>30</v>
      </c>
      <c r="D1508" s="13">
        <v>5957303009</v>
      </c>
      <c r="F1508" t="s">
        <v>130</v>
      </c>
      <c r="G1508">
        <v>0</v>
      </c>
      <c r="H1508">
        <v>100</v>
      </c>
      <c r="K1508">
        <v>1</v>
      </c>
      <c r="L1508" t="s">
        <v>131</v>
      </c>
      <c r="M1508" s="50">
        <v>44875</v>
      </c>
      <c r="N1508" s="50">
        <v>2958465</v>
      </c>
      <c r="P1508">
        <v>0</v>
      </c>
      <c r="U1508">
        <v>4</v>
      </c>
      <c r="V1508">
        <v>1</v>
      </c>
      <c r="W1508" t="s">
        <v>132</v>
      </c>
      <c r="X1508">
        <v>0</v>
      </c>
    </row>
    <row r="1509" spans="1:24" x14ac:dyDescent="0.25">
      <c r="A1509">
        <v>1</v>
      </c>
      <c r="B1509" s="13">
        <v>590920300910</v>
      </c>
      <c r="C1509">
        <v>40</v>
      </c>
      <c r="D1509" s="13">
        <v>5957093009</v>
      </c>
      <c r="F1509" t="s">
        <v>130</v>
      </c>
      <c r="G1509">
        <v>0</v>
      </c>
      <c r="H1509">
        <v>100</v>
      </c>
      <c r="K1509">
        <v>1</v>
      </c>
      <c r="L1509" t="s">
        <v>131</v>
      </c>
      <c r="M1509" s="50">
        <v>44875</v>
      </c>
      <c r="N1509" s="50">
        <v>2958465</v>
      </c>
      <c r="P1509">
        <v>0</v>
      </c>
      <c r="U1509">
        <v>4</v>
      </c>
      <c r="V1509">
        <v>1</v>
      </c>
      <c r="W1509" t="s">
        <v>132</v>
      </c>
      <c r="X1509">
        <v>0</v>
      </c>
    </row>
    <row r="1510" spans="1:24" x14ac:dyDescent="0.25">
      <c r="A1510">
        <v>1</v>
      </c>
      <c r="B1510" s="13">
        <v>590920300910</v>
      </c>
      <c r="C1510">
        <v>50</v>
      </c>
      <c r="D1510" s="13">
        <v>1018034</v>
      </c>
      <c r="F1510" t="s">
        <v>130</v>
      </c>
      <c r="G1510">
        <v>0</v>
      </c>
      <c r="H1510">
        <v>100</v>
      </c>
      <c r="K1510">
        <v>4</v>
      </c>
      <c r="L1510" t="s">
        <v>131</v>
      </c>
      <c r="M1510" s="50">
        <v>44875</v>
      </c>
      <c r="N1510" s="50">
        <v>2958465</v>
      </c>
      <c r="P1510">
        <v>0</v>
      </c>
      <c r="U1510">
        <v>4</v>
      </c>
      <c r="V1510">
        <v>1</v>
      </c>
      <c r="W1510" t="s">
        <v>132</v>
      </c>
      <c r="X1510">
        <v>0</v>
      </c>
    </row>
    <row r="1511" spans="1:24" x14ac:dyDescent="0.25">
      <c r="A1511">
        <v>1</v>
      </c>
      <c r="B1511" s="13">
        <v>590920300910</v>
      </c>
      <c r="C1511">
        <v>60</v>
      </c>
      <c r="D1511" s="13">
        <v>1018359</v>
      </c>
      <c r="F1511" t="s">
        <v>130</v>
      </c>
      <c r="G1511">
        <v>0</v>
      </c>
      <c r="H1511">
        <v>100</v>
      </c>
      <c r="K1511">
        <v>10</v>
      </c>
      <c r="L1511" t="s">
        <v>131</v>
      </c>
      <c r="M1511" s="50">
        <v>44875</v>
      </c>
      <c r="N1511" s="50">
        <v>2958465</v>
      </c>
      <c r="P1511">
        <v>0</v>
      </c>
      <c r="U1511">
        <v>4</v>
      </c>
      <c r="V1511">
        <v>1</v>
      </c>
      <c r="W1511" t="s">
        <v>132</v>
      </c>
      <c r="X1511">
        <v>0</v>
      </c>
    </row>
    <row r="1512" spans="1:24" x14ac:dyDescent="0.25">
      <c r="A1512">
        <v>1</v>
      </c>
      <c r="B1512" s="13">
        <v>590920300910</v>
      </c>
      <c r="C1512">
        <v>70</v>
      </c>
      <c r="D1512" s="13">
        <v>1022213</v>
      </c>
      <c r="F1512" t="s">
        <v>130</v>
      </c>
      <c r="G1512">
        <v>0</v>
      </c>
      <c r="H1512">
        <v>100</v>
      </c>
      <c r="K1512">
        <v>5.5919999999999996</v>
      </c>
      <c r="L1512" t="s">
        <v>131</v>
      </c>
      <c r="M1512" s="50">
        <v>44875</v>
      </c>
      <c r="N1512" s="50">
        <v>2958465</v>
      </c>
      <c r="P1512">
        <v>0</v>
      </c>
      <c r="U1512">
        <v>4</v>
      </c>
      <c r="V1512">
        <v>1</v>
      </c>
      <c r="W1512" t="s">
        <v>132</v>
      </c>
      <c r="X1512">
        <v>0</v>
      </c>
    </row>
    <row r="1513" spans="1:24" x14ac:dyDescent="0.25">
      <c r="A1513">
        <v>1</v>
      </c>
      <c r="B1513" s="13">
        <v>590920300910</v>
      </c>
      <c r="C1513">
        <v>80</v>
      </c>
      <c r="D1513" s="13">
        <v>12165610</v>
      </c>
      <c r="F1513" t="s">
        <v>130</v>
      </c>
      <c r="G1513">
        <v>0</v>
      </c>
      <c r="H1513">
        <v>100</v>
      </c>
      <c r="K1513">
        <v>1</v>
      </c>
      <c r="L1513" t="s">
        <v>131</v>
      </c>
      <c r="M1513" s="50">
        <v>44875</v>
      </c>
      <c r="N1513" s="50">
        <v>2958465</v>
      </c>
      <c r="P1513">
        <v>0</v>
      </c>
      <c r="U1513">
        <v>4</v>
      </c>
      <c r="V1513">
        <v>1</v>
      </c>
      <c r="W1513" t="s">
        <v>132</v>
      </c>
      <c r="X1513">
        <v>0</v>
      </c>
    </row>
    <row r="1514" spans="1:24" x14ac:dyDescent="0.25">
      <c r="A1514">
        <v>1</v>
      </c>
      <c r="B1514" s="13">
        <v>590920300008</v>
      </c>
      <c r="C1514">
        <v>10</v>
      </c>
      <c r="D1514" s="13">
        <v>5957163099</v>
      </c>
      <c r="F1514" t="s">
        <v>130</v>
      </c>
      <c r="G1514">
        <v>0</v>
      </c>
      <c r="H1514">
        <v>100</v>
      </c>
      <c r="K1514">
        <v>2</v>
      </c>
      <c r="L1514" t="s">
        <v>131</v>
      </c>
      <c r="M1514" s="50">
        <v>44875</v>
      </c>
      <c r="N1514" s="50">
        <v>2958465</v>
      </c>
      <c r="P1514">
        <v>0</v>
      </c>
      <c r="U1514">
        <v>4</v>
      </c>
      <c r="V1514">
        <v>1</v>
      </c>
      <c r="W1514" t="s">
        <v>132</v>
      </c>
      <c r="X1514">
        <v>0</v>
      </c>
    </row>
    <row r="1515" spans="1:24" x14ac:dyDescent="0.25">
      <c r="A1515">
        <v>1</v>
      </c>
      <c r="B1515" s="13">
        <v>590920300008</v>
      </c>
      <c r="C1515">
        <v>20</v>
      </c>
      <c r="D1515" s="13">
        <v>5957333099</v>
      </c>
      <c r="F1515" t="s">
        <v>130</v>
      </c>
      <c r="G1515">
        <v>0</v>
      </c>
      <c r="H1515">
        <v>100</v>
      </c>
      <c r="K1515">
        <v>1</v>
      </c>
      <c r="L1515" t="s">
        <v>131</v>
      </c>
      <c r="M1515" s="50">
        <v>44875</v>
      </c>
      <c r="N1515" s="50">
        <v>2958465</v>
      </c>
      <c r="P1515">
        <v>0</v>
      </c>
      <c r="U1515">
        <v>4</v>
      </c>
      <c r="V1515">
        <v>1</v>
      </c>
      <c r="W1515" t="s">
        <v>132</v>
      </c>
      <c r="X1515">
        <v>0</v>
      </c>
    </row>
    <row r="1516" spans="1:24" x14ac:dyDescent="0.25">
      <c r="A1516">
        <v>1</v>
      </c>
      <c r="B1516" s="13">
        <v>590920300008</v>
      </c>
      <c r="C1516">
        <v>30</v>
      </c>
      <c r="D1516" s="13">
        <v>5957303099</v>
      </c>
      <c r="F1516" t="s">
        <v>130</v>
      </c>
      <c r="G1516">
        <v>0</v>
      </c>
      <c r="H1516">
        <v>100</v>
      </c>
      <c r="K1516">
        <v>1</v>
      </c>
      <c r="L1516" t="s">
        <v>131</v>
      </c>
      <c r="M1516" s="50">
        <v>44875</v>
      </c>
      <c r="N1516" s="50">
        <v>2958465</v>
      </c>
      <c r="P1516">
        <v>0</v>
      </c>
      <c r="U1516">
        <v>4</v>
      </c>
      <c r="V1516">
        <v>1</v>
      </c>
      <c r="W1516" t="s">
        <v>132</v>
      </c>
      <c r="X1516">
        <v>0</v>
      </c>
    </row>
    <row r="1517" spans="1:24" x14ac:dyDescent="0.25">
      <c r="A1517">
        <v>1</v>
      </c>
      <c r="B1517" s="13">
        <v>590920300008</v>
      </c>
      <c r="C1517">
        <v>40</v>
      </c>
      <c r="D1517" s="13">
        <v>1022219</v>
      </c>
      <c r="F1517" t="s">
        <v>130</v>
      </c>
      <c r="G1517">
        <v>0</v>
      </c>
      <c r="H1517">
        <v>100</v>
      </c>
      <c r="K1517">
        <v>1</v>
      </c>
      <c r="L1517" t="s">
        <v>131</v>
      </c>
      <c r="M1517" s="50">
        <v>44875</v>
      </c>
      <c r="N1517" s="50">
        <v>2958465</v>
      </c>
      <c r="P1517">
        <v>0</v>
      </c>
      <c r="U1517">
        <v>4</v>
      </c>
      <c r="V1517">
        <v>1</v>
      </c>
      <c r="W1517" t="s">
        <v>132</v>
      </c>
      <c r="X1517">
        <v>0</v>
      </c>
    </row>
    <row r="1518" spans="1:24" x14ac:dyDescent="0.25">
      <c r="A1518">
        <v>1</v>
      </c>
      <c r="B1518" s="13">
        <v>590920300008</v>
      </c>
      <c r="C1518">
        <v>50</v>
      </c>
      <c r="D1518" s="13">
        <v>1018034</v>
      </c>
      <c r="F1518" t="s">
        <v>130</v>
      </c>
      <c r="G1518">
        <v>0</v>
      </c>
      <c r="H1518">
        <v>100</v>
      </c>
      <c r="K1518">
        <v>4</v>
      </c>
      <c r="L1518" t="s">
        <v>131</v>
      </c>
      <c r="M1518" s="50">
        <v>44875</v>
      </c>
      <c r="N1518" s="50">
        <v>2958465</v>
      </c>
      <c r="P1518">
        <v>0</v>
      </c>
      <c r="U1518">
        <v>4</v>
      </c>
      <c r="V1518">
        <v>1</v>
      </c>
      <c r="W1518" t="s">
        <v>132</v>
      </c>
      <c r="X1518">
        <v>0</v>
      </c>
    </row>
    <row r="1519" spans="1:24" x14ac:dyDescent="0.25">
      <c r="A1519">
        <v>1</v>
      </c>
      <c r="B1519" s="13">
        <v>590920300008</v>
      </c>
      <c r="C1519">
        <v>60</v>
      </c>
      <c r="D1519" s="13">
        <v>1018359</v>
      </c>
      <c r="F1519" t="s">
        <v>130</v>
      </c>
      <c r="G1519">
        <v>0</v>
      </c>
      <c r="H1519">
        <v>100</v>
      </c>
      <c r="K1519">
        <v>10</v>
      </c>
      <c r="L1519" t="s">
        <v>131</v>
      </c>
      <c r="M1519" s="50">
        <v>44875</v>
      </c>
      <c r="N1519" s="50">
        <v>2958465</v>
      </c>
      <c r="P1519">
        <v>0</v>
      </c>
      <c r="U1519">
        <v>4</v>
      </c>
      <c r="V1519">
        <v>1</v>
      </c>
      <c r="W1519" t="s">
        <v>132</v>
      </c>
      <c r="X1519">
        <v>0</v>
      </c>
    </row>
    <row r="1520" spans="1:24" x14ac:dyDescent="0.25">
      <c r="A1520">
        <v>1</v>
      </c>
      <c r="B1520" s="13">
        <v>590920300008</v>
      </c>
      <c r="C1520">
        <v>70</v>
      </c>
      <c r="D1520" s="13">
        <v>1022213</v>
      </c>
      <c r="F1520" t="s">
        <v>130</v>
      </c>
      <c r="G1520">
        <v>0</v>
      </c>
      <c r="H1520">
        <v>100</v>
      </c>
      <c r="K1520">
        <v>5.5919999999999996</v>
      </c>
      <c r="L1520" t="s">
        <v>131</v>
      </c>
      <c r="M1520" s="50">
        <v>44875</v>
      </c>
      <c r="N1520" s="50">
        <v>2958465</v>
      </c>
      <c r="P1520">
        <v>0</v>
      </c>
      <c r="U1520">
        <v>4</v>
      </c>
      <c r="V1520">
        <v>1</v>
      </c>
      <c r="W1520" t="s">
        <v>132</v>
      </c>
      <c r="X1520">
        <v>0</v>
      </c>
    </row>
    <row r="1521" spans="1:24" x14ac:dyDescent="0.25">
      <c r="A1521">
        <v>1</v>
      </c>
      <c r="B1521" s="13">
        <v>590920300008</v>
      </c>
      <c r="C1521">
        <v>80</v>
      </c>
      <c r="D1521" s="13">
        <v>12165608</v>
      </c>
      <c r="F1521" t="s">
        <v>130</v>
      </c>
      <c r="G1521">
        <v>0</v>
      </c>
      <c r="H1521">
        <v>100</v>
      </c>
      <c r="K1521">
        <v>1</v>
      </c>
      <c r="L1521" t="s">
        <v>131</v>
      </c>
      <c r="M1521" s="50">
        <v>44875</v>
      </c>
      <c r="N1521" s="50">
        <v>2958465</v>
      </c>
      <c r="P1521">
        <v>0</v>
      </c>
      <c r="U1521">
        <v>4</v>
      </c>
      <c r="V1521">
        <v>1</v>
      </c>
      <c r="W1521" t="s">
        <v>132</v>
      </c>
      <c r="X1521">
        <v>0</v>
      </c>
    </row>
    <row r="1522" spans="1:24" x14ac:dyDescent="0.25">
      <c r="A1522">
        <v>1</v>
      </c>
      <c r="B1522" s="13">
        <v>590920300308</v>
      </c>
      <c r="C1522">
        <v>10</v>
      </c>
      <c r="D1522" s="13">
        <v>5957163003</v>
      </c>
      <c r="F1522" t="s">
        <v>130</v>
      </c>
      <c r="G1522">
        <v>0</v>
      </c>
      <c r="H1522">
        <v>100</v>
      </c>
      <c r="K1522">
        <v>2</v>
      </c>
      <c r="L1522" t="s">
        <v>131</v>
      </c>
      <c r="M1522" s="50">
        <v>44875</v>
      </c>
      <c r="N1522" s="50">
        <v>2958465</v>
      </c>
      <c r="P1522">
        <v>0</v>
      </c>
      <c r="U1522">
        <v>4</v>
      </c>
      <c r="V1522">
        <v>1</v>
      </c>
      <c r="W1522" t="s">
        <v>132</v>
      </c>
      <c r="X1522">
        <v>0</v>
      </c>
    </row>
    <row r="1523" spans="1:24" x14ac:dyDescent="0.25">
      <c r="A1523">
        <v>1</v>
      </c>
      <c r="B1523" s="13">
        <v>590920300308</v>
      </c>
      <c r="C1523">
        <v>20</v>
      </c>
      <c r="D1523" s="13">
        <v>5957333003</v>
      </c>
      <c r="F1523" t="s">
        <v>130</v>
      </c>
      <c r="G1523">
        <v>0</v>
      </c>
      <c r="H1523">
        <v>100</v>
      </c>
      <c r="K1523">
        <v>1</v>
      </c>
      <c r="L1523" t="s">
        <v>131</v>
      </c>
      <c r="M1523" s="50">
        <v>44875</v>
      </c>
      <c r="N1523" s="50">
        <v>2958465</v>
      </c>
      <c r="P1523">
        <v>0</v>
      </c>
      <c r="U1523">
        <v>4</v>
      </c>
      <c r="V1523">
        <v>1</v>
      </c>
      <c r="W1523" t="s">
        <v>132</v>
      </c>
      <c r="X1523">
        <v>0</v>
      </c>
    </row>
    <row r="1524" spans="1:24" x14ac:dyDescent="0.25">
      <c r="A1524">
        <v>1</v>
      </c>
      <c r="B1524" s="13">
        <v>590920300308</v>
      </c>
      <c r="C1524">
        <v>30</v>
      </c>
      <c r="D1524" s="13">
        <v>5957303003</v>
      </c>
      <c r="F1524" t="s">
        <v>130</v>
      </c>
      <c r="G1524">
        <v>0</v>
      </c>
      <c r="H1524">
        <v>100</v>
      </c>
      <c r="K1524">
        <v>1</v>
      </c>
      <c r="L1524" t="s">
        <v>131</v>
      </c>
      <c r="M1524" s="50">
        <v>44875</v>
      </c>
      <c r="N1524" s="50">
        <v>2958465</v>
      </c>
      <c r="P1524">
        <v>0</v>
      </c>
      <c r="U1524">
        <v>4</v>
      </c>
      <c r="V1524">
        <v>1</v>
      </c>
      <c r="W1524" t="s">
        <v>132</v>
      </c>
      <c r="X1524">
        <v>0</v>
      </c>
    </row>
    <row r="1525" spans="1:24" x14ac:dyDescent="0.25">
      <c r="A1525">
        <v>1</v>
      </c>
      <c r="B1525" s="13">
        <v>590920300308</v>
      </c>
      <c r="C1525">
        <v>40</v>
      </c>
      <c r="D1525" s="13">
        <v>5957093003</v>
      </c>
      <c r="F1525" t="s">
        <v>130</v>
      </c>
      <c r="G1525">
        <v>0</v>
      </c>
      <c r="H1525">
        <v>100</v>
      </c>
      <c r="K1525">
        <v>1</v>
      </c>
      <c r="L1525" t="s">
        <v>131</v>
      </c>
      <c r="M1525" s="50">
        <v>44875</v>
      </c>
      <c r="N1525" s="50">
        <v>2958465</v>
      </c>
      <c r="P1525">
        <v>0</v>
      </c>
      <c r="U1525">
        <v>4</v>
      </c>
      <c r="V1525">
        <v>1</v>
      </c>
      <c r="W1525" t="s">
        <v>132</v>
      </c>
      <c r="X1525">
        <v>0</v>
      </c>
    </row>
    <row r="1526" spans="1:24" x14ac:dyDescent="0.25">
      <c r="A1526">
        <v>1</v>
      </c>
      <c r="B1526" s="13">
        <v>590920300308</v>
      </c>
      <c r="C1526">
        <v>50</v>
      </c>
      <c r="D1526" s="13">
        <v>1018034</v>
      </c>
      <c r="F1526" t="s">
        <v>130</v>
      </c>
      <c r="G1526">
        <v>0</v>
      </c>
      <c r="H1526">
        <v>100</v>
      </c>
      <c r="K1526">
        <v>4</v>
      </c>
      <c r="L1526" t="s">
        <v>131</v>
      </c>
      <c r="M1526" s="50">
        <v>44875</v>
      </c>
      <c r="N1526" s="50">
        <v>2958465</v>
      </c>
      <c r="P1526">
        <v>0</v>
      </c>
      <c r="U1526">
        <v>4</v>
      </c>
      <c r="V1526">
        <v>1</v>
      </c>
      <c r="W1526" t="s">
        <v>132</v>
      </c>
      <c r="X1526">
        <v>0</v>
      </c>
    </row>
    <row r="1527" spans="1:24" x14ac:dyDescent="0.25">
      <c r="A1527">
        <v>1</v>
      </c>
      <c r="B1527" s="13">
        <v>590920300308</v>
      </c>
      <c r="C1527">
        <v>60</v>
      </c>
      <c r="D1527" s="13">
        <v>1018359</v>
      </c>
      <c r="F1527" t="s">
        <v>130</v>
      </c>
      <c r="G1527">
        <v>0</v>
      </c>
      <c r="H1527">
        <v>100</v>
      </c>
      <c r="K1527">
        <v>10</v>
      </c>
      <c r="L1527" t="s">
        <v>131</v>
      </c>
      <c r="M1527" s="50">
        <v>44875</v>
      </c>
      <c r="N1527" s="50">
        <v>2958465</v>
      </c>
      <c r="P1527">
        <v>0</v>
      </c>
      <c r="U1527">
        <v>4</v>
      </c>
      <c r="V1527">
        <v>1</v>
      </c>
      <c r="W1527" t="s">
        <v>132</v>
      </c>
      <c r="X1527">
        <v>0</v>
      </c>
    </row>
    <row r="1528" spans="1:24" x14ac:dyDescent="0.25">
      <c r="A1528">
        <v>1</v>
      </c>
      <c r="B1528" s="13">
        <v>590920300308</v>
      </c>
      <c r="C1528">
        <v>70</v>
      </c>
      <c r="D1528" s="13">
        <v>1022213</v>
      </c>
      <c r="F1528" t="s">
        <v>130</v>
      </c>
      <c r="G1528">
        <v>0</v>
      </c>
      <c r="H1528">
        <v>100</v>
      </c>
      <c r="K1528">
        <v>5.5919999999999996</v>
      </c>
      <c r="L1528" t="s">
        <v>131</v>
      </c>
      <c r="M1528" s="50">
        <v>44875</v>
      </c>
      <c r="N1528" s="50">
        <v>2958465</v>
      </c>
      <c r="P1528">
        <v>0</v>
      </c>
      <c r="U1528">
        <v>4</v>
      </c>
      <c r="V1528">
        <v>1</v>
      </c>
      <c r="W1528" t="s">
        <v>132</v>
      </c>
      <c r="X1528">
        <v>0</v>
      </c>
    </row>
    <row r="1529" spans="1:24" x14ac:dyDescent="0.25">
      <c r="A1529">
        <v>1</v>
      </c>
      <c r="B1529" s="13">
        <v>590920300308</v>
      </c>
      <c r="C1529">
        <v>80</v>
      </c>
      <c r="D1529" s="13">
        <v>12165608</v>
      </c>
      <c r="F1529" t="s">
        <v>130</v>
      </c>
      <c r="G1529">
        <v>0</v>
      </c>
      <c r="H1529">
        <v>100</v>
      </c>
      <c r="K1529">
        <v>1</v>
      </c>
      <c r="L1529" t="s">
        <v>131</v>
      </c>
      <c r="M1529" s="50">
        <v>44875</v>
      </c>
      <c r="N1529" s="50">
        <v>2958465</v>
      </c>
      <c r="P1529">
        <v>0</v>
      </c>
      <c r="U1529">
        <v>4</v>
      </c>
      <c r="V1529">
        <v>1</v>
      </c>
      <c r="W1529" t="s">
        <v>132</v>
      </c>
      <c r="X1529">
        <v>0</v>
      </c>
    </row>
    <row r="1530" spans="1:24" x14ac:dyDescent="0.25">
      <c r="A1530">
        <v>1</v>
      </c>
      <c r="B1530" s="13">
        <v>590920300508</v>
      </c>
      <c r="C1530">
        <v>10</v>
      </c>
      <c r="D1530" s="13">
        <v>5957163005</v>
      </c>
      <c r="F1530" t="s">
        <v>130</v>
      </c>
      <c r="G1530">
        <v>0</v>
      </c>
      <c r="H1530">
        <v>100</v>
      </c>
      <c r="K1530">
        <v>2</v>
      </c>
      <c r="L1530" t="s">
        <v>131</v>
      </c>
      <c r="M1530" s="50">
        <v>44875</v>
      </c>
      <c r="N1530" s="50">
        <v>2958465</v>
      </c>
      <c r="P1530">
        <v>0</v>
      </c>
      <c r="U1530">
        <v>4</v>
      </c>
      <c r="V1530">
        <v>1</v>
      </c>
      <c r="W1530" t="s">
        <v>132</v>
      </c>
      <c r="X1530">
        <v>0</v>
      </c>
    </row>
    <row r="1531" spans="1:24" x14ac:dyDescent="0.25">
      <c r="A1531">
        <v>1</v>
      </c>
      <c r="B1531" s="13">
        <v>590920300508</v>
      </c>
      <c r="C1531">
        <v>20</v>
      </c>
      <c r="D1531" s="13">
        <v>5957333005</v>
      </c>
      <c r="F1531" t="s">
        <v>130</v>
      </c>
      <c r="G1531">
        <v>0</v>
      </c>
      <c r="H1531">
        <v>100</v>
      </c>
      <c r="K1531">
        <v>1</v>
      </c>
      <c r="L1531" t="s">
        <v>131</v>
      </c>
      <c r="M1531" s="50">
        <v>44875</v>
      </c>
      <c r="N1531" s="50">
        <v>2958465</v>
      </c>
      <c r="P1531">
        <v>0</v>
      </c>
      <c r="U1531">
        <v>4</v>
      </c>
      <c r="V1531">
        <v>1</v>
      </c>
      <c r="W1531" t="s">
        <v>132</v>
      </c>
      <c r="X1531">
        <v>0</v>
      </c>
    </row>
    <row r="1532" spans="1:24" x14ac:dyDescent="0.25">
      <c r="A1532">
        <v>1</v>
      </c>
      <c r="B1532" s="13">
        <v>590920300508</v>
      </c>
      <c r="C1532">
        <v>30</v>
      </c>
      <c r="D1532" s="13">
        <v>5957303005</v>
      </c>
      <c r="F1532" t="s">
        <v>130</v>
      </c>
      <c r="G1532">
        <v>0</v>
      </c>
      <c r="H1532">
        <v>100</v>
      </c>
      <c r="K1532">
        <v>1</v>
      </c>
      <c r="L1532" t="s">
        <v>131</v>
      </c>
      <c r="M1532" s="50">
        <v>44875</v>
      </c>
      <c r="N1532" s="50">
        <v>2958465</v>
      </c>
      <c r="P1532">
        <v>0</v>
      </c>
      <c r="U1532">
        <v>4</v>
      </c>
      <c r="V1532">
        <v>1</v>
      </c>
      <c r="W1532" t="s">
        <v>132</v>
      </c>
      <c r="X1532">
        <v>0</v>
      </c>
    </row>
    <row r="1533" spans="1:24" x14ac:dyDescent="0.25">
      <c r="A1533">
        <v>1</v>
      </c>
      <c r="B1533" s="13">
        <v>590920300508</v>
      </c>
      <c r="C1533">
        <v>40</v>
      </c>
      <c r="D1533" s="13">
        <v>5957093005</v>
      </c>
      <c r="F1533" t="s">
        <v>130</v>
      </c>
      <c r="G1533">
        <v>0</v>
      </c>
      <c r="H1533">
        <v>100</v>
      </c>
      <c r="K1533">
        <v>1</v>
      </c>
      <c r="L1533" t="s">
        <v>131</v>
      </c>
      <c r="M1533" s="50">
        <v>44875</v>
      </c>
      <c r="N1533" s="50">
        <v>2958465</v>
      </c>
      <c r="P1533">
        <v>0</v>
      </c>
      <c r="U1533">
        <v>4</v>
      </c>
      <c r="V1533">
        <v>1</v>
      </c>
      <c r="W1533" t="s">
        <v>132</v>
      </c>
      <c r="X1533">
        <v>0</v>
      </c>
    </row>
    <row r="1534" spans="1:24" x14ac:dyDescent="0.25">
      <c r="A1534">
        <v>1</v>
      </c>
      <c r="B1534" s="13">
        <v>590920300508</v>
      </c>
      <c r="C1534">
        <v>50</v>
      </c>
      <c r="D1534" s="13">
        <v>1018034</v>
      </c>
      <c r="F1534" t="s">
        <v>130</v>
      </c>
      <c r="G1534">
        <v>0</v>
      </c>
      <c r="H1534">
        <v>100</v>
      </c>
      <c r="K1534">
        <v>4</v>
      </c>
      <c r="L1534" t="s">
        <v>131</v>
      </c>
      <c r="M1534" s="50">
        <v>44875</v>
      </c>
      <c r="N1534" s="50">
        <v>2958465</v>
      </c>
      <c r="P1534">
        <v>0</v>
      </c>
      <c r="U1534">
        <v>4</v>
      </c>
      <c r="V1534">
        <v>1</v>
      </c>
      <c r="W1534" t="s">
        <v>132</v>
      </c>
      <c r="X1534">
        <v>0</v>
      </c>
    </row>
    <row r="1535" spans="1:24" x14ac:dyDescent="0.25">
      <c r="A1535">
        <v>1</v>
      </c>
      <c r="B1535" s="13">
        <v>590920300508</v>
      </c>
      <c r="C1535">
        <v>60</v>
      </c>
      <c r="D1535" s="13">
        <v>1022356</v>
      </c>
      <c r="F1535" t="s">
        <v>130</v>
      </c>
      <c r="G1535">
        <v>0</v>
      </c>
      <c r="H1535">
        <v>100</v>
      </c>
      <c r="K1535">
        <v>10</v>
      </c>
      <c r="L1535" t="s">
        <v>131</v>
      </c>
      <c r="M1535" s="50">
        <v>44875</v>
      </c>
      <c r="N1535" s="50">
        <v>2958465</v>
      </c>
      <c r="P1535">
        <v>0</v>
      </c>
      <c r="U1535">
        <v>4</v>
      </c>
      <c r="V1535">
        <v>1</v>
      </c>
      <c r="W1535" t="s">
        <v>132</v>
      </c>
      <c r="X1535">
        <v>0</v>
      </c>
    </row>
    <row r="1536" spans="1:24" x14ac:dyDescent="0.25">
      <c r="A1536">
        <v>1</v>
      </c>
      <c r="B1536" s="13">
        <v>590920300508</v>
      </c>
      <c r="C1536">
        <v>70</v>
      </c>
      <c r="D1536" s="13">
        <v>1022213</v>
      </c>
      <c r="F1536" t="s">
        <v>130</v>
      </c>
      <c r="G1536">
        <v>0</v>
      </c>
      <c r="H1536">
        <v>100</v>
      </c>
      <c r="K1536">
        <v>5.5919999999999996</v>
      </c>
      <c r="L1536" t="s">
        <v>131</v>
      </c>
      <c r="M1536" s="50">
        <v>44875</v>
      </c>
      <c r="N1536" s="50">
        <v>2958465</v>
      </c>
      <c r="P1536">
        <v>0</v>
      </c>
      <c r="U1536">
        <v>4</v>
      </c>
      <c r="V1536">
        <v>1</v>
      </c>
      <c r="W1536" t="s">
        <v>132</v>
      </c>
      <c r="X1536">
        <v>0</v>
      </c>
    </row>
    <row r="1537" spans="1:24" x14ac:dyDescent="0.25">
      <c r="A1537">
        <v>1</v>
      </c>
      <c r="B1537" s="13">
        <v>590920300508</v>
      </c>
      <c r="C1537">
        <v>80</v>
      </c>
      <c r="D1537" s="13">
        <v>12165608</v>
      </c>
      <c r="F1537" t="s">
        <v>130</v>
      </c>
      <c r="G1537">
        <v>0</v>
      </c>
      <c r="H1537">
        <v>100</v>
      </c>
      <c r="K1537">
        <v>1</v>
      </c>
      <c r="L1537" t="s">
        <v>131</v>
      </c>
      <c r="M1537" s="50">
        <v>44875</v>
      </c>
      <c r="N1537" s="50">
        <v>2958465</v>
      </c>
      <c r="P1537">
        <v>0</v>
      </c>
      <c r="U1537">
        <v>4</v>
      </c>
      <c r="V1537">
        <v>1</v>
      </c>
      <c r="W1537" t="s">
        <v>132</v>
      </c>
      <c r="X1537">
        <v>0</v>
      </c>
    </row>
    <row r="1538" spans="1:24" x14ac:dyDescent="0.25">
      <c r="A1538">
        <v>1</v>
      </c>
      <c r="B1538" s="13">
        <v>590920300908</v>
      </c>
      <c r="C1538">
        <v>10</v>
      </c>
      <c r="D1538" s="13">
        <v>5957163009</v>
      </c>
      <c r="F1538" t="s">
        <v>130</v>
      </c>
      <c r="G1538">
        <v>0</v>
      </c>
      <c r="H1538">
        <v>100</v>
      </c>
      <c r="K1538">
        <v>2</v>
      </c>
      <c r="L1538" t="s">
        <v>131</v>
      </c>
      <c r="M1538" s="50">
        <v>44875</v>
      </c>
      <c r="N1538" s="50">
        <v>2958465</v>
      </c>
      <c r="P1538">
        <v>0</v>
      </c>
      <c r="U1538">
        <v>4</v>
      </c>
      <c r="V1538">
        <v>1</v>
      </c>
      <c r="W1538" t="s">
        <v>132</v>
      </c>
      <c r="X1538">
        <v>0</v>
      </c>
    </row>
    <row r="1539" spans="1:24" x14ac:dyDescent="0.25">
      <c r="A1539">
        <v>1</v>
      </c>
      <c r="B1539" s="13">
        <v>590920300908</v>
      </c>
      <c r="C1539">
        <v>20</v>
      </c>
      <c r="D1539" s="13">
        <v>5957333009</v>
      </c>
      <c r="F1539" t="s">
        <v>130</v>
      </c>
      <c r="G1539">
        <v>0</v>
      </c>
      <c r="H1539">
        <v>100</v>
      </c>
      <c r="K1539">
        <v>1</v>
      </c>
      <c r="L1539" t="s">
        <v>131</v>
      </c>
      <c r="M1539" s="50">
        <v>44875</v>
      </c>
      <c r="N1539" s="50">
        <v>2958465</v>
      </c>
      <c r="P1539">
        <v>0</v>
      </c>
      <c r="U1539">
        <v>4</v>
      </c>
      <c r="V1539">
        <v>1</v>
      </c>
      <c r="W1539" t="s">
        <v>132</v>
      </c>
      <c r="X1539">
        <v>0</v>
      </c>
    </row>
    <row r="1540" spans="1:24" x14ac:dyDescent="0.25">
      <c r="A1540">
        <v>1</v>
      </c>
      <c r="B1540" s="13">
        <v>590920300908</v>
      </c>
      <c r="C1540">
        <v>30</v>
      </c>
      <c r="D1540" s="13">
        <v>5957303009</v>
      </c>
      <c r="F1540" t="s">
        <v>130</v>
      </c>
      <c r="G1540">
        <v>0</v>
      </c>
      <c r="H1540">
        <v>100</v>
      </c>
      <c r="K1540">
        <v>1</v>
      </c>
      <c r="L1540" t="s">
        <v>131</v>
      </c>
      <c r="M1540" s="50">
        <v>44875</v>
      </c>
      <c r="N1540" s="50">
        <v>2958465</v>
      </c>
      <c r="P1540">
        <v>0</v>
      </c>
      <c r="U1540">
        <v>4</v>
      </c>
      <c r="V1540">
        <v>1</v>
      </c>
      <c r="W1540" t="s">
        <v>132</v>
      </c>
      <c r="X1540">
        <v>0</v>
      </c>
    </row>
    <row r="1541" spans="1:24" x14ac:dyDescent="0.25">
      <c r="A1541">
        <v>1</v>
      </c>
      <c r="B1541" s="13">
        <v>590920300908</v>
      </c>
      <c r="C1541">
        <v>40</v>
      </c>
      <c r="D1541" s="13">
        <v>5957093009</v>
      </c>
      <c r="F1541" t="s">
        <v>130</v>
      </c>
      <c r="G1541">
        <v>0</v>
      </c>
      <c r="H1541">
        <v>100</v>
      </c>
      <c r="K1541">
        <v>1</v>
      </c>
      <c r="L1541" t="s">
        <v>131</v>
      </c>
      <c r="M1541" s="50">
        <v>44875</v>
      </c>
      <c r="N1541" s="50">
        <v>2958465</v>
      </c>
      <c r="P1541">
        <v>0</v>
      </c>
      <c r="U1541">
        <v>4</v>
      </c>
      <c r="V1541">
        <v>1</v>
      </c>
      <c r="W1541" t="s">
        <v>132</v>
      </c>
      <c r="X1541">
        <v>0</v>
      </c>
    </row>
    <row r="1542" spans="1:24" x14ac:dyDescent="0.25">
      <c r="A1542">
        <v>1</v>
      </c>
      <c r="B1542" s="13">
        <v>590920300908</v>
      </c>
      <c r="C1542">
        <v>50</v>
      </c>
      <c r="D1542" s="13">
        <v>1018034</v>
      </c>
      <c r="F1542" t="s">
        <v>130</v>
      </c>
      <c r="G1542">
        <v>0</v>
      </c>
      <c r="H1542">
        <v>100</v>
      </c>
      <c r="K1542">
        <v>4</v>
      </c>
      <c r="L1542" t="s">
        <v>131</v>
      </c>
      <c r="M1542" s="50">
        <v>44875</v>
      </c>
      <c r="N1542" s="50">
        <v>2958465</v>
      </c>
      <c r="P1542">
        <v>0</v>
      </c>
      <c r="U1542">
        <v>4</v>
      </c>
      <c r="V1542">
        <v>1</v>
      </c>
      <c r="W1542" t="s">
        <v>132</v>
      </c>
      <c r="X1542">
        <v>0</v>
      </c>
    </row>
    <row r="1543" spans="1:24" x14ac:dyDescent="0.25">
      <c r="A1543">
        <v>1</v>
      </c>
      <c r="B1543" s="13">
        <v>590920300908</v>
      </c>
      <c r="C1543">
        <v>60</v>
      </c>
      <c r="D1543" s="13">
        <v>1018359</v>
      </c>
      <c r="F1543" t="s">
        <v>130</v>
      </c>
      <c r="G1543">
        <v>0</v>
      </c>
      <c r="H1543">
        <v>100</v>
      </c>
      <c r="K1543">
        <v>10</v>
      </c>
      <c r="L1543" t="s">
        <v>131</v>
      </c>
      <c r="M1543" s="50">
        <v>44875</v>
      </c>
      <c r="N1543" s="50">
        <v>2958465</v>
      </c>
      <c r="P1543">
        <v>0</v>
      </c>
      <c r="U1543">
        <v>4</v>
      </c>
      <c r="V1543">
        <v>1</v>
      </c>
      <c r="W1543" t="s">
        <v>132</v>
      </c>
      <c r="X1543">
        <v>0</v>
      </c>
    </row>
    <row r="1544" spans="1:24" x14ac:dyDescent="0.25">
      <c r="A1544">
        <v>1</v>
      </c>
      <c r="B1544" s="13">
        <v>590920300908</v>
      </c>
      <c r="C1544">
        <v>70</v>
      </c>
      <c r="D1544" s="13">
        <v>1022213</v>
      </c>
      <c r="F1544" t="s">
        <v>130</v>
      </c>
      <c r="G1544">
        <v>0</v>
      </c>
      <c r="H1544">
        <v>100</v>
      </c>
      <c r="K1544">
        <v>5.5919999999999996</v>
      </c>
      <c r="L1544" t="s">
        <v>131</v>
      </c>
      <c r="M1544" s="50">
        <v>44875</v>
      </c>
      <c r="N1544" s="50">
        <v>2958465</v>
      </c>
      <c r="P1544">
        <v>0</v>
      </c>
      <c r="U1544">
        <v>4</v>
      </c>
      <c r="V1544">
        <v>1</v>
      </c>
      <c r="W1544" t="s">
        <v>132</v>
      </c>
      <c r="X1544">
        <v>0</v>
      </c>
    </row>
    <row r="1545" spans="1:24" x14ac:dyDescent="0.25">
      <c r="A1545">
        <v>1</v>
      </c>
      <c r="B1545" s="13">
        <v>590920300908</v>
      </c>
      <c r="C1545">
        <v>80</v>
      </c>
      <c r="D1545" s="13">
        <v>12165608</v>
      </c>
      <c r="F1545" t="s">
        <v>130</v>
      </c>
      <c r="G1545">
        <v>0</v>
      </c>
      <c r="H1545">
        <v>100</v>
      </c>
      <c r="K1545">
        <v>1</v>
      </c>
      <c r="L1545" t="s">
        <v>131</v>
      </c>
      <c r="M1545" s="50">
        <v>44875</v>
      </c>
      <c r="N1545" s="50">
        <v>2958465</v>
      </c>
      <c r="P1545">
        <v>0</v>
      </c>
      <c r="U1545">
        <v>4</v>
      </c>
      <c r="V1545">
        <v>1</v>
      </c>
      <c r="W1545" t="s">
        <v>132</v>
      </c>
      <c r="X1545">
        <v>0</v>
      </c>
    </row>
    <row r="1546" spans="1:24" x14ac:dyDescent="0.25">
      <c r="A1546">
        <v>1</v>
      </c>
      <c r="B1546" s="13">
        <v>590920300021</v>
      </c>
      <c r="C1546">
        <v>10</v>
      </c>
      <c r="D1546" s="13">
        <v>5957163099</v>
      </c>
      <c r="F1546" t="s">
        <v>130</v>
      </c>
      <c r="G1546">
        <v>0</v>
      </c>
      <c r="H1546">
        <v>100</v>
      </c>
      <c r="K1546">
        <v>2</v>
      </c>
      <c r="L1546" t="s">
        <v>131</v>
      </c>
      <c r="M1546" s="50">
        <v>44875</v>
      </c>
      <c r="N1546" s="50">
        <v>2958465</v>
      </c>
      <c r="P1546">
        <v>0</v>
      </c>
      <c r="U1546">
        <v>4</v>
      </c>
      <c r="V1546">
        <v>1</v>
      </c>
      <c r="W1546" t="s">
        <v>132</v>
      </c>
      <c r="X1546">
        <v>0</v>
      </c>
    </row>
    <row r="1547" spans="1:24" x14ac:dyDescent="0.25">
      <c r="A1547">
        <v>1</v>
      </c>
      <c r="B1547" s="13">
        <v>590920300021</v>
      </c>
      <c r="C1547">
        <v>20</v>
      </c>
      <c r="D1547" s="13">
        <v>5957333099</v>
      </c>
      <c r="F1547" t="s">
        <v>130</v>
      </c>
      <c r="G1547">
        <v>0</v>
      </c>
      <c r="H1547">
        <v>100</v>
      </c>
      <c r="K1547">
        <v>1</v>
      </c>
      <c r="L1547" t="s">
        <v>131</v>
      </c>
      <c r="M1547" s="50">
        <v>44875</v>
      </c>
      <c r="N1547" s="50">
        <v>2958465</v>
      </c>
      <c r="P1547">
        <v>0</v>
      </c>
      <c r="U1547">
        <v>4</v>
      </c>
      <c r="V1547">
        <v>1</v>
      </c>
      <c r="W1547" t="s">
        <v>132</v>
      </c>
      <c r="X1547">
        <v>0</v>
      </c>
    </row>
    <row r="1548" spans="1:24" x14ac:dyDescent="0.25">
      <c r="A1548">
        <v>1</v>
      </c>
      <c r="B1548" s="13">
        <v>590920300021</v>
      </c>
      <c r="C1548">
        <v>30</v>
      </c>
      <c r="D1548" s="13">
        <v>5957303099</v>
      </c>
      <c r="F1548" t="s">
        <v>130</v>
      </c>
      <c r="G1548">
        <v>0</v>
      </c>
      <c r="H1548">
        <v>100</v>
      </c>
      <c r="K1548">
        <v>1</v>
      </c>
      <c r="L1548" t="s">
        <v>131</v>
      </c>
      <c r="M1548" s="50">
        <v>44875</v>
      </c>
      <c r="N1548" s="50">
        <v>2958465</v>
      </c>
      <c r="P1548">
        <v>0</v>
      </c>
      <c r="U1548">
        <v>4</v>
      </c>
      <c r="V1548">
        <v>1</v>
      </c>
      <c r="W1548" t="s">
        <v>132</v>
      </c>
      <c r="X1548">
        <v>0</v>
      </c>
    </row>
    <row r="1549" spans="1:24" x14ac:dyDescent="0.25">
      <c r="A1549">
        <v>1</v>
      </c>
      <c r="B1549" s="13">
        <v>590920300021</v>
      </c>
      <c r="C1549">
        <v>40</v>
      </c>
      <c r="D1549" s="13">
        <v>1022219</v>
      </c>
      <c r="F1549" t="s">
        <v>130</v>
      </c>
      <c r="G1549">
        <v>0</v>
      </c>
      <c r="H1549">
        <v>100</v>
      </c>
      <c r="K1549">
        <v>1</v>
      </c>
      <c r="L1549" t="s">
        <v>131</v>
      </c>
      <c r="M1549" s="50">
        <v>44875</v>
      </c>
      <c r="N1549" s="50">
        <v>2958465</v>
      </c>
      <c r="P1549">
        <v>0</v>
      </c>
      <c r="U1549">
        <v>4</v>
      </c>
      <c r="V1549">
        <v>1</v>
      </c>
      <c r="W1549" t="s">
        <v>132</v>
      </c>
      <c r="X1549">
        <v>0</v>
      </c>
    </row>
    <row r="1550" spans="1:24" x14ac:dyDescent="0.25">
      <c r="A1550">
        <v>1</v>
      </c>
      <c r="B1550" s="13">
        <v>590920300021</v>
      </c>
      <c r="C1550">
        <v>50</v>
      </c>
      <c r="D1550" s="13">
        <v>1018034</v>
      </c>
      <c r="F1550" t="s">
        <v>130</v>
      </c>
      <c r="G1550">
        <v>0</v>
      </c>
      <c r="H1550">
        <v>100</v>
      </c>
      <c r="K1550">
        <v>4</v>
      </c>
      <c r="L1550" t="s">
        <v>131</v>
      </c>
      <c r="M1550" s="50">
        <v>44875</v>
      </c>
      <c r="N1550" s="50">
        <v>2958465</v>
      </c>
      <c r="P1550">
        <v>0</v>
      </c>
      <c r="U1550">
        <v>4</v>
      </c>
      <c r="V1550">
        <v>1</v>
      </c>
      <c r="W1550" t="s">
        <v>132</v>
      </c>
      <c r="X1550">
        <v>0</v>
      </c>
    </row>
    <row r="1551" spans="1:24" x14ac:dyDescent="0.25">
      <c r="A1551">
        <v>1</v>
      </c>
      <c r="B1551" s="13">
        <v>590920300021</v>
      </c>
      <c r="C1551">
        <v>60</v>
      </c>
      <c r="D1551" s="13">
        <v>1018359</v>
      </c>
      <c r="F1551" t="s">
        <v>130</v>
      </c>
      <c r="G1551">
        <v>0</v>
      </c>
      <c r="H1551">
        <v>100</v>
      </c>
      <c r="K1551">
        <v>10</v>
      </c>
      <c r="L1551" t="s">
        <v>131</v>
      </c>
      <c r="M1551" s="50">
        <v>44875</v>
      </c>
      <c r="N1551" s="50">
        <v>2958465</v>
      </c>
      <c r="P1551">
        <v>0</v>
      </c>
      <c r="U1551">
        <v>4</v>
      </c>
      <c r="V1551">
        <v>1</v>
      </c>
      <c r="W1551" t="s">
        <v>132</v>
      </c>
      <c r="X1551">
        <v>0</v>
      </c>
    </row>
    <row r="1552" spans="1:24" x14ac:dyDescent="0.25">
      <c r="A1552">
        <v>1</v>
      </c>
      <c r="B1552" s="13">
        <v>590920300021</v>
      </c>
      <c r="C1552">
        <v>70</v>
      </c>
      <c r="D1552" s="13">
        <v>1022213</v>
      </c>
      <c r="F1552" t="s">
        <v>130</v>
      </c>
      <c r="G1552">
        <v>0</v>
      </c>
      <c r="H1552">
        <v>100</v>
      </c>
      <c r="K1552">
        <v>5.5919999999999996</v>
      </c>
      <c r="L1552" t="s">
        <v>131</v>
      </c>
      <c r="M1552" s="50">
        <v>44875</v>
      </c>
      <c r="N1552" s="50">
        <v>2958465</v>
      </c>
      <c r="P1552">
        <v>0</v>
      </c>
      <c r="U1552">
        <v>4</v>
      </c>
      <c r="V1552">
        <v>1</v>
      </c>
      <c r="W1552" t="s">
        <v>132</v>
      </c>
      <c r="X1552">
        <v>0</v>
      </c>
    </row>
    <row r="1553" spans="1:24" x14ac:dyDescent="0.25">
      <c r="A1553">
        <v>1</v>
      </c>
      <c r="B1553" s="13">
        <v>590920300021</v>
      </c>
      <c r="C1553">
        <v>80</v>
      </c>
      <c r="D1553" s="13">
        <v>12165621</v>
      </c>
      <c r="F1553" t="s">
        <v>130</v>
      </c>
      <c r="G1553">
        <v>0</v>
      </c>
      <c r="H1553">
        <v>100</v>
      </c>
      <c r="K1553">
        <v>1</v>
      </c>
      <c r="L1553" t="s">
        <v>131</v>
      </c>
      <c r="M1553" s="50">
        <v>44875</v>
      </c>
      <c r="N1553" s="50">
        <v>2958465</v>
      </c>
      <c r="P1553">
        <v>0</v>
      </c>
      <c r="U1553">
        <v>4</v>
      </c>
      <c r="V1553">
        <v>1</v>
      </c>
      <c r="W1553" t="s">
        <v>132</v>
      </c>
      <c r="X1553">
        <v>0</v>
      </c>
    </row>
    <row r="1554" spans="1:24" x14ac:dyDescent="0.25">
      <c r="A1554">
        <v>1</v>
      </c>
      <c r="B1554" s="13">
        <v>590920300321</v>
      </c>
      <c r="C1554">
        <v>10</v>
      </c>
      <c r="D1554" s="13">
        <v>5957163003</v>
      </c>
      <c r="F1554" t="s">
        <v>130</v>
      </c>
      <c r="G1554">
        <v>0</v>
      </c>
      <c r="H1554">
        <v>100</v>
      </c>
      <c r="K1554">
        <v>2</v>
      </c>
      <c r="L1554" t="s">
        <v>131</v>
      </c>
      <c r="M1554" s="50">
        <v>44875</v>
      </c>
      <c r="N1554" s="50">
        <v>2958465</v>
      </c>
      <c r="P1554">
        <v>0</v>
      </c>
      <c r="U1554">
        <v>4</v>
      </c>
      <c r="V1554">
        <v>1</v>
      </c>
      <c r="W1554" t="s">
        <v>132</v>
      </c>
      <c r="X1554">
        <v>0</v>
      </c>
    </row>
    <row r="1555" spans="1:24" x14ac:dyDescent="0.25">
      <c r="A1555">
        <v>1</v>
      </c>
      <c r="B1555" s="13">
        <v>590920300321</v>
      </c>
      <c r="C1555">
        <v>20</v>
      </c>
      <c r="D1555" s="13">
        <v>5957333003</v>
      </c>
      <c r="F1555" t="s">
        <v>130</v>
      </c>
      <c r="G1555">
        <v>0</v>
      </c>
      <c r="H1555">
        <v>100</v>
      </c>
      <c r="K1555">
        <v>1</v>
      </c>
      <c r="L1555" t="s">
        <v>131</v>
      </c>
      <c r="M1555" s="50">
        <v>44875</v>
      </c>
      <c r="N1555" s="50">
        <v>2958465</v>
      </c>
      <c r="P1555">
        <v>0</v>
      </c>
      <c r="U1555">
        <v>4</v>
      </c>
      <c r="V1555">
        <v>1</v>
      </c>
      <c r="W1555" t="s">
        <v>132</v>
      </c>
      <c r="X1555">
        <v>0</v>
      </c>
    </row>
    <row r="1556" spans="1:24" x14ac:dyDescent="0.25">
      <c r="A1556">
        <v>1</v>
      </c>
      <c r="B1556" s="13">
        <v>590920300321</v>
      </c>
      <c r="C1556">
        <v>30</v>
      </c>
      <c r="D1556" s="13">
        <v>5957303003</v>
      </c>
      <c r="F1556" t="s">
        <v>130</v>
      </c>
      <c r="G1556">
        <v>0</v>
      </c>
      <c r="H1556">
        <v>100</v>
      </c>
      <c r="K1556">
        <v>1</v>
      </c>
      <c r="L1556" t="s">
        <v>131</v>
      </c>
      <c r="M1556" s="50">
        <v>44875</v>
      </c>
      <c r="N1556" s="50">
        <v>2958465</v>
      </c>
      <c r="P1556">
        <v>0</v>
      </c>
      <c r="U1556">
        <v>4</v>
      </c>
      <c r="V1556">
        <v>1</v>
      </c>
      <c r="W1556" t="s">
        <v>132</v>
      </c>
      <c r="X1556">
        <v>0</v>
      </c>
    </row>
    <row r="1557" spans="1:24" x14ac:dyDescent="0.25">
      <c r="A1557">
        <v>1</v>
      </c>
      <c r="B1557" s="13">
        <v>590920300321</v>
      </c>
      <c r="C1557">
        <v>40</v>
      </c>
      <c r="D1557" s="13">
        <v>5957093003</v>
      </c>
      <c r="F1557" t="s">
        <v>130</v>
      </c>
      <c r="G1557">
        <v>0</v>
      </c>
      <c r="H1557">
        <v>100</v>
      </c>
      <c r="K1557">
        <v>1</v>
      </c>
      <c r="L1557" t="s">
        <v>131</v>
      </c>
      <c r="M1557" s="50">
        <v>44875</v>
      </c>
      <c r="N1557" s="50">
        <v>2958465</v>
      </c>
      <c r="P1557">
        <v>0</v>
      </c>
      <c r="U1557">
        <v>4</v>
      </c>
      <c r="V1557">
        <v>1</v>
      </c>
      <c r="W1557" t="s">
        <v>132</v>
      </c>
      <c r="X1557">
        <v>0</v>
      </c>
    </row>
    <row r="1558" spans="1:24" x14ac:dyDescent="0.25">
      <c r="A1558">
        <v>1</v>
      </c>
      <c r="B1558" s="13">
        <v>590920300321</v>
      </c>
      <c r="C1558">
        <v>50</v>
      </c>
      <c r="D1558" s="13">
        <v>1018034</v>
      </c>
      <c r="F1558" t="s">
        <v>130</v>
      </c>
      <c r="G1558">
        <v>0</v>
      </c>
      <c r="H1558">
        <v>100</v>
      </c>
      <c r="K1558">
        <v>4</v>
      </c>
      <c r="L1558" t="s">
        <v>131</v>
      </c>
      <c r="M1558" s="50">
        <v>44875</v>
      </c>
      <c r="N1558" s="50">
        <v>2958465</v>
      </c>
      <c r="P1558">
        <v>0</v>
      </c>
      <c r="U1558">
        <v>4</v>
      </c>
      <c r="V1558">
        <v>1</v>
      </c>
      <c r="W1558" t="s">
        <v>132</v>
      </c>
      <c r="X1558">
        <v>0</v>
      </c>
    </row>
    <row r="1559" spans="1:24" x14ac:dyDescent="0.25">
      <c r="A1559">
        <v>1</v>
      </c>
      <c r="B1559" s="13">
        <v>590920300321</v>
      </c>
      <c r="C1559">
        <v>60</v>
      </c>
      <c r="D1559" s="13">
        <v>1018359</v>
      </c>
      <c r="F1559" t="s">
        <v>130</v>
      </c>
      <c r="G1559">
        <v>0</v>
      </c>
      <c r="H1559">
        <v>100</v>
      </c>
      <c r="K1559">
        <v>10</v>
      </c>
      <c r="L1559" t="s">
        <v>131</v>
      </c>
      <c r="M1559" s="50">
        <v>44875</v>
      </c>
      <c r="N1559" s="50">
        <v>2958465</v>
      </c>
      <c r="P1559">
        <v>0</v>
      </c>
      <c r="U1559">
        <v>4</v>
      </c>
      <c r="V1559">
        <v>1</v>
      </c>
      <c r="W1559" t="s">
        <v>132</v>
      </c>
      <c r="X1559">
        <v>0</v>
      </c>
    </row>
    <row r="1560" spans="1:24" x14ac:dyDescent="0.25">
      <c r="A1560">
        <v>1</v>
      </c>
      <c r="B1560" s="13">
        <v>590920300321</v>
      </c>
      <c r="C1560">
        <v>70</v>
      </c>
      <c r="D1560" s="13">
        <v>1022213</v>
      </c>
      <c r="F1560" t="s">
        <v>130</v>
      </c>
      <c r="G1560">
        <v>0</v>
      </c>
      <c r="H1560">
        <v>100</v>
      </c>
      <c r="K1560">
        <v>5.5919999999999996</v>
      </c>
      <c r="L1560" t="s">
        <v>131</v>
      </c>
      <c r="M1560" s="50">
        <v>44875</v>
      </c>
      <c r="N1560" s="50">
        <v>2958465</v>
      </c>
      <c r="P1560">
        <v>0</v>
      </c>
      <c r="U1560">
        <v>4</v>
      </c>
      <c r="V1560">
        <v>1</v>
      </c>
      <c r="W1560" t="s">
        <v>132</v>
      </c>
      <c r="X1560">
        <v>0</v>
      </c>
    </row>
    <row r="1561" spans="1:24" x14ac:dyDescent="0.25">
      <c r="A1561">
        <v>1</v>
      </c>
      <c r="B1561" s="13">
        <v>590920300321</v>
      </c>
      <c r="C1561">
        <v>80</v>
      </c>
      <c r="D1561" s="13">
        <v>12165621</v>
      </c>
      <c r="F1561" t="s">
        <v>130</v>
      </c>
      <c r="G1561">
        <v>0</v>
      </c>
      <c r="H1561">
        <v>100</v>
      </c>
      <c r="K1561">
        <v>1</v>
      </c>
      <c r="L1561" t="s">
        <v>131</v>
      </c>
      <c r="M1561" s="50">
        <v>44875</v>
      </c>
      <c r="N1561" s="50">
        <v>2958465</v>
      </c>
      <c r="P1561">
        <v>0</v>
      </c>
      <c r="U1561">
        <v>4</v>
      </c>
      <c r="V1561">
        <v>1</v>
      </c>
      <c r="W1561" t="s">
        <v>132</v>
      </c>
      <c r="X1561">
        <v>0</v>
      </c>
    </row>
    <row r="1562" spans="1:24" x14ac:dyDescent="0.25">
      <c r="A1562">
        <v>1</v>
      </c>
      <c r="B1562" s="13">
        <v>590920300521</v>
      </c>
      <c r="C1562">
        <v>10</v>
      </c>
      <c r="D1562" s="13">
        <v>5957163005</v>
      </c>
      <c r="F1562" t="s">
        <v>130</v>
      </c>
      <c r="G1562">
        <v>0</v>
      </c>
      <c r="H1562">
        <v>100</v>
      </c>
      <c r="K1562">
        <v>2</v>
      </c>
      <c r="L1562" t="s">
        <v>131</v>
      </c>
      <c r="M1562" s="50">
        <v>44875</v>
      </c>
      <c r="N1562" s="50">
        <v>2958465</v>
      </c>
      <c r="P1562">
        <v>0</v>
      </c>
      <c r="U1562">
        <v>4</v>
      </c>
      <c r="V1562">
        <v>1</v>
      </c>
      <c r="W1562" t="s">
        <v>132</v>
      </c>
      <c r="X1562">
        <v>0</v>
      </c>
    </row>
    <row r="1563" spans="1:24" x14ac:dyDescent="0.25">
      <c r="A1563">
        <v>1</v>
      </c>
      <c r="B1563" s="13">
        <v>590920300521</v>
      </c>
      <c r="C1563">
        <v>20</v>
      </c>
      <c r="D1563" s="13">
        <v>5957333005</v>
      </c>
      <c r="F1563" t="s">
        <v>130</v>
      </c>
      <c r="G1563">
        <v>0</v>
      </c>
      <c r="H1563">
        <v>100</v>
      </c>
      <c r="K1563">
        <v>1</v>
      </c>
      <c r="L1563" t="s">
        <v>131</v>
      </c>
      <c r="M1563" s="50">
        <v>44875</v>
      </c>
      <c r="N1563" s="50">
        <v>2958465</v>
      </c>
      <c r="P1563">
        <v>0</v>
      </c>
      <c r="U1563">
        <v>4</v>
      </c>
      <c r="V1563">
        <v>1</v>
      </c>
      <c r="W1563" t="s">
        <v>132</v>
      </c>
      <c r="X1563">
        <v>0</v>
      </c>
    </row>
    <row r="1564" spans="1:24" x14ac:dyDescent="0.25">
      <c r="A1564">
        <v>1</v>
      </c>
      <c r="B1564" s="13">
        <v>590920300521</v>
      </c>
      <c r="C1564">
        <v>30</v>
      </c>
      <c r="D1564" s="13">
        <v>5957303005</v>
      </c>
      <c r="F1564" t="s">
        <v>130</v>
      </c>
      <c r="G1564">
        <v>0</v>
      </c>
      <c r="H1564">
        <v>100</v>
      </c>
      <c r="K1564">
        <v>1</v>
      </c>
      <c r="L1564" t="s">
        <v>131</v>
      </c>
      <c r="M1564" s="50">
        <v>44875</v>
      </c>
      <c r="N1564" s="50">
        <v>2958465</v>
      </c>
      <c r="P1564">
        <v>0</v>
      </c>
      <c r="U1564">
        <v>4</v>
      </c>
      <c r="V1564">
        <v>1</v>
      </c>
      <c r="W1564" t="s">
        <v>132</v>
      </c>
      <c r="X1564">
        <v>0</v>
      </c>
    </row>
    <row r="1565" spans="1:24" x14ac:dyDescent="0.25">
      <c r="A1565">
        <v>1</v>
      </c>
      <c r="B1565" s="13">
        <v>590920300521</v>
      </c>
      <c r="C1565">
        <v>40</v>
      </c>
      <c r="D1565" s="13">
        <v>5957093005</v>
      </c>
      <c r="F1565" t="s">
        <v>130</v>
      </c>
      <c r="G1565">
        <v>0</v>
      </c>
      <c r="H1565">
        <v>100</v>
      </c>
      <c r="K1565">
        <v>1</v>
      </c>
      <c r="L1565" t="s">
        <v>131</v>
      </c>
      <c r="M1565" s="50">
        <v>44875</v>
      </c>
      <c r="N1565" s="50">
        <v>2958465</v>
      </c>
      <c r="P1565">
        <v>0</v>
      </c>
      <c r="U1565">
        <v>4</v>
      </c>
      <c r="V1565">
        <v>1</v>
      </c>
      <c r="W1565" t="s">
        <v>132</v>
      </c>
      <c r="X1565">
        <v>0</v>
      </c>
    </row>
    <row r="1566" spans="1:24" x14ac:dyDescent="0.25">
      <c r="A1566">
        <v>1</v>
      </c>
      <c r="B1566" s="13">
        <v>590920300521</v>
      </c>
      <c r="C1566">
        <v>50</v>
      </c>
      <c r="D1566" s="13">
        <v>1018034</v>
      </c>
      <c r="F1566" t="s">
        <v>130</v>
      </c>
      <c r="G1566">
        <v>0</v>
      </c>
      <c r="H1566">
        <v>100</v>
      </c>
      <c r="K1566">
        <v>4</v>
      </c>
      <c r="L1566" t="s">
        <v>131</v>
      </c>
      <c r="M1566" s="50">
        <v>44875</v>
      </c>
      <c r="N1566" s="50">
        <v>2958465</v>
      </c>
      <c r="P1566">
        <v>0</v>
      </c>
      <c r="U1566">
        <v>4</v>
      </c>
      <c r="V1566">
        <v>1</v>
      </c>
      <c r="W1566" t="s">
        <v>132</v>
      </c>
      <c r="X1566">
        <v>0</v>
      </c>
    </row>
    <row r="1567" spans="1:24" x14ac:dyDescent="0.25">
      <c r="A1567">
        <v>1</v>
      </c>
      <c r="B1567" s="13">
        <v>590920300521</v>
      </c>
      <c r="C1567">
        <v>60</v>
      </c>
      <c r="D1567" s="13">
        <v>1022356</v>
      </c>
      <c r="F1567" t="s">
        <v>130</v>
      </c>
      <c r="G1567">
        <v>0</v>
      </c>
      <c r="H1567">
        <v>100</v>
      </c>
      <c r="K1567">
        <v>10</v>
      </c>
      <c r="L1567" t="s">
        <v>131</v>
      </c>
      <c r="M1567" s="50">
        <v>44875</v>
      </c>
      <c r="N1567" s="50">
        <v>2958465</v>
      </c>
      <c r="P1567">
        <v>0</v>
      </c>
      <c r="U1567">
        <v>4</v>
      </c>
      <c r="V1567">
        <v>1</v>
      </c>
      <c r="W1567" t="s">
        <v>132</v>
      </c>
      <c r="X1567">
        <v>0</v>
      </c>
    </row>
    <row r="1568" spans="1:24" x14ac:dyDescent="0.25">
      <c r="A1568">
        <v>1</v>
      </c>
      <c r="B1568" s="13">
        <v>590920300521</v>
      </c>
      <c r="C1568">
        <v>70</v>
      </c>
      <c r="D1568" s="13">
        <v>1022213</v>
      </c>
      <c r="F1568" t="s">
        <v>130</v>
      </c>
      <c r="G1568">
        <v>0</v>
      </c>
      <c r="H1568">
        <v>100</v>
      </c>
      <c r="K1568">
        <v>5.5919999999999996</v>
      </c>
      <c r="L1568" t="s">
        <v>131</v>
      </c>
      <c r="M1568" s="50">
        <v>44875</v>
      </c>
      <c r="N1568" s="50">
        <v>2958465</v>
      </c>
      <c r="P1568">
        <v>0</v>
      </c>
      <c r="U1568">
        <v>4</v>
      </c>
      <c r="V1568">
        <v>1</v>
      </c>
      <c r="W1568" t="s">
        <v>132</v>
      </c>
      <c r="X1568">
        <v>0</v>
      </c>
    </row>
    <row r="1569" spans="1:24" x14ac:dyDescent="0.25">
      <c r="A1569">
        <v>1</v>
      </c>
      <c r="B1569" s="13">
        <v>590920300521</v>
      </c>
      <c r="C1569">
        <v>80</v>
      </c>
      <c r="D1569" s="13">
        <v>12165621</v>
      </c>
      <c r="F1569" t="s">
        <v>130</v>
      </c>
      <c r="G1569">
        <v>0</v>
      </c>
      <c r="H1569">
        <v>100</v>
      </c>
      <c r="K1569">
        <v>1</v>
      </c>
      <c r="L1569" t="s">
        <v>131</v>
      </c>
      <c r="M1569" s="50">
        <v>44875</v>
      </c>
      <c r="N1569" s="50">
        <v>2958465</v>
      </c>
      <c r="P1569">
        <v>0</v>
      </c>
      <c r="U1569">
        <v>4</v>
      </c>
      <c r="V1569">
        <v>1</v>
      </c>
      <c r="W1569" t="s">
        <v>132</v>
      </c>
      <c r="X1569">
        <v>0</v>
      </c>
    </row>
    <row r="1570" spans="1:24" x14ac:dyDescent="0.25">
      <c r="A1570">
        <v>1</v>
      </c>
      <c r="B1570" s="13">
        <v>590920300821</v>
      </c>
      <c r="C1570">
        <v>10</v>
      </c>
      <c r="D1570" s="13">
        <v>5957163008</v>
      </c>
      <c r="F1570" t="s">
        <v>130</v>
      </c>
      <c r="G1570">
        <v>0</v>
      </c>
      <c r="H1570">
        <v>100</v>
      </c>
      <c r="K1570">
        <v>2</v>
      </c>
      <c r="L1570" t="s">
        <v>131</v>
      </c>
      <c r="M1570" s="50">
        <v>44875</v>
      </c>
      <c r="N1570" s="50">
        <v>2958465</v>
      </c>
      <c r="P1570">
        <v>0</v>
      </c>
      <c r="U1570">
        <v>4</v>
      </c>
      <c r="V1570">
        <v>1</v>
      </c>
      <c r="W1570" t="s">
        <v>132</v>
      </c>
      <c r="X1570">
        <v>0</v>
      </c>
    </row>
    <row r="1571" spans="1:24" x14ac:dyDescent="0.25">
      <c r="A1571">
        <v>1</v>
      </c>
      <c r="B1571" s="13">
        <v>590920300821</v>
      </c>
      <c r="C1571">
        <v>20</v>
      </c>
      <c r="D1571" s="13">
        <v>5957333008</v>
      </c>
      <c r="F1571" t="s">
        <v>130</v>
      </c>
      <c r="G1571">
        <v>0</v>
      </c>
      <c r="H1571">
        <v>100</v>
      </c>
      <c r="K1571">
        <v>1</v>
      </c>
      <c r="L1571" t="s">
        <v>131</v>
      </c>
      <c r="M1571" s="50">
        <v>44875</v>
      </c>
      <c r="N1571" s="50">
        <v>2958465</v>
      </c>
      <c r="P1571">
        <v>0</v>
      </c>
      <c r="U1571">
        <v>4</v>
      </c>
      <c r="V1571">
        <v>1</v>
      </c>
      <c r="W1571" t="s">
        <v>132</v>
      </c>
      <c r="X1571">
        <v>0</v>
      </c>
    </row>
    <row r="1572" spans="1:24" x14ac:dyDescent="0.25">
      <c r="A1572">
        <v>1</v>
      </c>
      <c r="B1572" s="13">
        <v>590920300821</v>
      </c>
      <c r="C1572">
        <v>30</v>
      </c>
      <c r="D1572" s="13">
        <v>5957303008</v>
      </c>
      <c r="F1572" t="s">
        <v>130</v>
      </c>
      <c r="G1572">
        <v>0</v>
      </c>
      <c r="H1572">
        <v>100</v>
      </c>
      <c r="K1572">
        <v>1</v>
      </c>
      <c r="L1572" t="s">
        <v>131</v>
      </c>
      <c r="M1572" s="50">
        <v>44875</v>
      </c>
      <c r="N1572" s="50">
        <v>2958465</v>
      </c>
      <c r="P1572">
        <v>0</v>
      </c>
      <c r="U1572">
        <v>4</v>
      </c>
      <c r="V1572">
        <v>1</v>
      </c>
      <c r="W1572" t="s">
        <v>132</v>
      </c>
      <c r="X1572">
        <v>0</v>
      </c>
    </row>
    <row r="1573" spans="1:24" x14ac:dyDescent="0.25">
      <c r="A1573">
        <v>1</v>
      </c>
      <c r="B1573" s="13">
        <v>590920300821</v>
      </c>
      <c r="C1573">
        <v>40</v>
      </c>
      <c r="D1573" s="13">
        <v>5957093008</v>
      </c>
      <c r="F1573" t="s">
        <v>130</v>
      </c>
      <c r="G1573">
        <v>0</v>
      </c>
      <c r="H1573">
        <v>100</v>
      </c>
      <c r="K1573">
        <v>1</v>
      </c>
      <c r="L1573" t="s">
        <v>131</v>
      </c>
      <c r="M1573" s="50">
        <v>44875</v>
      </c>
      <c r="N1573" s="50">
        <v>2958465</v>
      </c>
      <c r="P1573">
        <v>0</v>
      </c>
      <c r="U1573">
        <v>4</v>
      </c>
      <c r="V1573">
        <v>1</v>
      </c>
      <c r="W1573" t="s">
        <v>132</v>
      </c>
      <c r="X1573">
        <v>0</v>
      </c>
    </row>
    <row r="1574" spans="1:24" x14ac:dyDescent="0.25">
      <c r="A1574">
        <v>1</v>
      </c>
      <c r="B1574" s="13">
        <v>590920300821</v>
      </c>
      <c r="C1574">
        <v>50</v>
      </c>
      <c r="D1574" s="13">
        <v>1018034</v>
      </c>
      <c r="F1574" t="s">
        <v>130</v>
      </c>
      <c r="G1574">
        <v>0</v>
      </c>
      <c r="H1574">
        <v>100</v>
      </c>
      <c r="K1574">
        <v>4</v>
      </c>
      <c r="L1574" t="s">
        <v>131</v>
      </c>
      <c r="M1574" s="50">
        <v>44875</v>
      </c>
      <c r="N1574" s="50">
        <v>2958465</v>
      </c>
      <c r="P1574">
        <v>0</v>
      </c>
      <c r="U1574">
        <v>4</v>
      </c>
      <c r="V1574">
        <v>1</v>
      </c>
      <c r="W1574" t="s">
        <v>132</v>
      </c>
      <c r="X1574">
        <v>0</v>
      </c>
    </row>
    <row r="1575" spans="1:24" x14ac:dyDescent="0.25">
      <c r="A1575">
        <v>1</v>
      </c>
      <c r="B1575" s="13">
        <v>590920300821</v>
      </c>
      <c r="C1575">
        <v>60</v>
      </c>
      <c r="D1575" s="13">
        <v>1022356</v>
      </c>
      <c r="F1575" t="s">
        <v>130</v>
      </c>
      <c r="G1575">
        <v>0</v>
      </c>
      <c r="H1575">
        <v>100</v>
      </c>
      <c r="K1575">
        <v>10</v>
      </c>
      <c r="L1575" t="s">
        <v>131</v>
      </c>
      <c r="M1575" s="50">
        <v>44875</v>
      </c>
      <c r="N1575" s="50">
        <v>2958465</v>
      </c>
      <c r="P1575">
        <v>0</v>
      </c>
      <c r="U1575">
        <v>4</v>
      </c>
      <c r="V1575">
        <v>1</v>
      </c>
      <c r="W1575" t="s">
        <v>132</v>
      </c>
      <c r="X1575">
        <v>0</v>
      </c>
    </row>
    <row r="1576" spans="1:24" x14ac:dyDescent="0.25">
      <c r="A1576">
        <v>1</v>
      </c>
      <c r="B1576" s="13">
        <v>590920300821</v>
      </c>
      <c r="C1576">
        <v>70</v>
      </c>
      <c r="D1576" s="13">
        <v>1022213</v>
      </c>
      <c r="F1576" t="s">
        <v>130</v>
      </c>
      <c r="G1576">
        <v>0</v>
      </c>
      <c r="H1576">
        <v>100</v>
      </c>
      <c r="K1576">
        <v>5.5919999999999996</v>
      </c>
      <c r="L1576" t="s">
        <v>131</v>
      </c>
      <c r="M1576" s="50">
        <v>44875</v>
      </c>
      <c r="N1576" s="50">
        <v>2958465</v>
      </c>
      <c r="P1576">
        <v>0</v>
      </c>
      <c r="U1576">
        <v>4</v>
      </c>
      <c r="V1576">
        <v>1</v>
      </c>
      <c r="W1576" t="s">
        <v>132</v>
      </c>
      <c r="X1576">
        <v>0</v>
      </c>
    </row>
    <row r="1577" spans="1:24" x14ac:dyDescent="0.25">
      <c r="A1577">
        <v>1</v>
      </c>
      <c r="B1577" s="13">
        <v>590920300821</v>
      </c>
      <c r="C1577">
        <v>80</v>
      </c>
      <c r="D1577" s="13">
        <v>12165621</v>
      </c>
      <c r="F1577" t="s">
        <v>130</v>
      </c>
      <c r="G1577">
        <v>0</v>
      </c>
      <c r="H1577">
        <v>100</v>
      </c>
      <c r="K1577">
        <v>1</v>
      </c>
      <c r="L1577" t="s">
        <v>131</v>
      </c>
      <c r="M1577" s="50">
        <v>44875</v>
      </c>
      <c r="N1577" s="50">
        <v>2958465</v>
      </c>
      <c r="P1577">
        <v>0</v>
      </c>
      <c r="U1577">
        <v>4</v>
      </c>
      <c r="V1577">
        <v>1</v>
      </c>
      <c r="W1577" t="s">
        <v>132</v>
      </c>
      <c r="X1577">
        <v>0</v>
      </c>
    </row>
    <row r="1578" spans="1:24" x14ac:dyDescent="0.25">
      <c r="A1578">
        <v>1</v>
      </c>
      <c r="B1578" s="13">
        <v>590920300006</v>
      </c>
      <c r="C1578">
        <v>10</v>
      </c>
      <c r="D1578" s="13">
        <v>5957163099</v>
      </c>
      <c r="F1578" t="s">
        <v>130</v>
      </c>
      <c r="G1578">
        <v>0</v>
      </c>
      <c r="H1578">
        <v>100</v>
      </c>
      <c r="K1578">
        <v>2</v>
      </c>
      <c r="L1578" t="s">
        <v>131</v>
      </c>
      <c r="M1578" s="50">
        <v>44875</v>
      </c>
      <c r="N1578" s="50">
        <v>2958465</v>
      </c>
      <c r="P1578">
        <v>0</v>
      </c>
      <c r="U1578">
        <v>4</v>
      </c>
      <c r="V1578">
        <v>1</v>
      </c>
      <c r="W1578" t="s">
        <v>132</v>
      </c>
      <c r="X1578">
        <v>0</v>
      </c>
    </row>
    <row r="1579" spans="1:24" x14ac:dyDescent="0.25">
      <c r="A1579">
        <v>1</v>
      </c>
      <c r="B1579" s="13">
        <v>590920300006</v>
      </c>
      <c r="C1579">
        <v>20</v>
      </c>
      <c r="D1579" s="13">
        <v>5957333099</v>
      </c>
      <c r="F1579" t="s">
        <v>130</v>
      </c>
      <c r="G1579">
        <v>0</v>
      </c>
      <c r="H1579">
        <v>100</v>
      </c>
      <c r="K1579">
        <v>1</v>
      </c>
      <c r="L1579" t="s">
        <v>131</v>
      </c>
      <c r="M1579" s="50">
        <v>44875</v>
      </c>
      <c r="N1579" s="50">
        <v>2958465</v>
      </c>
      <c r="P1579">
        <v>0</v>
      </c>
      <c r="U1579">
        <v>4</v>
      </c>
      <c r="V1579">
        <v>1</v>
      </c>
      <c r="W1579" t="s">
        <v>132</v>
      </c>
      <c r="X1579">
        <v>0</v>
      </c>
    </row>
    <row r="1580" spans="1:24" x14ac:dyDescent="0.25">
      <c r="A1580">
        <v>1</v>
      </c>
      <c r="B1580" s="13">
        <v>590920300006</v>
      </c>
      <c r="C1580">
        <v>30</v>
      </c>
      <c r="D1580" s="13">
        <v>5957303099</v>
      </c>
      <c r="F1580" t="s">
        <v>130</v>
      </c>
      <c r="G1580">
        <v>0</v>
      </c>
      <c r="H1580">
        <v>100</v>
      </c>
      <c r="K1580">
        <v>1</v>
      </c>
      <c r="L1580" t="s">
        <v>131</v>
      </c>
      <c r="M1580" s="50">
        <v>44875</v>
      </c>
      <c r="N1580" s="50">
        <v>2958465</v>
      </c>
      <c r="P1580">
        <v>0</v>
      </c>
      <c r="U1580">
        <v>4</v>
      </c>
      <c r="V1580">
        <v>1</v>
      </c>
      <c r="W1580" t="s">
        <v>132</v>
      </c>
      <c r="X1580">
        <v>0</v>
      </c>
    </row>
    <row r="1581" spans="1:24" x14ac:dyDescent="0.25">
      <c r="A1581">
        <v>1</v>
      </c>
      <c r="B1581" s="13">
        <v>590920300006</v>
      </c>
      <c r="C1581">
        <v>40</v>
      </c>
      <c r="D1581" s="13">
        <v>1022219</v>
      </c>
      <c r="F1581" t="s">
        <v>130</v>
      </c>
      <c r="G1581">
        <v>0</v>
      </c>
      <c r="H1581">
        <v>100</v>
      </c>
      <c r="K1581">
        <v>1</v>
      </c>
      <c r="L1581" t="s">
        <v>131</v>
      </c>
      <c r="M1581" s="50">
        <v>44875</v>
      </c>
      <c r="N1581" s="50">
        <v>2958465</v>
      </c>
      <c r="P1581">
        <v>0</v>
      </c>
      <c r="U1581">
        <v>4</v>
      </c>
      <c r="V1581">
        <v>1</v>
      </c>
      <c r="W1581" t="s">
        <v>132</v>
      </c>
      <c r="X1581">
        <v>0</v>
      </c>
    </row>
    <row r="1582" spans="1:24" x14ac:dyDescent="0.25">
      <c r="A1582">
        <v>1</v>
      </c>
      <c r="B1582" s="13">
        <v>590920300006</v>
      </c>
      <c r="C1582">
        <v>50</v>
      </c>
      <c r="D1582" s="13">
        <v>1018034</v>
      </c>
      <c r="F1582" t="s">
        <v>130</v>
      </c>
      <c r="G1582">
        <v>0</v>
      </c>
      <c r="H1582">
        <v>100</v>
      </c>
      <c r="K1582">
        <v>4</v>
      </c>
      <c r="L1582" t="s">
        <v>131</v>
      </c>
      <c r="M1582" s="50">
        <v>44875</v>
      </c>
      <c r="N1582" s="50">
        <v>2958465</v>
      </c>
      <c r="P1582">
        <v>0</v>
      </c>
      <c r="U1582">
        <v>4</v>
      </c>
      <c r="V1582">
        <v>1</v>
      </c>
      <c r="W1582" t="s">
        <v>132</v>
      </c>
      <c r="X1582">
        <v>0</v>
      </c>
    </row>
    <row r="1583" spans="1:24" x14ac:dyDescent="0.25">
      <c r="A1583">
        <v>1</v>
      </c>
      <c r="B1583" s="13">
        <v>590920300006</v>
      </c>
      <c r="C1583">
        <v>60</v>
      </c>
      <c r="D1583" s="13">
        <v>1018359</v>
      </c>
      <c r="F1583" t="s">
        <v>130</v>
      </c>
      <c r="G1583">
        <v>0</v>
      </c>
      <c r="H1583">
        <v>100</v>
      </c>
      <c r="K1583">
        <v>10</v>
      </c>
      <c r="L1583" t="s">
        <v>131</v>
      </c>
      <c r="M1583" s="50">
        <v>44875</v>
      </c>
      <c r="N1583" s="50">
        <v>2958465</v>
      </c>
      <c r="P1583">
        <v>0</v>
      </c>
      <c r="U1583">
        <v>4</v>
      </c>
      <c r="V1583">
        <v>1</v>
      </c>
      <c r="W1583" t="s">
        <v>132</v>
      </c>
      <c r="X1583">
        <v>0</v>
      </c>
    </row>
    <row r="1584" spans="1:24" x14ac:dyDescent="0.25">
      <c r="A1584">
        <v>1</v>
      </c>
      <c r="B1584" s="13">
        <v>590920300006</v>
      </c>
      <c r="C1584">
        <v>70</v>
      </c>
      <c r="D1584" s="13">
        <v>1022213</v>
      </c>
      <c r="F1584" t="s">
        <v>130</v>
      </c>
      <c r="G1584">
        <v>0</v>
      </c>
      <c r="H1584">
        <v>100</v>
      </c>
      <c r="K1584">
        <v>5.5919999999999996</v>
      </c>
      <c r="L1584" t="s">
        <v>131</v>
      </c>
      <c r="M1584" s="50">
        <v>44875</v>
      </c>
      <c r="N1584" s="50">
        <v>2958465</v>
      </c>
      <c r="P1584">
        <v>0</v>
      </c>
      <c r="U1584">
        <v>4</v>
      </c>
      <c r="V1584">
        <v>1</v>
      </c>
      <c r="W1584" t="s">
        <v>132</v>
      </c>
      <c r="X1584">
        <v>0</v>
      </c>
    </row>
    <row r="1585" spans="1:24" x14ac:dyDescent="0.25">
      <c r="A1585">
        <v>1</v>
      </c>
      <c r="B1585" s="13">
        <v>590920300006</v>
      </c>
      <c r="C1585">
        <v>80</v>
      </c>
      <c r="D1585" s="13">
        <v>12165606</v>
      </c>
      <c r="F1585" t="s">
        <v>130</v>
      </c>
      <c r="G1585">
        <v>0</v>
      </c>
      <c r="H1585">
        <v>100</v>
      </c>
      <c r="K1585">
        <v>1</v>
      </c>
      <c r="L1585" t="s">
        <v>131</v>
      </c>
      <c r="M1585" s="50">
        <v>44875</v>
      </c>
      <c r="N1585" s="50">
        <v>2958465</v>
      </c>
      <c r="P1585">
        <v>0</v>
      </c>
      <c r="U1585">
        <v>4</v>
      </c>
      <c r="V1585">
        <v>1</v>
      </c>
      <c r="W1585" t="s">
        <v>132</v>
      </c>
      <c r="X1585">
        <v>0</v>
      </c>
    </row>
    <row r="1586" spans="1:24" x14ac:dyDescent="0.25">
      <c r="A1586">
        <v>1</v>
      </c>
      <c r="B1586" s="13">
        <v>590920300206</v>
      </c>
      <c r="C1586">
        <v>10</v>
      </c>
      <c r="D1586" s="13">
        <v>5957163002</v>
      </c>
      <c r="F1586" t="s">
        <v>130</v>
      </c>
      <c r="G1586">
        <v>0</v>
      </c>
      <c r="H1586">
        <v>100</v>
      </c>
      <c r="K1586">
        <v>2</v>
      </c>
      <c r="L1586" t="s">
        <v>131</v>
      </c>
      <c r="M1586" s="50">
        <v>44875</v>
      </c>
      <c r="N1586" s="50">
        <v>2958465</v>
      </c>
      <c r="P1586">
        <v>0</v>
      </c>
      <c r="U1586">
        <v>4</v>
      </c>
      <c r="V1586">
        <v>1</v>
      </c>
      <c r="W1586" t="s">
        <v>132</v>
      </c>
      <c r="X1586">
        <v>0</v>
      </c>
    </row>
    <row r="1587" spans="1:24" x14ac:dyDescent="0.25">
      <c r="A1587">
        <v>1</v>
      </c>
      <c r="B1587" s="13">
        <v>590920300206</v>
      </c>
      <c r="C1587">
        <v>20</v>
      </c>
      <c r="D1587" s="13">
        <v>5957333002</v>
      </c>
      <c r="F1587" t="s">
        <v>130</v>
      </c>
      <c r="G1587">
        <v>0</v>
      </c>
      <c r="H1587">
        <v>100</v>
      </c>
      <c r="K1587">
        <v>1</v>
      </c>
      <c r="L1587" t="s">
        <v>131</v>
      </c>
      <c r="M1587" s="50">
        <v>44875</v>
      </c>
      <c r="N1587" s="50">
        <v>2958465</v>
      </c>
      <c r="P1587">
        <v>0</v>
      </c>
      <c r="U1587">
        <v>4</v>
      </c>
      <c r="V1587">
        <v>1</v>
      </c>
      <c r="W1587" t="s">
        <v>132</v>
      </c>
      <c r="X1587">
        <v>0</v>
      </c>
    </row>
    <row r="1588" spans="1:24" x14ac:dyDescent="0.25">
      <c r="A1588">
        <v>1</v>
      </c>
      <c r="B1588" s="13">
        <v>590920300206</v>
      </c>
      <c r="C1588">
        <v>30</v>
      </c>
      <c r="D1588" s="13">
        <v>5957303002</v>
      </c>
      <c r="F1588" t="s">
        <v>130</v>
      </c>
      <c r="G1588">
        <v>0</v>
      </c>
      <c r="H1588">
        <v>100</v>
      </c>
      <c r="K1588">
        <v>1</v>
      </c>
      <c r="L1588" t="s">
        <v>131</v>
      </c>
      <c r="M1588" s="50">
        <v>44875</v>
      </c>
      <c r="N1588" s="50">
        <v>2958465</v>
      </c>
      <c r="P1588">
        <v>0</v>
      </c>
      <c r="U1588">
        <v>4</v>
      </c>
      <c r="V1588">
        <v>1</v>
      </c>
      <c r="W1588" t="s">
        <v>132</v>
      </c>
      <c r="X1588">
        <v>0</v>
      </c>
    </row>
    <row r="1589" spans="1:24" x14ac:dyDescent="0.25">
      <c r="A1589">
        <v>1</v>
      </c>
      <c r="B1589" s="13">
        <v>590920300206</v>
      </c>
      <c r="C1589">
        <v>40</v>
      </c>
      <c r="D1589" s="13">
        <v>5957093002</v>
      </c>
      <c r="F1589" t="s">
        <v>130</v>
      </c>
      <c r="G1589">
        <v>0</v>
      </c>
      <c r="H1589">
        <v>100</v>
      </c>
      <c r="K1589">
        <v>1</v>
      </c>
      <c r="L1589" t="s">
        <v>131</v>
      </c>
      <c r="M1589" s="50">
        <v>44875</v>
      </c>
      <c r="N1589" s="50">
        <v>2958465</v>
      </c>
      <c r="P1589">
        <v>0</v>
      </c>
      <c r="U1589">
        <v>4</v>
      </c>
      <c r="V1589">
        <v>1</v>
      </c>
      <c r="W1589" t="s">
        <v>132</v>
      </c>
      <c r="X1589">
        <v>0</v>
      </c>
    </row>
    <row r="1590" spans="1:24" x14ac:dyDescent="0.25">
      <c r="A1590">
        <v>1</v>
      </c>
      <c r="B1590" s="13">
        <v>590920300206</v>
      </c>
      <c r="C1590">
        <v>50</v>
      </c>
      <c r="D1590" s="13">
        <v>1018034</v>
      </c>
      <c r="F1590" t="s">
        <v>130</v>
      </c>
      <c r="G1590">
        <v>0</v>
      </c>
      <c r="H1590">
        <v>100</v>
      </c>
      <c r="K1590">
        <v>4</v>
      </c>
      <c r="L1590" t="s">
        <v>131</v>
      </c>
      <c r="M1590" s="50">
        <v>44875</v>
      </c>
      <c r="N1590" s="50">
        <v>2958465</v>
      </c>
      <c r="P1590">
        <v>0</v>
      </c>
      <c r="U1590">
        <v>4</v>
      </c>
      <c r="V1590">
        <v>1</v>
      </c>
      <c r="W1590" t="s">
        <v>132</v>
      </c>
      <c r="X1590">
        <v>0</v>
      </c>
    </row>
    <row r="1591" spans="1:24" x14ac:dyDescent="0.25">
      <c r="A1591">
        <v>1</v>
      </c>
      <c r="B1591" s="13">
        <v>590920300206</v>
      </c>
      <c r="C1591">
        <v>60</v>
      </c>
      <c r="D1591" s="13">
        <v>1022356</v>
      </c>
      <c r="F1591" t="s">
        <v>130</v>
      </c>
      <c r="G1591">
        <v>0</v>
      </c>
      <c r="H1591">
        <v>100</v>
      </c>
      <c r="K1591">
        <v>10</v>
      </c>
      <c r="L1591" t="s">
        <v>131</v>
      </c>
      <c r="M1591" s="50">
        <v>44875</v>
      </c>
      <c r="N1591" s="50">
        <v>2958465</v>
      </c>
      <c r="P1591">
        <v>0</v>
      </c>
      <c r="U1591">
        <v>4</v>
      </c>
      <c r="V1591">
        <v>1</v>
      </c>
      <c r="W1591" t="s">
        <v>132</v>
      </c>
      <c r="X1591">
        <v>0</v>
      </c>
    </row>
    <row r="1592" spans="1:24" x14ac:dyDescent="0.25">
      <c r="A1592">
        <v>1</v>
      </c>
      <c r="B1592" s="13">
        <v>590920300206</v>
      </c>
      <c r="C1592">
        <v>70</v>
      </c>
      <c r="D1592" s="13">
        <v>1022213</v>
      </c>
      <c r="F1592" t="s">
        <v>130</v>
      </c>
      <c r="G1592">
        <v>0</v>
      </c>
      <c r="H1592">
        <v>100</v>
      </c>
      <c r="K1592">
        <v>5.5919999999999996</v>
      </c>
      <c r="L1592" t="s">
        <v>131</v>
      </c>
      <c r="M1592" s="50">
        <v>44875</v>
      </c>
      <c r="N1592" s="50">
        <v>2958465</v>
      </c>
      <c r="P1592">
        <v>0</v>
      </c>
      <c r="U1592">
        <v>4</v>
      </c>
      <c r="V1592">
        <v>1</v>
      </c>
      <c r="W1592" t="s">
        <v>132</v>
      </c>
      <c r="X1592">
        <v>0</v>
      </c>
    </row>
    <row r="1593" spans="1:24" x14ac:dyDescent="0.25">
      <c r="A1593">
        <v>1</v>
      </c>
      <c r="B1593" s="13">
        <v>590920300206</v>
      </c>
      <c r="C1593">
        <v>80</v>
      </c>
      <c r="D1593" s="13">
        <v>12165606</v>
      </c>
      <c r="F1593" t="s">
        <v>130</v>
      </c>
      <c r="G1593">
        <v>0</v>
      </c>
      <c r="H1593">
        <v>100</v>
      </c>
      <c r="K1593">
        <v>1</v>
      </c>
      <c r="L1593" t="s">
        <v>131</v>
      </c>
      <c r="M1593" s="50">
        <v>44875</v>
      </c>
      <c r="N1593" s="50">
        <v>2958465</v>
      </c>
      <c r="P1593">
        <v>0</v>
      </c>
      <c r="U1593">
        <v>4</v>
      </c>
      <c r="V1593">
        <v>1</v>
      </c>
      <c r="W1593" t="s">
        <v>132</v>
      </c>
      <c r="X1593">
        <v>0</v>
      </c>
    </row>
    <row r="1594" spans="1:24" x14ac:dyDescent="0.25">
      <c r="A1594">
        <v>1</v>
      </c>
      <c r="B1594" s="13">
        <v>590920300306</v>
      </c>
      <c r="C1594">
        <v>10</v>
      </c>
      <c r="D1594" s="13">
        <v>5957163003</v>
      </c>
      <c r="F1594" t="s">
        <v>130</v>
      </c>
      <c r="G1594">
        <v>0</v>
      </c>
      <c r="H1594">
        <v>100</v>
      </c>
      <c r="K1594">
        <v>2</v>
      </c>
      <c r="L1594" t="s">
        <v>131</v>
      </c>
      <c r="M1594" s="50">
        <v>44875</v>
      </c>
      <c r="N1594" s="50">
        <v>2958465</v>
      </c>
      <c r="P1594">
        <v>0</v>
      </c>
      <c r="U1594">
        <v>4</v>
      </c>
      <c r="V1594">
        <v>1</v>
      </c>
      <c r="W1594" t="s">
        <v>132</v>
      </c>
      <c r="X1594">
        <v>0</v>
      </c>
    </row>
    <row r="1595" spans="1:24" x14ac:dyDescent="0.25">
      <c r="A1595">
        <v>1</v>
      </c>
      <c r="B1595" s="13">
        <v>590920300306</v>
      </c>
      <c r="C1595">
        <v>20</v>
      </c>
      <c r="D1595" s="13">
        <v>5957333003</v>
      </c>
      <c r="F1595" t="s">
        <v>130</v>
      </c>
      <c r="G1595">
        <v>0</v>
      </c>
      <c r="H1595">
        <v>100</v>
      </c>
      <c r="K1595">
        <v>1</v>
      </c>
      <c r="L1595" t="s">
        <v>131</v>
      </c>
      <c r="M1595" s="50">
        <v>44875</v>
      </c>
      <c r="N1595" s="50">
        <v>2958465</v>
      </c>
      <c r="P1595">
        <v>0</v>
      </c>
      <c r="U1595">
        <v>4</v>
      </c>
      <c r="V1595">
        <v>1</v>
      </c>
      <c r="W1595" t="s">
        <v>132</v>
      </c>
      <c r="X1595">
        <v>0</v>
      </c>
    </row>
    <row r="1596" spans="1:24" x14ac:dyDescent="0.25">
      <c r="A1596">
        <v>1</v>
      </c>
      <c r="B1596" s="13">
        <v>590920300306</v>
      </c>
      <c r="C1596">
        <v>30</v>
      </c>
      <c r="D1596" s="13">
        <v>5957303003</v>
      </c>
      <c r="F1596" t="s">
        <v>130</v>
      </c>
      <c r="G1596">
        <v>0</v>
      </c>
      <c r="H1596">
        <v>100</v>
      </c>
      <c r="K1596">
        <v>1</v>
      </c>
      <c r="L1596" t="s">
        <v>131</v>
      </c>
      <c r="M1596" s="50">
        <v>44875</v>
      </c>
      <c r="N1596" s="50">
        <v>2958465</v>
      </c>
      <c r="P1596">
        <v>0</v>
      </c>
      <c r="U1596">
        <v>4</v>
      </c>
      <c r="V1596">
        <v>1</v>
      </c>
      <c r="W1596" t="s">
        <v>132</v>
      </c>
      <c r="X1596">
        <v>0</v>
      </c>
    </row>
    <row r="1597" spans="1:24" x14ac:dyDescent="0.25">
      <c r="A1597">
        <v>1</v>
      </c>
      <c r="B1597" s="13">
        <v>590920300306</v>
      </c>
      <c r="C1597">
        <v>40</v>
      </c>
      <c r="D1597" s="13">
        <v>5957093003</v>
      </c>
      <c r="F1597" t="s">
        <v>130</v>
      </c>
      <c r="G1597">
        <v>0</v>
      </c>
      <c r="H1597">
        <v>100</v>
      </c>
      <c r="K1597">
        <v>1</v>
      </c>
      <c r="L1597" t="s">
        <v>131</v>
      </c>
      <c r="M1597" s="50">
        <v>44875</v>
      </c>
      <c r="N1597" s="50">
        <v>2958465</v>
      </c>
      <c r="P1597">
        <v>0</v>
      </c>
      <c r="U1597">
        <v>4</v>
      </c>
      <c r="V1597">
        <v>1</v>
      </c>
      <c r="W1597" t="s">
        <v>132</v>
      </c>
      <c r="X1597">
        <v>0</v>
      </c>
    </row>
    <row r="1598" spans="1:24" x14ac:dyDescent="0.25">
      <c r="A1598">
        <v>1</v>
      </c>
      <c r="B1598" s="13">
        <v>590920300306</v>
      </c>
      <c r="C1598">
        <v>50</v>
      </c>
      <c r="D1598" s="13">
        <v>1018034</v>
      </c>
      <c r="F1598" t="s">
        <v>130</v>
      </c>
      <c r="G1598">
        <v>0</v>
      </c>
      <c r="H1598">
        <v>100</v>
      </c>
      <c r="K1598">
        <v>4</v>
      </c>
      <c r="L1598" t="s">
        <v>131</v>
      </c>
      <c r="M1598" s="50">
        <v>44875</v>
      </c>
      <c r="N1598" s="50">
        <v>2958465</v>
      </c>
      <c r="P1598">
        <v>0</v>
      </c>
      <c r="U1598">
        <v>4</v>
      </c>
      <c r="V1598">
        <v>1</v>
      </c>
      <c r="W1598" t="s">
        <v>132</v>
      </c>
      <c r="X1598">
        <v>0</v>
      </c>
    </row>
    <row r="1599" spans="1:24" x14ac:dyDescent="0.25">
      <c r="A1599">
        <v>1</v>
      </c>
      <c r="B1599" s="13">
        <v>590920300306</v>
      </c>
      <c r="C1599">
        <v>60</v>
      </c>
      <c r="D1599" s="13">
        <v>1018359</v>
      </c>
      <c r="F1599" t="s">
        <v>130</v>
      </c>
      <c r="G1599">
        <v>0</v>
      </c>
      <c r="H1599">
        <v>100</v>
      </c>
      <c r="K1599">
        <v>10</v>
      </c>
      <c r="L1599" t="s">
        <v>131</v>
      </c>
      <c r="M1599" s="50">
        <v>44875</v>
      </c>
      <c r="N1599" s="50">
        <v>2958465</v>
      </c>
      <c r="P1599">
        <v>0</v>
      </c>
      <c r="U1599">
        <v>4</v>
      </c>
      <c r="V1599">
        <v>1</v>
      </c>
      <c r="W1599" t="s">
        <v>132</v>
      </c>
      <c r="X1599">
        <v>0</v>
      </c>
    </row>
    <row r="1600" spans="1:24" x14ac:dyDescent="0.25">
      <c r="A1600">
        <v>1</v>
      </c>
      <c r="B1600" s="13">
        <v>590920300306</v>
      </c>
      <c r="C1600">
        <v>70</v>
      </c>
      <c r="D1600" s="13">
        <v>1022213</v>
      </c>
      <c r="F1600" t="s">
        <v>130</v>
      </c>
      <c r="G1600">
        <v>0</v>
      </c>
      <c r="H1600">
        <v>100</v>
      </c>
      <c r="K1600">
        <v>5.5919999999999996</v>
      </c>
      <c r="L1600" t="s">
        <v>131</v>
      </c>
      <c r="M1600" s="50">
        <v>44875</v>
      </c>
      <c r="N1600" s="50">
        <v>2958465</v>
      </c>
      <c r="P1600">
        <v>0</v>
      </c>
      <c r="U1600">
        <v>4</v>
      </c>
      <c r="V1600">
        <v>1</v>
      </c>
      <c r="W1600" t="s">
        <v>132</v>
      </c>
      <c r="X1600">
        <v>0</v>
      </c>
    </row>
    <row r="1601" spans="1:24" x14ac:dyDescent="0.25">
      <c r="A1601">
        <v>1</v>
      </c>
      <c r="B1601" s="13">
        <v>590920300306</v>
      </c>
      <c r="C1601">
        <v>80</v>
      </c>
      <c r="D1601" s="13">
        <v>12165606</v>
      </c>
      <c r="F1601" t="s">
        <v>130</v>
      </c>
      <c r="G1601">
        <v>0</v>
      </c>
      <c r="H1601">
        <v>100</v>
      </c>
      <c r="K1601">
        <v>1</v>
      </c>
      <c r="L1601" t="s">
        <v>131</v>
      </c>
      <c r="M1601" s="50">
        <v>44875</v>
      </c>
      <c r="N1601" s="50">
        <v>2958465</v>
      </c>
      <c r="P1601">
        <v>0</v>
      </c>
      <c r="U1601">
        <v>4</v>
      </c>
      <c r="V1601">
        <v>1</v>
      </c>
      <c r="W1601" t="s">
        <v>132</v>
      </c>
      <c r="X1601">
        <v>0</v>
      </c>
    </row>
    <row r="1602" spans="1:24" x14ac:dyDescent="0.25">
      <c r="A1602">
        <v>1</v>
      </c>
      <c r="B1602" s="13">
        <v>590920300406</v>
      </c>
      <c r="C1602">
        <v>10</v>
      </c>
      <c r="D1602" s="13">
        <v>5957163004</v>
      </c>
      <c r="F1602" t="s">
        <v>130</v>
      </c>
      <c r="G1602">
        <v>0</v>
      </c>
      <c r="H1602">
        <v>100</v>
      </c>
      <c r="K1602">
        <v>2</v>
      </c>
      <c r="L1602" t="s">
        <v>131</v>
      </c>
      <c r="M1602" s="50">
        <v>44875</v>
      </c>
      <c r="N1602" s="50">
        <v>2958465</v>
      </c>
      <c r="P1602">
        <v>0</v>
      </c>
      <c r="U1602">
        <v>4</v>
      </c>
      <c r="V1602">
        <v>1</v>
      </c>
      <c r="W1602" t="s">
        <v>132</v>
      </c>
      <c r="X1602">
        <v>0</v>
      </c>
    </row>
    <row r="1603" spans="1:24" x14ac:dyDescent="0.25">
      <c r="A1603">
        <v>1</v>
      </c>
      <c r="B1603" s="13">
        <v>590920300406</v>
      </c>
      <c r="C1603">
        <v>20</v>
      </c>
      <c r="D1603" s="13">
        <v>5957333004</v>
      </c>
      <c r="F1603" t="s">
        <v>130</v>
      </c>
      <c r="G1603">
        <v>0</v>
      </c>
      <c r="H1603">
        <v>100</v>
      </c>
      <c r="K1603">
        <v>1</v>
      </c>
      <c r="L1603" t="s">
        <v>131</v>
      </c>
      <c r="M1603" s="50">
        <v>44875</v>
      </c>
      <c r="N1603" s="50">
        <v>2958465</v>
      </c>
      <c r="P1603">
        <v>0</v>
      </c>
      <c r="U1603">
        <v>4</v>
      </c>
      <c r="V1603">
        <v>1</v>
      </c>
      <c r="W1603" t="s">
        <v>132</v>
      </c>
      <c r="X1603">
        <v>0</v>
      </c>
    </row>
    <row r="1604" spans="1:24" x14ac:dyDescent="0.25">
      <c r="A1604">
        <v>1</v>
      </c>
      <c r="B1604" s="13">
        <v>590920300406</v>
      </c>
      <c r="C1604">
        <v>30</v>
      </c>
      <c r="D1604" s="13">
        <v>5957303004</v>
      </c>
      <c r="F1604" t="s">
        <v>130</v>
      </c>
      <c r="G1604">
        <v>0</v>
      </c>
      <c r="H1604">
        <v>100</v>
      </c>
      <c r="K1604">
        <v>1</v>
      </c>
      <c r="L1604" t="s">
        <v>131</v>
      </c>
      <c r="M1604" s="50">
        <v>44875</v>
      </c>
      <c r="N1604" s="50">
        <v>2958465</v>
      </c>
      <c r="P1604">
        <v>0</v>
      </c>
      <c r="U1604">
        <v>4</v>
      </c>
      <c r="V1604">
        <v>1</v>
      </c>
      <c r="W1604" t="s">
        <v>132</v>
      </c>
      <c r="X1604">
        <v>0</v>
      </c>
    </row>
    <row r="1605" spans="1:24" x14ac:dyDescent="0.25">
      <c r="A1605">
        <v>1</v>
      </c>
      <c r="B1605" s="13">
        <v>590920300406</v>
      </c>
      <c r="C1605">
        <v>40</v>
      </c>
      <c r="D1605" s="13">
        <v>5957093004</v>
      </c>
      <c r="F1605" t="s">
        <v>130</v>
      </c>
      <c r="G1605">
        <v>0</v>
      </c>
      <c r="H1605">
        <v>100</v>
      </c>
      <c r="K1605">
        <v>1</v>
      </c>
      <c r="L1605" t="s">
        <v>131</v>
      </c>
      <c r="M1605" s="50">
        <v>44875</v>
      </c>
      <c r="N1605" s="50">
        <v>2958465</v>
      </c>
      <c r="P1605">
        <v>0</v>
      </c>
      <c r="U1605">
        <v>4</v>
      </c>
      <c r="V1605">
        <v>1</v>
      </c>
      <c r="W1605" t="s">
        <v>132</v>
      </c>
      <c r="X1605">
        <v>0</v>
      </c>
    </row>
    <row r="1606" spans="1:24" x14ac:dyDescent="0.25">
      <c r="A1606">
        <v>1</v>
      </c>
      <c r="B1606" s="13">
        <v>590920300406</v>
      </c>
      <c r="C1606">
        <v>50</v>
      </c>
      <c r="D1606" s="13">
        <v>1018034</v>
      </c>
      <c r="F1606" t="s">
        <v>130</v>
      </c>
      <c r="G1606">
        <v>0</v>
      </c>
      <c r="H1606">
        <v>100</v>
      </c>
      <c r="K1606">
        <v>4</v>
      </c>
      <c r="L1606" t="s">
        <v>131</v>
      </c>
      <c r="M1606" s="50">
        <v>44875</v>
      </c>
      <c r="N1606" s="50">
        <v>2958465</v>
      </c>
      <c r="P1606">
        <v>0</v>
      </c>
      <c r="U1606">
        <v>4</v>
      </c>
      <c r="V1606">
        <v>1</v>
      </c>
      <c r="W1606" t="s">
        <v>132</v>
      </c>
      <c r="X1606">
        <v>0</v>
      </c>
    </row>
    <row r="1607" spans="1:24" x14ac:dyDescent="0.25">
      <c r="A1607">
        <v>1</v>
      </c>
      <c r="B1607" s="13">
        <v>590920300406</v>
      </c>
      <c r="C1607">
        <v>60</v>
      </c>
      <c r="D1607" s="13">
        <v>1022356</v>
      </c>
      <c r="F1607" t="s">
        <v>130</v>
      </c>
      <c r="G1607">
        <v>0</v>
      </c>
      <c r="H1607">
        <v>100</v>
      </c>
      <c r="K1607">
        <v>10</v>
      </c>
      <c r="L1607" t="s">
        <v>131</v>
      </c>
      <c r="M1607" s="50">
        <v>44875</v>
      </c>
      <c r="N1607" s="50">
        <v>2958465</v>
      </c>
      <c r="P1607">
        <v>0</v>
      </c>
      <c r="U1607">
        <v>4</v>
      </c>
      <c r="V1607">
        <v>1</v>
      </c>
      <c r="W1607" t="s">
        <v>132</v>
      </c>
      <c r="X1607">
        <v>0</v>
      </c>
    </row>
    <row r="1608" spans="1:24" x14ac:dyDescent="0.25">
      <c r="A1608">
        <v>1</v>
      </c>
      <c r="B1608" s="13">
        <v>590920300406</v>
      </c>
      <c r="C1608">
        <v>70</v>
      </c>
      <c r="D1608" s="13">
        <v>1022213</v>
      </c>
      <c r="F1608" t="s">
        <v>130</v>
      </c>
      <c r="G1608">
        <v>0</v>
      </c>
      <c r="H1608">
        <v>100</v>
      </c>
      <c r="K1608">
        <v>5.5919999999999996</v>
      </c>
      <c r="L1608" t="s">
        <v>131</v>
      </c>
      <c r="M1608" s="50">
        <v>44875</v>
      </c>
      <c r="N1608" s="50">
        <v>2958465</v>
      </c>
      <c r="P1608">
        <v>0</v>
      </c>
      <c r="U1608">
        <v>4</v>
      </c>
      <c r="V1608">
        <v>1</v>
      </c>
      <c r="W1608" t="s">
        <v>132</v>
      </c>
      <c r="X1608">
        <v>0</v>
      </c>
    </row>
    <row r="1609" spans="1:24" x14ac:dyDescent="0.25">
      <c r="A1609">
        <v>1</v>
      </c>
      <c r="B1609" s="13">
        <v>590920300406</v>
      </c>
      <c r="C1609">
        <v>80</v>
      </c>
      <c r="D1609" s="13">
        <v>12165606</v>
      </c>
      <c r="F1609" t="s">
        <v>130</v>
      </c>
      <c r="G1609">
        <v>0</v>
      </c>
      <c r="H1609">
        <v>100</v>
      </c>
      <c r="K1609">
        <v>1</v>
      </c>
      <c r="L1609" t="s">
        <v>131</v>
      </c>
      <c r="M1609" s="50">
        <v>44875</v>
      </c>
      <c r="N1609" s="50">
        <v>2958465</v>
      </c>
      <c r="P1609">
        <v>0</v>
      </c>
      <c r="U1609">
        <v>4</v>
      </c>
      <c r="V1609">
        <v>1</v>
      </c>
      <c r="W1609" t="s">
        <v>132</v>
      </c>
      <c r="X1609">
        <v>0</v>
      </c>
    </row>
    <row r="1610" spans="1:24" x14ac:dyDescent="0.25">
      <c r="A1610">
        <v>1</v>
      </c>
      <c r="B1610" s="13">
        <v>590920300506</v>
      </c>
      <c r="C1610">
        <v>10</v>
      </c>
      <c r="D1610" s="13">
        <v>5957163005</v>
      </c>
      <c r="F1610" t="s">
        <v>130</v>
      </c>
      <c r="G1610">
        <v>0</v>
      </c>
      <c r="H1610">
        <v>100</v>
      </c>
      <c r="K1610">
        <v>2</v>
      </c>
      <c r="L1610" t="s">
        <v>131</v>
      </c>
      <c r="M1610" s="50">
        <v>44875</v>
      </c>
      <c r="N1610" s="50">
        <v>2958465</v>
      </c>
      <c r="P1610">
        <v>0</v>
      </c>
      <c r="U1610">
        <v>4</v>
      </c>
      <c r="V1610">
        <v>1</v>
      </c>
      <c r="W1610" t="s">
        <v>132</v>
      </c>
      <c r="X1610">
        <v>0</v>
      </c>
    </row>
    <row r="1611" spans="1:24" x14ac:dyDescent="0.25">
      <c r="A1611">
        <v>1</v>
      </c>
      <c r="B1611" s="13">
        <v>590920300506</v>
      </c>
      <c r="C1611">
        <v>20</v>
      </c>
      <c r="D1611" s="13">
        <v>5957333005</v>
      </c>
      <c r="F1611" t="s">
        <v>130</v>
      </c>
      <c r="G1611">
        <v>0</v>
      </c>
      <c r="H1611">
        <v>100</v>
      </c>
      <c r="K1611">
        <v>1</v>
      </c>
      <c r="L1611" t="s">
        <v>131</v>
      </c>
      <c r="M1611" s="50">
        <v>44875</v>
      </c>
      <c r="N1611" s="50">
        <v>2958465</v>
      </c>
      <c r="P1611">
        <v>0</v>
      </c>
      <c r="U1611">
        <v>4</v>
      </c>
      <c r="V1611">
        <v>1</v>
      </c>
      <c r="W1611" t="s">
        <v>132</v>
      </c>
      <c r="X1611">
        <v>0</v>
      </c>
    </row>
    <row r="1612" spans="1:24" x14ac:dyDescent="0.25">
      <c r="A1612">
        <v>1</v>
      </c>
      <c r="B1612" s="13">
        <v>590920300506</v>
      </c>
      <c r="C1612">
        <v>30</v>
      </c>
      <c r="D1612" s="13">
        <v>5957303005</v>
      </c>
      <c r="F1612" t="s">
        <v>130</v>
      </c>
      <c r="G1612">
        <v>0</v>
      </c>
      <c r="H1612">
        <v>100</v>
      </c>
      <c r="K1612">
        <v>1</v>
      </c>
      <c r="L1612" t="s">
        <v>131</v>
      </c>
      <c r="M1612" s="50">
        <v>44875</v>
      </c>
      <c r="N1612" s="50">
        <v>2958465</v>
      </c>
      <c r="P1612">
        <v>0</v>
      </c>
      <c r="U1612">
        <v>4</v>
      </c>
      <c r="V1612">
        <v>1</v>
      </c>
      <c r="W1612" t="s">
        <v>132</v>
      </c>
      <c r="X1612">
        <v>0</v>
      </c>
    </row>
    <row r="1613" spans="1:24" x14ac:dyDescent="0.25">
      <c r="A1613">
        <v>1</v>
      </c>
      <c r="B1613" s="13">
        <v>590920300506</v>
      </c>
      <c r="C1613">
        <v>40</v>
      </c>
      <c r="D1613" s="13">
        <v>5957093005</v>
      </c>
      <c r="F1613" t="s">
        <v>130</v>
      </c>
      <c r="G1613">
        <v>0</v>
      </c>
      <c r="H1613">
        <v>100</v>
      </c>
      <c r="K1613">
        <v>1</v>
      </c>
      <c r="L1613" t="s">
        <v>131</v>
      </c>
      <c r="M1613" s="50">
        <v>44875</v>
      </c>
      <c r="N1613" s="50">
        <v>2958465</v>
      </c>
      <c r="P1613">
        <v>0</v>
      </c>
      <c r="U1613">
        <v>4</v>
      </c>
      <c r="V1613">
        <v>1</v>
      </c>
      <c r="W1613" t="s">
        <v>132</v>
      </c>
      <c r="X1613">
        <v>0</v>
      </c>
    </row>
    <row r="1614" spans="1:24" x14ac:dyDescent="0.25">
      <c r="A1614">
        <v>1</v>
      </c>
      <c r="B1614" s="13">
        <v>590920300506</v>
      </c>
      <c r="C1614">
        <v>50</v>
      </c>
      <c r="D1614" s="13">
        <v>1018034</v>
      </c>
      <c r="F1614" t="s">
        <v>130</v>
      </c>
      <c r="G1614">
        <v>0</v>
      </c>
      <c r="H1614">
        <v>100</v>
      </c>
      <c r="K1614">
        <v>4</v>
      </c>
      <c r="L1614" t="s">
        <v>131</v>
      </c>
      <c r="M1614" s="50">
        <v>44875</v>
      </c>
      <c r="N1614" s="50">
        <v>2958465</v>
      </c>
      <c r="P1614">
        <v>0</v>
      </c>
      <c r="U1614">
        <v>4</v>
      </c>
      <c r="V1614">
        <v>1</v>
      </c>
      <c r="W1614" t="s">
        <v>132</v>
      </c>
      <c r="X1614">
        <v>0</v>
      </c>
    </row>
    <row r="1615" spans="1:24" x14ac:dyDescent="0.25">
      <c r="A1615">
        <v>1</v>
      </c>
      <c r="B1615" s="13">
        <v>590920300506</v>
      </c>
      <c r="C1615">
        <v>60</v>
      </c>
      <c r="D1615" s="13">
        <v>1022356</v>
      </c>
      <c r="F1615" t="s">
        <v>130</v>
      </c>
      <c r="G1615">
        <v>0</v>
      </c>
      <c r="H1615">
        <v>100</v>
      </c>
      <c r="K1615">
        <v>10</v>
      </c>
      <c r="L1615" t="s">
        <v>131</v>
      </c>
      <c r="M1615" s="50">
        <v>44875</v>
      </c>
      <c r="N1615" s="50">
        <v>2958465</v>
      </c>
      <c r="P1615">
        <v>0</v>
      </c>
      <c r="U1615">
        <v>4</v>
      </c>
      <c r="V1615">
        <v>1</v>
      </c>
      <c r="W1615" t="s">
        <v>132</v>
      </c>
      <c r="X1615">
        <v>0</v>
      </c>
    </row>
    <row r="1616" spans="1:24" x14ac:dyDescent="0.25">
      <c r="A1616">
        <v>1</v>
      </c>
      <c r="B1616" s="13">
        <v>590920300506</v>
      </c>
      <c r="C1616">
        <v>70</v>
      </c>
      <c r="D1616" s="13">
        <v>1022213</v>
      </c>
      <c r="F1616" t="s">
        <v>130</v>
      </c>
      <c r="G1616">
        <v>0</v>
      </c>
      <c r="H1616">
        <v>100</v>
      </c>
      <c r="K1616">
        <v>5.5919999999999996</v>
      </c>
      <c r="L1616" t="s">
        <v>131</v>
      </c>
      <c r="M1616" s="50">
        <v>44875</v>
      </c>
      <c r="N1616" s="50">
        <v>2958465</v>
      </c>
      <c r="P1616">
        <v>0</v>
      </c>
      <c r="U1616">
        <v>4</v>
      </c>
      <c r="V1616">
        <v>1</v>
      </c>
      <c r="W1616" t="s">
        <v>132</v>
      </c>
      <c r="X1616">
        <v>0</v>
      </c>
    </row>
    <row r="1617" spans="1:24" x14ac:dyDescent="0.25">
      <c r="A1617">
        <v>1</v>
      </c>
      <c r="B1617" s="13">
        <v>590920300506</v>
      </c>
      <c r="C1617">
        <v>80</v>
      </c>
      <c r="D1617" s="13">
        <v>12165606</v>
      </c>
      <c r="F1617" t="s">
        <v>130</v>
      </c>
      <c r="G1617">
        <v>0</v>
      </c>
      <c r="H1617">
        <v>100</v>
      </c>
      <c r="K1617">
        <v>1</v>
      </c>
      <c r="L1617" t="s">
        <v>131</v>
      </c>
      <c r="M1617" s="50">
        <v>44875</v>
      </c>
      <c r="N1617" s="50">
        <v>2958465</v>
      </c>
      <c r="P1617">
        <v>0</v>
      </c>
      <c r="U1617">
        <v>4</v>
      </c>
      <c r="V1617">
        <v>1</v>
      </c>
      <c r="W1617" t="s">
        <v>132</v>
      </c>
      <c r="X1617">
        <v>0</v>
      </c>
    </row>
    <row r="1618" spans="1:24" x14ac:dyDescent="0.25">
      <c r="A1618">
        <v>1</v>
      </c>
      <c r="B1618" s="13">
        <v>590920300606</v>
      </c>
      <c r="C1618">
        <v>10</v>
      </c>
      <c r="D1618" s="13">
        <v>5957163006</v>
      </c>
      <c r="F1618" t="s">
        <v>130</v>
      </c>
      <c r="G1618">
        <v>0</v>
      </c>
      <c r="H1618">
        <v>100</v>
      </c>
      <c r="K1618">
        <v>2</v>
      </c>
      <c r="L1618" t="s">
        <v>131</v>
      </c>
      <c r="M1618" s="50">
        <v>44875</v>
      </c>
      <c r="N1618" s="50">
        <v>2958465</v>
      </c>
      <c r="P1618">
        <v>0</v>
      </c>
      <c r="U1618">
        <v>4</v>
      </c>
      <c r="V1618">
        <v>1</v>
      </c>
      <c r="W1618" t="s">
        <v>132</v>
      </c>
      <c r="X1618">
        <v>0</v>
      </c>
    </row>
    <row r="1619" spans="1:24" x14ac:dyDescent="0.25">
      <c r="A1619">
        <v>1</v>
      </c>
      <c r="B1619" s="13">
        <v>590920300606</v>
      </c>
      <c r="C1619">
        <v>20</v>
      </c>
      <c r="D1619" s="13">
        <v>5957333006</v>
      </c>
      <c r="F1619" t="s">
        <v>130</v>
      </c>
      <c r="G1619">
        <v>0</v>
      </c>
      <c r="H1619">
        <v>100</v>
      </c>
      <c r="K1619">
        <v>1</v>
      </c>
      <c r="L1619" t="s">
        <v>131</v>
      </c>
      <c r="M1619" s="50">
        <v>44875</v>
      </c>
      <c r="N1619" s="50">
        <v>2958465</v>
      </c>
      <c r="P1619">
        <v>0</v>
      </c>
      <c r="U1619">
        <v>4</v>
      </c>
      <c r="V1619">
        <v>1</v>
      </c>
      <c r="W1619" t="s">
        <v>132</v>
      </c>
      <c r="X1619">
        <v>0</v>
      </c>
    </row>
    <row r="1620" spans="1:24" x14ac:dyDescent="0.25">
      <c r="A1620">
        <v>1</v>
      </c>
      <c r="B1620" s="13">
        <v>590920300606</v>
      </c>
      <c r="C1620">
        <v>30</v>
      </c>
      <c r="D1620" s="13">
        <v>5957303006</v>
      </c>
      <c r="F1620" t="s">
        <v>130</v>
      </c>
      <c r="G1620">
        <v>0</v>
      </c>
      <c r="H1620">
        <v>100</v>
      </c>
      <c r="K1620">
        <v>1</v>
      </c>
      <c r="L1620" t="s">
        <v>131</v>
      </c>
      <c r="M1620" s="50">
        <v>44875</v>
      </c>
      <c r="N1620" s="50">
        <v>2958465</v>
      </c>
      <c r="P1620">
        <v>0</v>
      </c>
      <c r="U1620">
        <v>4</v>
      </c>
      <c r="V1620">
        <v>1</v>
      </c>
      <c r="W1620" t="s">
        <v>132</v>
      </c>
      <c r="X1620">
        <v>0</v>
      </c>
    </row>
    <row r="1621" spans="1:24" x14ac:dyDescent="0.25">
      <c r="A1621">
        <v>1</v>
      </c>
      <c r="B1621" s="13">
        <v>590920300606</v>
      </c>
      <c r="C1621">
        <v>40</v>
      </c>
      <c r="D1621" s="13">
        <v>5957093006</v>
      </c>
      <c r="F1621" t="s">
        <v>130</v>
      </c>
      <c r="G1621">
        <v>0</v>
      </c>
      <c r="H1621">
        <v>100</v>
      </c>
      <c r="K1621">
        <v>1</v>
      </c>
      <c r="L1621" t="s">
        <v>131</v>
      </c>
      <c r="M1621" s="50">
        <v>44875</v>
      </c>
      <c r="N1621" s="50">
        <v>2958465</v>
      </c>
      <c r="P1621">
        <v>0</v>
      </c>
      <c r="U1621">
        <v>4</v>
      </c>
      <c r="V1621">
        <v>1</v>
      </c>
      <c r="W1621" t="s">
        <v>132</v>
      </c>
      <c r="X1621">
        <v>0</v>
      </c>
    </row>
    <row r="1622" spans="1:24" x14ac:dyDescent="0.25">
      <c r="A1622">
        <v>1</v>
      </c>
      <c r="B1622" s="13">
        <v>590920300606</v>
      </c>
      <c r="C1622">
        <v>50</v>
      </c>
      <c r="D1622" s="13">
        <v>1018034</v>
      </c>
      <c r="F1622" t="s">
        <v>130</v>
      </c>
      <c r="G1622">
        <v>0</v>
      </c>
      <c r="H1622">
        <v>100</v>
      </c>
      <c r="K1622">
        <v>4</v>
      </c>
      <c r="L1622" t="s">
        <v>131</v>
      </c>
      <c r="M1622" s="50">
        <v>44875</v>
      </c>
      <c r="N1622" s="50">
        <v>2958465</v>
      </c>
      <c r="P1622">
        <v>0</v>
      </c>
      <c r="U1622">
        <v>4</v>
      </c>
      <c r="V1622">
        <v>1</v>
      </c>
      <c r="W1622" t="s">
        <v>132</v>
      </c>
      <c r="X1622">
        <v>0</v>
      </c>
    </row>
    <row r="1623" spans="1:24" x14ac:dyDescent="0.25">
      <c r="A1623">
        <v>1</v>
      </c>
      <c r="B1623" s="13">
        <v>590920300606</v>
      </c>
      <c r="C1623">
        <v>60</v>
      </c>
      <c r="D1623" s="13">
        <v>1018359</v>
      </c>
      <c r="F1623" t="s">
        <v>130</v>
      </c>
      <c r="G1623">
        <v>0</v>
      </c>
      <c r="H1623">
        <v>100</v>
      </c>
      <c r="K1623">
        <v>10</v>
      </c>
      <c r="L1623" t="s">
        <v>131</v>
      </c>
      <c r="M1623" s="50">
        <v>44875</v>
      </c>
      <c r="N1623" s="50">
        <v>2958465</v>
      </c>
      <c r="P1623">
        <v>0</v>
      </c>
      <c r="U1623">
        <v>4</v>
      </c>
      <c r="V1623">
        <v>1</v>
      </c>
      <c r="W1623" t="s">
        <v>132</v>
      </c>
      <c r="X1623">
        <v>0</v>
      </c>
    </row>
    <row r="1624" spans="1:24" x14ac:dyDescent="0.25">
      <c r="A1624">
        <v>1</v>
      </c>
      <c r="B1624" s="13">
        <v>590920300606</v>
      </c>
      <c r="C1624">
        <v>70</v>
      </c>
      <c r="D1624" s="13">
        <v>1022213</v>
      </c>
      <c r="F1624" t="s">
        <v>130</v>
      </c>
      <c r="G1624">
        <v>0</v>
      </c>
      <c r="H1624">
        <v>100</v>
      </c>
      <c r="K1624">
        <v>5.5919999999999996</v>
      </c>
      <c r="L1624" t="s">
        <v>131</v>
      </c>
      <c r="M1624" s="50">
        <v>44875</v>
      </c>
      <c r="N1624" s="50">
        <v>2958465</v>
      </c>
      <c r="P1624">
        <v>0</v>
      </c>
      <c r="U1624">
        <v>4</v>
      </c>
      <c r="V1624">
        <v>1</v>
      </c>
      <c r="W1624" t="s">
        <v>132</v>
      </c>
      <c r="X1624">
        <v>0</v>
      </c>
    </row>
    <row r="1625" spans="1:24" x14ac:dyDescent="0.25">
      <c r="A1625">
        <v>1</v>
      </c>
      <c r="B1625" s="13">
        <v>590920300606</v>
      </c>
      <c r="C1625">
        <v>80</v>
      </c>
      <c r="D1625" s="13">
        <v>12165606</v>
      </c>
      <c r="F1625" t="s">
        <v>130</v>
      </c>
      <c r="G1625">
        <v>0</v>
      </c>
      <c r="H1625">
        <v>100</v>
      </c>
      <c r="K1625">
        <v>1</v>
      </c>
      <c r="L1625" t="s">
        <v>131</v>
      </c>
      <c r="M1625" s="50">
        <v>44875</v>
      </c>
      <c r="N1625" s="50">
        <v>2958465</v>
      </c>
      <c r="P1625">
        <v>0</v>
      </c>
      <c r="U1625">
        <v>4</v>
      </c>
      <c r="V1625">
        <v>1</v>
      </c>
      <c r="W1625" t="s">
        <v>132</v>
      </c>
      <c r="X1625">
        <v>0</v>
      </c>
    </row>
    <row r="1626" spans="1:24" x14ac:dyDescent="0.25">
      <c r="A1626">
        <v>1</v>
      </c>
      <c r="B1626" s="13">
        <v>590920300806</v>
      </c>
      <c r="C1626">
        <v>10</v>
      </c>
      <c r="D1626" s="13">
        <v>5957163008</v>
      </c>
      <c r="F1626" t="s">
        <v>130</v>
      </c>
      <c r="G1626">
        <v>0</v>
      </c>
      <c r="H1626">
        <v>100</v>
      </c>
      <c r="K1626">
        <v>2</v>
      </c>
      <c r="L1626" t="s">
        <v>131</v>
      </c>
      <c r="M1626" s="50">
        <v>44875</v>
      </c>
      <c r="N1626" s="50">
        <v>2958465</v>
      </c>
      <c r="P1626">
        <v>0</v>
      </c>
      <c r="U1626">
        <v>4</v>
      </c>
      <c r="V1626">
        <v>1</v>
      </c>
      <c r="W1626" t="s">
        <v>132</v>
      </c>
      <c r="X1626">
        <v>0</v>
      </c>
    </row>
    <row r="1627" spans="1:24" x14ac:dyDescent="0.25">
      <c r="A1627">
        <v>1</v>
      </c>
      <c r="B1627" s="13">
        <v>590920300806</v>
      </c>
      <c r="C1627">
        <v>20</v>
      </c>
      <c r="D1627" s="13">
        <v>5957333008</v>
      </c>
      <c r="F1627" t="s">
        <v>130</v>
      </c>
      <c r="G1627">
        <v>0</v>
      </c>
      <c r="H1627">
        <v>100</v>
      </c>
      <c r="K1627">
        <v>1</v>
      </c>
      <c r="L1627" t="s">
        <v>131</v>
      </c>
      <c r="M1627" s="50">
        <v>44875</v>
      </c>
      <c r="N1627" s="50">
        <v>2958465</v>
      </c>
      <c r="P1627">
        <v>0</v>
      </c>
      <c r="U1627">
        <v>4</v>
      </c>
      <c r="V1627">
        <v>1</v>
      </c>
      <c r="W1627" t="s">
        <v>132</v>
      </c>
      <c r="X1627">
        <v>0</v>
      </c>
    </row>
    <row r="1628" spans="1:24" x14ac:dyDescent="0.25">
      <c r="A1628">
        <v>1</v>
      </c>
      <c r="B1628" s="13">
        <v>590920300806</v>
      </c>
      <c r="C1628">
        <v>30</v>
      </c>
      <c r="D1628" s="13">
        <v>5957303008</v>
      </c>
      <c r="F1628" t="s">
        <v>130</v>
      </c>
      <c r="G1628">
        <v>0</v>
      </c>
      <c r="H1628">
        <v>100</v>
      </c>
      <c r="K1628">
        <v>1</v>
      </c>
      <c r="L1628" t="s">
        <v>131</v>
      </c>
      <c r="M1628" s="50">
        <v>44875</v>
      </c>
      <c r="N1628" s="50">
        <v>2958465</v>
      </c>
      <c r="P1628">
        <v>0</v>
      </c>
      <c r="U1628">
        <v>4</v>
      </c>
      <c r="V1628">
        <v>1</v>
      </c>
      <c r="W1628" t="s">
        <v>132</v>
      </c>
      <c r="X1628">
        <v>0</v>
      </c>
    </row>
    <row r="1629" spans="1:24" x14ac:dyDescent="0.25">
      <c r="A1629">
        <v>1</v>
      </c>
      <c r="B1629" s="13">
        <v>590920300806</v>
      </c>
      <c r="C1629">
        <v>40</v>
      </c>
      <c r="D1629" s="13">
        <v>5957093008</v>
      </c>
      <c r="F1629" t="s">
        <v>130</v>
      </c>
      <c r="G1629">
        <v>0</v>
      </c>
      <c r="H1629">
        <v>100</v>
      </c>
      <c r="K1629">
        <v>1</v>
      </c>
      <c r="L1629" t="s">
        <v>131</v>
      </c>
      <c r="M1629" s="50">
        <v>44875</v>
      </c>
      <c r="N1629" s="50">
        <v>2958465</v>
      </c>
      <c r="P1629">
        <v>0</v>
      </c>
      <c r="U1629">
        <v>4</v>
      </c>
      <c r="V1629">
        <v>1</v>
      </c>
      <c r="W1629" t="s">
        <v>132</v>
      </c>
      <c r="X1629">
        <v>0</v>
      </c>
    </row>
    <row r="1630" spans="1:24" x14ac:dyDescent="0.25">
      <c r="A1630">
        <v>1</v>
      </c>
      <c r="B1630" s="13">
        <v>590920300806</v>
      </c>
      <c r="C1630">
        <v>50</v>
      </c>
      <c r="D1630" s="13">
        <v>1018034</v>
      </c>
      <c r="F1630" t="s">
        <v>130</v>
      </c>
      <c r="G1630">
        <v>0</v>
      </c>
      <c r="H1630">
        <v>100</v>
      </c>
      <c r="K1630">
        <v>4</v>
      </c>
      <c r="L1630" t="s">
        <v>131</v>
      </c>
      <c r="M1630" s="50">
        <v>44875</v>
      </c>
      <c r="N1630" s="50">
        <v>2958465</v>
      </c>
      <c r="P1630">
        <v>0</v>
      </c>
      <c r="U1630">
        <v>4</v>
      </c>
      <c r="V1630">
        <v>1</v>
      </c>
      <c r="W1630" t="s">
        <v>132</v>
      </c>
      <c r="X1630">
        <v>0</v>
      </c>
    </row>
    <row r="1631" spans="1:24" x14ac:dyDescent="0.25">
      <c r="A1631">
        <v>1</v>
      </c>
      <c r="B1631" s="13">
        <v>590920300806</v>
      </c>
      <c r="C1631">
        <v>60</v>
      </c>
      <c r="D1631" s="13">
        <v>1022356</v>
      </c>
      <c r="F1631" t="s">
        <v>130</v>
      </c>
      <c r="G1631">
        <v>0</v>
      </c>
      <c r="H1631">
        <v>100</v>
      </c>
      <c r="K1631">
        <v>10</v>
      </c>
      <c r="L1631" t="s">
        <v>131</v>
      </c>
      <c r="M1631" s="50">
        <v>44875</v>
      </c>
      <c r="N1631" s="50">
        <v>2958465</v>
      </c>
      <c r="P1631">
        <v>0</v>
      </c>
      <c r="U1631">
        <v>4</v>
      </c>
      <c r="V1631">
        <v>1</v>
      </c>
      <c r="W1631" t="s">
        <v>132</v>
      </c>
      <c r="X1631">
        <v>0</v>
      </c>
    </row>
    <row r="1632" spans="1:24" x14ac:dyDescent="0.25">
      <c r="A1632">
        <v>1</v>
      </c>
      <c r="B1632" s="13">
        <v>590920300806</v>
      </c>
      <c r="C1632">
        <v>70</v>
      </c>
      <c r="D1632" s="13">
        <v>1022213</v>
      </c>
      <c r="F1632" t="s">
        <v>130</v>
      </c>
      <c r="G1632">
        <v>0</v>
      </c>
      <c r="H1632">
        <v>100</v>
      </c>
      <c r="K1632">
        <v>5.5919999999999996</v>
      </c>
      <c r="L1632" t="s">
        <v>131</v>
      </c>
      <c r="M1632" s="50">
        <v>44875</v>
      </c>
      <c r="N1632" s="50">
        <v>2958465</v>
      </c>
      <c r="P1632">
        <v>0</v>
      </c>
      <c r="U1632">
        <v>4</v>
      </c>
      <c r="V1632">
        <v>1</v>
      </c>
      <c r="W1632" t="s">
        <v>132</v>
      </c>
      <c r="X1632">
        <v>0</v>
      </c>
    </row>
    <row r="1633" spans="1:24" x14ac:dyDescent="0.25">
      <c r="A1633">
        <v>1</v>
      </c>
      <c r="B1633" s="13">
        <v>590920300806</v>
      </c>
      <c r="C1633">
        <v>80</v>
      </c>
      <c r="D1633" s="13">
        <v>12165606</v>
      </c>
      <c r="F1633" t="s">
        <v>130</v>
      </c>
      <c r="G1633">
        <v>0</v>
      </c>
      <c r="H1633">
        <v>100</v>
      </c>
      <c r="K1633">
        <v>1</v>
      </c>
      <c r="L1633" t="s">
        <v>131</v>
      </c>
      <c r="M1633" s="50">
        <v>44875</v>
      </c>
      <c r="N1633" s="50">
        <v>2958465</v>
      </c>
      <c r="P1633">
        <v>0</v>
      </c>
      <c r="U1633">
        <v>4</v>
      </c>
      <c r="V1633">
        <v>1</v>
      </c>
      <c r="W1633" t="s">
        <v>132</v>
      </c>
      <c r="X1633">
        <v>0</v>
      </c>
    </row>
    <row r="1634" spans="1:24" x14ac:dyDescent="0.25">
      <c r="A1634">
        <v>1</v>
      </c>
      <c r="B1634" s="13">
        <v>590920300906</v>
      </c>
      <c r="C1634">
        <v>10</v>
      </c>
      <c r="D1634" s="13">
        <v>5957163009</v>
      </c>
      <c r="F1634" t="s">
        <v>130</v>
      </c>
      <c r="G1634">
        <v>0</v>
      </c>
      <c r="H1634">
        <v>100</v>
      </c>
      <c r="K1634">
        <v>2</v>
      </c>
      <c r="L1634" t="s">
        <v>131</v>
      </c>
      <c r="M1634" s="50">
        <v>44875</v>
      </c>
      <c r="N1634" s="50">
        <v>2958465</v>
      </c>
      <c r="P1634">
        <v>0</v>
      </c>
      <c r="U1634">
        <v>4</v>
      </c>
      <c r="V1634">
        <v>1</v>
      </c>
      <c r="W1634" t="s">
        <v>132</v>
      </c>
      <c r="X1634">
        <v>0</v>
      </c>
    </row>
    <row r="1635" spans="1:24" x14ac:dyDescent="0.25">
      <c r="A1635">
        <v>1</v>
      </c>
      <c r="B1635" s="13">
        <v>590920300906</v>
      </c>
      <c r="C1635">
        <v>20</v>
      </c>
      <c r="D1635" s="13">
        <v>5957333009</v>
      </c>
      <c r="F1635" t="s">
        <v>130</v>
      </c>
      <c r="G1635">
        <v>0</v>
      </c>
      <c r="H1635">
        <v>100</v>
      </c>
      <c r="K1635">
        <v>1</v>
      </c>
      <c r="L1635" t="s">
        <v>131</v>
      </c>
      <c r="M1635" s="50">
        <v>44875</v>
      </c>
      <c r="N1635" s="50">
        <v>2958465</v>
      </c>
      <c r="P1635">
        <v>0</v>
      </c>
      <c r="U1635">
        <v>4</v>
      </c>
      <c r="V1635">
        <v>1</v>
      </c>
      <c r="W1635" t="s">
        <v>132</v>
      </c>
      <c r="X1635">
        <v>0</v>
      </c>
    </row>
    <row r="1636" spans="1:24" x14ac:dyDescent="0.25">
      <c r="A1636">
        <v>1</v>
      </c>
      <c r="B1636" s="13">
        <v>590920300906</v>
      </c>
      <c r="C1636">
        <v>30</v>
      </c>
      <c r="D1636" s="13">
        <v>5957303009</v>
      </c>
      <c r="F1636" t="s">
        <v>130</v>
      </c>
      <c r="G1636">
        <v>0</v>
      </c>
      <c r="H1636">
        <v>100</v>
      </c>
      <c r="K1636">
        <v>1</v>
      </c>
      <c r="L1636" t="s">
        <v>131</v>
      </c>
      <c r="M1636" s="50">
        <v>44875</v>
      </c>
      <c r="N1636" s="50">
        <v>2958465</v>
      </c>
      <c r="P1636">
        <v>0</v>
      </c>
      <c r="U1636">
        <v>4</v>
      </c>
      <c r="V1636">
        <v>1</v>
      </c>
      <c r="W1636" t="s">
        <v>132</v>
      </c>
      <c r="X1636">
        <v>0</v>
      </c>
    </row>
    <row r="1637" spans="1:24" x14ac:dyDescent="0.25">
      <c r="A1637">
        <v>1</v>
      </c>
      <c r="B1637" s="13">
        <v>590920300906</v>
      </c>
      <c r="C1637">
        <v>40</v>
      </c>
      <c r="D1637" s="13">
        <v>5957093009</v>
      </c>
      <c r="F1637" t="s">
        <v>130</v>
      </c>
      <c r="G1637">
        <v>0</v>
      </c>
      <c r="H1637">
        <v>100</v>
      </c>
      <c r="K1637">
        <v>1</v>
      </c>
      <c r="L1637" t="s">
        <v>131</v>
      </c>
      <c r="M1637" s="50">
        <v>44875</v>
      </c>
      <c r="N1637" s="50">
        <v>2958465</v>
      </c>
      <c r="P1637">
        <v>0</v>
      </c>
      <c r="U1637">
        <v>4</v>
      </c>
      <c r="V1637">
        <v>1</v>
      </c>
      <c r="W1637" t="s">
        <v>132</v>
      </c>
      <c r="X1637">
        <v>0</v>
      </c>
    </row>
    <row r="1638" spans="1:24" x14ac:dyDescent="0.25">
      <c r="A1638">
        <v>1</v>
      </c>
      <c r="B1638" s="13">
        <v>590920300906</v>
      </c>
      <c r="C1638">
        <v>50</v>
      </c>
      <c r="D1638" s="13">
        <v>1018034</v>
      </c>
      <c r="F1638" t="s">
        <v>130</v>
      </c>
      <c r="G1638">
        <v>0</v>
      </c>
      <c r="H1638">
        <v>100</v>
      </c>
      <c r="K1638">
        <v>4</v>
      </c>
      <c r="L1638" t="s">
        <v>131</v>
      </c>
      <c r="M1638" s="50">
        <v>44875</v>
      </c>
      <c r="N1638" s="50">
        <v>2958465</v>
      </c>
      <c r="P1638">
        <v>0</v>
      </c>
      <c r="U1638">
        <v>4</v>
      </c>
      <c r="V1638">
        <v>1</v>
      </c>
      <c r="W1638" t="s">
        <v>132</v>
      </c>
      <c r="X1638">
        <v>0</v>
      </c>
    </row>
    <row r="1639" spans="1:24" x14ac:dyDescent="0.25">
      <c r="A1639">
        <v>1</v>
      </c>
      <c r="B1639" s="13">
        <v>590920300906</v>
      </c>
      <c r="C1639">
        <v>60</v>
      </c>
      <c r="D1639" s="13">
        <v>1018359</v>
      </c>
      <c r="F1639" t="s">
        <v>130</v>
      </c>
      <c r="G1639">
        <v>0</v>
      </c>
      <c r="H1639">
        <v>100</v>
      </c>
      <c r="K1639">
        <v>10</v>
      </c>
      <c r="L1639" t="s">
        <v>131</v>
      </c>
      <c r="M1639" s="50">
        <v>44875</v>
      </c>
      <c r="N1639" s="50">
        <v>2958465</v>
      </c>
      <c r="P1639">
        <v>0</v>
      </c>
      <c r="U1639">
        <v>4</v>
      </c>
      <c r="V1639">
        <v>1</v>
      </c>
      <c r="W1639" t="s">
        <v>132</v>
      </c>
      <c r="X1639">
        <v>0</v>
      </c>
    </row>
    <row r="1640" spans="1:24" x14ac:dyDescent="0.25">
      <c r="A1640">
        <v>1</v>
      </c>
      <c r="B1640" s="13">
        <v>590920300906</v>
      </c>
      <c r="C1640">
        <v>70</v>
      </c>
      <c r="D1640" s="13">
        <v>1022213</v>
      </c>
      <c r="F1640" t="s">
        <v>130</v>
      </c>
      <c r="G1640">
        <v>0</v>
      </c>
      <c r="H1640">
        <v>100</v>
      </c>
      <c r="K1640">
        <v>5.5919999999999996</v>
      </c>
      <c r="L1640" t="s">
        <v>131</v>
      </c>
      <c r="M1640" s="50">
        <v>44875</v>
      </c>
      <c r="N1640" s="50">
        <v>2958465</v>
      </c>
      <c r="P1640">
        <v>0</v>
      </c>
      <c r="U1640">
        <v>4</v>
      </c>
      <c r="V1640">
        <v>1</v>
      </c>
      <c r="W1640" t="s">
        <v>132</v>
      </c>
      <c r="X1640">
        <v>0</v>
      </c>
    </row>
    <row r="1641" spans="1:24" x14ac:dyDescent="0.25">
      <c r="A1641">
        <v>1</v>
      </c>
      <c r="B1641" s="13">
        <v>590920300906</v>
      </c>
      <c r="C1641">
        <v>80</v>
      </c>
      <c r="D1641" s="13">
        <v>12165606</v>
      </c>
      <c r="F1641" t="s">
        <v>130</v>
      </c>
      <c r="G1641">
        <v>0</v>
      </c>
      <c r="H1641">
        <v>100</v>
      </c>
      <c r="K1641">
        <v>1</v>
      </c>
      <c r="L1641" t="s">
        <v>131</v>
      </c>
      <c r="M1641" s="50">
        <v>44875</v>
      </c>
      <c r="N1641" s="50">
        <v>2958465</v>
      </c>
      <c r="P1641">
        <v>0</v>
      </c>
      <c r="U1641">
        <v>4</v>
      </c>
      <c r="V1641">
        <v>1</v>
      </c>
      <c r="W1641" t="s">
        <v>132</v>
      </c>
      <c r="X1641">
        <v>0</v>
      </c>
    </row>
    <row r="1642" spans="1:24" x14ac:dyDescent="0.25">
      <c r="A1642">
        <v>1</v>
      </c>
      <c r="B1642" s="13">
        <v>590920300009</v>
      </c>
      <c r="C1642">
        <v>10</v>
      </c>
      <c r="D1642" s="13">
        <v>5957163099</v>
      </c>
      <c r="F1642" t="s">
        <v>130</v>
      </c>
      <c r="G1642">
        <v>0</v>
      </c>
      <c r="H1642">
        <v>100</v>
      </c>
      <c r="K1642">
        <v>2</v>
      </c>
      <c r="L1642" t="s">
        <v>131</v>
      </c>
      <c r="M1642" s="50">
        <v>44875</v>
      </c>
      <c r="N1642" s="50">
        <v>2958465</v>
      </c>
      <c r="P1642">
        <v>0</v>
      </c>
      <c r="U1642">
        <v>4</v>
      </c>
      <c r="V1642">
        <v>1</v>
      </c>
      <c r="W1642" t="s">
        <v>132</v>
      </c>
      <c r="X1642">
        <v>0</v>
      </c>
    </row>
    <row r="1643" spans="1:24" x14ac:dyDescent="0.25">
      <c r="A1643">
        <v>1</v>
      </c>
      <c r="B1643" s="13">
        <v>590920300009</v>
      </c>
      <c r="C1643">
        <v>20</v>
      </c>
      <c r="D1643" s="13">
        <v>5957333099</v>
      </c>
      <c r="F1643" t="s">
        <v>130</v>
      </c>
      <c r="G1643">
        <v>0</v>
      </c>
      <c r="H1643">
        <v>100</v>
      </c>
      <c r="K1643">
        <v>1</v>
      </c>
      <c r="L1643" t="s">
        <v>131</v>
      </c>
      <c r="M1643" s="50">
        <v>44875</v>
      </c>
      <c r="N1643" s="50">
        <v>2958465</v>
      </c>
      <c r="P1643">
        <v>0</v>
      </c>
      <c r="U1643">
        <v>4</v>
      </c>
      <c r="V1643">
        <v>1</v>
      </c>
      <c r="W1643" t="s">
        <v>132</v>
      </c>
      <c r="X1643">
        <v>0</v>
      </c>
    </row>
    <row r="1644" spans="1:24" x14ac:dyDescent="0.25">
      <c r="A1644">
        <v>1</v>
      </c>
      <c r="B1644" s="13">
        <v>590920300009</v>
      </c>
      <c r="C1644">
        <v>30</v>
      </c>
      <c r="D1644" s="13">
        <v>5957303099</v>
      </c>
      <c r="F1644" t="s">
        <v>130</v>
      </c>
      <c r="G1644">
        <v>0</v>
      </c>
      <c r="H1644">
        <v>100</v>
      </c>
      <c r="K1644">
        <v>1</v>
      </c>
      <c r="L1644" t="s">
        <v>131</v>
      </c>
      <c r="M1644" s="50">
        <v>44875</v>
      </c>
      <c r="N1644" s="50">
        <v>2958465</v>
      </c>
      <c r="P1644">
        <v>0</v>
      </c>
      <c r="U1644">
        <v>4</v>
      </c>
      <c r="V1644">
        <v>1</v>
      </c>
      <c r="W1644" t="s">
        <v>132</v>
      </c>
      <c r="X1644">
        <v>0</v>
      </c>
    </row>
    <row r="1645" spans="1:24" x14ac:dyDescent="0.25">
      <c r="A1645">
        <v>1</v>
      </c>
      <c r="B1645" s="13">
        <v>590920300009</v>
      </c>
      <c r="C1645">
        <v>40</v>
      </c>
      <c r="D1645" s="13">
        <v>1022219</v>
      </c>
      <c r="F1645" t="s">
        <v>130</v>
      </c>
      <c r="G1645">
        <v>0</v>
      </c>
      <c r="H1645">
        <v>100</v>
      </c>
      <c r="K1645">
        <v>1</v>
      </c>
      <c r="L1645" t="s">
        <v>131</v>
      </c>
      <c r="M1645" s="50">
        <v>44875</v>
      </c>
      <c r="N1645" s="50">
        <v>2958465</v>
      </c>
      <c r="P1645">
        <v>0</v>
      </c>
      <c r="U1645">
        <v>4</v>
      </c>
      <c r="V1645">
        <v>1</v>
      </c>
      <c r="W1645" t="s">
        <v>132</v>
      </c>
      <c r="X1645">
        <v>0</v>
      </c>
    </row>
    <row r="1646" spans="1:24" x14ac:dyDescent="0.25">
      <c r="A1646">
        <v>1</v>
      </c>
      <c r="B1646" s="13">
        <v>590920300009</v>
      </c>
      <c r="C1646">
        <v>50</v>
      </c>
      <c r="D1646" s="13">
        <v>1018034</v>
      </c>
      <c r="F1646" t="s">
        <v>130</v>
      </c>
      <c r="G1646">
        <v>0</v>
      </c>
      <c r="H1646">
        <v>100</v>
      </c>
      <c r="K1646">
        <v>4</v>
      </c>
      <c r="L1646" t="s">
        <v>131</v>
      </c>
      <c r="M1646" s="50">
        <v>44875</v>
      </c>
      <c r="N1646" s="50">
        <v>2958465</v>
      </c>
      <c r="P1646">
        <v>0</v>
      </c>
      <c r="U1646">
        <v>4</v>
      </c>
      <c r="V1646">
        <v>1</v>
      </c>
      <c r="W1646" t="s">
        <v>132</v>
      </c>
      <c r="X1646">
        <v>0</v>
      </c>
    </row>
    <row r="1647" spans="1:24" x14ac:dyDescent="0.25">
      <c r="A1647">
        <v>1</v>
      </c>
      <c r="B1647" s="13">
        <v>590920300009</v>
      </c>
      <c r="C1647">
        <v>60</v>
      </c>
      <c r="D1647" s="13">
        <v>1018359</v>
      </c>
      <c r="F1647" t="s">
        <v>130</v>
      </c>
      <c r="G1647">
        <v>0</v>
      </c>
      <c r="H1647">
        <v>100</v>
      </c>
      <c r="K1647">
        <v>10</v>
      </c>
      <c r="L1647" t="s">
        <v>131</v>
      </c>
      <c r="M1647" s="50">
        <v>44875</v>
      </c>
      <c r="N1647" s="50">
        <v>2958465</v>
      </c>
      <c r="P1647">
        <v>0</v>
      </c>
      <c r="U1647">
        <v>4</v>
      </c>
      <c r="V1647">
        <v>1</v>
      </c>
      <c r="W1647" t="s">
        <v>132</v>
      </c>
      <c r="X1647">
        <v>0</v>
      </c>
    </row>
    <row r="1648" spans="1:24" x14ac:dyDescent="0.25">
      <c r="A1648">
        <v>1</v>
      </c>
      <c r="B1648" s="13">
        <v>590920300009</v>
      </c>
      <c r="C1648">
        <v>70</v>
      </c>
      <c r="D1648" s="13">
        <v>1022213</v>
      </c>
      <c r="F1648" t="s">
        <v>130</v>
      </c>
      <c r="G1648">
        <v>0</v>
      </c>
      <c r="H1648">
        <v>100</v>
      </c>
      <c r="K1648">
        <v>5.5919999999999996</v>
      </c>
      <c r="L1648" t="s">
        <v>131</v>
      </c>
      <c r="M1648" s="50">
        <v>44875</v>
      </c>
      <c r="N1648" s="50">
        <v>2958465</v>
      </c>
      <c r="P1648">
        <v>0</v>
      </c>
      <c r="U1648">
        <v>4</v>
      </c>
      <c r="V1648">
        <v>1</v>
      </c>
      <c r="W1648" t="s">
        <v>132</v>
      </c>
      <c r="X1648">
        <v>0</v>
      </c>
    </row>
    <row r="1649" spans="1:24" x14ac:dyDescent="0.25">
      <c r="A1649">
        <v>1</v>
      </c>
      <c r="B1649" s="13">
        <v>590920300009</v>
      </c>
      <c r="C1649">
        <v>80</v>
      </c>
      <c r="D1649" s="13">
        <v>12165609</v>
      </c>
      <c r="F1649" t="s">
        <v>130</v>
      </c>
      <c r="G1649">
        <v>0</v>
      </c>
      <c r="H1649">
        <v>100</v>
      </c>
      <c r="K1649">
        <v>1</v>
      </c>
      <c r="L1649" t="s">
        <v>131</v>
      </c>
      <c r="M1649" s="50">
        <v>44875</v>
      </c>
      <c r="N1649" s="50">
        <v>2958465</v>
      </c>
      <c r="P1649">
        <v>0</v>
      </c>
      <c r="U1649">
        <v>4</v>
      </c>
      <c r="V1649">
        <v>1</v>
      </c>
      <c r="W1649" t="s">
        <v>132</v>
      </c>
      <c r="X1649">
        <v>0</v>
      </c>
    </row>
    <row r="1650" spans="1:24" x14ac:dyDescent="0.25">
      <c r="A1650">
        <v>1</v>
      </c>
      <c r="B1650" s="13">
        <v>590920300309</v>
      </c>
      <c r="C1650">
        <v>10</v>
      </c>
      <c r="D1650" s="13">
        <v>5957163003</v>
      </c>
      <c r="F1650" t="s">
        <v>130</v>
      </c>
      <c r="G1650">
        <v>0</v>
      </c>
      <c r="H1650">
        <v>100</v>
      </c>
      <c r="K1650">
        <v>2</v>
      </c>
      <c r="L1650" t="s">
        <v>131</v>
      </c>
      <c r="M1650" s="50">
        <v>44875</v>
      </c>
      <c r="N1650" s="50">
        <v>2958465</v>
      </c>
      <c r="P1650">
        <v>0</v>
      </c>
      <c r="U1650">
        <v>4</v>
      </c>
      <c r="V1650">
        <v>1</v>
      </c>
      <c r="W1650" t="s">
        <v>132</v>
      </c>
      <c r="X1650">
        <v>0</v>
      </c>
    </row>
    <row r="1651" spans="1:24" x14ac:dyDescent="0.25">
      <c r="A1651">
        <v>1</v>
      </c>
      <c r="B1651" s="13">
        <v>590920300309</v>
      </c>
      <c r="C1651">
        <v>20</v>
      </c>
      <c r="D1651" s="13">
        <v>5957333003</v>
      </c>
      <c r="F1651" t="s">
        <v>130</v>
      </c>
      <c r="G1651">
        <v>0</v>
      </c>
      <c r="H1651">
        <v>100</v>
      </c>
      <c r="K1651">
        <v>1</v>
      </c>
      <c r="L1651" t="s">
        <v>131</v>
      </c>
      <c r="M1651" s="50">
        <v>44875</v>
      </c>
      <c r="N1651" s="50">
        <v>2958465</v>
      </c>
      <c r="P1651">
        <v>0</v>
      </c>
      <c r="U1651">
        <v>4</v>
      </c>
      <c r="V1651">
        <v>1</v>
      </c>
      <c r="W1651" t="s">
        <v>132</v>
      </c>
      <c r="X1651">
        <v>0</v>
      </c>
    </row>
    <row r="1652" spans="1:24" x14ac:dyDescent="0.25">
      <c r="A1652">
        <v>1</v>
      </c>
      <c r="B1652" s="13">
        <v>590920300309</v>
      </c>
      <c r="C1652">
        <v>30</v>
      </c>
      <c r="D1652" s="13">
        <v>5957303003</v>
      </c>
      <c r="F1652" t="s">
        <v>130</v>
      </c>
      <c r="G1652">
        <v>0</v>
      </c>
      <c r="H1652">
        <v>100</v>
      </c>
      <c r="K1652">
        <v>1</v>
      </c>
      <c r="L1652" t="s">
        <v>131</v>
      </c>
      <c r="M1652" s="50">
        <v>44875</v>
      </c>
      <c r="N1652" s="50">
        <v>2958465</v>
      </c>
      <c r="P1652">
        <v>0</v>
      </c>
      <c r="U1652">
        <v>4</v>
      </c>
      <c r="V1652">
        <v>1</v>
      </c>
      <c r="W1652" t="s">
        <v>132</v>
      </c>
      <c r="X1652">
        <v>0</v>
      </c>
    </row>
    <row r="1653" spans="1:24" x14ac:dyDescent="0.25">
      <c r="A1653">
        <v>1</v>
      </c>
      <c r="B1653" s="13">
        <v>590920300309</v>
      </c>
      <c r="C1653">
        <v>40</v>
      </c>
      <c r="D1653" s="13">
        <v>5957093003</v>
      </c>
      <c r="F1653" t="s">
        <v>130</v>
      </c>
      <c r="G1653">
        <v>0</v>
      </c>
      <c r="H1653">
        <v>100</v>
      </c>
      <c r="K1653">
        <v>1</v>
      </c>
      <c r="L1653" t="s">
        <v>131</v>
      </c>
      <c r="M1653" s="50">
        <v>44875</v>
      </c>
      <c r="N1653" s="50">
        <v>2958465</v>
      </c>
      <c r="P1653">
        <v>0</v>
      </c>
      <c r="U1653">
        <v>4</v>
      </c>
      <c r="V1653">
        <v>1</v>
      </c>
      <c r="W1653" t="s">
        <v>132</v>
      </c>
      <c r="X1653">
        <v>0</v>
      </c>
    </row>
    <row r="1654" spans="1:24" x14ac:dyDescent="0.25">
      <c r="A1654">
        <v>1</v>
      </c>
      <c r="B1654" s="13">
        <v>590920300309</v>
      </c>
      <c r="C1654">
        <v>50</v>
      </c>
      <c r="D1654" s="13">
        <v>1018034</v>
      </c>
      <c r="F1654" t="s">
        <v>130</v>
      </c>
      <c r="G1654">
        <v>0</v>
      </c>
      <c r="H1654">
        <v>100</v>
      </c>
      <c r="K1654">
        <v>4</v>
      </c>
      <c r="L1654" t="s">
        <v>131</v>
      </c>
      <c r="M1654" s="50">
        <v>44875</v>
      </c>
      <c r="N1654" s="50">
        <v>2958465</v>
      </c>
      <c r="P1654">
        <v>0</v>
      </c>
      <c r="U1654">
        <v>4</v>
      </c>
      <c r="V1654">
        <v>1</v>
      </c>
      <c r="W1654" t="s">
        <v>132</v>
      </c>
      <c r="X1654">
        <v>0</v>
      </c>
    </row>
    <row r="1655" spans="1:24" x14ac:dyDescent="0.25">
      <c r="A1655">
        <v>1</v>
      </c>
      <c r="B1655" s="13">
        <v>590920300309</v>
      </c>
      <c r="C1655">
        <v>60</v>
      </c>
      <c r="D1655" s="13">
        <v>1018359</v>
      </c>
      <c r="F1655" t="s">
        <v>130</v>
      </c>
      <c r="G1655">
        <v>0</v>
      </c>
      <c r="H1655">
        <v>100</v>
      </c>
      <c r="K1655">
        <v>10</v>
      </c>
      <c r="L1655" t="s">
        <v>131</v>
      </c>
      <c r="M1655" s="50">
        <v>44875</v>
      </c>
      <c r="N1655" s="50">
        <v>2958465</v>
      </c>
      <c r="P1655">
        <v>0</v>
      </c>
      <c r="U1655">
        <v>4</v>
      </c>
      <c r="V1655">
        <v>1</v>
      </c>
      <c r="W1655" t="s">
        <v>132</v>
      </c>
      <c r="X1655">
        <v>0</v>
      </c>
    </row>
    <row r="1656" spans="1:24" x14ac:dyDescent="0.25">
      <c r="A1656">
        <v>1</v>
      </c>
      <c r="B1656" s="13">
        <v>590920300309</v>
      </c>
      <c r="C1656">
        <v>70</v>
      </c>
      <c r="D1656" s="13">
        <v>1022213</v>
      </c>
      <c r="F1656" t="s">
        <v>130</v>
      </c>
      <c r="G1656">
        <v>0</v>
      </c>
      <c r="H1656">
        <v>100</v>
      </c>
      <c r="K1656">
        <v>5.5919999999999996</v>
      </c>
      <c r="L1656" t="s">
        <v>131</v>
      </c>
      <c r="M1656" s="50">
        <v>44875</v>
      </c>
      <c r="N1656" s="50">
        <v>2958465</v>
      </c>
      <c r="P1656">
        <v>0</v>
      </c>
      <c r="U1656">
        <v>4</v>
      </c>
      <c r="V1656">
        <v>1</v>
      </c>
      <c r="W1656" t="s">
        <v>132</v>
      </c>
      <c r="X1656">
        <v>0</v>
      </c>
    </row>
    <row r="1657" spans="1:24" x14ac:dyDescent="0.25">
      <c r="A1657">
        <v>1</v>
      </c>
      <c r="B1657" s="13">
        <v>590920300309</v>
      </c>
      <c r="C1657">
        <v>80</v>
      </c>
      <c r="D1657" s="13">
        <v>12165609</v>
      </c>
      <c r="F1657" t="s">
        <v>130</v>
      </c>
      <c r="G1657">
        <v>0</v>
      </c>
      <c r="H1657">
        <v>100</v>
      </c>
      <c r="K1657">
        <v>1</v>
      </c>
      <c r="L1657" t="s">
        <v>131</v>
      </c>
      <c r="M1657" s="50">
        <v>44875</v>
      </c>
      <c r="N1657" s="50">
        <v>2958465</v>
      </c>
      <c r="P1657">
        <v>0</v>
      </c>
      <c r="U1657">
        <v>4</v>
      </c>
      <c r="V1657">
        <v>1</v>
      </c>
      <c r="W1657" t="s">
        <v>132</v>
      </c>
      <c r="X1657">
        <v>0</v>
      </c>
    </row>
    <row r="1658" spans="1:24" x14ac:dyDescent="0.25">
      <c r="A1658">
        <v>1</v>
      </c>
      <c r="B1658" s="13">
        <v>590920300509</v>
      </c>
      <c r="C1658">
        <v>10</v>
      </c>
      <c r="D1658" s="13">
        <v>5957163005</v>
      </c>
      <c r="F1658" t="s">
        <v>130</v>
      </c>
      <c r="G1658">
        <v>0</v>
      </c>
      <c r="H1658">
        <v>100</v>
      </c>
      <c r="K1658">
        <v>2</v>
      </c>
      <c r="L1658" t="s">
        <v>131</v>
      </c>
      <c r="M1658" s="50">
        <v>44875</v>
      </c>
      <c r="N1658" s="50">
        <v>2958465</v>
      </c>
      <c r="P1658">
        <v>0</v>
      </c>
      <c r="U1658">
        <v>4</v>
      </c>
      <c r="V1658">
        <v>1</v>
      </c>
      <c r="W1658" t="s">
        <v>132</v>
      </c>
      <c r="X1658">
        <v>0</v>
      </c>
    </row>
    <row r="1659" spans="1:24" x14ac:dyDescent="0.25">
      <c r="A1659">
        <v>1</v>
      </c>
      <c r="B1659" s="13">
        <v>590920300509</v>
      </c>
      <c r="C1659">
        <v>20</v>
      </c>
      <c r="D1659" s="13">
        <v>5957333005</v>
      </c>
      <c r="F1659" t="s">
        <v>130</v>
      </c>
      <c r="G1659">
        <v>0</v>
      </c>
      <c r="H1659">
        <v>100</v>
      </c>
      <c r="K1659">
        <v>1</v>
      </c>
      <c r="L1659" t="s">
        <v>131</v>
      </c>
      <c r="M1659" s="50">
        <v>44875</v>
      </c>
      <c r="N1659" s="50">
        <v>2958465</v>
      </c>
      <c r="P1659">
        <v>0</v>
      </c>
      <c r="U1659">
        <v>4</v>
      </c>
      <c r="V1659">
        <v>1</v>
      </c>
      <c r="W1659" t="s">
        <v>132</v>
      </c>
      <c r="X1659">
        <v>0</v>
      </c>
    </row>
    <row r="1660" spans="1:24" x14ac:dyDescent="0.25">
      <c r="A1660">
        <v>1</v>
      </c>
      <c r="B1660" s="13">
        <v>590920300509</v>
      </c>
      <c r="C1660">
        <v>30</v>
      </c>
      <c r="D1660" s="13">
        <v>5957303005</v>
      </c>
      <c r="F1660" t="s">
        <v>130</v>
      </c>
      <c r="G1660">
        <v>0</v>
      </c>
      <c r="H1660">
        <v>100</v>
      </c>
      <c r="K1660">
        <v>1</v>
      </c>
      <c r="L1660" t="s">
        <v>131</v>
      </c>
      <c r="M1660" s="50">
        <v>44875</v>
      </c>
      <c r="N1660" s="50">
        <v>2958465</v>
      </c>
      <c r="P1660">
        <v>0</v>
      </c>
      <c r="U1660">
        <v>4</v>
      </c>
      <c r="V1660">
        <v>1</v>
      </c>
      <c r="W1660" t="s">
        <v>132</v>
      </c>
      <c r="X1660">
        <v>0</v>
      </c>
    </row>
    <row r="1661" spans="1:24" x14ac:dyDescent="0.25">
      <c r="A1661">
        <v>1</v>
      </c>
      <c r="B1661" s="13">
        <v>590920300509</v>
      </c>
      <c r="C1661">
        <v>40</v>
      </c>
      <c r="D1661" s="13">
        <v>5957093005</v>
      </c>
      <c r="F1661" t="s">
        <v>130</v>
      </c>
      <c r="G1661">
        <v>0</v>
      </c>
      <c r="H1661">
        <v>100</v>
      </c>
      <c r="K1661">
        <v>1</v>
      </c>
      <c r="L1661" t="s">
        <v>131</v>
      </c>
      <c r="M1661" s="50">
        <v>44875</v>
      </c>
      <c r="N1661" s="50">
        <v>2958465</v>
      </c>
      <c r="P1661">
        <v>0</v>
      </c>
      <c r="U1661">
        <v>4</v>
      </c>
      <c r="V1661">
        <v>1</v>
      </c>
      <c r="W1661" t="s">
        <v>132</v>
      </c>
      <c r="X1661">
        <v>0</v>
      </c>
    </row>
    <row r="1662" spans="1:24" x14ac:dyDescent="0.25">
      <c r="A1662">
        <v>1</v>
      </c>
      <c r="B1662" s="13">
        <v>590920300509</v>
      </c>
      <c r="C1662">
        <v>50</v>
      </c>
      <c r="D1662" s="13">
        <v>1018034</v>
      </c>
      <c r="F1662" t="s">
        <v>130</v>
      </c>
      <c r="G1662">
        <v>0</v>
      </c>
      <c r="H1662">
        <v>100</v>
      </c>
      <c r="K1662">
        <v>4</v>
      </c>
      <c r="L1662" t="s">
        <v>131</v>
      </c>
      <c r="M1662" s="50">
        <v>44875</v>
      </c>
      <c r="N1662" s="50">
        <v>2958465</v>
      </c>
      <c r="P1662">
        <v>0</v>
      </c>
      <c r="U1662">
        <v>4</v>
      </c>
      <c r="V1662">
        <v>1</v>
      </c>
      <c r="W1662" t="s">
        <v>132</v>
      </c>
      <c r="X1662">
        <v>0</v>
      </c>
    </row>
    <row r="1663" spans="1:24" x14ac:dyDescent="0.25">
      <c r="A1663">
        <v>1</v>
      </c>
      <c r="B1663" s="13">
        <v>590920300509</v>
      </c>
      <c r="C1663">
        <v>60</v>
      </c>
      <c r="D1663" s="13">
        <v>1022356</v>
      </c>
      <c r="F1663" t="s">
        <v>130</v>
      </c>
      <c r="G1663">
        <v>0</v>
      </c>
      <c r="H1663">
        <v>100</v>
      </c>
      <c r="K1663">
        <v>10</v>
      </c>
      <c r="L1663" t="s">
        <v>131</v>
      </c>
      <c r="M1663" s="50">
        <v>44875</v>
      </c>
      <c r="N1663" s="50">
        <v>2958465</v>
      </c>
      <c r="P1663">
        <v>0</v>
      </c>
      <c r="U1663">
        <v>4</v>
      </c>
      <c r="V1663">
        <v>1</v>
      </c>
      <c r="W1663" t="s">
        <v>132</v>
      </c>
      <c r="X1663">
        <v>0</v>
      </c>
    </row>
    <row r="1664" spans="1:24" x14ac:dyDescent="0.25">
      <c r="A1664">
        <v>1</v>
      </c>
      <c r="B1664" s="13">
        <v>590920300509</v>
      </c>
      <c r="C1664">
        <v>70</v>
      </c>
      <c r="D1664" s="13">
        <v>1022213</v>
      </c>
      <c r="F1664" t="s">
        <v>130</v>
      </c>
      <c r="G1664">
        <v>0</v>
      </c>
      <c r="H1664">
        <v>100</v>
      </c>
      <c r="K1664">
        <v>5.5919999999999996</v>
      </c>
      <c r="L1664" t="s">
        <v>131</v>
      </c>
      <c r="M1664" s="50">
        <v>44875</v>
      </c>
      <c r="N1664" s="50">
        <v>2958465</v>
      </c>
      <c r="P1664">
        <v>0</v>
      </c>
      <c r="U1664">
        <v>4</v>
      </c>
      <c r="V1664">
        <v>1</v>
      </c>
      <c r="W1664" t="s">
        <v>132</v>
      </c>
      <c r="X1664">
        <v>0</v>
      </c>
    </row>
    <row r="1665" spans="1:24" x14ac:dyDescent="0.25">
      <c r="A1665">
        <v>1</v>
      </c>
      <c r="B1665" s="13">
        <v>590920300509</v>
      </c>
      <c r="C1665">
        <v>80</v>
      </c>
      <c r="D1665" s="13">
        <v>12165609</v>
      </c>
      <c r="F1665" t="s">
        <v>130</v>
      </c>
      <c r="G1665">
        <v>0</v>
      </c>
      <c r="H1665">
        <v>100</v>
      </c>
      <c r="K1665">
        <v>1</v>
      </c>
      <c r="L1665" t="s">
        <v>131</v>
      </c>
      <c r="M1665" s="50">
        <v>44875</v>
      </c>
      <c r="N1665" s="50">
        <v>2958465</v>
      </c>
      <c r="P1665">
        <v>0</v>
      </c>
      <c r="U1665">
        <v>4</v>
      </c>
      <c r="V1665">
        <v>1</v>
      </c>
      <c r="W1665" t="s">
        <v>132</v>
      </c>
      <c r="X1665">
        <v>0</v>
      </c>
    </row>
    <row r="1666" spans="1:24" x14ac:dyDescent="0.25">
      <c r="A1666">
        <v>1</v>
      </c>
      <c r="B1666" s="13">
        <v>590920300809</v>
      </c>
      <c r="C1666">
        <v>10</v>
      </c>
      <c r="D1666" s="13">
        <v>5957163008</v>
      </c>
      <c r="F1666" t="s">
        <v>130</v>
      </c>
      <c r="G1666">
        <v>0</v>
      </c>
      <c r="H1666">
        <v>100</v>
      </c>
      <c r="K1666">
        <v>2</v>
      </c>
      <c r="L1666" t="s">
        <v>131</v>
      </c>
      <c r="M1666" s="50">
        <v>44875</v>
      </c>
      <c r="N1666" s="50">
        <v>2958465</v>
      </c>
      <c r="P1666">
        <v>0</v>
      </c>
      <c r="U1666">
        <v>4</v>
      </c>
      <c r="V1666">
        <v>1</v>
      </c>
      <c r="W1666" t="s">
        <v>132</v>
      </c>
      <c r="X1666">
        <v>0</v>
      </c>
    </row>
    <row r="1667" spans="1:24" x14ac:dyDescent="0.25">
      <c r="A1667">
        <v>1</v>
      </c>
      <c r="B1667" s="13">
        <v>590920300809</v>
      </c>
      <c r="C1667">
        <v>20</v>
      </c>
      <c r="D1667" s="13">
        <v>5957333008</v>
      </c>
      <c r="F1667" t="s">
        <v>130</v>
      </c>
      <c r="G1667">
        <v>0</v>
      </c>
      <c r="H1667">
        <v>100</v>
      </c>
      <c r="K1667">
        <v>1</v>
      </c>
      <c r="L1667" t="s">
        <v>131</v>
      </c>
      <c r="M1667" s="50">
        <v>44875</v>
      </c>
      <c r="N1667" s="50">
        <v>2958465</v>
      </c>
      <c r="P1667">
        <v>0</v>
      </c>
      <c r="U1667">
        <v>4</v>
      </c>
      <c r="V1667">
        <v>1</v>
      </c>
      <c r="W1667" t="s">
        <v>132</v>
      </c>
      <c r="X1667">
        <v>0</v>
      </c>
    </row>
    <row r="1668" spans="1:24" x14ac:dyDescent="0.25">
      <c r="A1668">
        <v>1</v>
      </c>
      <c r="B1668" s="13">
        <v>590920300809</v>
      </c>
      <c r="C1668">
        <v>30</v>
      </c>
      <c r="D1668" s="13">
        <v>5957303008</v>
      </c>
      <c r="F1668" t="s">
        <v>130</v>
      </c>
      <c r="G1668">
        <v>0</v>
      </c>
      <c r="H1668">
        <v>100</v>
      </c>
      <c r="K1668">
        <v>1</v>
      </c>
      <c r="L1668" t="s">
        <v>131</v>
      </c>
      <c r="M1668" s="50">
        <v>44875</v>
      </c>
      <c r="N1668" s="50">
        <v>2958465</v>
      </c>
      <c r="P1668">
        <v>0</v>
      </c>
      <c r="U1668">
        <v>4</v>
      </c>
      <c r="V1668">
        <v>1</v>
      </c>
      <c r="W1668" t="s">
        <v>132</v>
      </c>
      <c r="X1668">
        <v>0</v>
      </c>
    </row>
    <row r="1669" spans="1:24" x14ac:dyDescent="0.25">
      <c r="A1669">
        <v>1</v>
      </c>
      <c r="B1669" s="13">
        <v>590920300809</v>
      </c>
      <c r="C1669">
        <v>40</v>
      </c>
      <c r="D1669" s="13">
        <v>5957093008</v>
      </c>
      <c r="F1669" t="s">
        <v>130</v>
      </c>
      <c r="G1669">
        <v>0</v>
      </c>
      <c r="H1669">
        <v>100</v>
      </c>
      <c r="K1669">
        <v>1</v>
      </c>
      <c r="L1669" t="s">
        <v>131</v>
      </c>
      <c r="M1669" s="50">
        <v>44875</v>
      </c>
      <c r="N1669" s="50">
        <v>2958465</v>
      </c>
      <c r="P1669">
        <v>0</v>
      </c>
      <c r="U1669">
        <v>4</v>
      </c>
      <c r="V1669">
        <v>1</v>
      </c>
      <c r="W1669" t="s">
        <v>132</v>
      </c>
      <c r="X1669">
        <v>0</v>
      </c>
    </row>
    <row r="1670" spans="1:24" x14ac:dyDescent="0.25">
      <c r="A1670">
        <v>1</v>
      </c>
      <c r="B1670" s="13">
        <v>590920300809</v>
      </c>
      <c r="C1670">
        <v>50</v>
      </c>
      <c r="D1670" s="13">
        <v>1018034</v>
      </c>
      <c r="F1670" t="s">
        <v>130</v>
      </c>
      <c r="G1670">
        <v>0</v>
      </c>
      <c r="H1670">
        <v>100</v>
      </c>
      <c r="K1670">
        <v>4</v>
      </c>
      <c r="L1670" t="s">
        <v>131</v>
      </c>
      <c r="M1670" s="50">
        <v>44875</v>
      </c>
      <c r="N1670" s="50">
        <v>2958465</v>
      </c>
      <c r="P1670">
        <v>0</v>
      </c>
      <c r="U1670">
        <v>4</v>
      </c>
      <c r="V1670">
        <v>1</v>
      </c>
      <c r="W1670" t="s">
        <v>132</v>
      </c>
      <c r="X1670">
        <v>0</v>
      </c>
    </row>
    <row r="1671" spans="1:24" x14ac:dyDescent="0.25">
      <c r="A1671">
        <v>1</v>
      </c>
      <c r="B1671" s="13">
        <v>590920300809</v>
      </c>
      <c r="C1671">
        <v>60</v>
      </c>
      <c r="D1671" s="13">
        <v>1022356</v>
      </c>
      <c r="F1671" t="s">
        <v>130</v>
      </c>
      <c r="G1671">
        <v>0</v>
      </c>
      <c r="H1671">
        <v>100</v>
      </c>
      <c r="K1671">
        <v>10</v>
      </c>
      <c r="L1671" t="s">
        <v>131</v>
      </c>
      <c r="M1671" s="50">
        <v>44875</v>
      </c>
      <c r="N1671" s="50">
        <v>2958465</v>
      </c>
      <c r="P1671">
        <v>0</v>
      </c>
      <c r="U1671">
        <v>4</v>
      </c>
      <c r="V1671">
        <v>1</v>
      </c>
      <c r="W1671" t="s">
        <v>132</v>
      </c>
      <c r="X1671">
        <v>0</v>
      </c>
    </row>
    <row r="1672" spans="1:24" x14ac:dyDescent="0.25">
      <c r="A1672">
        <v>1</v>
      </c>
      <c r="B1672" s="13">
        <v>590920300809</v>
      </c>
      <c r="C1672">
        <v>70</v>
      </c>
      <c r="D1672" s="13">
        <v>1022213</v>
      </c>
      <c r="F1672" t="s">
        <v>130</v>
      </c>
      <c r="G1672">
        <v>0</v>
      </c>
      <c r="H1672">
        <v>100</v>
      </c>
      <c r="K1672">
        <v>5.5919999999999996</v>
      </c>
      <c r="L1672" t="s">
        <v>131</v>
      </c>
      <c r="M1672" s="50">
        <v>44875</v>
      </c>
      <c r="N1672" s="50">
        <v>2958465</v>
      </c>
      <c r="P1672">
        <v>0</v>
      </c>
      <c r="U1672">
        <v>4</v>
      </c>
      <c r="V1672">
        <v>1</v>
      </c>
      <c r="W1672" t="s">
        <v>132</v>
      </c>
      <c r="X1672">
        <v>0</v>
      </c>
    </row>
    <row r="1673" spans="1:24" x14ac:dyDescent="0.25">
      <c r="A1673">
        <v>1</v>
      </c>
      <c r="B1673" s="13">
        <v>590920300809</v>
      </c>
      <c r="C1673">
        <v>80</v>
      </c>
      <c r="D1673" s="13">
        <v>12165609</v>
      </c>
      <c r="F1673" t="s">
        <v>130</v>
      </c>
      <c r="G1673">
        <v>0</v>
      </c>
      <c r="H1673">
        <v>100</v>
      </c>
      <c r="K1673">
        <v>1</v>
      </c>
      <c r="L1673" t="s">
        <v>131</v>
      </c>
      <c r="M1673" s="50">
        <v>44875</v>
      </c>
      <c r="N1673" s="50">
        <v>2958465</v>
      </c>
      <c r="P1673">
        <v>0</v>
      </c>
      <c r="U1673">
        <v>4</v>
      </c>
      <c r="V1673">
        <v>1</v>
      </c>
      <c r="W1673" t="s">
        <v>132</v>
      </c>
      <c r="X1673">
        <v>0</v>
      </c>
    </row>
    <row r="1674" spans="1:24" x14ac:dyDescent="0.25">
      <c r="A1674">
        <v>1</v>
      </c>
      <c r="B1674" s="13">
        <v>590920300909</v>
      </c>
      <c r="C1674">
        <v>10</v>
      </c>
      <c r="D1674" s="13">
        <v>5957163009</v>
      </c>
      <c r="F1674" t="s">
        <v>130</v>
      </c>
      <c r="G1674">
        <v>0</v>
      </c>
      <c r="H1674">
        <v>100</v>
      </c>
      <c r="K1674">
        <v>2</v>
      </c>
      <c r="L1674" t="s">
        <v>131</v>
      </c>
      <c r="M1674" s="50">
        <v>44875</v>
      </c>
      <c r="N1674" s="50">
        <v>2958465</v>
      </c>
      <c r="P1674">
        <v>0</v>
      </c>
      <c r="U1674">
        <v>4</v>
      </c>
      <c r="V1674">
        <v>1</v>
      </c>
      <c r="W1674" t="s">
        <v>132</v>
      </c>
      <c r="X1674">
        <v>0</v>
      </c>
    </row>
    <row r="1675" spans="1:24" x14ac:dyDescent="0.25">
      <c r="A1675">
        <v>1</v>
      </c>
      <c r="B1675" s="13">
        <v>590920300909</v>
      </c>
      <c r="C1675">
        <v>20</v>
      </c>
      <c r="D1675" s="13">
        <v>5957333009</v>
      </c>
      <c r="F1675" t="s">
        <v>130</v>
      </c>
      <c r="G1675">
        <v>0</v>
      </c>
      <c r="H1675">
        <v>100</v>
      </c>
      <c r="K1675">
        <v>1</v>
      </c>
      <c r="L1675" t="s">
        <v>131</v>
      </c>
      <c r="M1675" s="50">
        <v>44875</v>
      </c>
      <c r="N1675" s="50">
        <v>2958465</v>
      </c>
      <c r="P1675">
        <v>0</v>
      </c>
      <c r="U1675">
        <v>4</v>
      </c>
      <c r="V1675">
        <v>1</v>
      </c>
      <c r="W1675" t="s">
        <v>132</v>
      </c>
      <c r="X1675">
        <v>0</v>
      </c>
    </row>
    <row r="1676" spans="1:24" x14ac:dyDescent="0.25">
      <c r="A1676">
        <v>1</v>
      </c>
      <c r="B1676" s="13">
        <v>590920300909</v>
      </c>
      <c r="C1676">
        <v>30</v>
      </c>
      <c r="D1676" s="13">
        <v>5957303009</v>
      </c>
      <c r="F1676" t="s">
        <v>130</v>
      </c>
      <c r="G1676">
        <v>0</v>
      </c>
      <c r="H1676">
        <v>100</v>
      </c>
      <c r="K1676">
        <v>1</v>
      </c>
      <c r="L1676" t="s">
        <v>131</v>
      </c>
      <c r="M1676" s="50">
        <v>44875</v>
      </c>
      <c r="N1676" s="50">
        <v>2958465</v>
      </c>
      <c r="P1676">
        <v>0</v>
      </c>
      <c r="U1676">
        <v>4</v>
      </c>
      <c r="V1676">
        <v>1</v>
      </c>
      <c r="W1676" t="s">
        <v>132</v>
      </c>
      <c r="X1676">
        <v>0</v>
      </c>
    </row>
    <row r="1677" spans="1:24" x14ac:dyDescent="0.25">
      <c r="A1677">
        <v>1</v>
      </c>
      <c r="B1677" s="13">
        <v>590920300909</v>
      </c>
      <c r="C1677">
        <v>40</v>
      </c>
      <c r="D1677" s="13">
        <v>5957093009</v>
      </c>
      <c r="F1677" t="s">
        <v>130</v>
      </c>
      <c r="G1677">
        <v>0</v>
      </c>
      <c r="H1677">
        <v>100</v>
      </c>
      <c r="K1677">
        <v>1</v>
      </c>
      <c r="L1677" t="s">
        <v>131</v>
      </c>
      <c r="M1677" s="50">
        <v>44875</v>
      </c>
      <c r="N1677" s="50">
        <v>2958465</v>
      </c>
      <c r="P1677">
        <v>0</v>
      </c>
      <c r="U1677">
        <v>4</v>
      </c>
      <c r="V1677">
        <v>1</v>
      </c>
      <c r="W1677" t="s">
        <v>132</v>
      </c>
      <c r="X1677">
        <v>0</v>
      </c>
    </row>
    <row r="1678" spans="1:24" x14ac:dyDescent="0.25">
      <c r="A1678">
        <v>1</v>
      </c>
      <c r="B1678" s="13">
        <v>590920300909</v>
      </c>
      <c r="C1678">
        <v>50</v>
      </c>
      <c r="D1678" s="13">
        <v>1018034</v>
      </c>
      <c r="F1678" t="s">
        <v>130</v>
      </c>
      <c r="G1678">
        <v>0</v>
      </c>
      <c r="H1678">
        <v>100</v>
      </c>
      <c r="K1678">
        <v>4</v>
      </c>
      <c r="L1678" t="s">
        <v>131</v>
      </c>
      <c r="M1678" s="50">
        <v>44875</v>
      </c>
      <c r="N1678" s="50">
        <v>2958465</v>
      </c>
      <c r="P1678">
        <v>0</v>
      </c>
      <c r="U1678">
        <v>4</v>
      </c>
      <c r="V1678">
        <v>1</v>
      </c>
      <c r="W1678" t="s">
        <v>132</v>
      </c>
      <c r="X1678">
        <v>0</v>
      </c>
    </row>
    <row r="1679" spans="1:24" x14ac:dyDescent="0.25">
      <c r="A1679">
        <v>1</v>
      </c>
      <c r="B1679" s="13">
        <v>590920300909</v>
      </c>
      <c r="C1679">
        <v>60</v>
      </c>
      <c r="D1679" s="13">
        <v>1018359</v>
      </c>
      <c r="F1679" t="s">
        <v>130</v>
      </c>
      <c r="G1679">
        <v>0</v>
      </c>
      <c r="H1679">
        <v>100</v>
      </c>
      <c r="K1679">
        <v>10</v>
      </c>
      <c r="L1679" t="s">
        <v>131</v>
      </c>
      <c r="M1679" s="50">
        <v>44875</v>
      </c>
      <c r="N1679" s="50">
        <v>2958465</v>
      </c>
      <c r="P1679">
        <v>0</v>
      </c>
      <c r="U1679">
        <v>4</v>
      </c>
      <c r="V1679">
        <v>1</v>
      </c>
      <c r="W1679" t="s">
        <v>132</v>
      </c>
      <c r="X1679">
        <v>0</v>
      </c>
    </row>
    <row r="1680" spans="1:24" x14ac:dyDescent="0.25">
      <c r="A1680">
        <v>1</v>
      </c>
      <c r="B1680" s="13">
        <v>590920300909</v>
      </c>
      <c r="C1680">
        <v>70</v>
      </c>
      <c r="D1680" s="13">
        <v>1022213</v>
      </c>
      <c r="F1680" t="s">
        <v>130</v>
      </c>
      <c r="G1680">
        <v>0</v>
      </c>
      <c r="H1680">
        <v>100</v>
      </c>
      <c r="K1680">
        <v>5.5919999999999996</v>
      </c>
      <c r="L1680" t="s">
        <v>131</v>
      </c>
      <c r="M1680" s="50">
        <v>44875</v>
      </c>
      <c r="N1680" s="50">
        <v>2958465</v>
      </c>
      <c r="P1680">
        <v>0</v>
      </c>
      <c r="U1680">
        <v>4</v>
      </c>
      <c r="V1680">
        <v>1</v>
      </c>
      <c r="W1680" t="s">
        <v>132</v>
      </c>
      <c r="X1680">
        <v>0</v>
      </c>
    </row>
    <row r="1681" spans="1:24" x14ac:dyDescent="0.25">
      <c r="A1681">
        <v>1</v>
      </c>
      <c r="B1681" s="13">
        <v>590920300909</v>
      </c>
      <c r="C1681">
        <v>80</v>
      </c>
      <c r="D1681" s="13">
        <v>12165609</v>
      </c>
      <c r="F1681" t="s">
        <v>130</v>
      </c>
      <c r="G1681">
        <v>0</v>
      </c>
      <c r="H1681">
        <v>100</v>
      </c>
      <c r="K1681">
        <v>1</v>
      </c>
      <c r="L1681" t="s">
        <v>131</v>
      </c>
      <c r="M1681" s="50">
        <v>44875</v>
      </c>
      <c r="N1681" s="50">
        <v>2958465</v>
      </c>
      <c r="P1681">
        <v>0</v>
      </c>
      <c r="U1681">
        <v>4</v>
      </c>
      <c r="V1681">
        <v>1</v>
      </c>
      <c r="W1681" t="s">
        <v>132</v>
      </c>
      <c r="X168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12D9A-8BE3-4FD7-8392-6256C37BA558}">
  <sheetPr codeName="Planilha3"/>
  <dimension ref="A1:C8"/>
  <sheetViews>
    <sheetView workbookViewId="0">
      <selection activeCell="A2" sqref="A2"/>
    </sheetView>
  </sheetViews>
  <sheetFormatPr defaultRowHeight="15" x14ac:dyDescent="0.25"/>
  <cols>
    <col min="2" max="2" width="11.140625" bestFit="1" customWidth="1"/>
    <col min="3" max="3" width="42.7109375" bestFit="1" customWidth="1"/>
  </cols>
  <sheetData>
    <row r="1" spans="1:3" x14ac:dyDescent="0.25">
      <c r="A1" t="s">
        <v>43</v>
      </c>
      <c r="B1" t="s">
        <v>44</v>
      </c>
      <c r="C1" t="s">
        <v>51</v>
      </c>
    </row>
    <row r="2" spans="1:3" x14ac:dyDescent="0.25">
      <c r="A2">
        <v>1020145</v>
      </c>
      <c r="B2" t="s">
        <v>45</v>
      </c>
      <c r="C2">
        <v>0.122</v>
      </c>
    </row>
    <row r="3" spans="1:3" x14ac:dyDescent="0.25">
      <c r="A3">
        <v>1020145</v>
      </c>
      <c r="B3" t="s">
        <v>46</v>
      </c>
      <c r="C3">
        <v>0.214</v>
      </c>
    </row>
    <row r="4" spans="1:3" x14ac:dyDescent="0.25">
      <c r="A4">
        <v>1020145</v>
      </c>
      <c r="B4" t="s">
        <v>47</v>
      </c>
      <c r="C4">
        <v>0.214</v>
      </c>
    </row>
    <row r="5" spans="1:3" x14ac:dyDescent="0.25">
      <c r="A5">
        <v>1020145</v>
      </c>
      <c r="B5" t="s">
        <v>48</v>
      </c>
      <c r="C5">
        <v>0.214</v>
      </c>
    </row>
    <row r="6" spans="1:3" x14ac:dyDescent="0.25">
      <c r="A6">
        <v>1020145</v>
      </c>
      <c r="B6" t="s">
        <v>49</v>
      </c>
      <c r="C6">
        <v>6.7400000000000002E-2</v>
      </c>
    </row>
    <row r="7" spans="1:3" x14ac:dyDescent="0.25">
      <c r="A7">
        <v>1022357</v>
      </c>
      <c r="B7" t="s">
        <v>50</v>
      </c>
      <c r="C7">
        <v>0.214</v>
      </c>
    </row>
    <row r="8" spans="1:3" x14ac:dyDescent="0.25">
      <c r="A8">
        <v>1022357</v>
      </c>
      <c r="B8" t="s">
        <v>76</v>
      </c>
      <c r="C8" t="s">
        <v>77</v>
      </c>
    </row>
  </sheetData>
  <phoneticPr fontId="1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D9A4D-0E2D-47B8-B01F-E0669542A73A}">
  <sheetPr codeName="Planilha5"/>
  <dimension ref="A1:S98"/>
  <sheetViews>
    <sheetView zoomScale="70" zoomScaleNormal="70" workbookViewId="0">
      <selection activeCell="P59" sqref="P59"/>
    </sheetView>
  </sheetViews>
  <sheetFormatPr defaultRowHeight="15" x14ac:dyDescent="0.25"/>
  <cols>
    <col min="1" max="1" width="23.140625" bestFit="1" customWidth="1"/>
    <col min="2" max="2" width="17.28515625" bestFit="1" customWidth="1"/>
    <col min="3" max="3" width="20.5703125" bestFit="1" customWidth="1"/>
    <col min="4" max="14" width="11.85546875" customWidth="1"/>
    <col min="15" max="15" width="89.140625" bestFit="1" customWidth="1"/>
    <col min="16" max="19" width="15" customWidth="1"/>
  </cols>
  <sheetData>
    <row r="1" spans="1:19" ht="23.25" thickBot="1" x14ac:dyDescent="0.35">
      <c r="A1" s="106" t="s">
        <v>78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</row>
    <row r="2" spans="1:19" ht="22.5" x14ac:dyDescent="0.25">
      <c r="A2" s="115" t="s">
        <v>79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</row>
    <row r="3" spans="1:19" ht="15.75" x14ac:dyDescent="0.25">
      <c r="A3" s="110" t="s">
        <v>0</v>
      </c>
      <c r="B3" s="110" t="s">
        <v>1</v>
      </c>
      <c r="C3" s="110" t="s">
        <v>2</v>
      </c>
      <c r="D3" s="94" t="s">
        <v>2</v>
      </c>
      <c r="E3" s="95"/>
      <c r="F3" s="95"/>
      <c r="G3" s="95"/>
      <c r="H3" s="95"/>
      <c r="I3" s="95"/>
      <c r="J3" s="95"/>
      <c r="K3" s="95"/>
      <c r="L3" s="95"/>
      <c r="M3" s="95"/>
      <c r="N3" s="96"/>
      <c r="O3" s="112" t="s">
        <v>3</v>
      </c>
      <c r="P3" s="112" t="s">
        <v>4</v>
      </c>
      <c r="Q3" s="117" t="s">
        <v>5</v>
      </c>
      <c r="R3" s="117"/>
      <c r="S3" s="117"/>
    </row>
    <row r="4" spans="1:19" ht="21" x14ac:dyDescent="0.25">
      <c r="A4" s="110"/>
      <c r="B4" s="110"/>
      <c r="C4" s="110"/>
      <c r="D4" s="1" t="s">
        <v>6</v>
      </c>
      <c r="E4" s="1" t="s">
        <v>7</v>
      </c>
      <c r="F4" s="1" t="s">
        <v>8</v>
      </c>
      <c r="G4" s="1" t="s">
        <v>9</v>
      </c>
      <c r="H4" s="1" t="s">
        <v>10</v>
      </c>
      <c r="I4" s="1" t="s">
        <v>11</v>
      </c>
      <c r="J4" s="1" t="s">
        <v>12</v>
      </c>
      <c r="K4" s="1" t="s">
        <v>13</v>
      </c>
      <c r="L4" s="19" t="s">
        <v>14</v>
      </c>
      <c r="M4" s="19" t="s">
        <v>15</v>
      </c>
      <c r="N4" s="19" t="s">
        <v>16</v>
      </c>
      <c r="O4" s="113"/>
      <c r="P4" s="113"/>
      <c r="Q4" s="20" t="s">
        <v>17</v>
      </c>
      <c r="R4" s="20" t="s">
        <v>18</v>
      </c>
      <c r="S4" s="20" t="s">
        <v>19</v>
      </c>
    </row>
    <row r="5" spans="1:19" x14ac:dyDescent="0.25">
      <c r="A5" s="114">
        <v>223695</v>
      </c>
      <c r="B5" s="114">
        <f>VLOOKUP(A5,'[3]FILO COZ ALUM'!$B$7:$F$383,2,FALSE)</f>
        <v>591080</v>
      </c>
      <c r="C5" s="114"/>
      <c r="D5" s="2" t="s">
        <v>20</v>
      </c>
      <c r="E5" s="2"/>
      <c r="F5" s="2" t="s">
        <v>20</v>
      </c>
      <c r="G5" s="2" t="s">
        <v>20</v>
      </c>
      <c r="H5" s="2" t="s">
        <v>20</v>
      </c>
      <c r="I5" s="2" t="s">
        <v>20</v>
      </c>
      <c r="J5" s="2" t="s">
        <v>20</v>
      </c>
      <c r="K5" s="2" t="s">
        <v>20</v>
      </c>
      <c r="L5" s="21" t="s">
        <v>20</v>
      </c>
      <c r="M5" s="21" t="s">
        <v>20</v>
      </c>
      <c r="N5" s="21" t="s">
        <v>20</v>
      </c>
      <c r="O5" s="114" t="str">
        <f>VLOOKUP(A5,'[3]FILO COZ ALUM'!$B$7:$F$383,3,FALSE)</f>
        <v>FRENTE FALSA GAV 354X395X18+COR</v>
      </c>
      <c r="P5" s="22" t="s">
        <v>80</v>
      </c>
      <c r="Q5" s="114">
        <f>VLOOKUP(A5,'[3]FILO COZ ALUM'!$B$7:$F$383,4,FALSE)</f>
        <v>354</v>
      </c>
      <c r="R5" s="114">
        <f>VLOOKUP(A5,'[3]FILO COZ ALUM'!$B$7:$F$383,5,FALSE)</f>
        <v>395</v>
      </c>
      <c r="S5" s="114">
        <v>20.3</v>
      </c>
    </row>
    <row r="6" spans="1:19" x14ac:dyDescent="0.25">
      <c r="A6" s="114"/>
      <c r="B6" s="114"/>
      <c r="C6" s="114"/>
      <c r="D6" s="2" t="s">
        <v>20</v>
      </c>
      <c r="E6" s="2"/>
      <c r="F6" s="2" t="s">
        <v>20</v>
      </c>
      <c r="G6" s="2" t="s">
        <v>20</v>
      </c>
      <c r="H6" s="2" t="s">
        <v>20</v>
      </c>
      <c r="I6" s="2" t="s">
        <v>20</v>
      </c>
      <c r="J6" s="2" t="s">
        <v>20</v>
      </c>
      <c r="K6" s="2" t="s">
        <v>20</v>
      </c>
      <c r="L6" s="21" t="s">
        <v>20</v>
      </c>
      <c r="M6" s="21" t="s">
        <v>20</v>
      </c>
      <c r="N6" s="21" t="s">
        <v>20</v>
      </c>
      <c r="O6" s="114"/>
      <c r="P6" s="22" t="s">
        <v>81</v>
      </c>
      <c r="Q6" s="114"/>
      <c r="R6" s="114"/>
      <c r="S6" s="114"/>
    </row>
    <row r="7" spans="1:19" x14ac:dyDescent="0.25">
      <c r="A7" s="114"/>
      <c r="B7" s="114"/>
      <c r="C7" s="114"/>
      <c r="D7" s="21">
        <v>280049</v>
      </c>
      <c r="E7" s="21" t="s">
        <v>20</v>
      </c>
      <c r="F7" s="21" t="s">
        <v>20</v>
      </c>
      <c r="G7" s="21" t="s">
        <v>20</v>
      </c>
      <c r="H7" s="21" t="s">
        <v>20</v>
      </c>
      <c r="I7" s="21">
        <v>280549</v>
      </c>
      <c r="J7" s="21" t="s">
        <v>20</v>
      </c>
      <c r="K7" s="21" t="s">
        <v>20</v>
      </c>
      <c r="L7" s="21">
        <v>280849</v>
      </c>
      <c r="M7" s="21" t="s">
        <v>20</v>
      </c>
      <c r="N7" s="21" t="s">
        <v>20</v>
      </c>
      <c r="O7" s="118"/>
      <c r="P7" s="9" t="s">
        <v>82</v>
      </c>
      <c r="Q7" s="114"/>
      <c r="R7" s="114"/>
      <c r="S7" s="114"/>
    </row>
    <row r="8" spans="1:19" x14ac:dyDescent="0.25">
      <c r="A8" s="114"/>
      <c r="B8" s="114"/>
      <c r="C8" s="114"/>
      <c r="D8" s="21">
        <v>280050</v>
      </c>
      <c r="E8" s="21" t="s">
        <v>20</v>
      </c>
      <c r="F8" s="21" t="s">
        <v>20</v>
      </c>
      <c r="G8" s="21" t="s">
        <v>20</v>
      </c>
      <c r="H8" s="21" t="s">
        <v>20</v>
      </c>
      <c r="I8" s="21">
        <v>280550</v>
      </c>
      <c r="J8" s="21" t="s">
        <v>20</v>
      </c>
      <c r="K8" s="21" t="s">
        <v>20</v>
      </c>
      <c r="L8" s="21" t="s">
        <v>20</v>
      </c>
      <c r="M8" s="21">
        <v>280950</v>
      </c>
      <c r="N8" s="21" t="s">
        <v>20</v>
      </c>
      <c r="O8" s="118"/>
      <c r="P8" s="9" t="s">
        <v>83</v>
      </c>
      <c r="Q8" s="114"/>
      <c r="R8" s="114"/>
      <c r="S8" s="114"/>
    </row>
    <row r="9" spans="1:19" x14ac:dyDescent="0.25">
      <c r="A9" s="114"/>
      <c r="B9" s="114"/>
      <c r="C9" s="114"/>
      <c r="D9" s="21">
        <v>280051</v>
      </c>
      <c r="E9" s="21" t="s">
        <v>20</v>
      </c>
      <c r="F9" s="21" t="s">
        <v>20</v>
      </c>
      <c r="G9" s="21" t="s">
        <v>20</v>
      </c>
      <c r="H9" s="21" t="s">
        <v>20</v>
      </c>
      <c r="I9" s="21" t="s">
        <v>20</v>
      </c>
      <c r="J9" s="21" t="s">
        <v>20</v>
      </c>
      <c r="K9" s="21" t="s">
        <v>20</v>
      </c>
      <c r="L9" s="21" t="s">
        <v>20</v>
      </c>
      <c r="M9" s="21" t="s">
        <v>20</v>
      </c>
      <c r="N9" s="21">
        <v>281051</v>
      </c>
      <c r="O9" s="118"/>
      <c r="P9" s="9" t="s">
        <v>84</v>
      </c>
      <c r="Q9" s="114"/>
      <c r="R9" s="114"/>
      <c r="S9" s="114"/>
    </row>
    <row r="10" spans="1:19" x14ac:dyDescent="0.25">
      <c r="A10" s="114"/>
      <c r="B10" s="114"/>
      <c r="C10" s="114"/>
      <c r="D10" s="21">
        <v>280052</v>
      </c>
      <c r="E10" s="21">
        <v>280152</v>
      </c>
      <c r="F10" s="21" t="s">
        <v>20</v>
      </c>
      <c r="G10" s="21">
        <v>280352</v>
      </c>
      <c r="H10" s="21" t="s">
        <v>20</v>
      </c>
      <c r="I10" s="21" t="s">
        <v>20</v>
      </c>
      <c r="J10" s="21" t="s">
        <v>20</v>
      </c>
      <c r="K10" s="21">
        <v>280752</v>
      </c>
      <c r="L10" s="21" t="s">
        <v>20</v>
      </c>
      <c r="M10" s="21" t="s">
        <v>20</v>
      </c>
      <c r="N10" s="21" t="s">
        <v>20</v>
      </c>
      <c r="O10" s="118"/>
      <c r="P10" s="9" t="s">
        <v>85</v>
      </c>
      <c r="Q10" s="114"/>
      <c r="R10" s="114"/>
      <c r="S10" s="114"/>
    </row>
    <row r="11" spans="1:19" ht="25.5" x14ac:dyDescent="0.25">
      <c r="A11" s="114"/>
      <c r="B11" s="114"/>
      <c r="C11" s="114"/>
      <c r="D11" s="21">
        <v>280058</v>
      </c>
      <c r="E11" s="21" t="s">
        <v>20</v>
      </c>
      <c r="F11" s="21">
        <v>280258</v>
      </c>
      <c r="G11" s="21" t="s">
        <v>20</v>
      </c>
      <c r="H11" s="21" t="s">
        <v>20</v>
      </c>
      <c r="I11" s="21">
        <v>280558</v>
      </c>
      <c r="J11" s="21" t="s">
        <v>20</v>
      </c>
      <c r="K11" s="21" t="s">
        <v>20</v>
      </c>
      <c r="L11" s="21">
        <v>280858</v>
      </c>
      <c r="M11" s="21">
        <v>280958</v>
      </c>
      <c r="N11" s="21">
        <v>281058</v>
      </c>
      <c r="O11" s="118"/>
      <c r="P11" s="23" t="s">
        <v>86</v>
      </c>
      <c r="Q11" s="114"/>
      <c r="R11" s="114"/>
      <c r="S11" s="114"/>
    </row>
    <row r="12" spans="1:19" x14ac:dyDescent="0.25">
      <c r="A12" s="114"/>
      <c r="B12" s="114"/>
      <c r="C12" s="114"/>
      <c r="D12" s="21">
        <v>280059</v>
      </c>
      <c r="E12" s="21" t="s">
        <v>20</v>
      </c>
      <c r="F12" s="21">
        <v>280259</v>
      </c>
      <c r="G12" s="21">
        <v>280359</v>
      </c>
      <c r="H12" s="21" t="s">
        <v>20</v>
      </c>
      <c r="I12" s="21">
        <v>280559</v>
      </c>
      <c r="J12" s="21" t="s">
        <v>20</v>
      </c>
      <c r="K12" s="21">
        <v>280759</v>
      </c>
      <c r="L12" s="21">
        <v>280859</v>
      </c>
      <c r="M12" s="21" t="s">
        <v>20</v>
      </c>
      <c r="N12" s="21">
        <v>281059</v>
      </c>
      <c r="O12" s="118"/>
      <c r="P12" s="23" t="s">
        <v>87</v>
      </c>
      <c r="Q12" s="114"/>
      <c r="R12" s="114"/>
      <c r="S12" s="114"/>
    </row>
    <row r="13" spans="1:19" ht="25.5" x14ac:dyDescent="0.25">
      <c r="A13" s="114"/>
      <c r="B13" s="114"/>
      <c r="C13" s="114"/>
      <c r="D13" s="21">
        <v>280060</v>
      </c>
      <c r="E13" s="21" t="s">
        <v>20</v>
      </c>
      <c r="F13" s="21">
        <v>280260</v>
      </c>
      <c r="G13" s="21" t="s">
        <v>20</v>
      </c>
      <c r="H13" s="21">
        <v>280460</v>
      </c>
      <c r="I13" s="21">
        <v>280560</v>
      </c>
      <c r="J13" s="21">
        <v>280660</v>
      </c>
      <c r="K13" s="21" t="s">
        <v>20</v>
      </c>
      <c r="L13" s="21">
        <v>280860</v>
      </c>
      <c r="M13" s="21" t="s">
        <v>20</v>
      </c>
      <c r="N13" s="21">
        <v>281060</v>
      </c>
      <c r="O13" s="118"/>
      <c r="P13" s="23" t="s">
        <v>88</v>
      </c>
      <c r="Q13" s="114"/>
      <c r="R13" s="114"/>
      <c r="S13" s="114"/>
    </row>
    <row r="14" spans="1:19" x14ac:dyDescent="0.25">
      <c r="A14" s="114"/>
      <c r="B14" s="114"/>
      <c r="C14" s="114"/>
      <c r="D14" s="21">
        <v>280061</v>
      </c>
      <c r="E14" s="21" t="s">
        <v>20</v>
      </c>
      <c r="F14" s="21" t="s">
        <v>20</v>
      </c>
      <c r="G14" s="21" t="s">
        <v>20</v>
      </c>
      <c r="H14" s="21">
        <v>280461</v>
      </c>
      <c r="I14" s="21">
        <v>280561</v>
      </c>
      <c r="J14" s="21" t="s">
        <v>20</v>
      </c>
      <c r="K14" s="21" t="s">
        <v>20</v>
      </c>
      <c r="L14" s="21">
        <v>280861</v>
      </c>
      <c r="M14" s="21">
        <v>280961</v>
      </c>
      <c r="N14" s="21" t="s">
        <v>20</v>
      </c>
      <c r="O14" s="118"/>
      <c r="P14" s="23" t="s">
        <v>89</v>
      </c>
      <c r="Q14" s="114"/>
      <c r="R14" s="114"/>
      <c r="S14" s="114"/>
    </row>
    <row r="15" spans="1:19" ht="25.5" x14ac:dyDescent="0.25">
      <c r="A15" s="114"/>
      <c r="B15" s="114"/>
      <c r="C15" s="114"/>
      <c r="D15" s="21">
        <v>280063</v>
      </c>
      <c r="E15" s="21">
        <v>280163</v>
      </c>
      <c r="F15" s="21">
        <v>280263</v>
      </c>
      <c r="G15" s="21">
        <v>280363</v>
      </c>
      <c r="H15" s="21">
        <v>280463</v>
      </c>
      <c r="I15" s="21">
        <v>280563</v>
      </c>
      <c r="J15" s="21">
        <v>280663</v>
      </c>
      <c r="K15" s="21">
        <v>280763</v>
      </c>
      <c r="L15" s="21">
        <v>280863</v>
      </c>
      <c r="M15" s="21">
        <v>280963</v>
      </c>
      <c r="N15" s="21">
        <v>281063</v>
      </c>
      <c r="O15" s="118"/>
      <c r="P15" s="23" t="s">
        <v>90</v>
      </c>
      <c r="Q15" s="114"/>
      <c r="R15" s="114"/>
      <c r="S15" s="114"/>
    </row>
    <row r="16" spans="1:19" ht="25.5" x14ac:dyDescent="0.25">
      <c r="A16" s="114"/>
      <c r="B16" s="114"/>
      <c r="C16" s="114"/>
      <c r="D16" s="21">
        <v>280005</v>
      </c>
      <c r="E16" s="21">
        <v>280105</v>
      </c>
      <c r="F16" s="21">
        <v>280205</v>
      </c>
      <c r="G16" s="21">
        <v>280305</v>
      </c>
      <c r="H16" s="21">
        <v>280405</v>
      </c>
      <c r="I16" s="21">
        <v>280505</v>
      </c>
      <c r="J16" s="21">
        <v>280605</v>
      </c>
      <c r="K16" s="21">
        <v>280705</v>
      </c>
      <c r="L16" s="21">
        <v>280805</v>
      </c>
      <c r="M16" s="21">
        <v>280905</v>
      </c>
      <c r="N16" s="21">
        <v>281005</v>
      </c>
      <c r="O16" s="118"/>
      <c r="P16" s="23" t="s">
        <v>91</v>
      </c>
      <c r="Q16" s="114"/>
      <c r="R16" s="114"/>
      <c r="S16" s="114"/>
    </row>
    <row r="17" spans="1:19" x14ac:dyDescent="0.25">
      <c r="A17" s="114"/>
      <c r="B17" s="114"/>
      <c r="C17" s="114"/>
      <c r="D17" s="21">
        <v>280012</v>
      </c>
      <c r="E17" s="21">
        <v>280112</v>
      </c>
      <c r="F17" s="21" t="s">
        <v>20</v>
      </c>
      <c r="G17" s="21">
        <v>280312</v>
      </c>
      <c r="H17" s="21" t="s">
        <v>20</v>
      </c>
      <c r="I17" s="21">
        <v>280512</v>
      </c>
      <c r="J17" s="21" t="s">
        <v>20</v>
      </c>
      <c r="K17" s="21" t="s">
        <v>20</v>
      </c>
      <c r="L17" s="21" t="s">
        <v>20</v>
      </c>
      <c r="M17" s="21">
        <v>280912</v>
      </c>
      <c r="N17" s="21" t="s">
        <v>20</v>
      </c>
      <c r="O17" s="118"/>
      <c r="P17" s="23" t="s">
        <v>92</v>
      </c>
      <c r="Q17" s="114"/>
      <c r="R17" s="114"/>
      <c r="S17" s="114"/>
    </row>
    <row r="18" spans="1:19" ht="25.5" x14ac:dyDescent="0.25">
      <c r="A18" s="114"/>
      <c r="B18" s="114"/>
      <c r="C18" s="114"/>
      <c r="D18" s="21">
        <v>280027</v>
      </c>
      <c r="E18" s="21" t="s">
        <v>20</v>
      </c>
      <c r="F18" s="21">
        <v>280227</v>
      </c>
      <c r="G18" s="21">
        <v>280327</v>
      </c>
      <c r="H18" s="21">
        <v>280427</v>
      </c>
      <c r="I18" s="21">
        <v>280527</v>
      </c>
      <c r="J18" s="21">
        <v>280627</v>
      </c>
      <c r="K18" s="21">
        <v>280727</v>
      </c>
      <c r="L18" s="21">
        <v>280827</v>
      </c>
      <c r="M18" s="21" t="s">
        <v>20</v>
      </c>
      <c r="N18" s="21">
        <v>281027</v>
      </c>
      <c r="O18" s="118"/>
      <c r="P18" s="23" t="s">
        <v>93</v>
      </c>
      <c r="Q18" s="114"/>
      <c r="R18" s="114"/>
      <c r="S18" s="114"/>
    </row>
    <row r="19" spans="1:19" ht="25.5" x14ac:dyDescent="0.25">
      <c r="A19" s="114"/>
      <c r="B19" s="114"/>
      <c r="C19" s="114"/>
      <c r="D19" s="21">
        <v>280026</v>
      </c>
      <c r="E19" s="21" t="s">
        <v>20</v>
      </c>
      <c r="F19" s="21" t="s">
        <v>20</v>
      </c>
      <c r="G19" s="21">
        <v>280326</v>
      </c>
      <c r="H19" s="21">
        <v>280426</v>
      </c>
      <c r="I19" s="21">
        <v>280526</v>
      </c>
      <c r="J19" s="21" t="s">
        <v>20</v>
      </c>
      <c r="K19" s="21" t="s">
        <v>20</v>
      </c>
      <c r="L19" s="21">
        <v>280826</v>
      </c>
      <c r="M19" s="21">
        <v>280926</v>
      </c>
      <c r="N19" s="21" t="s">
        <v>20</v>
      </c>
      <c r="O19" s="118"/>
      <c r="P19" s="23" t="s">
        <v>94</v>
      </c>
      <c r="Q19" s="114"/>
      <c r="R19" s="114"/>
      <c r="S19" s="114"/>
    </row>
    <row r="20" spans="1:19" ht="25.5" x14ac:dyDescent="0.25">
      <c r="A20" s="114"/>
      <c r="B20" s="114"/>
      <c r="C20" s="114"/>
      <c r="D20" s="21">
        <v>280025</v>
      </c>
      <c r="E20" s="21" t="s">
        <v>20</v>
      </c>
      <c r="F20" s="21">
        <v>280225</v>
      </c>
      <c r="G20" s="21">
        <v>280325</v>
      </c>
      <c r="H20" s="21">
        <v>280425</v>
      </c>
      <c r="I20" s="21">
        <v>280525</v>
      </c>
      <c r="J20" s="21">
        <v>280625</v>
      </c>
      <c r="K20" s="21">
        <v>280725</v>
      </c>
      <c r="L20" s="21">
        <v>280825</v>
      </c>
      <c r="M20" s="21" t="s">
        <v>20</v>
      </c>
      <c r="N20" s="21">
        <v>281025</v>
      </c>
      <c r="O20" s="118"/>
      <c r="P20" s="23" t="s">
        <v>95</v>
      </c>
      <c r="Q20" s="114"/>
      <c r="R20" s="114"/>
      <c r="S20" s="114"/>
    </row>
    <row r="21" spans="1:19" ht="25.5" x14ac:dyDescent="0.25">
      <c r="A21" s="114"/>
      <c r="B21" s="114"/>
      <c r="C21" s="114"/>
      <c r="D21" s="21">
        <v>280028</v>
      </c>
      <c r="E21" s="21" t="s">
        <v>20</v>
      </c>
      <c r="F21" s="21" t="s">
        <v>20</v>
      </c>
      <c r="G21" s="21">
        <v>280328</v>
      </c>
      <c r="H21" s="21">
        <v>280428</v>
      </c>
      <c r="I21" s="21">
        <v>280528</v>
      </c>
      <c r="J21" s="21" t="s">
        <v>20</v>
      </c>
      <c r="K21" s="21" t="s">
        <v>20</v>
      </c>
      <c r="L21" s="21">
        <v>280828</v>
      </c>
      <c r="M21" s="21">
        <v>280928</v>
      </c>
      <c r="N21" s="21" t="s">
        <v>20</v>
      </c>
      <c r="O21" s="118"/>
      <c r="P21" s="23" t="s">
        <v>96</v>
      </c>
      <c r="Q21" s="114"/>
      <c r="R21" s="114"/>
      <c r="S21" s="114"/>
    </row>
    <row r="22" spans="1:19" ht="25.5" x14ac:dyDescent="0.25">
      <c r="A22" s="114"/>
      <c r="B22" s="114"/>
      <c r="C22" s="114"/>
      <c r="D22" s="21">
        <v>280019</v>
      </c>
      <c r="E22" s="21">
        <v>280119</v>
      </c>
      <c r="F22" s="21">
        <v>280219</v>
      </c>
      <c r="G22" s="21">
        <v>280319</v>
      </c>
      <c r="H22" s="21">
        <v>280419</v>
      </c>
      <c r="I22" s="21">
        <v>280519</v>
      </c>
      <c r="J22" s="21">
        <v>280619</v>
      </c>
      <c r="K22" s="21">
        <v>280719</v>
      </c>
      <c r="L22" s="21">
        <v>280819</v>
      </c>
      <c r="M22" s="21">
        <v>280919</v>
      </c>
      <c r="N22" s="21">
        <v>281019</v>
      </c>
      <c r="O22" s="118"/>
      <c r="P22" s="23" t="s">
        <v>97</v>
      </c>
      <c r="Q22" s="114"/>
      <c r="R22" s="114"/>
      <c r="S22" s="114"/>
    </row>
    <row r="23" spans="1:19" x14ac:dyDescent="0.25">
      <c r="A23" s="114"/>
      <c r="B23" s="114"/>
      <c r="C23" s="114"/>
      <c r="D23" s="21">
        <v>280013</v>
      </c>
      <c r="E23" s="21" t="s">
        <v>20</v>
      </c>
      <c r="F23" s="21" t="s">
        <v>20</v>
      </c>
      <c r="G23" s="21">
        <v>280313</v>
      </c>
      <c r="H23" s="21">
        <v>280413</v>
      </c>
      <c r="I23" s="21">
        <v>280513</v>
      </c>
      <c r="J23" s="21" t="s">
        <v>20</v>
      </c>
      <c r="K23" s="21" t="s">
        <v>20</v>
      </c>
      <c r="L23" s="21">
        <v>280813</v>
      </c>
      <c r="M23" s="21">
        <v>280913</v>
      </c>
      <c r="N23" s="21" t="s">
        <v>20</v>
      </c>
      <c r="O23" s="118"/>
      <c r="P23" s="23" t="s">
        <v>98</v>
      </c>
      <c r="Q23" s="114"/>
      <c r="R23" s="114"/>
      <c r="S23" s="114"/>
    </row>
    <row r="24" spans="1:19" x14ac:dyDescent="0.25">
      <c r="A24" s="114"/>
      <c r="B24" s="114"/>
      <c r="C24" s="114"/>
      <c r="D24" s="21">
        <v>280015</v>
      </c>
      <c r="E24" s="21" t="s">
        <v>20</v>
      </c>
      <c r="F24" s="21" t="s">
        <v>20</v>
      </c>
      <c r="G24" s="21">
        <v>280315</v>
      </c>
      <c r="H24" s="21" t="s">
        <v>20</v>
      </c>
      <c r="I24" s="21">
        <v>280515</v>
      </c>
      <c r="J24" s="21" t="s">
        <v>20</v>
      </c>
      <c r="K24" s="21" t="s">
        <v>20</v>
      </c>
      <c r="L24" s="21" t="s">
        <v>20</v>
      </c>
      <c r="M24" s="21">
        <v>280915</v>
      </c>
      <c r="N24" s="21" t="s">
        <v>20</v>
      </c>
      <c r="O24" s="118"/>
      <c r="P24" s="23" t="s">
        <v>99</v>
      </c>
      <c r="Q24" s="114"/>
      <c r="R24" s="114"/>
      <c r="S24" s="114"/>
    </row>
    <row r="25" spans="1:19" x14ac:dyDescent="0.25">
      <c r="A25" s="114"/>
      <c r="B25" s="114"/>
      <c r="C25" s="114"/>
      <c r="D25" s="21">
        <v>280038</v>
      </c>
      <c r="E25" s="21" t="s">
        <v>20</v>
      </c>
      <c r="F25" s="21" t="s">
        <v>20</v>
      </c>
      <c r="G25" s="21">
        <v>280338</v>
      </c>
      <c r="H25" s="21" t="s">
        <v>20</v>
      </c>
      <c r="I25" s="21">
        <v>280538</v>
      </c>
      <c r="J25" s="21" t="s">
        <v>20</v>
      </c>
      <c r="K25" s="21" t="s">
        <v>20</v>
      </c>
      <c r="L25" s="21" t="s">
        <v>20</v>
      </c>
      <c r="M25" s="21">
        <v>280938</v>
      </c>
      <c r="N25" s="21" t="s">
        <v>20</v>
      </c>
      <c r="O25" s="118"/>
      <c r="P25" s="23" t="s">
        <v>100</v>
      </c>
      <c r="Q25" s="114"/>
      <c r="R25" s="114"/>
      <c r="S25" s="114"/>
    </row>
    <row r="26" spans="1:19" x14ac:dyDescent="0.25">
      <c r="A26" s="114"/>
      <c r="B26" s="114"/>
      <c r="C26" s="114"/>
      <c r="D26" s="21">
        <v>280044</v>
      </c>
      <c r="E26" s="21" t="s">
        <v>20</v>
      </c>
      <c r="F26" s="21" t="s">
        <v>20</v>
      </c>
      <c r="G26" s="21">
        <v>280344</v>
      </c>
      <c r="H26" s="21" t="s">
        <v>20</v>
      </c>
      <c r="I26" s="21">
        <v>280544</v>
      </c>
      <c r="J26" s="21" t="s">
        <v>20</v>
      </c>
      <c r="K26" s="21" t="s">
        <v>20</v>
      </c>
      <c r="L26" s="21">
        <v>280844</v>
      </c>
      <c r="M26" s="21">
        <v>280944</v>
      </c>
      <c r="N26" s="21" t="s">
        <v>20</v>
      </c>
      <c r="O26" s="118"/>
      <c r="P26" s="23" t="s">
        <v>101</v>
      </c>
      <c r="Q26" s="114"/>
      <c r="R26" s="114"/>
      <c r="S26" s="114"/>
    </row>
    <row r="27" spans="1:19" x14ac:dyDescent="0.25">
      <c r="A27" s="114"/>
      <c r="B27" s="114"/>
      <c r="C27" s="114"/>
      <c r="D27" s="21">
        <v>280010</v>
      </c>
      <c r="E27" s="21" t="s">
        <v>20</v>
      </c>
      <c r="F27" s="21">
        <v>280210</v>
      </c>
      <c r="G27" s="21">
        <v>280310</v>
      </c>
      <c r="H27" s="21" t="s">
        <v>20</v>
      </c>
      <c r="I27" s="21">
        <v>280510</v>
      </c>
      <c r="J27" s="21">
        <v>280610</v>
      </c>
      <c r="K27" s="21">
        <v>280710</v>
      </c>
      <c r="L27" s="21">
        <v>280810</v>
      </c>
      <c r="M27" s="21">
        <v>280910</v>
      </c>
      <c r="N27" s="21" t="s">
        <v>20</v>
      </c>
      <c r="O27" s="118"/>
      <c r="P27" s="23" t="s">
        <v>102</v>
      </c>
      <c r="Q27" s="114"/>
      <c r="R27" s="114"/>
      <c r="S27" s="114"/>
    </row>
    <row r="28" spans="1:19" x14ac:dyDescent="0.25">
      <c r="A28" s="114"/>
      <c r="B28" s="114"/>
      <c r="C28" s="114"/>
      <c r="D28" s="21">
        <v>280008</v>
      </c>
      <c r="E28" s="21" t="s">
        <v>20</v>
      </c>
      <c r="F28" s="21" t="s">
        <v>20</v>
      </c>
      <c r="G28" s="21">
        <v>280308</v>
      </c>
      <c r="H28" s="21" t="s">
        <v>20</v>
      </c>
      <c r="I28" s="21">
        <v>280508</v>
      </c>
      <c r="J28" s="21" t="s">
        <v>20</v>
      </c>
      <c r="K28" s="21" t="s">
        <v>20</v>
      </c>
      <c r="L28" s="21" t="s">
        <v>20</v>
      </c>
      <c r="M28" s="21">
        <v>280908</v>
      </c>
      <c r="N28" s="21" t="s">
        <v>20</v>
      </c>
      <c r="O28" s="118"/>
      <c r="P28" s="23" t="s">
        <v>103</v>
      </c>
      <c r="Q28" s="114"/>
      <c r="R28" s="114"/>
      <c r="S28" s="114"/>
    </row>
    <row r="29" spans="1:19" x14ac:dyDescent="0.25">
      <c r="A29" s="114"/>
      <c r="B29" s="114"/>
      <c r="C29" s="114"/>
      <c r="D29" s="21">
        <v>280021</v>
      </c>
      <c r="E29" s="21" t="s">
        <v>20</v>
      </c>
      <c r="F29" s="21" t="s">
        <v>20</v>
      </c>
      <c r="G29" s="21">
        <v>280321</v>
      </c>
      <c r="H29" s="21" t="s">
        <v>20</v>
      </c>
      <c r="I29" s="21">
        <v>280521</v>
      </c>
      <c r="J29" s="21" t="s">
        <v>20</v>
      </c>
      <c r="K29" s="21" t="s">
        <v>20</v>
      </c>
      <c r="L29" s="21">
        <v>280821</v>
      </c>
      <c r="M29" s="21" t="s">
        <v>20</v>
      </c>
      <c r="N29" s="21" t="s">
        <v>20</v>
      </c>
      <c r="O29" s="118"/>
      <c r="P29" s="23" t="s">
        <v>104</v>
      </c>
      <c r="Q29" s="114"/>
      <c r="R29" s="114"/>
      <c r="S29" s="114"/>
    </row>
    <row r="30" spans="1:19" x14ac:dyDescent="0.25">
      <c r="A30" s="114"/>
      <c r="B30" s="114"/>
      <c r="C30" s="114"/>
      <c r="D30" s="21">
        <v>280006</v>
      </c>
      <c r="E30" s="21" t="s">
        <v>20</v>
      </c>
      <c r="F30" s="21">
        <v>280206</v>
      </c>
      <c r="G30" s="21">
        <v>280306</v>
      </c>
      <c r="H30" s="21">
        <v>280406</v>
      </c>
      <c r="I30" s="21">
        <v>280506</v>
      </c>
      <c r="J30" s="21">
        <v>280606</v>
      </c>
      <c r="K30" s="21" t="s">
        <v>20</v>
      </c>
      <c r="L30" s="21">
        <v>280806</v>
      </c>
      <c r="M30" s="21">
        <v>280906</v>
      </c>
      <c r="N30" s="21" t="s">
        <v>20</v>
      </c>
      <c r="O30" s="118"/>
      <c r="P30" s="23" t="s">
        <v>105</v>
      </c>
      <c r="Q30" s="114"/>
      <c r="R30" s="114"/>
      <c r="S30" s="114"/>
    </row>
    <row r="31" spans="1:19" x14ac:dyDescent="0.25">
      <c r="A31" s="114"/>
      <c r="B31" s="114"/>
      <c r="C31" s="114"/>
      <c r="D31" s="21">
        <v>280009</v>
      </c>
      <c r="E31" s="21" t="s">
        <v>20</v>
      </c>
      <c r="F31" s="21" t="s">
        <v>20</v>
      </c>
      <c r="G31" s="21">
        <v>280309</v>
      </c>
      <c r="H31" s="21" t="s">
        <v>20</v>
      </c>
      <c r="I31" s="21">
        <v>280509</v>
      </c>
      <c r="J31" s="21" t="s">
        <v>20</v>
      </c>
      <c r="K31" s="21" t="s">
        <v>20</v>
      </c>
      <c r="L31" s="21">
        <v>280809</v>
      </c>
      <c r="M31" s="21">
        <v>280909</v>
      </c>
      <c r="N31" s="21" t="s">
        <v>20</v>
      </c>
      <c r="O31" s="118"/>
      <c r="P31" s="23" t="s">
        <v>106</v>
      </c>
      <c r="Q31" s="114"/>
      <c r="R31" s="114"/>
      <c r="S31" s="114"/>
    </row>
    <row r="32" spans="1:19" ht="19.5" x14ac:dyDescent="0.25">
      <c r="A32" s="90" t="s">
        <v>107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2"/>
    </row>
    <row r="33" spans="1:19" x14ac:dyDescent="0.25">
      <c r="A33" s="93" t="s">
        <v>21</v>
      </c>
      <c r="B33" s="93" t="s">
        <v>1</v>
      </c>
      <c r="C33" s="93" t="s">
        <v>22</v>
      </c>
      <c r="D33" s="94" t="s">
        <v>2</v>
      </c>
      <c r="E33" s="95"/>
      <c r="F33" s="95"/>
      <c r="G33" s="95"/>
      <c r="H33" s="95"/>
      <c r="I33" s="95"/>
      <c r="J33" s="95"/>
      <c r="K33" s="95"/>
      <c r="L33" s="95"/>
      <c r="M33" s="95"/>
      <c r="N33" s="96"/>
      <c r="O33" s="97" t="s">
        <v>3</v>
      </c>
      <c r="P33" s="99" t="s">
        <v>23</v>
      </c>
      <c r="Q33" s="99" t="s">
        <v>24</v>
      </c>
      <c r="R33" s="99"/>
      <c r="S33" s="99"/>
    </row>
    <row r="34" spans="1:19" ht="21" x14ac:dyDescent="0.25">
      <c r="A34" s="93"/>
      <c r="B34" s="93"/>
      <c r="C34" s="93"/>
      <c r="D34" s="1" t="s">
        <v>6</v>
      </c>
      <c r="E34" s="1" t="s">
        <v>7</v>
      </c>
      <c r="F34" s="1" t="s">
        <v>8</v>
      </c>
      <c r="G34" s="1" t="s">
        <v>9</v>
      </c>
      <c r="H34" s="1" t="s">
        <v>10</v>
      </c>
      <c r="I34" s="1" t="s">
        <v>11</v>
      </c>
      <c r="J34" s="1" t="s">
        <v>12</v>
      </c>
      <c r="K34" s="1" t="s">
        <v>13</v>
      </c>
      <c r="L34" s="24" t="s">
        <v>14</v>
      </c>
      <c r="M34" s="24" t="s">
        <v>15</v>
      </c>
      <c r="N34" s="24" t="s">
        <v>16</v>
      </c>
      <c r="O34" s="98"/>
      <c r="P34" s="99"/>
      <c r="Q34" s="18" t="s">
        <v>25</v>
      </c>
      <c r="R34" s="18" t="s">
        <v>18</v>
      </c>
      <c r="S34" s="18" t="s">
        <v>19</v>
      </c>
    </row>
    <row r="35" spans="1:19" x14ac:dyDescent="0.25">
      <c r="A35" s="10">
        <v>595528</v>
      </c>
      <c r="B35" s="10"/>
      <c r="C35" s="10"/>
      <c r="D35" s="10" t="s">
        <v>20</v>
      </c>
      <c r="E35" s="10">
        <v>2801</v>
      </c>
      <c r="F35" s="10">
        <v>2802</v>
      </c>
      <c r="G35" s="10">
        <v>2803</v>
      </c>
      <c r="H35" s="10">
        <v>2804</v>
      </c>
      <c r="I35" s="10">
        <v>2805</v>
      </c>
      <c r="J35" s="10">
        <v>2806</v>
      </c>
      <c r="K35" s="10">
        <v>2807</v>
      </c>
      <c r="L35" s="25">
        <v>2808</v>
      </c>
      <c r="M35" s="25">
        <v>2809</v>
      </c>
      <c r="N35" s="25">
        <v>2810</v>
      </c>
      <c r="O35" s="8" t="str">
        <f>VLOOKUP(A35,'[4]PERFIL ALUM FILO'!$A$6:$Q$170,14,FALSE)</f>
        <v>CABECEIRA SUP/INF FILO 395X45X20,3 C/ REC PUX + COR</v>
      </c>
      <c r="P35" s="78">
        <v>1</v>
      </c>
      <c r="Q35" s="78">
        <f>VLOOKUP(A35,'[4]PERFIL ALUM FILO'!$A$6:$Q$170,15,FALSE)</f>
        <v>395</v>
      </c>
      <c r="R35" s="78">
        <f>VLOOKUP(A35,'[4]PERFIL ALUM FILO'!$A$6:$Q$170,16,FALSE)</f>
        <v>45</v>
      </c>
      <c r="S35" s="78">
        <f>VLOOKUP(A35,'[4]PERFIL ALUM FILO'!$A$6:$Q$170,17,FALSE)</f>
        <v>20.3</v>
      </c>
    </row>
    <row r="36" spans="1:19" x14ac:dyDescent="0.25">
      <c r="A36" s="8"/>
      <c r="B36" s="10">
        <f>A35</f>
        <v>595528</v>
      </c>
      <c r="C36" s="8"/>
      <c r="D36" s="10">
        <v>2899</v>
      </c>
      <c r="E36" s="10">
        <v>2800</v>
      </c>
      <c r="F36" s="10">
        <v>2800</v>
      </c>
      <c r="G36" s="10">
        <v>2800</v>
      </c>
      <c r="H36" s="10">
        <v>2800</v>
      </c>
      <c r="I36" s="10">
        <v>2800</v>
      </c>
      <c r="J36" s="10">
        <v>2800</v>
      </c>
      <c r="K36" s="10">
        <v>2800</v>
      </c>
      <c r="L36" s="10">
        <v>2800</v>
      </c>
      <c r="M36" s="10">
        <v>2800</v>
      </c>
      <c r="N36" s="10">
        <v>2800</v>
      </c>
      <c r="O36" s="8" t="str">
        <f>SUBSTITUTE(O35,"+ COR", "- NATURAL")</f>
        <v>CABECEIRA SUP/INF FILO 395X45X20,3 C/ REC PUX - NATURAL</v>
      </c>
      <c r="P36" s="79"/>
      <c r="Q36" s="79"/>
      <c r="R36" s="79"/>
      <c r="S36" s="79"/>
    </row>
    <row r="37" spans="1:19" x14ac:dyDescent="0.25">
      <c r="A37" s="8"/>
      <c r="B37" s="4"/>
      <c r="C37" s="4">
        <v>1022128</v>
      </c>
      <c r="D37" s="4" t="s">
        <v>20</v>
      </c>
      <c r="E37" s="4" t="s">
        <v>20</v>
      </c>
      <c r="F37" s="4" t="s">
        <v>20</v>
      </c>
      <c r="G37" s="4" t="s">
        <v>20</v>
      </c>
      <c r="H37" s="4" t="s">
        <v>20</v>
      </c>
      <c r="I37" s="4" t="s">
        <v>20</v>
      </c>
      <c r="J37" s="4" t="s">
        <v>20</v>
      </c>
      <c r="K37" s="4" t="s">
        <v>20</v>
      </c>
      <c r="L37" s="10" t="s">
        <v>20</v>
      </c>
      <c r="M37" s="10" t="s">
        <v>20</v>
      </c>
      <c r="N37" s="10" t="s">
        <v>20</v>
      </c>
      <c r="O37" s="5" t="s">
        <v>108</v>
      </c>
      <c r="P37" s="6"/>
      <c r="Q37" s="6"/>
      <c r="R37" s="6"/>
      <c r="S37" s="26"/>
    </row>
    <row r="38" spans="1:19" x14ac:dyDescent="0.25">
      <c r="A38" s="8"/>
      <c r="B38" s="4">
        <v>595240</v>
      </c>
      <c r="C38" s="4"/>
      <c r="D38" s="7" t="s">
        <v>20</v>
      </c>
      <c r="E38" s="7" t="s">
        <v>26</v>
      </c>
      <c r="F38" s="7" t="s">
        <v>27</v>
      </c>
      <c r="G38" s="7" t="s">
        <v>28</v>
      </c>
      <c r="H38" s="7" t="s">
        <v>29</v>
      </c>
      <c r="I38" s="7" t="s">
        <v>30</v>
      </c>
      <c r="J38" s="7" t="s">
        <v>31</v>
      </c>
      <c r="K38" s="7" t="s">
        <v>32</v>
      </c>
      <c r="L38" s="7" t="s">
        <v>33</v>
      </c>
      <c r="M38" s="7" t="s">
        <v>34</v>
      </c>
      <c r="N38" s="7" t="s">
        <v>35</v>
      </c>
      <c r="O38" s="5" t="s">
        <v>109</v>
      </c>
      <c r="P38" s="4"/>
      <c r="Q38" s="4" t="s">
        <v>36</v>
      </c>
      <c r="R38" s="8"/>
      <c r="S38" s="8"/>
    </row>
    <row r="39" spans="1:19" x14ac:dyDescent="0.25">
      <c r="A39" s="8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8"/>
    </row>
    <row r="40" spans="1:19" x14ac:dyDescent="0.25">
      <c r="A40" s="10">
        <v>595553</v>
      </c>
      <c r="B40" s="10"/>
      <c r="C40" s="10"/>
      <c r="D40" s="10" t="s">
        <v>20</v>
      </c>
      <c r="E40" s="10">
        <v>2801</v>
      </c>
      <c r="F40" s="10">
        <v>2802</v>
      </c>
      <c r="G40" s="10">
        <v>2803</v>
      </c>
      <c r="H40" s="10">
        <v>2804</v>
      </c>
      <c r="I40" s="10">
        <v>2805</v>
      </c>
      <c r="J40" s="10">
        <v>2806</v>
      </c>
      <c r="K40" s="10">
        <v>2807</v>
      </c>
      <c r="L40" s="25">
        <v>2808</v>
      </c>
      <c r="M40" s="25">
        <v>2809</v>
      </c>
      <c r="N40" s="25">
        <v>2810</v>
      </c>
      <c r="O40" s="8" t="str">
        <f>VLOOKUP(A40,'[4]PERFIL ALUM FILO'!$A$6:$Q$170,14,FALSE)</f>
        <v>CABECEIRA SUP/INF FILO 395X45X20,3 + COR</v>
      </c>
      <c r="P40" s="78">
        <v>1</v>
      </c>
      <c r="Q40" s="78">
        <f>VLOOKUP(A40,'[4]PERFIL ALUM FILO'!$A$6:$Q$170,15,FALSE)</f>
        <v>395</v>
      </c>
      <c r="R40" s="78">
        <f>VLOOKUP(A40,'[4]PERFIL ALUM FILO'!$A$6:$Q$170,16,FALSE)</f>
        <v>45</v>
      </c>
      <c r="S40" s="78">
        <f>VLOOKUP(A40,'[4]PERFIL ALUM FILO'!$A$6:$Q$170,17,FALSE)</f>
        <v>20.3</v>
      </c>
    </row>
    <row r="41" spans="1:19" x14ac:dyDescent="0.25">
      <c r="A41" s="8"/>
      <c r="B41" s="10">
        <f>A40</f>
        <v>595553</v>
      </c>
      <c r="C41" s="8"/>
      <c r="D41" s="10">
        <v>2899</v>
      </c>
      <c r="E41" s="10">
        <v>2800</v>
      </c>
      <c r="F41" s="10">
        <v>2800</v>
      </c>
      <c r="G41" s="10">
        <v>2800</v>
      </c>
      <c r="H41" s="10">
        <v>2800</v>
      </c>
      <c r="I41" s="10">
        <v>2800</v>
      </c>
      <c r="J41" s="10">
        <v>2800</v>
      </c>
      <c r="K41" s="10">
        <v>2800</v>
      </c>
      <c r="L41" s="10">
        <v>2800</v>
      </c>
      <c r="M41" s="10">
        <v>2800</v>
      </c>
      <c r="N41" s="10">
        <v>2800</v>
      </c>
      <c r="O41" s="8" t="str">
        <f>SUBSTITUTE(O40,"+ COR", "- NATURAL")</f>
        <v>CABECEIRA SUP/INF FILO 395X45X20,3 - NATURAL</v>
      </c>
      <c r="P41" s="79"/>
      <c r="Q41" s="79"/>
      <c r="R41" s="79"/>
      <c r="S41" s="79"/>
    </row>
    <row r="42" spans="1:19" x14ac:dyDescent="0.25">
      <c r="A42" s="8"/>
      <c r="B42" s="4"/>
      <c r="C42" s="4">
        <v>1022128</v>
      </c>
      <c r="D42" s="4" t="s">
        <v>20</v>
      </c>
      <c r="E42" s="4" t="s">
        <v>20</v>
      </c>
      <c r="F42" s="4" t="s">
        <v>20</v>
      </c>
      <c r="G42" s="4" t="s">
        <v>20</v>
      </c>
      <c r="H42" s="4" t="s">
        <v>20</v>
      </c>
      <c r="I42" s="4" t="s">
        <v>20</v>
      </c>
      <c r="J42" s="4" t="s">
        <v>20</v>
      </c>
      <c r="K42" s="4" t="s">
        <v>20</v>
      </c>
      <c r="L42" s="10" t="s">
        <v>20</v>
      </c>
      <c r="M42" s="10" t="s">
        <v>20</v>
      </c>
      <c r="N42" s="10" t="s">
        <v>20</v>
      </c>
      <c r="O42" s="5" t="s">
        <v>108</v>
      </c>
      <c r="P42" s="6"/>
      <c r="Q42" s="6"/>
      <c r="R42" s="6"/>
      <c r="S42" s="26"/>
    </row>
    <row r="43" spans="1:19" x14ac:dyDescent="0.25">
      <c r="A43" s="8"/>
      <c r="B43" s="4">
        <v>595240</v>
      </c>
      <c r="C43" s="4"/>
      <c r="D43" s="7" t="s">
        <v>20</v>
      </c>
      <c r="E43" s="7" t="s">
        <v>26</v>
      </c>
      <c r="F43" s="7" t="s">
        <v>27</v>
      </c>
      <c r="G43" s="7" t="s">
        <v>28</v>
      </c>
      <c r="H43" s="7" t="s">
        <v>29</v>
      </c>
      <c r="I43" s="7" t="s">
        <v>30</v>
      </c>
      <c r="J43" s="7" t="s">
        <v>31</v>
      </c>
      <c r="K43" s="7" t="s">
        <v>32</v>
      </c>
      <c r="L43" s="7" t="s">
        <v>33</v>
      </c>
      <c r="M43" s="7" t="s">
        <v>34</v>
      </c>
      <c r="N43" s="7" t="s">
        <v>35</v>
      </c>
      <c r="O43" s="5" t="s">
        <v>109</v>
      </c>
      <c r="P43" s="4"/>
      <c r="Q43" s="4" t="s">
        <v>36</v>
      </c>
      <c r="R43" s="8"/>
      <c r="S43" s="8"/>
    </row>
    <row r="44" spans="1:19" x14ac:dyDescent="0.25">
      <c r="A44" s="8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8"/>
    </row>
    <row r="45" spans="1:19" x14ac:dyDescent="0.25">
      <c r="A45" s="2">
        <v>595950</v>
      </c>
      <c r="B45" s="2"/>
      <c r="C45" s="2"/>
      <c r="D45" s="2" t="s">
        <v>20</v>
      </c>
      <c r="E45" s="2">
        <v>2801</v>
      </c>
      <c r="F45" s="2">
        <v>2802</v>
      </c>
      <c r="G45" s="2">
        <v>2803</v>
      </c>
      <c r="H45" s="2">
        <v>2804</v>
      </c>
      <c r="I45" s="2">
        <v>2805</v>
      </c>
      <c r="J45" s="2">
        <v>2806</v>
      </c>
      <c r="K45" s="2">
        <v>2807</v>
      </c>
      <c r="L45" s="2">
        <v>2808</v>
      </c>
      <c r="M45" s="2">
        <v>2809</v>
      </c>
      <c r="N45" s="2">
        <v>2810</v>
      </c>
      <c r="O45" s="3" t="str">
        <f>VLOOKUP(A45,'[4]PERFIL ALUM FILO'!$A$6:$Q$160,14,FALSE)</f>
        <v>LATERAL DIR FTE FALSA FILO 354X45X20,3+COR</v>
      </c>
      <c r="P45" s="76">
        <v>1</v>
      </c>
      <c r="Q45" s="76">
        <f>VLOOKUP(A45,'[4]PERFIL ALUM FILO'!$A$6:$Q$170,15,FALSE)</f>
        <v>354</v>
      </c>
      <c r="R45" s="76">
        <f>VLOOKUP(A45,'[4]PERFIL ALUM FILO'!$A$6:$Q$170,16,FALSE)</f>
        <v>45</v>
      </c>
      <c r="S45" s="76">
        <f>VLOOKUP(A45,'[4]PERFIL ALUM FILO'!$A$6:$Q$170,17,FALSE)</f>
        <v>20.3</v>
      </c>
    </row>
    <row r="46" spans="1:19" x14ac:dyDescent="0.25">
      <c r="A46" s="3"/>
      <c r="B46" s="2">
        <f>A45</f>
        <v>595950</v>
      </c>
      <c r="C46" s="3"/>
      <c r="D46" s="2">
        <v>2899</v>
      </c>
      <c r="E46" s="2">
        <v>2800</v>
      </c>
      <c r="F46" s="2">
        <v>2800</v>
      </c>
      <c r="G46" s="2">
        <v>2800</v>
      </c>
      <c r="H46" s="2">
        <v>2800</v>
      </c>
      <c r="I46" s="2">
        <v>2800</v>
      </c>
      <c r="J46" s="2">
        <v>2800</v>
      </c>
      <c r="K46" s="2">
        <v>2800</v>
      </c>
      <c r="L46" s="2">
        <v>2800</v>
      </c>
      <c r="M46" s="2">
        <v>2800</v>
      </c>
      <c r="N46" s="2">
        <v>2800</v>
      </c>
      <c r="O46" s="3" t="str">
        <f>SUBSTITUTE(O45,"+ COR", "- NATURAL")</f>
        <v>LATERAL DIR FTE FALSA FILO 354X45X20,3+COR</v>
      </c>
      <c r="P46" s="119"/>
      <c r="Q46" s="119"/>
      <c r="R46" s="119"/>
      <c r="S46" s="119"/>
    </row>
    <row r="47" spans="1:19" x14ac:dyDescent="0.25">
      <c r="A47" s="8"/>
      <c r="B47" s="4"/>
      <c r="C47" s="4">
        <v>1022128</v>
      </c>
      <c r="D47" s="4" t="s">
        <v>20</v>
      </c>
      <c r="E47" s="4" t="s">
        <v>20</v>
      </c>
      <c r="F47" s="4" t="s">
        <v>20</v>
      </c>
      <c r="G47" s="4" t="s">
        <v>20</v>
      </c>
      <c r="H47" s="4" t="s">
        <v>20</v>
      </c>
      <c r="I47" s="4" t="s">
        <v>20</v>
      </c>
      <c r="J47" s="4" t="s">
        <v>20</v>
      </c>
      <c r="K47" s="4" t="s">
        <v>20</v>
      </c>
      <c r="L47" s="10" t="s">
        <v>20</v>
      </c>
      <c r="M47" s="10" t="s">
        <v>20</v>
      </c>
      <c r="N47" s="10" t="s">
        <v>20</v>
      </c>
      <c r="O47" s="5" t="s">
        <v>108</v>
      </c>
      <c r="P47" s="6"/>
      <c r="Q47" s="6"/>
      <c r="R47" s="6"/>
      <c r="S47" s="26"/>
    </row>
    <row r="48" spans="1:19" x14ac:dyDescent="0.25">
      <c r="A48" s="8"/>
      <c r="B48" s="4">
        <v>595240</v>
      </c>
      <c r="C48" s="4"/>
      <c r="D48" s="7" t="s">
        <v>20</v>
      </c>
      <c r="E48" s="7" t="s">
        <v>26</v>
      </c>
      <c r="F48" s="7" t="s">
        <v>27</v>
      </c>
      <c r="G48" s="7" t="s">
        <v>28</v>
      </c>
      <c r="H48" s="7" t="s">
        <v>29</v>
      </c>
      <c r="I48" s="7" t="s">
        <v>30</v>
      </c>
      <c r="J48" s="7" t="s">
        <v>31</v>
      </c>
      <c r="K48" s="7" t="s">
        <v>32</v>
      </c>
      <c r="L48" s="7" t="s">
        <v>33</v>
      </c>
      <c r="M48" s="7" t="s">
        <v>34</v>
      </c>
      <c r="N48" s="7" t="s">
        <v>35</v>
      </c>
      <c r="O48" s="5" t="s">
        <v>109</v>
      </c>
      <c r="P48" s="4"/>
      <c r="Q48" s="4" t="s">
        <v>36</v>
      </c>
      <c r="R48" s="8"/>
      <c r="S48" s="8"/>
    </row>
    <row r="49" spans="1:19" x14ac:dyDescent="0.25">
      <c r="A49" s="8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8"/>
    </row>
    <row r="50" spans="1:19" x14ac:dyDescent="0.25">
      <c r="A50" s="2">
        <v>595953</v>
      </c>
      <c r="B50" s="2"/>
      <c r="C50" s="2"/>
      <c r="D50" s="2" t="s">
        <v>20</v>
      </c>
      <c r="E50" s="2">
        <v>2801</v>
      </c>
      <c r="F50" s="2">
        <v>2802</v>
      </c>
      <c r="G50" s="2">
        <v>2803</v>
      </c>
      <c r="H50" s="2">
        <v>2804</v>
      </c>
      <c r="I50" s="2">
        <v>2805</v>
      </c>
      <c r="J50" s="2">
        <v>2806</v>
      </c>
      <c r="K50" s="2">
        <v>2807</v>
      </c>
      <c r="L50" s="2">
        <v>2808</v>
      </c>
      <c r="M50" s="2">
        <v>2809</v>
      </c>
      <c r="N50" s="2">
        <v>2810</v>
      </c>
      <c r="O50" s="3" t="str">
        <f>VLOOKUP(A50,'[4]PERFIL ALUM FILO'!$A$6:$Q$160,14,FALSE)</f>
        <v>LATERAL ESQ FTE FALSA FILO 354X45X20,3+COR</v>
      </c>
      <c r="P50" s="76">
        <v>1</v>
      </c>
      <c r="Q50" s="76">
        <f>VLOOKUP(A50,'[4]PERFIL ALUM FILO'!$A$6:$Q$170,15,FALSE)</f>
        <v>354</v>
      </c>
      <c r="R50" s="76">
        <f>VLOOKUP(A50,'[4]PERFIL ALUM FILO'!$A$6:$Q$170,16,FALSE)</f>
        <v>45</v>
      </c>
      <c r="S50" s="76">
        <f>VLOOKUP(A50,'[4]PERFIL ALUM FILO'!$A$6:$Q$170,17,FALSE)</f>
        <v>20.3</v>
      </c>
    </row>
    <row r="51" spans="1:19" x14ac:dyDescent="0.25">
      <c r="A51" s="3"/>
      <c r="B51" s="2">
        <f>A50</f>
        <v>595953</v>
      </c>
      <c r="C51" s="3"/>
      <c r="D51" s="2">
        <v>2899</v>
      </c>
      <c r="E51" s="2">
        <v>2800</v>
      </c>
      <c r="F51" s="2">
        <v>2800</v>
      </c>
      <c r="G51" s="2">
        <v>2800</v>
      </c>
      <c r="H51" s="2">
        <v>2800</v>
      </c>
      <c r="I51" s="2">
        <v>2800</v>
      </c>
      <c r="J51" s="2">
        <v>2800</v>
      </c>
      <c r="K51" s="2">
        <v>2800</v>
      </c>
      <c r="L51" s="2">
        <v>2800</v>
      </c>
      <c r="M51" s="2">
        <v>2800</v>
      </c>
      <c r="N51" s="2">
        <v>2800</v>
      </c>
      <c r="O51" s="3" t="str">
        <f>SUBSTITUTE(O50,"+ COR", "- NATURAL")</f>
        <v>LATERAL ESQ FTE FALSA FILO 354X45X20,3+COR</v>
      </c>
      <c r="P51" s="119"/>
      <c r="Q51" s="119"/>
      <c r="R51" s="119"/>
      <c r="S51" s="119"/>
    </row>
    <row r="52" spans="1:19" x14ac:dyDescent="0.25">
      <c r="A52" s="8"/>
      <c r="B52" s="4"/>
      <c r="C52" s="4">
        <v>1022128</v>
      </c>
      <c r="D52" s="4" t="s">
        <v>20</v>
      </c>
      <c r="E52" s="4" t="s">
        <v>20</v>
      </c>
      <c r="F52" s="4" t="s">
        <v>20</v>
      </c>
      <c r="G52" s="4" t="s">
        <v>20</v>
      </c>
      <c r="H52" s="4" t="s">
        <v>20</v>
      </c>
      <c r="I52" s="4" t="s">
        <v>20</v>
      </c>
      <c r="J52" s="4" t="s">
        <v>20</v>
      </c>
      <c r="K52" s="4" t="s">
        <v>20</v>
      </c>
      <c r="L52" s="10" t="s">
        <v>20</v>
      </c>
      <c r="M52" s="10" t="s">
        <v>20</v>
      </c>
      <c r="N52" s="10" t="s">
        <v>20</v>
      </c>
      <c r="O52" s="5" t="s">
        <v>108</v>
      </c>
      <c r="P52" s="6"/>
      <c r="Q52" s="6"/>
      <c r="R52" s="6"/>
      <c r="S52" s="26"/>
    </row>
    <row r="53" spans="1:19" x14ac:dyDescent="0.25">
      <c r="A53" s="8"/>
      <c r="B53" s="4">
        <v>595240</v>
      </c>
      <c r="C53" s="4"/>
      <c r="D53" s="7" t="s">
        <v>20</v>
      </c>
      <c r="E53" s="7" t="s">
        <v>26</v>
      </c>
      <c r="F53" s="7" t="s">
        <v>27</v>
      </c>
      <c r="G53" s="7" t="s">
        <v>28</v>
      </c>
      <c r="H53" s="7" t="s">
        <v>29</v>
      </c>
      <c r="I53" s="7" t="s">
        <v>30</v>
      </c>
      <c r="J53" s="7" t="s">
        <v>31</v>
      </c>
      <c r="K53" s="7" t="s">
        <v>32</v>
      </c>
      <c r="L53" s="7" t="s">
        <v>33</v>
      </c>
      <c r="M53" s="7" t="s">
        <v>34</v>
      </c>
      <c r="N53" s="7" t="s">
        <v>35</v>
      </c>
      <c r="O53" s="5" t="s">
        <v>109</v>
      </c>
      <c r="P53" s="4"/>
      <c r="Q53" s="4" t="s">
        <v>36</v>
      </c>
      <c r="R53" s="8"/>
      <c r="S53" s="8"/>
    </row>
    <row r="54" spans="1:19" x14ac:dyDescent="0.25">
      <c r="A54" s="8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8"/>
    </row>
    <row r="55" spans="1:19" ht="38.25" x14ac:dyDescent="0.25">
      <c r="A55" s="10">
        <v>595513</v>
      </c>
      <c r="B55" s="10"/>
      <c r="C55" s="10"/>
      <c r="D55" s="29" t="s">
        <v>110</v>
      </c>
      <c r="E55" s="10">
        <v>2801</v>
      </c>
      <c r="F55" s="10">
        <v>2802</v>
      </c>
      <c r="G55" s="10">
        <v>2803</v>
      </c>
      <c r="H55" s="10">
        <v>2804</v>
      </c>
      <c r="I55" s="10">
        <v>2805</v>
      </c>
      <c r="J55" s="10">
        <v>2806</v>
      </c>
      <c r="K55" s="10">
        <v>2807</v>
      </c>
      <c r="L55" s="25">
        <v>2808</v>
      </c>
      <c r="M55" s="25">
        <v>2809</v>
      </c>
      <c r="N55" s="25">
        <v>2810</v>
      </c>
      <c r="O55" s="8" t="str">
        <f>VLOOKUP(A55,'[4]PERFIL ALUM FILO'!$A$6:$Q$170,14,FALSE)</f>
        <v>PUXADOR FILO 96MM P/ FTE ALUM + COR</v>
      </c>
      <c r="P55" s="78">
        <v>1</v>
      </c>
      <c r="Q55" s="78">
        <f>VLOOKUP(A55,'[4]PERFIL ALUM FILO'!$A$6:$Q$170,15,FALSE)</f>
        <v>130</v>
      </c>
      <c r="R55" s="78">
        <f>VLOOKUP(A55,'[4]PERFIL ALUM FILO'!$A$6:$Q$170,16,FALSE)</f>
        <v>45</v>
      </c>
      <c r="S55" s="78">
        <f>VLOOKUP(A55,'[4]PERFIL ALUM FILO'!$A$6:$Q$170,17,FALSE)</f>
        <v>17</v>
      </c>
    </row>
    <row r="56" spans="1:19" x14ac:dyDescent="0.25">
      <c r="A56" s="30"/>
      <c r="B56" s="30"/>
      <c r="C56" s="4">
        <v>1022169</v>
      </c>
      <c r="D56" s="4" t="s">
        <v>20</v>
      </c>
      <c r="E56" s="4" t="s">
        <v>20</v>
      </c>
      <c r="F56" s="4" t="s">
        <v>20</v>
      </c>
      <c r="G56" s="4" t="s">
        <v>20</v>
      </c>
      <c r="H56" s="4" t="s">
        <v>20</v>
      </c>
      <c r="I56" s="4" t="s">
        <v>20</v>
      </c>
      <c r="J56" s="4" t="s">
        <v>20</v>
      </c>
      <c r="K56" s="4" t="s">
        <v>20</v>
      </c>
      <c r="L56" s="10" t="s">
        <v>20</v>
      </c>
      <c r="M56" s="10" t="s">
        <v>20</v>
      </c>
      <c r="N56" s="10" t="s">
        <v>20</v>
      </c>
      <c r="O56" s="5" t="s">
        <v>111</v>
      </c>
      <c r="P56" s="79"/>
      <c r="Q56" s="79"/>
      <c r="R56" s="79"/>
      <c r="S56" s="79"/>
    </row>
    <row r="57" spans="1:19" x14ac:dyDescent="0.25">
      <c r="A57" s="30"/>
      <c r="B57" s="4">
        <v>595241</v>
      </c>
      <c r="C57" s="4"/>
      <c r="D57" s="7" t="s">
        <v>20</v>
      </c>
      <c r="E57" s="7" t="s">
        <v>26</v>
      </c>
      <c r="F57" s="7" t="s">
        <v>27</v>
      </c>
      <c r="G57" s="7" t="s">
        <v>28</v>
      </c>
      <c r="H57" s="7" t="s">
        <v>29</v>
      </c>
      <c r="I57" s="7" t="s">
        <v>30</v>
      </c>
      <c r="J57" s="7" t="s">
        <v>31</v>
      </c>
      <c r="K57" s="7" t="s">
        <v>32</v>
      </c>
      <c r="L57" s="7" t="s">
        <v>33</v>
      </c>
      <c r="M57" s="7" t="s">
        <v>34</v>
      </c>
      <c r="N57" s="7" t="s">
        <v>35</v>
      </c>
      <c r="O57" s="5" t="s">
        <v>112</v>
      </c>
      <c r="P57" s="4"/>
      <c r="Q57" s="4" t="s">
        <v>36</v>
      </c>
      <c r="R57" s="8"/>
      <c r="S57" s="8"/>
    </row>
    <row r="58" spans="1:19" x14ac:dyDescent="0.25">
      <c r="A58" s="30"/>
      <c r="B58" s="30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4"/>
      <c r="Q58" s="4"/>
      <c r="R58" s="8"/>
      <c r="S58" s="8"/>
    </row>
    <row r="59" spans="1:19" x14ac:dyDescent="0.25">
      <c r="A59" s="10"/>
      <c r="B59" s="10"/>
      <c r="C59" s="8"/>
      <c r="D59" s="10">
        <v>1018034</v>
      </c>
      <c r="E59" s="10">
        <v>1018034</v>
      </c>
      <c r="F59" s="10">
        <v>1018034</v>
      </c>
      <c r="G59" s="10">
        <v>1018034</v>
      </c>
      <c r="H59" s="10">
        <v>1018034</v>
      </c>
      <c r="I59" s="10">
        <v>1018034</v>
      </c>
      <c r="J59" s="10">
        <v>1018034</v>
      </c>
      <c r="K59" s="10">
        <v>1018034</v>
      </c>
      <c r="L59" s="10">
        <v>1018034</v>
      </c>
      <c r="M59" s="10">
        <v>1018034</v>
      </c>
      <c r="N59" s="10">
        <v>1018034</v>
      </c>
      <c r="O59" s="8" t="s">
        <v>113</v>
      </c>
      <c r="P59" s="10">
        <v>4</v>
      </c>
      <c r="Q59" s="11" t="s">
        <v>37</v>
      </c>
      <c r="R59" s="8"/>
      <c r="S59" s="8"/>
    </row>
    <row r="60" spans="1:19" x14ac:dyDescent="0.25">
      <c r="A60" s="10"/>
      <c r="B60" s="10"/>
      <c r="C60" s="8"/>
      <c r="D60" s="10">
        <v>1018359</v>
      </c>
      <c r="E60" s="10">
        <v>1018359</v>
      </c>
      <c r="F60" s="31">
        <v>1022356</v>
      </c>
      <c r="G60" s="10">
        <v>1018359</v>
      </c>
      <c r="H60" s="31">
        <v>1022356</v>
      </c>
      <c r="I60" s="31">
        <v>1022356</v>
      </c>
      <c r="J60" s="10">
        <v>1018359</v>
      </c>
      <c r="K60" s="10">
        <v>1018359</v>
      </c>
      <c r="L60" s="31">
        <v>1022356</v>
      </c>
      <c r="M60" s="10">
        <v>1018359</v>
      </c>
      <c r="N60" s="10">
        <v>1018359</v>
      </c>
      <c r="O60" s="8" t="s">
        <v>114</v>
      </c>
      <c r="P60" s="10">
        <v>8</v>
      </c>
      <c r="Q60" s="10" t="s">
        <v>37</v>
      </c>
      <c r="R60" s="8"/>
      <c r="S60" s="8"/>
    </row>
    <row r="61" spans="1:19" x14ac:dyDescent="0.25">
      <c r="A61" s="10"/>
      <c r="B61" s="10"/>
      <c r="C61" s="8"/>
      <c r="D61" s="10">
        <v>1021979</v>
      </c>
      <c r="E61" s="10">
        <v>1021979</v>
      </c>
      <c r="F61" s="10">
        <v>1021979</v>
      </c>
      <c r="G61" s="10">
        <v>1021979</v>
      </c>
      <c r="H61" s="10">
        <v>1021979</v>
      </c>
      <c r="I61" s="10">
        <v>1021979</v>
      </c>
      <c r="J61" s="10">
        <v>1021979</v>
      </c>
      <c r="K61" s="10">
        <v>1021979</v>
      </c>
      <c r="L61" s="10">
        <v>1021979</v>
      </c>
      <c r="M61" s="10">
        <v>1021979</v>
      </c>
      <c r="N61" s="10">
        <v>1021979</v>
      </c>
      <c r="O61" s="8" t="s">
        <v>115</v>
      </c>
      <c r="P61" s="46">
        <v>1.4179999999999999</v>
      </c>
      <c r="Q61" s="10" t="s">
        <v>36</v>
      </c>
      <c r="R61" s="8"/>
      <c r="S61" s="8"/>
    </row>
    <row r="62" spans="1:19" x14ac:dyDescent="0.25">
      <c r="A62" s="10"/>
      <c r="B62" s="10"/>
      <c r="C62" s="8"/>
      <c r="D62" s="10">
        <v>1022357</v>
      </c>
      <c r="E62" s="10">
        <v>1022357</v>
      </c>
      <c r="F62" s="10">
        <v>1022357</v>
      </c>
      <c r="G62" s="10">
        <v>1022357</v>
      </c>
      <c r="H62" s="10">
        <v>1022357</v>
      </c>
      <c r="I62" s="10">
        <v>1022357</v>
      </c>
      <c r="J62" s="10">
        <v>1022357</v>
      </c>
      <c r="K62" s="10">
        <v>1022357</v>
      </c>
      <c r="L62" s="10">
        <v>1022357</v>
      </c>
      <c r="M62" s="10">
        <v>1022357</v>
      </c>
      <c r="N62" s="10">
        <v>1022357</v>
      </c>
      <c r="O62" s="8" t="s">
        <v>116</v>
      </c>
      <c r="P62" s="47">
        <v>1.284</v>
      </c>
      <c r="Q62" s="10" t="s">
        <v>36</v>
      </c>
      <c r="R62" s="8"/>
      <c r="S62" s="8"/>
    </row>
    <row r="63" spans="1:19" x14ac:dyDescent="0.25">
      <c r="A63" s="10"/>
      <c r="B63" s="10"/>
      <c r="C63" s="8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8"/>
      <c r="P63" s="10"/>
      <c r="Q63" s="11"/>
      <c r="R63" s="8"/>
      <c r="S63" s="8"/>
    </row>
    <row r="64" spans="1:19" x14ac:dyDescent="0.25">
      <c r="A64" s="67" t="s">
        <v>117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9"/>
    </row>
    <row r="65" spans="1:19" ht="25.5" x14ac:dyDescent="0.25">
      <c r="A65" s="18" t="s">
        <v>38</v>
      </c>
      <c r="B65" s="17" t="s">
        <v>118</v>
      </c>
      <c r="C65" s="17" t="s">
        <v>119</v>
      </c>
      <c r="D65" s="70" t="s">
        <v>120</v>
      </c>
      <c r="E65" s="70"/>
      <c r="F65" s="70"/>
      <c r="G65" s="70"/>
      <c r="H65" s="70"/>
      <c r="I65" s="70"/>
      <c r="J65" s="70"/>
      <c r="K65" s="71"/>
      <c r="L65" s="16"/>
      <c r="M65" s="16"/>
      <c r="N65" s="16"/>
      <c r="O65" s="32" t="s">
        <v>3</v>
      </c>
      <c r="P65" s="18" t="s">
        <v>41</v>
      </c>
      <c r="Q65" s="99" t="s">
        <v>42</v>
      </c>
      <c r="R65" s="99"/>
      <c r="S65" s="99"/>
    </row>
    <row r="66" spans="1:19" x14ac:dyDescent="0.25">
      <c r="A66" s="83" t="s">
        <v>121</v>
      </c>
      <c r="B66" s="83" t="s">
        <v>20</v>
      </c>
      <c r="C66" s="33" t="s">
        <v>122</v>
      </c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5" t="s">
        <v>20</v>
      </c>
      <c r="P66" s="83">
        <v>1</v>
      </c>
      <c r="Q66" s="78" t="s">
        <v>20</v>
      </c>
      <c r="R66" s="78" t="s">
        <v>20</v>
      </c>
      <c r="S66" s="78" t="s">
        <v>20</v>
      </c>
    </row>
    <row r="67" spans="1:19" x14ac:dyDescent="0.25">
      <c r="A67" s="83"/>
      <c r="B67" s="83"/>
      <c r="C67" s="33" t="s">
        <v>123</v>
      </c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5" t="s">
        <v>20</v>
      </c>
      <c r="P67" s="83"/>
      <c r="Q67" s="79"/>
      <c r="R67" s="79"/>
      <c r="S67" s="79"/>
    </row>
    <row r="68" spans="1:19" x14ac:dyDescent="0.25">
      <c r="A68" s="36"/>
      <c r="B68" s="36"/>
      <c r="C68" s="37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7"/>
      <c r="P68" s="36"/>
      <c r="Q68" s="38"/>
      <c r="R68" s="39"/>
      <c r="S68" s="39"/>
    </row>
    <row r="69" spans="1:19" x14ac:dyDescent="0.25">
      <c r="A69" s="67" t="s">
        <v>124</v>
      </c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9"/>
    </row>
    <row r="70" spans="1:19" x14ac:dyDescent="0.25">
      <c r="A70" s="18" t="s">
        <v>38</v>
      </c>
      <c r="B70" s="17" t="s">
        <v>39</v>
      </c>
      <c r="C70" s="17" t="s">
        <v>40</v>
      </c>
      <c r="D70" s="70" t="s">
        <v>120</v>
      </c>
      <c r="E70" s="70"/>
      <c r="F70" s="70"/>
      <c r="G70" s="70"/>
      <c r="H70" s="70"/>
      <c r="I70" s="70"/>
      <c r="J70" s="70"/>
      <c r="K70" s="71"/>
      <c r="L70" s="16"/>
      <c r="M70" s="16"/>
      <c r="N70" s="16"/>
      <c r="O70" s="18" t="s">
        <v>3</v>
      </c>
      <c r="P70" s="18" t="s">
        <v>41</v>
      </c>
      <c r="Q70" s="72" t="s">
        <v>42</v>
      </c>
      <c r="R70" s="70"/>
      <c r="S70" s="71"/>
    </row>
    <row r="71" spans="1:19" x14ac:dyDescent="0.25">
      <c r="A71" s="80" t="s">
        <v>125</v>
      </c>
      <c r="B71" s="80">
        <f>VLOOKUP((CONCATENATE("VIDRO ",Q71,"X",R71,"X",S71)),'[4]VIDROS FILO'!$A$6:$C$168,3,FALSE)</f>
        <v>181021886</v>
      </c>
      <c r="C71" s="40" t="s">
        <v>30</v>
      </c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41" t="str">
        <f>CONCATENATE("VIDRO PELIC ESP PRATA ",Q$71,"X",R$71,"X",S$71)</f>
        <v>VIDRO PELIC ESP PRATA 349X390X4</v>
      </c>
      <c r="P71" s="83">
        <v>1</v>
      </c>
      <c r="Q71" s="83">
        <f>Q5-5</f>
        <v>349</v>
      </c>
      <c r="R71" s="83">
        <f>R5-5</f>
        <v>390</v>
      </c>
      <c r="S71" s="83">
        <v>4</v>
      </c>
    </row>
    <row r="72" spans="1:19" x14ac:dyDescent="0.25">
      <c r="A72" s="81"/>
      <c r="B72" s="81"/>
      <c r="C72" s="40">
        <v>26</v>
      </c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41" t="str">
        <f>CONCATENATE("VIDRO PELIC ESP FUME ",Q$71,"X",R$71,"X",S$71)</f>
        <v>VIDRO PELIC ESP FUME 349X390X4</v>
      </c>
      <c r="P72" s="83"/>
      <c r="Q72" s="83"/>
      <c r="R72" s="83"/>
      <c r="S72" s="83"/>
    </row>
    <row r="73" spans="1:19" x14ac:dyDescent="0.25">
      <c r="A73" s="82"/>
      <c r="B73" s="82"/>
      <c r="C73" s="40">
        <v>27</v>
      </c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41" t="str">
        <f>CONCATENATE("VIDRO PELIC ESP CHAMP ",Q$71,"X",R$71,"X",S$71)</f>
        <v>VIDRO PELIC ESP CHAMP 349X390X4</v>
      </c>
      <c r="P73" s="83"/>
      <c r="Q73" s="83"/>
      <c r="R73" s="83"/>
      <c r="S73" s="83"/>
    </row>
    <row r="74" spans="1:19" x14ac:dyDescent="0.25">
      <c r="A74" s="84" t="s">
        <v>126</v>
      </c>
      <c r="B74" s="84">
        <f>VLOOKUP((CONCATENATE("VIDRO ",Q71,"X",R71,"X",S71)),'[4]VIDROS FILO'!$A$6:$C$143,2,FALSE)</f>
        <v>121886</v>
      </c>
      <c r="C74" s="42">
        <v>49</v>
      </c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43" t="str">
        <f>CONCATENATE("VIDRO PELIC MET GRAFITE ",Q$71,"X",R$71,"X",S$71)</f>
        <v>VIDRO PELIC MET GRAFITE 349X390X4</v>
      </c>
      <c r="P74" s="83"/>
      <c r="Q74" s="83"/>
      <c r="R74" s="83"/>
      <c r="S74" s="83"/>
    </row>
    <row r="75" spans="1:19" x14ac:dyDescent="0.25">
      <c r="A75" s="85"/>
      <c r="B75" s="85"/>
      <c r="C75" s="42">
        <v>50</v>
      </c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43" t="str">
        <f>CONCATENATE("VIDRO PELIC MET PRATA ",Q$71,"X",R$71,"X",S$71)</f>
        <v>VIDRO PELIC MET PRATA 349X390X4</v>
      </c>
      <c r="P75" s="83"/>
      <c r="Q75" s="83"/>
      <c r="R75" s="83"/>
      <c r="S75" s="83"/>
    </row>
    <row r="76" spans="1:19" x14ac:dyDescent="0.25">
      <c r="A76" s="85"/>
      <c r="B76" s="85"/>
      <c r="C76" s="42">
        <v>51</v>
      </c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43" t="str">
        <f>CONCATENATE("VIDRO PELIC MET DOURADO ",Q$71,"X",R$71,"X",S$71)</f>
        <v>VIDRO PELIC MET DOURADO 349X390X4</v>
      </c>
      <c r="P76" s="83"/>
      <c r="Q76" s="83"/>
      <c r="R76" s="83"/>
      <c r="S76" s="83"/>
    </row>
    <row r="77" spans="1:19" x14ac:dyDescent="0.25">
      <c r="A77" s="85"/>
      <c r="B77" s="85"/>
      <c r="C77" s="42">
        <v>52</v>
      </c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43" t="str">
        <f>CONCATENATE("VIDRO PELIC MET PÉROLA ",Q$71,"X",R$71,"X",S$71)</f>
        <v>VIDRO PELIC MET PÉROLA 349X390X4</v>
      </c>
      <c r="P77" s="83"/>
      <c r="Q77" s="83"/>
      <c r="R77" s="83"/>
      <c r="S77" s="83"/>
    </row>
    <row r="78" spans="1:19" x14ac:dyDescent="0.25">
      <c r="A78" s="85"/>
      <c r="B78" s="85"/>
      <c r="C78" s="33">
        <v>58</v>
      </c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35" t="str">
        <f>CONCATENATE("VIDRO TEMP LINEE ARGENTO ",Q$71,"X",R$71,"X",S$71)</f>
        <v>VIDRO TEMP LINEE ARGENTO 349X390X4</v>
      </c>
      <c r="P78" s="83"/>
      <c r="Q78" s="83"/>
      <c r="R78" s="83"/>
      <c r="S78" s="83"/>
    </row>
    <row r="79" spans="1:19" x14ac:dyDescent="0.25">
      <c r="A79" s="85"/>
      <c r="B79" s="85"/>
      <c r="C79" s="33">
        <v>59</v>
      </c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35" t="str">
        <f>CONCATENATE("VIDRO TEMP LINEE ORO ",Q$71,"X",R$71,"X",S$71)</f>
        <v>VIDRO TEMP LINEE ORO 349X390X4</v>
      </c>
      <c r="P79" s="83"/>
      <c r="Q79" s="83"/>
      <c r="R79" s="83"/>
      <c r="S79" s="83"/>
    </row>
    <row r="80" spans="1:19" x14ac:dyDescent="0.25">
      <c r="A80" s="85"/>
      <c r="B80" s="85"/>
      <c r="C80" s="33">
        <v>60</v>
      </c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35" t="str">
        <f>CONCATENATE("VIDRO TEMP FUMÊ CHAMP ",Q$71,"X",R$71,"X",S$71)</f>
        <v>VIDRO TEMP FUMÊ CHAMP 349X390X4</v>
      </c>
      <c r="P80" s="83"/>
      <c r="Q80" s="83"/>
      <c r="R80" s="83"/>
      <c r="S80" s="83"/>
    </row>
    <row r="81" spans="1:19" x14ac:dyDescent="0.25">
      <c r="A81" s="85"/>
      <c r="B81" s="85"/>
      <c r="C81" s="33">
        <v>61</v>
      </c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35" t="str">
        <f>CONCATENATE("VIDRO TEMP FUMÊ CZ ",Q$71,"X",R$71,"X",S$71)</f>
        <v>VIDRO TEMP FUMÊ CZ 349X390X4</v>
      </c>
      <c r="P81" s="83"/>
      <c r="Q81" s="83"/>
      <c r="R81" s="83"/>
      <c r="S81" s="83"/>
    </row>
    <row r="82" spans="1:19" x14ac:dyDescent="0.25">
      <c r="A82" s="85"/>
      <c r="B82" s="85"/>
      <c r="C82" s="33">
        <v>63</v>
      </c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35" t="str">
        <f>CONCATENATE("VIDRO TEMP REFL CRISTAL ",Q$71,"X",R$71,"X",S$71)</f>
        <v>VIDRO TEMP REFL CRISTAL 349X390X4</v>
      </c>
      <c r="P82" s="83"/>
      <c r="Q82" s="83"/>
      <c r="R82" s="83"/>
      <c r="S82" s="83"/>
    </row>
    <row r="83" spans="1:19" x14ac:dyDescent="0.25">
      <c r="A83" s="85"/>
      <c r="B83" s="85"/>
      <c r="C83" s="33" t="s">
        <v>30</v>
      </c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35" t="str">
        <f>CONCATENATE("VIDRO PELIC ESP PRATA ",Q$71,"X",R$71,"X",S$71)</f>
        <v>VIDRO PELIC ESP PRATA 349X390X4</v>
      </c>
      <c r="P83" s="83"/>
      <c r="Q83" s="83"/>
      <c r="R83" s="83"/>
      <c r="S83" s="83"/>
    </row>
    <row r="84" spans="1:19" x14ac:dyDescent="0.25">
      <c r="A84" s="85"/>
      <c r="B84" s="85"/>
      <c r="C84" s="33">
        <v>12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35" t="str">
        <f>CONCATENATE("VIDRO PELIC BIANCO ",Q$71,"X",R$71,"X",S$71)</f>
        <v>VIDRO PELIC BIANCO 349X390X4</v>
      </c>
      <c r="P84" s="83"/>
      <c r="Q84" s="83"/>
      <c r="R84" s="83"/>
      <c r="S84" s="83"/>
    </row>
    <row r="85" spans="1:19" x14ac:dyDescent="0.25">
      <c r="A85" s="85"/>
      <c r="B85" s="85"/>
      <c r="C85" s="33">
        <v>27</v>
      </c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35" t="str">
        <f>CONCATENATE("VIDRO PELIC ESP CHAMP ",Q$71,"X",R$71,"X",S$71)</f>
        <v>VIDRO PELIC ESP CHAMP 349X390X4</v>
      </c>
      <c r="P85" s="83"/>
      <c r="Q85" s="83"/>
      <c r="R85" s="83"/>
      <c r="S85" s="83"/>
    </row>
    <row r="86" spans="1:19" x14ac:dyDescent="0.25">
      <c r="A86" s="85"/>
      <c r="B86" s="85"/>
      <c r="C86" s="33">
        <v>26</v>
      </c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35" t="str">
        <f>CONCATENATE("VIDRO PELIC ESP FUME ",Q$71,"X",R$71,"X",S$71)</f>
        <v>VIDRO PELIC ESP FUME 349X390X4</v>
      </c>
      <c r="P86" s="83"/>
      <c r="Q86" s="83"/>
      <c r="R86" s="83"/>
      <c r="S86" s="83"/>
    </row>
    <row r="87" spans="1:19" x14ac:dyDescent="0.25">
      <c r="A87" s="85"/>
      <c r="B87" s="85"/>
      <c r="C87" s="33" t="s">
        <v>127</v>
      </c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35" t="str">
        <f>CONCATENATE("VIDRO TEMP REFLETO ",Q$71,"X",R$71,"X",S$71)</f>
        <v>VIDRO TEMP REFLETO 349X390X4</v>
      </c>
      <c r="P87" s="83"/>
      <c r="Q87" s="83"/>
      <c r="R87" s="83"/>
      <c r="S87" s="83"/>
    </row>
    <row r="88" spans="1:19" x14ac:dyDescent="0.25">
      <c r="A88" s="85"/>
      <c r="B88" s="85"/>
      <c r="C88" s="33" t="s">
        <v>128</v>
      </c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35" t="str">
        <f>CONCATENATE("VIDRO TEMP REFLETO CINZA ",Q$71,"X",R$71,"X",S$71)</f>
        <v>VIDRO TEMP REFLETO CINZA 349X390X4</v>
      </c>
      <c r="P88" s="83"/>
      <c r="Q88" s="83"/>
      <c r="R88" s="83"/>
      <c r="S88" s="83"/>
    </row>
    <row r="89" spans="1:19" x14ac:dyDescent="0.25">
      <c r="A89" s="85"/>
      <c r="B89" s="85"/>
      <c r="C89" s="33" t="s">
        <v>129</v>
      </c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35" t="str">
        <f>CONCATENATE("VIDRO TEMP TRANSPARENTE ",Q$71,"X",R$71,"X",S$71)</f>
        <v>VIDRO TEMP TRANSPARENTE 349X390X4</v>
      </c>
      <c r="P89" s="83"/>
      <c r="Q89" s="83"/>
      <c r="R89" s="83"/>
      <c r="S89" s="83"/>
    </row>
    <row r="90" spans="1:19" x14ac:dyDescent="0.25">
      <c r="A90" s="85"/>
      <c r="B90" s="85"/>
      <c r="C90" s="33">
        <v>13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35" t="str">
        <f>CONCATENATE("VIDRO PELIC ONIX ",Q$71,"X",R$71,"X",S$71)</f>
        <v>VIDRO PELIC ONIX 349X390X4</v>
      </c>
      <c r="P90" s="83"/>
      <c r="Q90" s="83"/>
      <c r="R90" s="83"/>
      <c r="S90" s="83"/>
    </row>
    <row r="91" spans="1:19" x14ac:dyDescent="0.25">
      <c r="A91" s="85"/>
      <c r="B91" s="85"/>
      <c r="C91" s="33">
        <v>15</v>
      </c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35" t="str">
        <f>CONCATENATE("VIDRO PELIC GELO ",Q$71,"X",R$71,"X",S$71)</f>
        <v>VIDRO PELIC GELO 349X390X4</v>
      </c>
      <c r="P91" s="83"/>
      <c r="Q91" s="83"/>
      <c r="R91" s="83"/>
      <c r="S91" s="83"/>
    </row>
    <row r="92" spans="1:19" x14ac:dyDescent="0.25">
      <c r="A92" s="85"/>
      <c r="B92" s="85"/>
      <c r="C92" s="33">
        <v>38</v>
      </c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35" t="str">
        <f>CONCATENATE("VIDRO PELIC NATA ",Q$71,"X",R$71,"X",S$71)</f>
        <v>VIDRO PELIC NATA 349X390X4</v>
      </c>
      <c r="P92" s="83"/>
      <c r="Q92" s="83"/>
      <c r="R92" s="83"/>
      <c r="S92" s="83"/>
    </row>
    <row r="93" spans="1:19" x14ac:dyDescent="0.25">
      <c r="A93" s="85"/>
      <c r="B93" s="85"/>
      <c r="C93" s="33">
        <v>44</v>
      </c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35" t="str">
        <f>CONCATENATE("VIDRO PELIC BASALTO ",Q$71,"X",R$71,"X",S$71)</f>
        <v>VIDRO PELIC BASALTO 349X390X4</v>
      </c>
      <c r="P93" s="83"/>
      <c r="Q93" s="83"/>
      <c r="R93" s="83"/>
      <c r="S93" s="83"/>
    </row>
    <row r="94" spans="1:19" x14ac:dyDescent="0.25">
      <c r="A94" s="85"/>
      <c r="B94" s="85"/>
      <c r="C94" s="33">
        <v>10</v>
      </c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35" t="str">
        <f>CONCATENATE("VIDRO PELIC SAND ",Q$71,"X",R$71,"X",S$71)</f>
        <v>VIDRO PELIC SAND 349X390X4</v>
      </c>
      <c r="P94" s="83"/>
      <c r="Q94" s="83"/>
      <c r="R94" s="83"/>
      <c r="S94" s="83"/>
    </row>
    <row r="95" spans="1:19" x14ac:dyDescent="0.25">
      <c r="A95" s="85"/>
      <c r="B95" s="85"/>
      <c r="C95" s="44" t="s">
        <v>33</v>
      </c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35" t="str">
        <f>CONCATENATE("VIDRO PELIC PETRÓLEO ",Q$71,"X",R$71,"X",S$71)</f>
        <v>VIDRO PELIC PETRÓLEO 349X390X4</v>
      </c>
      <c r="P95" s="83"/>
      <c r="Q95" s="83"/>
      <c r="R95" s="83"/>
      <c r="S95" s="83"/>
    </row>
    <row r="96" spans="1:19" x14ac:dyDescent="0.25">
      <c r="A96" s="85"/>
      <c r="B96" s="85"/>
      <c r="C96" s="33">
        <v>21</v>
      </c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35" t="str">
        <f>CONCATENATE("VIDRO PELIC FENDI ",Q$71,"X",R$71,"X",S$71)</f>
        <v>VIDRO PELIC FENDI 349X390X4</v>
      </c>
      <c r="P96" s="83"/>
      <c r="Q96" s="83"/>
      <c r="R96" s="83"/>
      <c r="S96" s="83"/>
    </row>
    <row r="97" spans="1:19" x14ac:dyDescent="0.25">
      <c r="A97" s="85"/>
      <c r="B97" s="85"/>
      <c r="C97" s="33" t="s">
        <v>31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35" t="str">
        <f>CONCATENATE("VIDRO PELIC SISAL ",Q$71,"X",R$71,"X",S$71)</f>
        <v>VIDRO PELIC SISAL 349X390X4</v>
      </c>
      <c r="P97" s="83"/>
      <c r="Q97" s="83"/>
      <c r="R97" s="83"/>
      <c r="S97" s="83"/>
    </row>
    <row r="98" spans="1:19" x14ac:dyDescent="0.25">
      <c r="A98" s="86"/>
      <c r="B98" s="85"/>
      <c r="C98" s="33" t="s">
        <v>34</v>
      </c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35" t="str">
        <f>CONCATENATE("VIDRO PELIC ARDOSIA ",Q$71,"X",R$71,"X",S$71)</f>
        <v>VIDRO PELIC ARDOSIA 349X390X4</v>
      </c>
      <c r="P98" s="83"/>
      <c r="Q98" s="83"/>
      <c r="R98" s="83"/>
      <c r="S98" s="83"/>
    </row>
  </sheetData>
  <mergeCells count="62">
    <mergeCell ref="B74:B98"/>
    <mergeCell ref="A69:S69"/>
    <mergeCell ref="D70:K70"/>
    <mergeCell ref="Q70:S70"/>
    <mergeCell ref="A71:A73"/>
    <mergeCell ref="B71:B73"/>
    <mergeCell ref="P71:P98"/>
    <mergeCell ref="Q71:Q98"/>
    <mergeCell ref="R71:R98"/>
    <mergeCell ref="S71:S98"/>
    <mergeCell ref="A74:A98"/>
    <mergeCell ref="S66:S67"/>
    <mergeCell ref="P55:P56"/>
    <mergeCell ref="Q55:Q56"/>
    <mergeCell ref="R55:R56"/>
    <mergeCell ref="S55:S56"/>
    <mergeCell ref="A64:S64"/>
    <mergeCell ref="D65:K65"/>
    <mergeCell ref="Q65:S65"/>
    <mergeCell ref="A66:A67"/>
    <mergeCell ref="B66:B67"/>
    <mergeCell ref="P66:P67"/>
    <mergeCell ref="Q66:Q67"/>
    <mergeCell ref="R66:R67"/>
    <mergeCell ref="P45:P46"/>
    <mergeCell ref="Q45:Q46"/>
    <mergeCell ref="R45:R46"/>
    <mergeCell ref="S45:S46"/>
    <mergeCell ref="P50:P51"/>
    <mergeCell ref="Q50:Q51"/>
    <mergeCell ref="R50:R51"/>
    <mergeCell ref="S50:S51"/>
    <mergeCell ref="P35:P36"/>
    <mergeCell ref="Q35:Q36"/>
    <mergeCell ref="R35:R36"/>
    <mergeCell ref="S35:S36"/>
    <mergeCell ref="P40:P41"/>
    <mergeCell ref="Q40:Q41"/>
    <mergeCell ref="R40:R41"/>
    <mergeCell ref="S40:S41"/>
    <mergeCell ref="A32:S32"/>
    <mergeCell ref="A33:A34"/>
    <mergeCell ref="B33:B34"/>
    <mergeCell ref="C33:C34"/>
    <mergeCell ref="D33:N33"/>
    <mergeCell ref="O33:O34"/>
    <mergeCell ref="P33:P34"/>
    <mergeCell ref="Q33:S33"/>
    <mergeCell ref="S5:S31"/>
    <mergeCell ref="A1:S1"/>
    <mergeCell ref="A2:S2"/>
    <mergeCell ref="A3:A4"/>
    <mergeCell ref="B3:C4"/>
    <mergeCell ref="D3:N3"/>
    <mergeCell ref="O3:O4"/>
    <mergeCell ref="P3:P4"/>
    <mergeCell ref="Q3:S3"/>
    <mergeCell ref="A5:A31"/>
    <mergeCell ref="B5:C31"/>
    <mergeCell ref="O5:O31"/>
    <mergeCell ref="Q5:Q31"/>
    <mergeCell ref="R5:R31"/>
  </mergeCells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FICHAS</vt:lpstr>
      <vt:lpstr>ESTRUTURA PAI</vt:lpstr>
      <vt:lpstr>ESTRUTURA</vt:lpstr>
      <vt:lpstr>FITA</vt:lpstr>
      <vt:lpstr>EXEMPLO DE FICHA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Benatti Bondan</dc:creator>
  <cp:lastModifiedBy>Caroline Ambrosi</cp:lastModifiedBy>
  <dcterms:created xsi:type="dcterms:W3CDTF">2022-07-14T16:09:13Z</dcterms:created>
  <dcterms:modified xsi:type="dcterms:W3CDTF">2022-12-01T17:15:14Z</dcterms:modified>
</cp:coreProperties>
</file>